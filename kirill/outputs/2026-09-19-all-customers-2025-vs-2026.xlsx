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18.vml" ContentType="application/vnd.openxmlformats-officedocument.vmlDrawing"/>
  <Override PartName="/xl/drawings/vmlDrawing4.vml" ContentType="application/vnd.openxmlformats-officedocument.vmlDrawing"/>
  <Override PartName="/xl/drawings/vmlDrawing17.vml" ContentType="application/vnd.openxmlformats-officedocument.vmlDrawing"/>
  <Override PartName="/xl/drawings/vmlDrawing3.vml" ContentType="application/vnd.openxmlformats-officedocument.vmlDrawing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19.xml" ContentType="application/vnd.openxmlformats-officedocument.spreadsheetml.comments+xml"/>
  <Override PartName="/xl/comments9.xml" ContentType="application/vnd.openxmlformats-officedocument.spreadsheetml.comment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Comparison" sheetId="2" state="visible" r:id="rId4"/>
    <sheet name="0בתי טבע" sheetId="3" state="visible" r:id="rId5"/>
    <sheet name="0בתי טבע רשתות" sheetId="4" state="visible" r:id="rId6"/>
    <sheet name="0בתי מרקחת" sheetId="5" state="visible" r:id="rId7"/>
    <sheet name="0כללי" sheetId="6" state="visible" r:id="rId8"/>
    <sheet name="0מפיצי משנה" sheetId="7" state="visible" r:id="rId9"/>
    <sheet name="0פארמים" sheetId="8" state="visible" r:id="rId10"/>
    <sheet name="BE" sheetId="9" state="visible" r:id="rId11"/>
    <sheet name="אילת BE" sheetId="10" state="visible" r:id="rId12"/>
    <sheet name="אילת זיכויי BE" sheetId="11" state="visible" r:id="rId13"/>
    <sheet name="גוד פארם" sheetId="12" state="visible" r:id="rId14"/>
    <sheet name="גוד פארם מרכז" sheetId="13" state="visible" r:id="rId15"/>
    <sheet name="הפרכל הפרפארם" sheetId="14" state="visible" r:id="rId16"/>
    <sheet name="זיכויים BE" sheetId="15" state="visible" r:id="rId17"/>
    <sheet name="שופרסל BE" sheetId="16" state="visible" r:id="rId18"/>
    <sheet name="0צרכנים פרטיים" sheetId="17" state="visible" r:id="rId19"/>
    <sheet name="0קופות חולים" sheetId="18" state="visible" r:id="rId20"/>
    <sheet name="0שונות" sheetId="19" state="visible" r:id="rId21"/>
    <sheet name="Source 2025" sheetId="20" state="visible" r:id="rId22"/>
    <sheet name="Source 2026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  <comment ref="J5" authorId="0">
      <text>
        <r>
          <rPr>
            <sz val="10"/>
            <rFont val="Arial"/>
            <family val="2"/>
          </rPr>
          <t xml:space="preserve">If the 2025 base is 0 and 2026 &gt; 0, the cell shows "New". If both years are 0, shows 0%.</t>
        </r>
      </text>
    </comment>
  </commentList>
</comments>
</file>

<file path=xl/sharedStrings.xml><?xml version="1.0" encoding="utf-8"?>
<sst xmlns="http://schemas.openxmlformats.org/spreadsheetml/2006/main" count="8798" uniqueCount="992">
  <si>
    <t xml:space="preserve">Sales Comparison 2025 vs 2026 - by Customer (PPlay1 of uriel report)</t>
  </si>
  <si>
    <t xml:space="preserve">Calculation date:</t>
  </si>
  <si>
    <t xml:space="preserve">Each sheet below is a live comparison table (formulas, not hardcoded values) for one customer, built from the "Source 2025"/"Source 2026" raw-data sheets. "Super Pharm" is on the sheet named "Comparison" (kept from the previous build). Click a customer name to jump to its sheet.</t>
  </si>
  <si>
    <t xml:space="preserve">Customer</t>
  </si>
  <si>
    <t xml:space="preserve">Sheet</t>
  </si>
  <si>
    <t xml:space="preserve"># Product Codes</t>
  </si>
  <si>
    <t xml:space="preserve">Quantity 2025</t>
  </si>
  <si>
    <t xml:space="preserve">Quantity 2026</t>
  </si>
  <si>
    <t xml:space="preserve">Qty Change %</t>
  </si>
  <si>
    <t xml:space="preserve">Amount 2025 (₪)</t>
  </si>
  <si>
    <t xml:space="preserve">Amount 2026 (₪)</t>
  </si>
  <si>
    <t xml:space="preserve">Amount Change %</t>
  </si>
  <si>
    <t xml:space="preserve">0בתי טבע</t>
  </si>
  <si>
    <t xml:space="preserve">0בתי טבע רשתות</t>
  </si>
  <si>
    <t xml:space="preserve">0בתי מרקחת</t>
  </si>
  <si>
    <t xml:space="preserve">0כללי</t>
  </si>
  <si>
    <t xml:space="preserve">0מפיצי משנה</t>
  </si>
  <si>
    <t xml:space="preserve">0פארמים</t>
  </si>
  <si>
    <t xml:space="preserve">BE</t>
  </si>
  <si>
    <t xml:space="preserve">אילת BE</t>
  </si>
  <si>
    <t xml:space="preserve">אילת זיכויי BE</t>
  </si>
  <si>
    <t xml:space="preserve">גוד פארם</t>
  </si>
  <si>
    <t xml:space="preserve">גוד פארם מרכז</t>
  </si>
  <si>
    <t xml:space="preserve">הפרכל הפרפארם</t>
  </si>
  <si>
    <t xml:space="preserve">זיכויים BE</t>
  </si>
  <si>
    <t xml:space="preserve">סופרפארם</t>
  </si>
  <si>
    <t xml:space="preserve">Comparison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</si>
  <si>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</si>
  <si>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</si>
  <si>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</si>
  <si>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</si>
  <si>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Sales Comparison 2025 vs 2026 - Customer: סופרפארם (by Product CODE)</t>
  </si>
  <si>
    <t xml:space="preserve">Source: PPlay1 of uriel (Reporter) product x customer pivot reports for 2025 and 2026, customer column "סופרפארם" only (raw values in 'Source 2025'!$Q:$Q / 'Source 2026'!$Q:$Q).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</si>
  <si>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Product Code</t>
  </si>
  <si>
    <t xml:space="preserve">Product Name</t>
  </si>
  <si>
    <t xml:space="preserve">Quantity Change</t>
  </si>
  <si>
    <t xml:space="preserve">Quantity Change %</t>
  </si>
  <si>
    <t xml:space="preserve">Amount Change (₪)</t>
  </si>
  <si>
    <t xml:space="preserve">מדרסי</t>
  </si>
  <si>
    <t xml:space="preserve">35-38</t>
  </si>
  <si>
    <t xml:space="preserve">39-42</t>
  </si>
  <si>
    <t xml:space="preserve">43-47</t>
  </si>
  <si>
    <t xml:space="preserve">26</t>
  </si>
  <si>
    <t xml:space="preserve">35C</t>
  </si>
  <si>
    <t xml:space="preserve">21</t>
  </si>
  <si>
    <t xml:space="preserve">397A-גרבי</t>
  </si>
  <si>
    <t xml:space="preserve">397</t>
  </si>
  <si>
    <t xml:space="preserve">34</t>
  </si>
  <si>
    <t xml:space="preserve">AC75</t>
  </si>
  <si>
    <t xml:space="preserve">45C</t>
  </si>
  <si>
    <t xml:space="preserve">45EC</t>
  </si>
  <si>
    <t xml:space="preserve">45E</t>
  </si>
  <si>
    <t xml:space="preserve">28</t>
  </si>
  <si>
    <t xml:space="preserve">266</t>
  </si>
  <si>
    <t xml:space="preserve">078G-XLחגורת</t>
  </si>
  <si>
    <t xml:space="preserve">078G-L</t>
  </si>
  <si>
    <t xml:space="preserve">35</t>
  </si>
  <si>
    <t xml:space="preserve">11</t>
  </si>
  <si>
    <t xml:space="preserve">45</t>
  </si>
  <si>
    <t xml:space="preserve">T25C-חבק</t>
  </si>
  <si>
    <t xml:space="preserve">T25-חבק</t>
  </si>
  <si>
    <t xml:space="preserve">078G-M</t>
  </si>
  <si>
    <t xml:space="preserve">85</t>
  </si>
  <si>
    <t xml:space="preserve">307</t>
  </si>
  <si>
    <t xml:space="preserve">SH422</t>
  </si>
  <si>
    <t xml:space="preserve">95C</t>
  </si>
  <si>
    <t xml:space="preserve">AC45X</t>
  </si>
  <si>
    <t xml:space="preserve">3611</t>
  </si>
  <si>
    <t xml:space="preserve">40-רצועת</t>
  </si>
  <si>
    <t xml:space="preserve">FC342-נוזל</t>
  </si>
  <si>
    <t xml:space="preserve">806CB-BEIGE</t>
  </si>
  <si>
    <t xml:space="preserve">808KT-BL</t>
  </si>
  <si>
    <t xml:space="preserve">808KT-C</t>
  </si>
  <si>
    <t xml:space="preserve">60</t>
  </si>
  <si>
    <t xml:space="preserve">95</t>
  </si>
  <si>
    <t xml:space="preserve">91</t>
  </si>
  <si>
    <t xml:space="preserve">808KT-B</t>
  </si>
  <si>
    <t xml:space="preserve">87</t>
  </si>
  <si>
    <t xml:space="preserve">808KT-P</t>
  </si>
  <si>
    <t xml:space="preserve">10</t>
  </si>
  <si>
    <t xml:space="preserve">T</t>
  </si>
  <si>
    <t xml:space="preserve">3674</t>
  </si>
  <si>
    <t xml:space="preserve">369</t>
  </si>
  <si>
    <t xml:space="preserve">70N</t>
  </si>
  <si>
    <t xml:space="preserve">75</t>
  </si>
  <si>
    <t xml:space="preserve">807B-Bתחבושת</t>
  </si>
  <si>
    <t xml:space="preserve">807CB-BLתחבושת</t>
  </si>
  <si>
    <t xml:space="preserve">FC335</t>
  </si>
  <si>
    <t xml:space="preserve">311'מדב.ג'ל</t>
  </si>
  <si>
    <t xml:space="preserve">305GA</t>
  </si>
  <si>
    <t xml:space="preserve">כרית</t>
  </si>
  <si>
    <t xml:space="preserve">320</t>
  </si>
  <si>
    <t xml:space="preserve">806CB-GREEN</t>
  </si>
  <si>
    <t xml:space="preserve">806CB-BLACK</t>
  </si>
  <si>
    <t xml:space="preserve">213CTSL</t>
  </si>
  <si>
    <t xml:space="preserve">807CB-P</t>
  </si>
  <si>
    <t xml:space="preserve">3672</t>
  </si>
  <si>
    <t xml:space="preserve">078G-S</t>
  </si>
  <si>
    <t xml:space="preserve">FCתרסיס</t>
  </si>
  <si>
    <t xml:space="preserve">078XL</t>
  </si>
  <si>
    <t xml:space="preserve">20</t>
  </si>
  <si>
    <t xml:space="preserve">30</t>
  </si>
  <si>
    <t xml:space="preserve">URI</t>
  </si>
  <si>
    <t xml:space="preserve">078</t>
  </si>
  <si>
    <t xml:space="preserve">386</t>
  </si>
  <si>
    <t xml:space="preserve">T28AC</t>
  </si>
  <si>
    <t xml:space="preserve">239B</t>
  </si>
  <si>
    <t xml:space="preserve">213CTSR</t>
  </si>
  <si>
    <t xml:space="preserve">078G-XXLחגורת</t>
  </si>
  <si>
    <t xml:space="preserve">394B</t>
  </si>
  <si>
    <t xml:space="preserve">AC91</t>
  </si>
  <si>
    <t xml:space="preserve">SH333</t>
  </si>
  <si>
    <t xml:space="preserve">FC321-מלח</t>
  </si>
  <si>
    <t xml:space="preserve">34+</t>
  </si>
  <si>
    <t xml:space="preserve">3622S</t>
  </si>
  <si>
    <t xml:space="preserve">238S</t>
  </si>
  <si>
    <t xml:space="preserve">11TO</t>
  </si>
  <si>
    <t xml:space="preserve">212S</t>
  </si>
  <si>
    <t xml:space="preserve">T20</t>
  </si>
  <si>
    <t xml:space="preserve">390B</t>
  </si>
  <si>
    <t xml:space="preserve">394G</t>
  </si>
  <si>
    <t xml:space="preserve">239TR</t>
  </si>
  <si>
    <t xml:space="preserve">91B</t>
  </si>
  <si>
    <t xml:space="preserve">L</t>
  </si>
  <si>
    <t xml:space="preserve">T20C</t>
  </si>
  <si>
    <t xml:space="preserve">49</t>
  </si>
  <si>
    <t xml:space="preserve">213CTS</t>
  </si>
  <si>
    <t xml:space="preserve">85K</t>
  </si>
  <si>
    <t xml:space="preserve">85B</t>
  </si>
  <si>
    <t xml:space="preserve">806CB-PINK</t>
  </si>
  <si>
    <t xml:space="preserve">M</t>
  </si>
  <si>
    <t xml:space="preserve">211M</t>
  </si>
  <si>
    <t xml:space="preserve">388B</t>
  </si>
  <si>
    <t xml:space="preserve">M078</t>
  </si>
  <si>
    <t xml:space="preserve">4022</t>
  </si>
  <si>
    <t xml:space="preserve">211S</t>
  </si>
  <si>
    <t xml:space="preserve">801</t>
  </si>
  <si>
    <t xml:space="preserve">807CB-Cתחבושת</t>
  </si>
  <si>
    <t xml:space="preserve">XL</t>
  </si>
  <si>
    <t xml:space="preserve">212M</t>
  </si>
  <si>
    <t xml:space="preserve">239P</t>
  </si>
  <si>
    <t xml:space="preserve">390G</t>
  </si>
  <si>
    <t xml:space="preserve">312</t>
  </si>
  <si>
    <t xml:space="preserve">363</t>
  </si>
  <si>
    <t xml:space="preserve">FC334</t>
  </si>
  <si>
    <t xml:space="preserve">שרוול</t>
  </si>
  <si>
    <t xml:space="preserve">3666</t>
  </si>
  <si>
    <t xml:space="preserve">211L</t>
  </si>
  <si>
    <t xml:space="preserve">820</t>
  </si>
  <si>
    <t xml:space="preserve">268</t>
  </si>
  <si>
    <t xml:space="preserve">SC35L</t>
  </si>
  <si>
    <t xml:space="preserve">16</t>
  </si>
  <si>
    <t xml:space="preserve">T11C</t>
  </si>
  <si>
    <t xml:space="preserve">T28A</t>
  </si>
  <si>
    <t xml:space="preserve">212L</t>
  </si>
  <si>
    <t xml:space="preserve">14</t>
  </si>
  <si>
    <t xml:space="preserve">3623</t>
  </si>
  <si>
    <t xml:space="preserve">3444B</t>
  </si>
  <si>
    <t xml:space="preserve">סד</t>
  </si>
  <si>
    <t xml:space="preserve">SC39</t>
  </si>
  <si>
    <t xml:space="preserve">238M</t>
  </si>
  <si>
    <t xml:space="preserve">S</t>
  </si>
  <si>
    <t xml:space="preserve">34+XL</t>
  </si>
  <si>
    <t xml:space="preserve">211XL</t>
  </si>
  <si>
    <t xml:space="preserve">76</t>
  </si>
  <si>
    <t xml:space="preserve">SC35R</t>
  </si>
  <si>
    <t xml:space="preserve">SC95</t>
  </si>
  <si>
    <t xml:space="preserve">48</t>
  </si>
  <si>
    <t xml:space="preserve">390W</t>
  </si>
  <si>
    <t xml:space="preserve">365</t>
  </si>
  <si>
    <t xml:space="preserve">370K</t>
  </si>
  <si>
    <t xml:space="preserve">388L</t>
  </si>
  <si>
    <t xml:space="preserve">422</t>
  </si>
  <si>
    <t xml:space="preserve">079</t>
  </si>
  <si>
    <t xml:space="preserve">238L</t>
  </si>
  <si>
    <t xml:space="preserve">238XL</t>
  </si>
  <si>
    <t xml:space="preserve">AC-28</t>
  </si>
  <si>
    <t xml:space="preserve">394W</t>
  </si>
  <si>
    <t xml:space="preserve">422E</t>
  </si>
  <si>
    <t xml:space="preserve">S078</t>
  </si>
  <si>
    <t xml:space="preserve">SC422</t>
  </si>
  <si>
    <t xml:space="preserve">LF360</t>
  </si>
  <si>
    <t xml:space="preserve">XXL</t>
  </si>
  <si>
    <t xml:space="preserve">G390.43-46</t>
  </si>
  <si>
    <t xml:space="preserve">303</t>
  </si>
  <si>
    <t xml:space="preserve">T78</t>
  </si>
  <si>
    <t xml:space="preserve">SC25</t>
  </si>
  <si>
    <t xml:space="preserve">25</t>
  </si>
  <si>
    <t xml:space="preserve">11PS</t>
  </si>
  <si>
    <t xml:space="preserve">388R</t>
  </si>
  <si>
    <t xml:space="preserve">078C</t>
  </si>
  <si>
    <t xml:space="preserve">T39</t>
  </si>
  <si>
    <t xml:space="preserve">PD341-מקצוע</t>
  </si>
  <si>
    <t xml:space="preserve">41</t>
  </si>
  <si>
    <t xml:space="preserve">PD346-10</t>
  </si>
  <si>
    <t xml:space="preserve">67</t>
  </si>
  <si>
    <t xml:space="preserve">3675</t>
  </si>
  <si>
    <t xml:space="preserve">11EU</t>
  </si>
  <si>
    <t xml:space="preserve">78A</t>
  </si>
  <si>
    <t xml:space="preserve">377</t>
  </si>
  <si>
    <t xml:space="preserve">59R</t>
  </si>
  <si>
    <t xml:space="preserve">59L</t>
  </si>
  <si>
    <t xml:space="preserve">18</t>
  </si>
  <si>
    <t xml:space="preserve">922M.מחבק</t>
  </si>
  <si>
    <t xml:space="preserve">85+</t>
  </si>
  <si>
    <t xml:space="preserve">309</t>
  </si>
  <si>
    <t xml:space="preserve">332CL'מייצב</t>
  </si>
  <si>
    <t xml:space="preserve">19</t>
  </si>
  <si>
    <t xml:space="preserve">T43SKI</t>
  </si>
  <si>
    <t xml:space="preserve">50</t>
  </si>
  <si>
    <t xml:space="preserve">LF377</t>
  </si>
  <si>
    <t xml:space="preserve">FC341-טיפות</t>
  </si>
  <si>
    <t xml:space="preserve">212XL</t>
  </si>
  <si>
    <t xml:space="preserve">06</t>
  </si>
  <si>
    <t xml:space="preserve">T91</t>
  </si>
  <si>
    <t xml:space="preserve">38</t>
  </si>
  <si>
    <t xml:space="preserve">322XL</t>
  </si>
  <si>
    <t xml:space="preserve">322-L</t>
  </si>
  <si>
    <t xml:space="preserve">322XXLמגן</t>
  </si>
  <si>
    <t xml:space="preserve">078XXL</t>
  </si>
  <si>
    <t xml:space="preserve">T28</t>
  </si>
  <si>
    <t xml:space="preserve">L-XL</t>
  </si>
  <si>
    <t xml:space="preserve">S-M</t>
  </si>
  <si>
    <t xml:space="preserve">41X</t>
  </si>
  <si>
    <t xml:space="preserve">333</t>
  </si>
  <si>
    <t xml:space="preserve">LF371</t>
  </si>
  <si>
    <t xml:space="preserve">332CS'מייצב</t>
  </si>
  <si>
    <t xml:space="preserve">332CM'מייצב</t>
  </si>
  <si>
    <t xml:space="preserve">332CXLמייצב</t>
  </si>
  <si>
    <t xml:space="preserve">308</t>
  </si>
  <si>
    <t xml:space="preserve">T45</t>
  </si>
  <si>
    <t xml:space="preserve">267LC</t>
  </si>
  <si>
    <t xml:space="preserve">27</t>
  </si>
  <si>
    <t xml:space="preserve">60XS</t>
  </si>
  <si>
    <t xml:space="preserve">PD342-פומפיה</t>
  </si>
  <si>
    <t xml:space="preserve">11UC</t>
  </si>
  <si>
    <t xml:space="preserve">T40</t>
  </si>
  <si>
    <t xml:space="preserve">55</t>
  </si>
  <si>
    <t xml:space="preserve">FC331Z-</t>
  </si>
  <si>
    <t xml:space="preserve">T28C</t>
  </si>
  <si>
    <t xml:space="preserve">313</t>
  </si>
  <si>
    <t xml:space="preserve">371</t>
  </si>
  <si>
    <t xml:space="preserve">364S</t>
  </si>
  <si>
    <t xml:space="preserve">FC330Z-תתדאו'אנטי</t>
  </si>
  <si>
    <t xml:space="preserve">80</t>
  </si>
  <si>
    <t xml:space="preserve">364</t>
  </si>
  <si>
    <t xml:space="preserve">PD340-קוצץ</t>
  </si>
  <si>
    <t xml:space="preserve">LF374</t>
  </si>
  <si>
    <t xml:space="preserve">3444</t>
  </si>
  <si>
    <t xml:space="preserve">07AU</t>
  </si>
  <si>
    <t xml:space="preserve">922S.חבק</t>
  </si>
  <si>
    <t xml:space="preserve">13</t>
  </si>
  <si>
    <t xml:space="preserve">27R</t>
  </si>
  <si>
    <t xml:space="preserve">27L</t>
  </si>
  <si>
    <t xml:space="preserve">T402</t>
  </si>
  <si>
    <t xml:space="preserve">95+</t>
  </si>
  <si>
    <t xml:space="preserve">12</t>
  </si>
  <si>
    <t xml:space="preserve">TOTAL</t>
  </si>
  <si>
    <t xml:space="preserve">Sales Comparison 2025 vs 2026 - Customer: 0בתי טבע (by Product CODE)</t>
  </si>
  <si>
    <t xml:space="preserve">Source: PPlay1 of uriel (Reporter) product x customer pivot reports for 2025 and 2026, customer column "0בתי טבע" only (raw values in 'Source 2025'!$D:$D / 'Source 2026'!$D:$D).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</si>
  <si>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0בתי טבע רשתות (by Product CODE)</t>
  </si>
  <si>
    <t xml:space="preserve">Source: PPlay1 of uriel (Reporter) product x customer pivot reports for 2025 and 2026, customer column "0בתי טבע רשתות" only (raw values in 'Source 2025'!$E:$E / 'Source 2026'!$E:$E).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</si>
  <si>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(No product codes with activity for this customer in either 2025 or 2026)</t>
  </si>
  <si>
    <t xml:space="preserve">Sales Comparison 2025 vs 2026 - Customer: 0בתי מרקחת (by Product CODE)</t>
  </si>
  <si>
    <t xml:space="preserve">Source: PPlay1 of uriel (Reporter) product x customer pivot reports for 2025 and 2026, customer column "0בתי מרקחת" only (raw values in 'Source 2025'!$F:$F / 'Source 2026'!$F:$F).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</si>
  <si>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302</t>
  </si>
  <si>
    <t xml:space="preserve">AC-07</t>
  </si>
  <si>
    <t xml:space="preserve">45B</t>
  </si>
  <si>
    <t xml:space="preserve">35B</t>
  </si>
  <si>
    <t xml:space="preserve">3655</t>
  </si>
  <si>
    <t xml:space="preserve">AC-25</t>
  </si>
  <si>
    <t xml:space="preserve">T25B</t>
  </si>
  <si>
    <t xml:space="preserve">AC-27L</t>
  </si>
  <si>
    <t xml:space="preserve">AC-27R</t>
  </si>
  <si>
    <t xml:space="preserve">95B</t>
  </si>
  <si>
    <t xml:space="preserve">AC-11</t>
  </si>
  <si>
    <t xml:space="preserve">AC43D</t>
  </si>
  <si>
    <t xml:space="preserve">372</t>
  </si>
  <si>
    <t xml:space="preserve">AC95</t>
  </si>
  <si>
    <t xml:space="preserve">3641-מיישר</t>
  </si>
  <si>
    <t xml:space="preserve">077A</t>
  </si>
  <si>
    <t xml:space="preserve">302SP</t>
  </si>
  <si>
    <t xml:space="preserve">422N</t>
  </si>
  <si>
    <t xml:space="preserve">3677S-מד.לשחרור</t>
  </si>
  <si>
    <t xml:space="preserve">366S-'מדבק.לשחרור</t>
  </si>
  <si>
    <t xml:space="preserve">301CM</t>
  </si>
  <si>
    <t xml:space="preserve">370</t>
  </si>
  <si>
    <t xml:space="preserve">374</t>
  </si>
  <si>
    <t xml:space="preserve">202</t>
  </si>
  <si>
    <t xml:space="preserve">T33</t>
  </si>
  <si>
    <t xml:space="preserve">776</t>
  </si>
  <si>
    <t xml:space="preserve">LF378</t>
  </si>
  <si>
    <t xml:space="preserve">395B</t>
  </si>
  <si>
    <t xml:space="preserve">PD</t>
  </si>
  <si>
    <t xml:space="preserve">AC37</t>
  </si>
  <si>
    <t xml:space="preserve">T40B</t>
  </si>
  <si>
    <t xml:space="preserve">FC316</t>
  </si>
  <si>
    <t xml:space="preserve">804AT-B</t>
  </si>
  <si>
    <t xml:space="preserve">T45X</t>
  </si>
  <si>
    <t xml:space="preserve">15M</t>
  </si>
  <si>
    <t xml:space="preserve">LFריפוד</t>
  </si>
  <si>
    <t xml:space="preserve">301JW</t>
  </si>
  <si>
    <t xml:space="preserve">AC49</t>
  </si>
  <si>
    <t xml:space="preserve">59D</t>
  </si>
  <si>
    <t xml:space="preserve">11STO</t>
  </si>
  <si>
    <t xml:space="preserve">34+XXL</t>
  </si>
  <si>
    <t xml:space="preserve">804AT-BL</t>
  </si>
  <si>
    <t xml:space="preserve">06U</t>
  </si>
  <si>
    <t xml:space="preserve">805AT-Cאתלטיק</t>
  </si>
  <si>
    <t xml:space="preserve">922XXLמגן</t>
  </si>
  <si>
    <t xml:space="preserve">322-S</t>
  </si>
  <si>
    <t xml:space="preserve">07UC</t>
  </si>
  <si>
    <t xml:space="preserve">32</t>
  </si>
  <si>
    <t xml:space="preserve">267RC</t>
  </si>
  <si>
    <t xml:space="preserve">267LB</t>
  </si>
  <si>
    <t xml:space="preserve">267RB</t>
  </si>
  <si>
    <t xml:space="preserve">301CW</t>
  </si>
  <si>
    <t xml:space="preserve">28-XS</t>
  </si>
  <si>
    <t xml:space="preserve">74</t>
  </si>
  <si>
    <t xml:space="preserve">922L.חבק</t>
  </si>
  <si>
    <t xml:space="preserve">922XLחבק</t>
  </si>
  <si>
    <t xml:space="preserve">15W</t>
  </si>
  <si>
    <t xml:space="preserve">322-M</t>
  </si>
  <si>
    <t xml:space="preserve">T45X-XXLמגן</t>
  </si>
  <si>
    <t xml:space="preserve">44-45</t>
  </si>
  <si>
    <t xml:space="preserve">46-47</t>
  </si>
  <si>
    <t xml:space="preserve">T90</t>
  </si>
  <si>
    <t xml:space="preserve">T27L</t>
  </si>
  <si>
    <t xml:space="preserve">11U</t>
  </si>
  <si>
    <t xml:space="preserve">T95</t>
  </si>
  <si>
    <t xml:space="preserve">ST3555</t>
  </si>
  <si>
    <t xml:space="preserve">ST3555L-XLגרב</t>
  </si>
  <si>
    <t xml:space="preserve">35-37</t>
  </si>
  <si>
    <t xml:space="preserve">AC40</t>
  </si>
  <si>
    <t xml:space="preserve">310Lמדרס</t>
  </si>
  <si>
    <t xml:space="preserve">804AT-W</t>
  </si>
  <si>
    <t xml:space="preserve">805AT-W</t>
  </si>
  <si>
    <t xml:space="preserve">805AT-B</t>
  </si>
  <si>
    <t xml:space="preserve">381</t>
  </si>
  <si>
    <t xml:space="preserve">605XL</t>
  </si>
  <si>
    <t xml:space="preserve">LF370</t>
  </si>
  <si>
    <t xml:space="preserve">805AT-BLאתלטיק</t>
  </si>
  <si>
    <t xml:space="preserve">804AT-C</t>
  </si>
  <si>
    <t xml:space="preserve">PD343-פומפיה</t>
  </si>
  <si>
    <t xml:space="preserve">41-43</t>
  </si>
  <si>
    <t xml:space="preserve">63</t>
  </si>
  <si>
    <t xml:space="preserve">Sales Comparison 2025 vs 2026 - Customer: 0כללי (by Product CODE)</t>
  </si>
  <si>
    <t xml:space="preserve">Source: PPlay1 of uriel (Reporter) product x customer pivot reports for 2025 and 2026, customer column "0כללי" only (raw values in 'Source 2025'!$G:$G / 'Source 2026'!$G:$G).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</si>
  <si>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0מפיצי משנה (by Product CODE)</t>
  </si>
  <si>
    <t xml:space="preserve">Source: PPlay1 of uriel (Reporter) product x customer pivot reports for 2025 and 2026, customer column "0מפיצי משנה" only (raw values in 'Source 2025'!$H:$H / 'Source 2026'!$H:$H).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</si>
  <si>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0פארמים (by Product CODE)</t>
  </si>
  <si>
    <t xml:space="preserve">Source: PPlay1 of uriel (Reporter) product x customer pivot reports for 2025 and 2026, customer column "0פארמים" only (raw values in 'Source 2025'!$I:$I / 'Source 2026'!$I:$I).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</si>
  <si>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T35</t>
  </si>
  <si>
    <t xml:space="preserve">300M</t>
  </si>
  <si>
    <t xml:space="preserve">FC314-תתטלק</t>
  </si>
  <si>
    <t xml:space="preserve">Sales Comparison 2025 vs 2026 - Customer: BE (by Product CODE)</t>
  </si>
  <si>
    <t xml:space="preserve">Source: PPlay1 of uriel (Reporter) product x customer pivot reports for 2025 and 2026, customer column "BE" only (raw values in 'Source 2025'!$J:$J / 'Source 2026'!$J:$J).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</si>
  <si>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אילת BE (by Product CODE)</t>
  </si>
  <si>
    <t xml:space="preserve">Source: PPlay1 of uriel (Reporter) product x customer pivot reports for 2025 and 2026, customer column "אילת BE" only (raw values in 'Source 2025'!$K:$K / 'Source 2026'!$K:$K).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</si>
  <si>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אילת זיכויי BE (by Product CODE)</t>
  </si>
  <si>
    <t xml:space="preserve">Source: PPlay1 of uriel (Reporter) product x customer pivot reports for 2025 and 2026, customer column "אילת זיכויי BE" only (raw values in 'Source 2025'!$L:$L / 'Source 2026'!$L:$L).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</si>
  <si>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גוד פארם (by Product CODE)</t>
  </si>
  <si>
    <t xml:space="preserve">Source: PPlay1 of uriel (Reporter) product x customer pivot reports for 2025 and 2026, customer column "גוד פארם" only (raw values in 'Source 2025'!$M:$M / 'Source 2026'!$M:$M).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</si>
  <si>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גוד פארם מרכז (by Product CODE)</t>
  </si>
  <si>
    <t xml:space="preserve">Source: PPlay1 of uriel (Reporter) product x customer pivot reports for 2025 and 2026, customer column "גוד פארם מרכז" only (raw values in 'Source 2025'!$N:$N / 'Source 2026'!$N:$N).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</si>
  <si>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הפרכל הפרפארם (by Product CODE)</t>
  </si>
  <si>
    <t xml:space="preserve">Source: PPlay1 of uriel (Reporter) product x customer pivot reports for 2025 and 2026, customer column "הפרכל הפרפארם" only (raw values in 'Source 2025'!$O:$O / 'Source 2026'!$O:$O).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</si>
  <si>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זיכויים BE (by Product CODE)</t>
  </si>
  <si>
    <t xml:space="preserve">Source: PPlay1 of uriel (Reporter) product x customer pivot reports for 2025 and 2026, customer column "זיכויים BE" only (raw values in 'Source 2025'!$P:$P / 'Source 2026'!$P:$P).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</si>
  <si>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שופרסל BE (by Product CODE)</t>
  </si>
  <si>
    <t xml:space="preserve">Source: PPlay1 of uriel (Reporter) product x customer pivot reports for 2025 and 2026, customer column "שופרסל BE" only (raw values in 'Source 2025'!$R:$R / 'Source 2026'!$R:$R).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</si>
  <si>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Sales Comparison 2025 vs 2026 - Customer: 0צרכנים פרטיים (by Product CODE)</t>
  </si>
  <si>
    <t xml:space="preserve">Source: PPlay1 of uriel (Reporter) product x customer pivot reports for 2025 and 2026, customer column "0צרכנים פרטיים" only (raw values in 'Source 2025'!$S:$S / 'Source 2026'!$S:$S).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</si>
  <si>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06W</t>
  </si>
  <si>
    <t xml:space="preserve">Sales Comparison 2025 vs 2026 - Customer: 0קופות חולים (by Product CODE)</t>
  </si>
  <si>
    <t xml:space="preserve">Source: PPlay1 of uriel (Reporter) product x customer pivot reports for 2025 and 2026, customer column "0קופות חולים" only (raw values in 'Source 2025'!$T:$T / 'Source 2026'!$T:$T).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</si>
  <si>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ST25</t>
  </si>
  <si>
    <t xml:space="preserve">S-XLST422</t>
  </si>
  <si>
    <t xml:space="preserve">ST91</t>
  </si>
  <si>
    <t xml:space="preserve">ST37</t>
  </si>
  <si>
    <t xml:space="preserve">ST433</t>
  </si>
  <si>
    <t xml:space="preserve">ST20</t>
  </si>
  <si>
    <t xml:space="preserve">ST28</t>
  </si>
  <si>
    <t xml:space="preserve">ST11</t>
  </si>
  <si>
    <t xml:space="preserve">ST49</t>
  </si>
  <si>
    <t xml:space="preserve">Sales Comparison 2025 vs 2026 - Customer: 0שונות (by Product CODE)</t>
  </si>
  <si>
    <t xml:space="preserve">Source: PPlay1 of uriel (Reporter) product x customer pivot reports for 2025 and 2026, customer column "0שונות" only (raw values in 'Source 2025'!$U:$U / 'Source 2026'!$U:$U). Each file has two data blocks: "נטו" (Net Amount, NIS) and "סהכ יחידות" (Total Units). Product CODE parsed as the first token of column B in the original file (before the first space); size/color variants sharing the same base CODE are summed together via SUMIFS. Rows below only include product codes with non-zero quantity or amount for this customer in at least one of the two years; codes that are 0 for this customer in both years (sold only to other customers) were excluded as not relevant to this comparison.</t>
  </si>
  <si>
    <t xml:space="preserve">FC310-תתקרם</t>
  </si>
  <si>
    <t xml:space="preserve">FC311-תתקרם</t>
  </si>
  <si>
    <t xml:space="preserve">FC312-תתקרם</t>
  </si>
  <si>
    <t xml:space="preserve">נתוני מקור גולמיים - 2025 - כל 18 עמודות הלקוח (מתוך דוח PPlay1 of uriel, Reporter), ללא שינוי לשורות/ערכים עצמם - רק עמודה A (ריקה) ועמודה C המקורית (תווית "Customers") הושמטו</t>
  </si>
  <si>
    <t xml:space="preserve">Block</t>
  </si>
  <si>
    <t xml:space="preserve">CODE</t>
  </si>
  <si>
    <t xml:space="preserve">Item description (raw)</t>
  </si>
  <si>
    <t xml:space="preserve">Amount (NIS)</t>
  </si>
  <si>
    <t xml:space="preserve">S-L אצבעון מסיליקון יחידה</t>
  </si>
  <si>
    <t xml:space="preserve">XL אצבעון מסיליקון יחידה</t>
  </si>
  <si>
    <t xml:space="preserve">344-אבן טבעית להסרת עור קשה</t>
  </si>
  <si>
    <t xml:space="preserve">טייפ בז' 20מ""מ20</t>
  </si>
  <si>
    <t xml:space="preserve">אתלטיק טייפ שחור 20מ""מ</t>
  </si>
  <si>
    <t xml:space="preserve">טייפ כחול 20מ""מ</t>
  </si>
  <si>
    <t xml:space="preserve">אתלטיק טייפ לבן 20מ""מ</t>
  </si>
  <si>
    <t xml:space="preserve">בננה לתמיכת אצבעות ז.כרית</t>
  </si>
  <si>
    <t xml:space="preserve">בליסטר פלסטר</t>
  </si>
  <si>
    <t xml:space="preserve">גרב.כסף לסכרתים שחור35-38</t>
  </si>
  <si>
    <t xml:space="preserve">39-42.גרב.כסף לסכרתיים שח</t>
  </si>
  <si>
    <t xml:space="preserve">43-46.גרב.כסף לסכרתיים שח</t>
  </si>
  <si>
    <t xml:space="preserve">ג.כסף לסכרתיים אפור35-38</t>
  </si>
  <si>
    <t xml:space="preserve">39-42.גרב.כסף לסכרתיים אפ</t>
  </si>
  <si>
    <t xml:space="preserve">גרבי כסף לסכרת מידה</t>
  </si>
  <si>
    <t xml:space="preserve">גרב כסף לסכרתיים לבן35-38</t>
  </si>
  <si>
    <t xml:space="preserve">גרב.כסף לסכרתיים לבן39-42</t>
  </si>
  <si>
    <t xml:space="preserve">גרב.כסף לסכרתיים לבן43-46</t>
  </si>
  <si>
    <t xml:space="preserve">0   גרביים+סיליקון</t>
  </si>
  <si>
    <t xml:space="preserve">גרב.כסף לסכרתים שחור39-42</t>
  </si>
  <si>
    <t xml:space="preserve">גרב.כסף לסכרתים שחור43-46</t>
  </si>
  <si>
    <t xml:space="preserve">גרב.כסף לסכרתים אפור35-38</t>
  </si>
  <si>
    <t xml:space="preserve">גרב.כסף לסכרתים אפור39-42</t>
  </si>
  <si>
    <t xml:space="preserve">גרב.כסף לסכרתים אפור43-46</t>
  </si>
  <si>
    <t xml:space="preserve">35-38 גרב.כסף לסכרתים לבן</t>
  </si>
  <si>
    <t xml:space="preserve">39-42 גרב.כסף לסכרתים לבן</t>
  </si>
  <si>
    <t xml:space="preserve">43-46 גרב.כסף לסכרתים לבן</t>
  </si>
  <si>
    <t xml:space="preserve">בקט.לנעל120</t>
  </si>
  <si>
    <t xml:space="preserve">L  ""ח.גב קלה ""מיקדו</t>
  </si>
  <si>
    <t xml:space="preserve">M  ""ח.גב קלה ""מיקדו</t>
  </si>
  <si>
    <t xml:space="preserve">XL ""ח.גב קלה ""מיקדו</t>
  </si>
  <si>
    <t xml:space="preserve">XXL ""ח.גב קלה ""מיקדו</t>
  </si>
  <si>
    <t xml:space="preserve">S ח.גב סג. כפולה שחור+אדום</t>
  </si>
  <si>
    <t xml:space="preserve">L ח.גב סג.כפולה שחור+אדום</t>
  </si>
  <si>
    <t xml:space="preserve">M ח.גב סג.כפולה שחור+אדום</t>
  </si>
  <si>
    <t xml:space="preserve">XL ח.גב סג.כפולה שחור+אדום</t>
  </si>
  <si>
    <t xml:space="preserve">XXLח.גב סג.כפולה שחור+אדום</t>
  </si>
  <si>
    <t xml:space="preserve">S ח.גב ""איטלקית"" אורירית</t>
  </si>
  <si>
    <t xml:space="preserve">L ח.גב ""איטלקית"" אורירית</t>
  </si>
  <si>
    <t xml:space="preserve">M ח.גב ""איטלקית"" אורירית</t>
  </si>
  <si>
    <t xml:space="preserve">XL ח.גב ""איטלקית"" אורירית</t>
  </si>
  <si>
    <t xml:space="preserve">XXL.ח.גב ""איטלקית"" אוריר</t>
  </si>
  <si>
    <t xml:space="preserve">L-XLח.גב אמר+סגירה כפ.חום</t>
  </si>
  <si>
    <t xml:space="preserve">S ""חגורת גב ""לומבו</t>
  </si>
  <si>
    <t xml:space="preserve">L ""חגורת גב ""לומבו</t>
  </si>
  <si>
    <t xml:space="preserve">M ""חגורת גב ""לומבו</t>
  </si>
  <si>
    <t xml:space="preserve">XL ""חגורת גב ""לומבו</t>
  </si>
  <si>
    <t xml:space="preserve">XXL""חגורת גב ""לומבו</t>
  </si>
  <si>
    <t xml:space="preserve">S""חגורת בטן""אורירית</t>
  </si>
  <si>
    <t xml:space="preserve">L""חגורת בטן""אורירית</t>
  </si>
  <si>
    <t xml:space="preserve">M""חגורת בטן""אורירית</t>
  </si>
  <si>
    <t xml:space="preserve">XL""חגורת בטן""אורירית</t>
  </si>
  <si>
    <t xml:space="preserve">XXL""חגורת בטן""אורירית</t>
  </si>
  <si>
    <t xml:space="preserve">M ח.גב מגנטית+מוטות תמיכה</t>
  </si>
  <si>
    <t xml:space="preserve">L ח.הריון מכנס למניעת כאבים</t>
  </si>
  <si>
    <t xml:space="preserve">XL.ח.הריון מכנס למניעת כאב</t>
  </si>
  <si>
    <t xml:space="preserve">L חבק יד מתכוון עם צמדן</t>
  </si>
  <si>
    <t xml:space="preserve">M חבק יד מתכוון עם צמדן</t>
  </si>
  <si>
    <t xml:space="preserve">S חבק יד מתכוון עם צמדן</t>
  </si>
  <si>
    <t xml:space="preserve">XL חבק יד מתכוון עם צמדן</t>
  </si>
  <si>
    <t xml:space="preserve">XXL חבק יד מתכוון עם צמדן</t>
  </si>
  <si>
    <t xml:space="preserve">S  חבק יד ארוך</t>
  </si>
  <si>
    <t xml:space="preserve">L  חבק יד ארוך</t>
  </si>
  <si>
    <t xml:space="preserve">M  חבק יד ארוך</t>
  </si>
  <si>
    <t xml:space="preserve">XL חבק יד ארוך</t>
  </si>
  <si>
    <t xml:space="preserve">L חבק יד אגודלי</t>
  </si>
  <si>
    <t xml:space="preserve">M חבק יד אגודלי</t>
  </si>
  <si>
    <t xml:space="preserve">S חבק יד אגודלי</t>
  </si>
  <si>
    <t xml:space="preserve">XL חבק יד אגודלי</t>
  </si>
  <si>
    <t xml:space="preserve">.חבישת""הלוקס ולגוס""לאחר נית</t>
  </si>
  <si>
    <t xml:space="preserve">S חגורת שבר דו צדדי</t>
  </si>
  <si>
    <t xml:space="preserve">L חגורת שבר דו צדדי</t>
  </si>
  <si>
    <t xml:space="preserve">M חגורת שבר דו צדדי</t>
  </si>
  <si>
    <t xml:space="preserve">XL חגורת שבר דו צדדי</t>
  </si>
  <si>
    <t xml:space="preserve">L חגורת שבר לצד שמאל</t>
  </si>
  <si>
    <t xml:space="preserve">M חגורת שבר לצד שמאל</t>
  </si>
  <si>
    <t xml:space="preserve">S חגורת שבר לצד ימין</t>
  </si>
  <si>
    <t xml:space="preserve">L חגורת שבר לצד ימין</t>
  </si>
  <si>
    <t xml:space="preserve">M חגורת שבר לצד ימין</t>
  </si>
  <si>
    <t xml:space="preserve">XL חגורת שבר לצד ימין</t>
  </si>
  <si>
    <t xml:space="preserve">יד לטניס כרית סיליק</t>
  </si>
  <si>
    <t xml:space="preserve">יד לטניס כרית סילי</t>
  </si>
  <si>
    <t xml:space="preserve">חבק ""טניס אלבו רצועה</t>
  </si>
  <si>
    <t xml:space="preserve">S  חגורת גב פוג'יאמה</t>
  </si>
  <si>
    <t xml:space="preserve">L  חגורת גב פוג'יאמה</t>
  </si>
  <si>
    <t xml:space="preserve">M  חגורת גב פוג'יאמה</t>
  </si>
  <si>
    <t xml:space="preserve">XL חגורת גב פוג'יאמה</t>
  </si>
  <si>
    <t xml:space="preserve">XXL חגורת גב פוג'יאמה</t>
  </si>
  <si>
    <t xml:space="preserve">S-M חבק יד עם צמדן</t>
  </si>
  <si>
    <t xml:space="preserve">L-XL  חבק יד עם צמדן</t>
  </si>
  <si>
    <t xml:space="preserve">S-M חבק יד עם צמדןחום</t>
  </si>
  <si>
    <t xml:space="preserve">L-XL חבק יד עם צמדן חום</t>
  </si>
  <si>
    <t xml:space="preserve">יד אגודלי</t>
  </si>
  <si>
    <t xml:space="preserve">Lחגורת בטן וחזה אחרי ניתוח</t>
  </si>
  <si>
    <t xml:space="preserve">S-M חגורת הריון בכאב חזק</t>
  </si>
  <si>
    <t xml:space="preserve">S ח.בטן לאחר ניתוח</t>
  </si>
  <si>
    <t xml:space="preserve">M ח.בטן לאחר ניתוח</t>
  </si>
  <si>
    <t xml:space="preserve">L ח.בטן לאחר ניתוח</t>
  </si>
  <si>
    <t xml:space="preserve">XLח.בטן לאחר ניתוח</t>
  </si>
  <si>
    <t xml:space="preserve">L ח.בטן מותנית צר</t>
  </si>
  <si>
    <t xml:space="preserve">XL ח.בטן מותנית צר</t>
  </si>
  <si>
    <t xml:space="preserve">L חגורת צלעות לגבר</t>
  </si>
  <si>
    <t xml:space="preserve">XL חגורת צלעות לאשה</t>
  </si>
  <si>
    <t xml:space="preserve">M חגורת צלעות לגבר</t>
  </si>
  <si>
    <t xml:space="preserve">XXL חגורת בטןלאחר ניתוח</t>
  </si>
  <si>
    <t xml:space="preserve">S-M חגורת גב</t>
  </si>
  <si>
    <t xml:space="preserve">L-XLחגורת גב</t>
  </si>
  <si>
    <t xml:space="preserve">S חגורת גב לנשים</t>
  </si>
  <si>
    <t xml:space="preserve">S  ח.גב גבוהה</t>
  </si>
  <si>
    <t xml:space="preserve">M  ח.גב גבוהה</t>
  </si>
  <si>
    <t xml:space="preserve">Sחגורה למנותחי בטן</t>
  </si>
  <si>
    <t xml:space="preserve">Mחגורה למנותחי בטן</t>
  </si>
  <si>
    <t xml:space="preserve">Lחגורה למנותחי בטן</t>
  </si>
  <si>
    <t xml:space="preserve">XLחגורה למנותחי בטן</t>
  </si>
  <si>
    <t xml:space="preserve">XXLחגורה למנותחי בטן</t>
  </si>
  <si>
    <t xml:space="preserve">S חגורה למנותחי בית החזה</t>
  </si>
  <si>
    <t xml:space="preserve">M חגורה למנותחי בית החזה</t>
  </si>
  <si>
    <t xml:space="preserve">L חגורה למנותחי בית החזה</t>
  </si>
  <si>
    <t xml:space="preserve">XLחגורה למנותחי בית החזה</t>
  </si>
  <si>
    <t xml:space="preserve">XXLחגורה למנותחי בית החזה</t>
  </si>
  <si>
    <t xml:space="preserve">XS  חגורת בטן</t>
  </si>
  <si>
    <t xml:space="preserve">M חגורה לשבר טבור</t>
  </si>
  <si>
    <t xml:space="preserve">L חגורה לשבר טבור</t>
  </si>
  <si>
    <t xml:space="preserve">XL חגורה לשבר טבור</t>
  </si>
  <si>
    <t xml:space="preserve">XXL חגורה לשבר טבור</t>
  </si>
  <si>
    <t xml:space="preserve">חגורת גב +סגירה כפולה</t>
  </si>
  <si>
    <t xml:space="preserve">L חגורת גב +סגירה</t>
  </si>
  <si>
    <t xml:space="preserve">0 חגורה למנותחי בית חזה</t>
  </si>
  <si>
    <t xml:space="preserve">חגורת גב עם תמיכות</t>
  </si>
  <si>
    <t xml:space="preserve">חגורת בטן קלה</t>
  </si>
  <si>
    <t xml:space="preserve">חבק לשורש כף היד</t>
  </si>
  <si>
    <t xml:space="preserve">חבק טניס</t>
  </si>
  <si>
    <t xml:space="preserve">S-Lטבעת אלסטית מסיליקון</t>
  </si>
  <si>
    <t xml:space="preserve">X-Lטבעת אלסטית מסיליקון</t>
  </si>
  <si>
    <t xml:space="preserve">נגד פטרת הציפורן</t>
  </si>
  <si>
    <t xml:space="preserve">נוזלי</t>
  </si>
  <si>
    <t xml:space="preserve">טלק מעושר באלוורה</t>
  </si>
  <si>
    <t xml:space="preserve">מטטרזלי סיליקון362</t>
  </si>
  <si>
    <t xml:space="preserve">כרית ליישור אצבע פטיש</t>
  </si>
  <si>
    <t xml:space="preserve">כרית שינה חלומי</t>
  </si>
  <si>
    <t xml:space="preserve">0 כרית חום וקור</t>
  </si>
  <si>
    <t xml:space="preserve">S מגן קרסול מתכוון עם סקוטש</t>
  </si>
  <si>
    <t xml:space="preserve">L מגן קרסול מתכוון עם סקוטש</t>
  </si>
  <si>
    <t xml:space="preserve">M מגן קרסול מתכוון עם סקוטש</t>
  </si>
  <si>
    <t xml:space="preserve">XL מגן קרסול מתכוון סקוטש</t>
  </si>
  <si>
    <t xml:space="preserve">XXL מגן קרסול מתכוון+סקוטש</t>
  </si>
  <si>
    <t xml:space="preserve">תתמדרס.ציפוי עור גבר זו43</t>
  </si>
  <si>
    <t xml:space="preserve">תתמדרס/ציפוי עור גבר זו44</t>
  </si>
  <si>
    <t xml:space="preserve">37-38 מדרסי סיליק.לח.סכרת</t>
  </si>
  <si>
    <t xml:space="preserve">39-40 מדרסי סיליק.לח.סכרת</t>
  </si>
  <si>
    <t xml:space="preserve">41-42 מדרסי סיליק.לח.סכרת</t>
  </si>
  <si>
    <t xml:space="preserve">43-44 מדרסי סיליק.לח.סכרת</t>
  </si>
  <si>
    <t xml:space="preserve">45-46 מדרסי סיליק.לח.סכרת</t>
  </si>
  <si>
    <t xml:space="preserve">למניעת שפשוף 5 יח</t>
  </si>
  <si>
    <t xml:space="preserve">9 מ""ס להתאמהX5 מדבקה גדולה</t>
  </si>
  <si>
    <t xml:space="preserve">M מגן קרסול עקב סגור</t>
  </si>
  <si>
    <t xml:space="preserve">S מגן קרסול עקב סגור</t>
  </si>
  <si>
    <t xml:space="preserve">L מגן קרסול עקב סגור</t>
  </si>
  <si>
    <t xml:space="preserve">XL מגן קרסול עקב סגור</t>
  </si>
  <si>
    <t xml:space="preserve">XS מגן קרסול עקב סגור</t>
  </si>
  <si>
    <t xml:space="preserve">XXL מגן קרסול עקב סגור</t>
  </si>
  <si>
    <t xml:space="preserve">S מגן קרסול לבן</t>
  </si>
  <si>
    <t xml:space="preserve">L מגן קרסול לבן</t>
  </si>
  <si>
    <t xml:space="preserve">M מגן קרסול לבן</t>
  </si>
  <si>
    <t xml:space="preserve">XL מגן קרסול לבן</t>
  </si>
  <si>
    <t xml:space="preserve">XXL מגן קרסול לבן</t>
  </si>
  <si>
    <t xml:space="preserve">S מגן קרסול חום</t>
  </si>
  <si>
    <t xml:space="preserve">L מגן קרסול חום</t>
  </si>
  <si>
    <t xml:space="preserve">M מגן קרסול חום</t>
  </si>
  <si>
    <t xml:space="preserve">XL מגן קרסול חום</t>
  </si>
  <si>
    <t xml:space="preserve">מדרס מטטרזלי לנעלי עקב</t>
  </si>
  <si>
    <t xml:space="preserve">מדבקה לשחרור לחץ 2 יח</t>
  </si>
  <si>
    <t xml:space="preserve">Lמפר.אצבע סיליק. ליבל.זוג</t>
  </si>
  <si>
    <t xml:space="preserve">XLמפריד אצבע סיליקון ליבלת</t>
  </si>
  <si>
    <t xml:space="preserve">בוהן סיליקון קשיח</t>
  </si>
  <si>
    <t xml:space="preserve">לחץ מיבלת2יח</t>
  </si>
  <si>
    <t xml:space="preserve">לחץ א.הבוניון</t>
  </si>
  <si>
    <t xml:space="preserve">סד לילה לבוהן</t>
  </si>
  <si>
    <t xml:space="preserve">Sמ.ברך מוצלב+ספירלות בצדדים</t>
  </si>
  <si>
    <t xml:space="preserve">Lמ.ברך מוצלב+ספירלות בצדדים</t>
  </si>
  <si>
    <t xml:space="preserve">Mמ.ברך מוצלב+ספירלות בצדדים</t>
  </si>
  <si>
    <t xml:space="preserve">XL.מ.ברך מוצלב+ספירלות בצד</t>
  </si>
  <si>
    <t xml:space="preserve">L מגן ברך מוצלב+מוט</t>
  </si>
  <si>
    <t xml:space="preserve">S מגן ברך מוצלב+מוט</t>
  </si>
  <si>
    <t xml:space="preserve">XL מגן ברך מוצלב+מוט</t>
  </si>
  <si>
    <t xml:space="preserve">Lמ.ברך+כרית סיל.סביב לפיקה</t>
  </si>
  <si>
    <t xml:space="preserve">Mמ.ברך+כרית סיל.סביב לפיקה</t>
  </si>
  <si>
    <t xml:space="preserve">Sמ.ברך+כרית סיל.סביב לפיקה</t>
  </si>
  <si>
    <t xml:space="preserve">XLמ.ברך+כרית סיל.סביב לפיק</t>
  </si>
  <si>
    <t xml:space="preserve">XXLמ.ברך+כרית סיל.סב. פיקה</t>
  </si>
  <si>
    <t xml:space="preserve">L מגן ברך לבן</t>
  </si>
  <si>
    <t xml:space="preserve">M מגן ברך לבן</t>
  </si>
  <si>
    <t xml:space="preserve">S מגן ברך לבן</t>
  </si>
  <si>
    <t xml:space="preserve">XL מגן ברך לבן</t>
  </si>
  <si>
    <t xml:space="preserve">XXL מגן ברך לבן</t>
  </si>
  <si>
    <t xml:space="preserve">S מגן ברך חום</t>
  </si>
  <si>
    <t xml:space="preserve">L מגן ברך חום</t>
  </si>
  <si>
    <t xml:space="preserve">M מגן ברך חום</t>
  </si>
  <si>
    <t xml:space="preserve">XL מגן ברך חום</t>
  </si>
  <si>
    <t xml:space="preserve">Sמגן ברך ארוך לבן</t>
  </si>
  <si>
    <t xml:space="preserve">L        מגן ברך ארוך לבן</t>
  </si>
  <si>
    <t xml:space="preserve">Mמגן ברך ארוך לבן</t>
  </si>
  <si>
    <t xml:space="preserve">XLמגן ברך ארוך לבן</t>
  </si>
  <si>
    <t xml:space="preserve">XXLמגן ברך ארוך לבן</t>
  </si>
  <si>
    <t xml:space="preserve">S מגן ברך מחמם</t>
  </si>
  <si>
    <t xml:space="preserve">L מגן ברך מחמם</t>
  </si>
  <si>
    <t xml:space="preserve">M מגן ברך מחמם</t>
  </si>
  <si>
    <t xml:space="preserve">XL מגן ברך מחמם</t>
  </si>
  <si>
    <t xml:space="preserve">XXL מגן ברך מחמם</t>
  </si>
  <si>
    <t xml:space="preserve">S מגן ירך</t>
  </si>
  <si>
    <t xml:space="preserve">L מגן ירך</t>
  </si>
  <si>
    <t xml:space="preserve">M מגן ירך</t>
  </si>
  <si>
    <t xml:space="preserve">XL מגן ירך</t>
  </si>
  <si>
    <t xml:space="preserve">XXL מגן ירך</t>
  </si>
  <si>
    <t xml:space="preserve">L מתלה אשכים לאחר ניתוח</t>
  </si>
  <si>
    <t xml:space="preserve">M מתלה אשכים לאחר ניתוח</t>
  </si>
  <si>
    <t xml:space="preserve">XL מתלה אשכים לאחר ניתוח</t>
  </si>
  <si>
    <t xml:space="preserve">XXL מתלה אשכים לאחר ניתוח</t>
  </si>
  <si>
    <t xml:space="preserve">L מתלה אשכים לספורטאים</t>
  </si>
  <si>
    <t xml:space="preserve">M מתלה אשכים לספורטאים</t>
  </si>
  <si>
    <t xml:space="preserve">Sמיישר כתף יציב יישור גב צר</t>
  </si>
  <si>
    <t xml:space="preserve">Lמיישר כתף יציב יישור גב צר</t>
  </si>
  <si>
    <t xml:space="preserve">Mמיישר כתף יציב יישור גב צר</t>
  </si>
  <si>
    <t xml:space="preserve">XLמיישר כתף יציב יישור ג.צר</t>
  </si>
  <si>
    <t xml:space="preserve">XXL מיישר כתף יציב ישור צר</t>
  </si>
  <si>
    <t xml:space="preserve">Sמיישר כתף יציב יישור ג.רחב</t>
  </si>
  <si>
    <t xml:space="preserve">Lמיישר כתף יציב יישור רחב</t>
  </si>
  <si>
    <t xml:space="preserve">Mמיישר כתף יציב,יישור רחב</t>
  </si>
  <si>
    <t xml:space="preserve">XLמיישר כתף יציב יישור רחב</t>
  </si>
  <si>
    <t xml:space="preserve">L (מתלה ליד )כיס</t>
  </si>
  <si>
    <t xml:space="preserve">M (מתלה ליד )כיס</t>
  </si>
  <si>
    <t xml:space="preserve">S (מתלה ליד )כיס</t>
  </si>
  <si>
    <t xml:space="preserve">XL (מתלה ליד )כיס</t>
  </si>
  <si>
    <t xml:space="preserve">L מגן מרפק רגיל לבן</t>
  </si>
  <si>
    <t xml:space="preserve">M מגן מרפק רגיל לבן</t>
  </si>
  <si>
    <t xml:space="preserve">S מגן מרפק רגיל לבן</t>
  </si>
  <si>
    <t xml:space="preserve">XL מגן מרפק רגיל לבן</t>
  </si>
  <si>
    <t xml:space="preserve">XS מגן מרפק רגיל לבן</t>
  </si>
  <si>
    <t xml:space="preserve">XXL מגן מרפק רגיל לבן</t>
  </si>
  <si>
    <t xml:space="preserve">אמבט לכף הרגל</t>
  </si>
  <si>
    <t xml:space="preserve">להסרת עור קשה</t>
  </si>
  <si>
    <t xml:space="preserve">מדרס אורטופ.מתכוון35-36</t>
  </si>
  <si>
    <t xml:space="preserve">מדרס אורטופ.מתכוון37-38</t>
  </si>
  <si>
    <t xml:space="preserve">מדרס אורטופ.מתכוון39-40</t>
  </si>
  <si>
    <t xml:space="preserve">מדרס אורטופ.מתכוון41-42</t>
  </si>
  <si>
    <t xml:space="preserve">מדרס אורטופ.מתכוון43-44</t>
  </si>
  <si>
    <t xml:space="preserve">מדרס אורטופ.מתכוון45-46</t>
  </si>
  <si>
    <t xml:space="preserve">S מגן קרסול עקב סגור+רצוע</t>
  </si>
  <si>
    <t xml:space="preserve">M מגן קרסול עקב סגור+רצוע</t>
  </si>
  <si>
    <t xml:space="preserve">L מגן קרסול עקב סגור+רצוע</t>
  </si>
  <si>
    <t xml:space="preserve">מגן קרסול עקב סגור+רצוע</t>
  </si>
  <si>
    <t xml:space="preserve">S תתמתלה ליד רצועה</t>
  </si>
  <si>
    <t xml:space="preserve">M תתמתלה ליד רצועה</t>
  </si>
  <si>
    <t xml:space="preserve">S מיצב פיקה</t>
  </si>
  <si>
    <t xml:space="preserve">M מיצב פיקה</t>
  </si>
  <si>
    <t xml:space="preserve">L מיצב פיקה</t>
  </si>
  <si>
    <t xml:space="preserve">XL מיצב פיקה</t>
  </si>
  <si>
    <t xml:space="preserve">XXL מיצב פיקה</t>
  </si>
  <si>
    <t xml:space="preserve">Sמתלה ליד)כיס(+רצועת חיזוק</t>
  </si>
  <si>
    <t xml:space="preserve">Mמתלה ליד)כיס(+רצועת חיזוק</t>
  </si>
  <si>
    <t xml:space="preserve">Lמתלה ליד)כיס(+רצועת חיזוק</t>
  </si>
  <si>
    <t xml:space="preserve">XLמתלה ליד)כיס(רצועת חיזוק</t>
  </si>
  <si>
    <t xml:space="preserve">XL מגן שוק</t>
  </si>
  <si>
    <t xml:space="preserve">M מגן שוק</t>
  </si>
  <si>
    <t xml:space="preserve">S מגן שוק</t>
  </si>
  <si>
    <t xml:space="preserve">L מגן שוק</t>
  </si>
  <si>
    <t xml:space="preserve">S מגן ברך רגיל</t>
  </si>
  <si>
    <t xml:space="preserve">45 M מגן ברך רגיל</t>
  </si>
  <si>
    <t xml:space="preserve">45 L מגן ברך רגיל</t>
  </si>
  <si>
    <t xml:space="preserve">45XL מגן ברך רגיל</t>
  </si>
  <si>
    <t xml:space="preserve">S מקבע כתף ויד</t>
  </si>
  <si>
    <t xml:space="preserve">M מקבע כתף ויד</t>
  </si>
  <si>
    <t xml:space="preserve">L מקבע כתף ויד</t>
  </si>
  <si>
    <t xml:space="preserve">XL מקבע כתף ויד</t>
  </si>
  <si>
    <t xml:space="preserve">XXL מקבע כתף ויד</t>
  </si>
  <si>
    <t xml:space="preserve">S מגן מרפק רגיל</t>
  </si>
  <si>
    <t xml:space="preserve">L מגן מרפק רגיל</t>
  </si>
  <si>
    <t xml:space="preserve">Mמגן קרסול+ צמדן</t>
  </si>
  <si>
    <t xml:space="preserve">Lמגן קרסול+ צמדן</t>
  </si>
  <si>
    <t xml:space="preserve">XLמגן קרסול+ צמדן</t>
  </si>
  <si>
    <t xml:space="preserve">XL מגן ברך רגיל</t>
  </si>
  <si>
    <t xml:space="preserve">M מגן ברך רגיל</t>
  </si>
  <si>
    <t xml:space="preserve">L מגן ברך רגיל</t>
  </si>
  <si>
    <t xml:space="preserve">XXL מישר כתפיים רחב</t>
  </si>
  <si>
    <t xml:space="preserve">L-מדרס סיליקון לנעלי עקב</t>
  </si>
  <si>
    <t xml:space="preserve">M-מדרס סיליקון לנעלי עקב</t>
  </si>
  <si>
    <t xml:space="preserve">S-מדרס סיליקון לנעלי עקב</t>
  </si>
  <si>
    <t xml:space="preserve">L מגן ברך ארוך עם כרית</t>
  </si>
  <si>
    <t xml:space="preserve">S מגן ברך ארוך עם כרית</t>
  </si>
  <si>
    <t xml:space="preserve">XL מגן ברך ארוך עם כרית</t>
  </si>
  <si>
    <t xml:space="preserve">XXL מגן ברך ארוך עם כרית</t>
  </si>
  <si>
    <t xml:space="preserve">XXXL מגן ברך ארוך עם כרית</t>
  </si>
  <si>
    <t xml:space="preserve">מדרס מתכוונן47-48</t>
  </si>
  <si>
    <t xml:space="preserve">XXL מגן ברך רגיל</t>
  </si>
  <si>
    <t xml:space="preserve">מ.קרסול+עכב סגור+רצועות</t>
  </si>
  <si>
    <t xml:space="preserve">3667 מגן בוניון</t>
  </si>
  <si>
    <t xml:space="preserve">XS מגן קרסול לבן</t>
  </si>
  <si>
    <t xml:space="preserve">מגן קרסול נושם</t>
  </si>
  <si>
    <t xml:space="preserve">מגן ברך + צירים</t>
  </si>
  <si>
    <t xml:space="preserve">מגן ברך עם תמיכות</t>
  </si>
  <si>
    <t xml:space="preserve">מגן ירך</t>
  </si>
  <si>
    <t xml:space="preserve">מגן מרפק</t>
  </si>
  <si>
    <t xml:space="preserve">XS מגן ברך רגיל לבן</t>
  </si>
  <si>
    <t xml:space="preserve">מפריד הלוקס</t>
  </si>
  <si>
    <t xml:space="preserve">L מ.ברך אפור+כרית סיליקון</t>
  </si>
  <si>
    <t xml:space="preserve">M מ.ברך אפור+כרית סיליקון</t>
  </si>
  <si>
    <t xml:space="preserve">XLמ.ברך אפור+כרית סיליקון</t>
  </si>
  <si>
    <t xml:space="preserve">XXL.מ.ברך אפור+כרית סיליק</t>
  </si>
  <si>
    <t xml:space="preserve">לציפורן חודרנית</t>
  </si>
  <si>
    <t xml:space="preserve">L סד ליד דו צדדי לאחר שבר</t>
  </si>
  <si>
    <t xml:space="preserve">M סד ליד דו צדדי לאחר שבר</t>
  </si>
  <si>
    <t xml:space="preserve">S סד ליד דו צדדי לאחר שבר</t>
  </si>
  <si>
    <t xml:space="preserve">XL סד ליד דו צדדי לאחר שבר</t>
  </si>
  <si>
    <t xml:space="preserve">XXL סד ליד דו צדדי לאחר שבר</t>
  </si>
  <si>
    <t xml:space="preserve">L סד לאגודל לאחר שבר</t>
  </si>
  <si>
    <t xml:space="preserve">M סד לאגודל לאחר שבר</t>
  </si>
  <si>
    <t xml:space="preserve">S סד לאגודל לאחר שבר</t>
  </si>
  <si>
    <t xml:space="preserve">XL סד לאגודל לאחר שבר</t>
  </si>
  <si>
    <t xml:space="preserve">M  סד קרסול+מוטות אלומיניום</t>
  </si>
  <si>
    <t xml:space="preserve">סד לקרסול עם כריות אויר</t>
  </si>
  <si>
    <t xml:space="preserve">סד לאגודל לאחר שבר</t>
  </si>
  <si>
    <t xml:space="preserve">סד לש.כף יד שמאל</t>
  </si>
  <si>
    <t xml:space="preserve">סד לש.כף יד ימין</t>
  </si>
  <si>
    <t xml:space="preserve">סד לאגודל</t>
  </si>
  <si>
    <t xml:space="preserve">S סד לאגודל כפפה</t>
  </si>
  <si>
    <t xml:space="preserve">XL סד לאגודל כפפה</t>
  </si>
  <si>
    <t xml:space="preserve">L סד לאגודל כפפה</t>
  </si>
  <si>
    <t xml:space="preserve">M סד לאגודל כפפה</t>
  </si>
  <si>
    <t xml:space="preserve">S-M סד לאגודל</t>
  </si>
  <si>
    <t xml:space="preserve">L-XL סד לאגודל</t>
  </si>
  <si>
    <t xml:space="preserve">סכינים למקצוע</t>
  </si>
  <si>
    <t xml:space="preserve">M  סד לקרסול</t>
  </si>
  <si>
    <t xml:space="preserve">L  סד לקרסול</t>
  </si>
  <si>
    <t xml:space="preserve">M סד ליד שמאל</t>
  </si>
  <si>
    <t xml:space="preserve">L סד ליד שמאל</t>
  </si>
  <si>
    <t xml:space="preserve">XXL סד לקרסול</t>
  </si>
  <si>
    <t xml:space="preserve">XS סד ליד דו צדדי לאחר שבר</t>
  </si>
  <si>
    <t xml:space="preserve">L עקבים לדורבן-זוג כריות</t>
  </si>
  <si>
    <t xml:space="preserve">M עקבים לדורבן-זוג כריות</t>
  </si>
  <si>
    <t xml:space="preserve">S עקבים לדורבן-זוג כריות</t>
  </si>
  <si>
    <t xml:space="preserve">Lעקבים סיליקון כחול לדורבן</t>
  </si>
  <si>
    <t xml:space="preserve">Mעקבים סיליק.כחול לדורבן</t>
  </si>
  <si>
    <t xml:space="preserve">Sעקבים סיליק.כחול לדורבן</t>
  </si>
  <si>
    <t xml:space="preserve">S תתמוקפאעקב סיליקון+ קשת</t>
  </si>
  <si>
    <t xml:space="preserve">מאבן להסר.עור</t>
  </si>
  <si>
    <t xml:space="preserve">L צוארון ספוגי</t>
  </si>
  <si>
    <t xml:space="preserve">M צוארון ספוגי</t>
  </si>
  <si>
    <t xml:space="preserve">S צוארון ספוגי</t>
  </si>
  <si>
    <t xml:space="preserve">XL צוארון ספוגי</t>
  </si>
  <si>
    <t xml:space="preserve">XXL צוארון ספוגי</t>
  </si>
  <si>
    <t xml:space="preserve">M צוארון פלסטי מתכוון</t>
  </si>
  <si>
    <t xml:space="preserve">צוארון ספוגי</t>
  </si>
  <si>
    <t xml:space="preserve">דאודורנט לכף הרגל</t>
  </si>
  <si>
    <t xml:space="preserve">הגנה לכף הרגל</t>
  </si>
  <si>
    <t xml:space="preserve">מירוק גרגרי פילינג</t>
  </si>
  <si>
    <t xml:space="preserve">ציפורניים</t>
  </si>
  <si>
    <t xml:space="preserve">קרם רגליים שיקומי</t>
  </si>
  <si>
    <t xml:space="preserve">רפידת נוחות-זוג</t>
  </si>
  <si>
    <t xml:space="preserve">רפידת מגבת כותנה-זוג</t>
  </si>
  <si>
    <t xml:space="preserve">רפידת אנטי ריח -זוג</t>
  </si>
  <si>
    <t xml:space="preserve">רפידת בולמת זעזועים -זוג</t>
  </si>
  <si>
    <t xml:space="preserve">רפ.אורטופדית ספורט זוג35</t>
  </si>
  <si>
    <t xml:space="preserve">רפ.אורטופדית ספורט זוג36</t>
  </si>
  <si>
    <t xml:space="preserve">רפ.אורטופדית ספורט זוג37</t>
  </si>
  <si>
    <t xml:space="preserve">רפ.ורטופדית ספורט זוג38</t>
  </si>
  <si>
    <t xml:space="preserve">רפ.אורטופדית ספורט זוג39</t>
  </si>
  <si>
    <t xml:space="preserve">רפידה אורטופ.ספורט זוג41</t>
  </si>
  <si>
    <t xml:space="preserve">רפידה אורטופ.ספורט זוג42</t>
  </si>
  <si>
    <t xml:space="preserve">רפידה אורט.ספורט זוג43</t>
  </si>
  <si>
    <t xml:space="preserve">רפידה אורט.ספורט זוג44</t>
  </si>
  <si>
    <t xml:space="preserve">רפ.אורטופדית ספורט זוג45</t>
  </si>
  <si>
    <t xml:space="preserve">רפ.אורטופדית ספורט זוג46</t>
  </si>
  <si>
    <t xml:space="preserve">פיקה לברך</t>
  </si>
  <si>
    <t xml:space="preserve">רצועת ""פיקה""+כרית</t>
  </si>
  <si>
    <t xml:space="preserve">רצועת טניס אלבו עם פלסטיק</t>
  </si>
  <si>
    <t xml:space="preserve">L-XL רצועת טניס אלבו</t>
  </si>
  <si>
    <t xml:space="preserve">S-M רצועת טניס אלבו</t>
  </si>
  <si>
    <t xml:space="preserve">רצועת פיקה לברך</t>
  </si>
  <si>
    <t xml:space="preserve">ריפוד סיליקון לעקב אחורי</t>
  </si>
  <si>
    <t xml:space="preserve">ריפוד סיליקון לנעלי אצבע</t>
  </si>
  <si>
    <t xml:space="preserve">סיליק.לכרית כף הרגל373</t>
  </si>
  <si>
    <t xml:space="preserve">ריפוד סיליק.לעקב תחתון</t>
  </si>
  <si>
    <t xml:space="preserve">שרוול מסיליקון לאצבע</t>
  </si>
  <si>
    <t xml:space="preserve">שרוול מטטרזלי מסיליקון</t>
  </si>
  <si>
    <t xml:space="preserve">תחבושת אלסטית מקררת</t>
  </si>
  <si>
    <t xml:space="preserve">120 תתתרסיס מרענן לרגל</t>
  </si>
  <si>
    <t xml:space="preserve">S תומך זרוע וכתף</t>
  </si>
  <si>
    <t xml:space="preserve">M תומך זרוע וכתף</t>
  </si>
  <si>
    <t xml:space="preserve">L תומך זרוע וכתף</t>
  </si>
  <si>
    <t xml:space="preserve">XLתומך זרוע וכתף</t>
  </si>
  <si>
    <t xml:space="preserve">XXL תומך זרוע וכתף</t>
  </si>
  <si>
    <t xml:space="preserve">סד ליד דו צדדי</t>
  </si>
  <si>
    <t xml:space="preserve">35-38 גרבי טיסה מידה</t>
  </si>
  <si>
    <t xml:space="preserve">39-42 גרבי טיסה מידה</t>
  </si>
  <si>
    <t xml:space="preserve">43-46 גרבי טיסה מידה</t>
  </si>
  <si>
    <t xml:space="preserve">רצועה לפיקת הברך</t>
  </si>
  <si>
    <t xml:space="preserve">חגורת גב אפורה</t>
  </si>
  <si>
    <t xml:space="preserve">גב אפורה</t>
  </si>
  <si>
    <t xml:space="preserve">11 אפורUGחגורת בטן</t>
  </si>
  <si>
    <t xml:space="preserve">11 אפורUG חגורת בטן</t>
  </si>
  <si>
    <t xml:space="preserve">11אפורUGחגורת בטן</t>
  </si>
  <si>
    <t xml:space="preserve">מגן קרסול+כרית סילקון</t>
  </si>
  <si>
    <t xml:space="preserve">קרסול+כרית סילקון</t>
  </si>
  <si>
    <t xml:space="preserve">L-XL חגורת הריון</t>
  </si>
  <si>
    <t xml:space="preserve">S-M חגורת הריון</t>
  </si>
  <si>
    <t xml:space="preserve">XXL חגורת הריון</t>
  </si>
  <si>
    <t xml:space="preserve">L'חגורת גב+סגירה כפו בז</t>
  </si>
  <si>
    <t xml:space="preserve">M'חגורת גב+סגירה כפו בז</t>
  </si>
  <si>
    <t xml:space="preserve">S'חגורת גב+סגירה כפו בז</t>
  </si>
  <si>
    <t xml:space="preserve">XLתתחגורת גב+סגירה כפו בז</t>
  </si>
  <si>
    <t xml:space="preserve">XXL חגורת גב עם חיזוקים</t>
  </si>
  <si>
    <t xml:space="preserve">טייפ חבישה לספורט</t>
  </si>
  <si>
    <t xml:space="preserve">טייפ קינזיולוגי</t>
  </si>
  <si>
    <t xml:space="preserve">XL כרית סיליקון לעקב</t>
  </si>
  <si>
    <t xml:space="preserve">מדרס ג'ל לגבר</t>
  </si>
  <si>
    <t xml:space="preserve">M 'מגן מרפק בז</t>
  </si>
  <si>
    <t xml:space="preserve">L 'מגן מרפק בז</t>
  </si>
  <si>
    <t xml:space="preserve">S 'מגן מרפק בז</t>
  </si>
  <si>
    <t xml:space="preserve">XL'מגן מרפק בז</t>
  </si>
  <si>
    <t xml:space="preserve">XS'מגן מרפק בז</t>
  </si>
  <si>
    <t xml:space="preserve">XXL'מגן מרפק בז</t>
  </si>
  <si>
    <t xml:space="preserve">0 מ.בוניון+מפריד אצבע</t>
  </si>
  <si>
    <t xml:space="preserve">מגן זרת מסיליקון</t>
  </si>
  <si>
    <t xml:space="preserve">W מדרס לאישה</t>
  </si>
  <si>
    <t xml:space="preserve">S 'מגן ברך ארוך בז</t>
  </si>
  <si>
    <t xml:space="preserve">M 'מגן ברך ארוך בז</t>
  </si>
  <si>
    <t xml:space="preserve">L 'מגן ברך ארוך בז</t>
  </si>
  <si>
    <t xml:space="preserve">XL'מגן ברך ארוך בז</t>
  </si>
  <si>
    <t xml:space="preserve">XXL'מגן ברך ארוך בז</t>
  </si>
  <si>
    <t xml:space="preserve">XS מגן יד</t>
  </si>
  <si>
    <t xml:space="preserve">L מגן למפרק כתף</t>
  </si>
  <si>
    <t xml:space="preserve">סד ליישור אצבע</t>
  </si>
  <si>
    <t xml:space="preserve">סט פלסטרים נגד שפשופים</t>
  </si>
  <si>
    <t xml:space="preserve">0 רפידת לילדים אנטי ריח</t>
  </si>
  <si>
    <t xml:space="preserve">רפידת ספורט 376 מידה</t>
  </si>
  <si>
    <t xml:space="preserve">שרוול מגן לבוניון</t>
  </si>
  <si>
    <t xml:space="preserve">תחבושת א.נצמ</t>
  </si>
  <si>
    <t xml:space="preserve">S חבק יד</t>
  </si>
  <si>
    <t xml:space="preserve">M חבק יד</t>
  </si>
  <si>
    <t xml:space="preserve">L חבק יד</t>
  </si>
  <si>
    <t xml:space="preserve">XL חבק יד</t>
  </si>
  <si>
    <t xml:space="preserve">S מגן מרפק</t>
  </si>
  <si>
    <t xml:space="preserve">M מגן מרפק</t>
  </si>
  <si>
    <t xml:space="preserve">L מגן מרפק</t>
  </si>
  <si>
    <t xml:space="preserve">XLמגן מרפק</t>
  </si>
  <si>
    <t xml:space="preserve">XXLמגן שוק</t>
  </si>
  <si>
    <t xml:space="preserve">S מגן קרסול שמאל</t>
  </si>
  <si>
    <t xml:space="preserve">M מגן קרסול שמאל</t>
  </si>
  <si>
    <t xml:space="preserve">L מגן קרסול שמאל</t>
  </si>
  <si>
    <t xml:space="preserve">XL מגן קרסול שמאל</t>
  </si>
  <si>
    <t xml:space="preserve">S מגן קרסול ימין</t>
  </si>
  <si>
    <t xml:space="preserve">M מגן קרסול ימין</t>
  </si>
  <si>
    <t xml:space="preserve">L מגן קרסול ימין</t>
  </si>
  <si>
    <t xml:space="preserve">XLמגן קרסול ימין</t>
  </si>
  <si>
    <t xml:space="preserve">קרסול עם שרוכים בז</t>
  </si>
  <si>
    <t xml:space="preserve">S מגן ברך</t>
  </si>
  <si>
    <t xml:space="preserve">M מגן ברך</t>
  </si>
  <si>
    <t xml:space="preserve">L מגן ברך</t>
  </si>
  <si>
    <t xml:space="preserve">XL מגן ברך</t>
  </si>
  <si>
    <t xml:space="preserve">XXLמגן ברך</t>
  </si>
  <si>
    <t xml:space="preserve">XXL מגן למפרק כתף</t>
  </si>
  <si>
    <t xml:space="preserve">L-XL 'סד יד שמאל בז</t>
  </si>
  <si>
    <t xml:space="preserve">S-M'סד יד שמאל בז</t>
  </si>
  <si>
    <t xml:space="preserve">L-XL 'סד יד ימין בז</t>
  </si>
  <si>
    <t xml:space="preserve">S-M 'סד יד ימין בז</t>
  </si>
  <si>
    <t xml:space="preserve">L-XLסד יד שמאל שחור</t>
  </si>
  <si>
    <t xml:space="preserve">S-M סד יד שמאל שחור</t>
  </si>
  <si>
    <t xml:space="preserve">L-XLסד יד ימין שחור</t>
  </si>
  <si>
    <t xml:space="preserve">S-M סד יד ימין שחור</t>
  </si>
  <si>
    <t xml:space="preserve">CARE  תחבושת אלסטית 5 ס""מ</t>
  </si>
  <si>
    <t xml:space="preserve">CARE KT BLACK</t>
  </si>
  <si>
    <t xml:space="preserve">CARE KT BLUE</t>
  </si>
  <si>
    <t xml:space="preserve">כפפות לחץ</t>
  </si>
  <si>
    <t xml:space="preserve">כפפות אגודל לחץ</t>
  </si>
  <si>
    <t xml:space="preserve">M מדרס ג'ל ספורט לגבר</t>
  </si>
  <si>
    <t xml:space="preserve">Wמדרס ג'ל ספורט לאישה</t>
  </si>
  <si>
    <t xml:space="preserve">מיישר בוניון-האלוקס ולגוס</t>
  </si>
  <si>
    <t xml:space="preserve">מישר כתפיים אקטיב</t>
  </si>
  <si>
    <t xml:space="preserve">מתלה ליד לילדים</t>
  </si>
  <si>
    <t xml:space="preserve">XXL  מיישר כתפיים אקטיב</t>
  </si>
  <si>
    <t xml:space="preserve">מסכה אלה</t>
  </si>
  <si>
    <t xml:space="preserve">L מגן קרסול שחור</t>
  </si>
  <si>
    <t xml:space="preserve">XL מגן קרסול שחור</t>
  </si>
  <si>
    <t xml:space="preserve">M מגן קרסול שחור</t>
  </si>
  <si>
    <t xml:space="preserve">S מגן קרסול שחור</t>
  </si>
  <si>
    <t xml:space="preserve">XXL מגן קרסול שחור</t>
  </si>
  <si>
    <t xml:space="preserve">L מגן ברך שחור</t>
  </si>
  <si>
    <t xml:space="preserve">XL מגן ברך שחור</t>
  </si>
  <si>
    <t xml:space="preserve">M מגן ברך שחור</t>
  </si>
  <si>
    <t xml:space="preserve">S מגן ברך שחור</t>
  </si>
  <si>
    <t xml:space="preserve">XXLמגן ברך שחור</t>
  </si>
  <si>
    <t xml:space="preserve">L מגן מרפק שחור</t>
  </si>
  <si>
    <t xml:space="preserve">M מגן מרפק שחור</t>
  </si>
  <si>
    <t xml:space="preserve">S מגן מרפק שחור</t>
  </si>
  <si>
    <t xml:space="preserve">XL מגן מרפק שחור</t>
  </si>
  <si>
    <t xml:space="preserve">XXLמגן מרפק שחור</t>
  </si>
  <si>
    <t xml:space="preserve">קיבוע לאצבע הדק</t>
  </si>
  <si>
    <t xml:space="preserve">HV רצועה אלסטית</t>
  </si>
  <si>
    <t xml:space="preserve">36-40 'רפידת ג'ל בז</t>
  </si>
  <si>
    <t xml:space="preserve">41-45 'רפידת ג'ל בז</t>
  </si>
  <si>
    <t xml:space="preserve">רפידת ג'ל כחול36-40</t>
  </si>
  <si>
    <t xml:space="preserve">לגבס קצר יד</t>
  </si>
  <si>
    <t xml:space="preserve">לגבס ארוך יד</t>
  </si>
  <si>
    <t xml:space="preserve">לגבס קצר רגל</t>
  </si>
  <si>
    <t xml:space="preserve">לגבס ארוך רגל</t>
  </si>
  <si>
    <t xml:space="preserve">נצמדת בז' 20 מ""מ</t>
  </si>
  <si>
    <t xml:space="preserve">נצמדת שחור 20 מ""מ</t>
  </si>
  <si>
    <t xml:space="preserve">נצמדת כחול20מ""מ</t>
  </si>
  <si>
    <t xml:space="preserve">תחבושת נצמדת ורוד 20ממ</t>
  </si>
  <si>
    <t xml:space="preserve">S-Mגרב לילה לטיפ.בדורבן</t>
  </si>
  <si>
    <t xml:space="preserve">M חגורה אחרי ניתוח</t>
  </si>
  <si>
    <t xml:space="preserve">3/4לכאבי דורבן וספורט</t>
  </si>
  <si>
    <t xml:space="preserve">L מתלה רשת לזרוע שחור</t>
  </si>
  <si>
    <t xml:space="preserve">M מתלה רשת לזרוע שחור</t>
  </si>
  <si>
    <t xml:space="preserve">XL מתלה רשת לזרוע שחור</t>
  </si>
  <si>
    <t xml:space="preserve">S מתלה רשת לזרוע שחור</t>
  </si>
  <si>
    <t xml:space="preserve">S-M STRAP4U</t>
  </si>
  <si>
    <t xml:space="preserve">L-XL STRAP4U</t>
  </si>
  <si>
    <t xml:space="preserve">דאודורנט אנטיבק.נעל333</t>
  </si>
  <si>
    <t xml:space="preserve">גרבי ג'ל לריכוך עור העקב</t>
  </si>
  <si>
    <t xml:space="preserve">חבק יד אגודלי</t>
  </si>
  <si>
    <t xml:space="preserve">חבק טניס אלבו</t>
  </si>
  <si>
    <t xml:space="preserve">אפיק ג'ל מולט.ספורט35-38</t>
  </si>
  <si>
    <t xml:space="preserve">אפיק ג'ל מולטי ספור39-42</t>
  </si>
  <si>
    <t xml:space="preserve">אפיק ג'ל מולט.ספורט43-47</t>
  </si>
  <si>
    <t xml:space="preserve">מדרסי אפיק ג'ל נוחות</t>
  </si>
  <si>
    <t xml:space="preserve">מדרסי אפיק ג'ל עבודה</t>
  </si>
  <si>
    <t xml:space="preserve">XXL מגן קרסול חום</t>
  </si>
  <si>
    <t xml:space="preserve">L סד לילה שחור לבוהן שמאל</t>
  </si>
  <si>
    <t xml:space="preserve">L סד לילה שחור לבוהן ימין</t>
  </si>
  <si>
    <t xml:space="preserve">תרסיס דאודורנט לכף הרגל</t>
  </si>
  <si>
    <t xml:space="preserve">1 תומך ברך גנושילד</t>
  </si>
  <si>
    <t xml:space="preserve">2 תומך ברך גנושילד</t>
  </si>
  <si>
    <t xml:space="preserve">3 תומך ברך גנושילד</t>
  </si>
  <si>
    <t xml:space="preserve">4 תומך ברך גנושילד</t>
  </si>
  <si>
    <t xml:space="preserve">5 תומך ברך גנושילד</t>
  </si>
  <si>
    <t xml:space="preserve">Quantity (units)</t>
  </si>
  <si>
    <t xml:space="preserve">L מגן מרפק+רצועה לטניס</t>
  </si>
  <si>
    <t xml:space="preserve">נתוני מקור גולמיים - 2026 - כל 18 עמודות הלקוח (מתוך דוח PPlay1 of uriel, Reporter), ללא שינוי לשורות/ערכים עצמם - רק עמודה A (ריקה) ועמודה C המקורית (תווית "Customers") הושמטו</t>
  </si>
  <si>
    <t xml:space="preserve">מגן ברך+כרית ג'ל</t>
  </si>
  <si>
    <t xml:space="preserve">XL ח.גב מגנטית+מוטות תמיכה</t>
  </si>
  <si>
    <t xml:space="preserve">S ח.הריון מכנס למניעת כאבים</t>
  </si>
  <si>
    <t xml:space="preserve">M ח.הריון מכנס למניעת כאבים</t>
  </si>
  <si>
    <t xml:space="preserve">S חגורת שבר לצד שמאל</t>
  </si>
  <si>
    <t xml:space="preserve">XLחגורת שבר לצד שמאל</t>
  </si>
  <si>
    <t xml:space="preserve">L-XLחגורת הריון בכאב.חזק</t>
  </si>
  <si>
    <t xml:space="preserve">M חגורת צלעות לאשה</t>
  </si>
  <si>
    <t xml:space="preserve">L חגורת צלעות לאשה</t>
  </si>
  <si>
    <t xml:space="preserve">M מגן ברך מוצלב+מוט</t>
  </si>
  <si>
    <t xml:space="preserve">S מתלה אשכים לאחר ניתוח</t>
  </si>
  <si>
    <t xml:space="preserve">XL מתלה אשכים לספורטאים</t>
  </si>
  <si>
    <t xml:space="preserve">L-XL מיצב כתפיים</t>
  </si>
  <si>
    <t xml:space="preserve">L מגן ברך לסקי</t>
  </si>
  <si>
    <t xml:space="preserve">ברך רגיל</t>
  </si>
  <si>
    <t xml:space="preserve">XL סד קרסול+מוטות אלומיניום</t>
  </si>
  <si>
    <t xml:space="preserve">XLסד ליד שמאל</t>
  </si>
  <si>
    <t xml:space="preserve">R-M סד ליד ימין</t>
  </si>
  <si>
    <t xml:space="preserve">רפ.אורטופדית ספורט זוג40</t>
  </si>
  <si>
    <t xml:space="preserve">מרפק+כרית סילקון</t>
  </si>
  <si>
    <t xml:space="preserve">S'תתחגורת בטן עממית בז</t>
  </si>
  <si>
    <t xml:space="preserve">099 חגורת גב שרוכים</t>
  </si>
  <si>
    <t xml:space="preserve">S מדרס ג'ל לנעלי עקב</t>
  </si>
  <si>
    <t xml:space="preserve">M מדרס ג'ל לנעלי עקב</t>
  </si>
  <si>
    <t xml:space="preserve">L מדרס ג'ל לנעלי עקב</t>
  </si>
  <si>
    <t xml:space="preserve">לילה לטיפ.בדורבן</t>
  </si>
  <si>
    <t xml:space="preserve">S חגורה אחרי ניתוח</t>
  </si>
  <si>
    <t xml:space="preserve">L חגורה אחרי ניתוח</t>
  </si>
  <si>
    <t xml:space="preserve">XL  חגורה אחרי ניתוח</t>
  </si>
  <si>
    <t xml:space="preserve">XXL חגורה אחרי ניתוח</t>
  </si>
  <si>
    <t xml:space="preserve">טיסה אנטי בקטרי35-38</t>
  </si>
  <si>
    <t xml:space="preserve">טיסה אנטי בקטרי39-42</t>
  </si>
  <si>
    <t xml:space="preserve">טיסה אנטי בקטרי43-46</t>
  </si>
  <si>
    <t xml:space="preserve">גרבי קיץ אנטי בקטריא39-42</t>
  </si>
  <si>
    <t xml:space="preserve">גרבי קיץ אנטי בקטריא43-46</t>
  </si>
  <si>
    <t xml:space="preserve">חבק שורש לכף היד</t>
  </si>
  <si>
    <t xml:space="preserve">חבק יד</t>
  </si>
  <si>
    <t xml:space="preserve">חבק לקרסול</t>
  </si>
  <si>
    <t xml:space="preserve">חגורת בטן</t>
  </si>
  <si>
    <t xml:space="preserve">XS חגורת פאבליק</t>
  </si>
  <si>
    <t xml:space="preserve">S חגורת פאבליק</t>
  </si>
  <si>
    <t xml:space="preserve">M חגורת פאבליק</t>
  </si>
  <si>
    <t xml:space="preserve">L חגורת פאבליק</t>
  </si>
  <si>
    <t xml:space="preserve">ONE SIZE חבק יד</t>
  </si>
  <si>
    <t xml:space="preserve">L שמאל CTS כפפות</t>
  </si>
  <si>
    <t xml:space="preserve">M שמאל CTS כפפות</t>
  </si>
  <si>
    <t xml:space="preserve">S שמאל CTS כפפות</t>
  </si>
  <si>
    <t xml:space="preserve">L ימין CTS כפפות</t>
  </si>
  <si>
    <t xml:space="preserve">M ימין CTS כפפות</t>
  </si>
  <si>
    <t xml:space="preserve">S ימין CTS כפפות</t>
  </si>
  <si>
    <t xml:space="preserve">מגן מרפק לטניס</t>
  </si>
  <si>
    <t xml:space="preserve">H מגן ברך עם ציר</t>
  </si>
  <si>
    <t xml:space="preserve">מקבע קרסול</t>
  </si>
  <si>
    <t xml:space="preserve">סד אגודלי עם מוט תמיכה</t>
  </si>
  <si>
    <t xml:space="preserve">רצועה לפיקה</t>
  </si>
  <si>
    <t xml:space="preserve">6 תומך ברך גנושילד</t>
  </si>
  <si>
    <t xml:space="preserve">M מגן מרפק+רצועה לטניס</t>
  </si>
  <si>
    <t xml:space="preserve">XLסד ליד ימין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</si>
</sst>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#,##0"/>
    <numFmt numFmtId="167" formatCode="0.0%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0B4"/>
        <bgColor rgb="FFD9E1F2"/>
      </patternFill>
    </fill>
    <fill>
      <patternFill patternType="solid">
        <fgColor rgb="FFD9E1F2"/>
        <bgColor rgb="FFC6E0B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39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15" hidden="false" customHeight="false" outlineLevel="0" collapsed="false">
      <c r="A6" s="6" t="s">
        <v>12</v>
      </c>
      <c r="B6" s="7" t="s">
        <v>12</v>
      </c>
      <c r="C6" s="7" t="n">
        <v>1</v>
      </c>
      <c r="D6" s="8" t="n">
        <f aca="false">'0בתי טבע'!C8</f>
        <v>0</v>
      </c>
      <c r="E6" s="8" t="n">
        <f aca="false">'0בתי טבע'!D8</f>
        <v>2</v>
      </c>
      <c r="F6" s="9" t="str">
        <f aca="false">'0בתי טבע'!F8</f>
        <v>N/A</v>
      </c>
      <c r="G6" s="10" t="n">
        <f aca="false">'0בתי טבע'!G8</f>
        <v>0</v>
      </c>
      <c r="H6" s="10" t="n">
        <f aca="false">'0בתי טבע'!H8</f>
        <v>120</v>
      </c>
      <c r="I6" s="9" t="str">
        <f aca="false">'0בתי טבע'!J8</f>
        <v>N/A</v>
      </c>
    </row>
    <row r="7" customFormat="false" ht="15" hidden="false" customHeight="false" outlineLevel="0" collapsed="false">
      <c r="A7" s="6" t="s">
        <v>13</v>
      </c>
      <c r="B7" s="7" t="s">
        <v>13</v>
      </c>
      <c r="C7" s="7" t="n">
        <v>0</v>
      </c>
      <c r="D7" s="8" t="n">
        <f aca="false">'0בתי טבע רשתות'!C7</f>
        <v>0</v>
      </c>
      <c r="E7" s="8" t="n">
        <f aca="false">'0בתי טבע רשתות'!D7</f>
        <v>0</v>
      </c>
      <c r="F7" s="9" t="n">
        <f aca="false">'0בתי טבע רשתות'!F7</f>
        <v>0</v>
      </c>
      <c r="G7" s="10" t="n">
        <f aca="false">'0בתי טבע רשתות'!G7</f>
        <v>0</v>
      </c>
      <c r="H7" s="10" t="n">
        <f aca="false">'0בתי טבע רשתות'!H7</f>
        <v>0</v>
      </c>
      <c r="I7" s="9" t="n">
        <f aca="false">'0בתי טבע רשתות'!J7</f>
        <v>0</v>
      </c>
    </row>
    <row r="8" customFormat="false" ht="15" hidden="false" customHeight="false" outlineLevel="0" collapsed="false">
      <c r="A8" s="6" t="s">
        <v>14</v>
      </c>
      <c r="B8" s="7" t="s">
        <v>14</v>
      </c>
      <c r="C8" s="7" t="n">
        <v>278</v>
      </c>
      <c r="D8" s="8" t="n">
        <f aca="false">'0בתי מרקחת'!C285</f>
        <v>53153</v>
      </c>
      <c r="E8" s="8" t="n">
        <f aca="false">'0בתי מרקחת'!D285</f>
        <v>32995</v>
      </c>
      <c r="F8" s="9" t="n">
        <f aca="false">'0בתי מרקחת'!F285</f>
        <v>-0.379244821552876</v>
      </c>
      <c r="G8" s="10" t="n">
        <f aca="false">'0בתי מרקחת'!G285</f>
        <v>1940731.5</v>
      </c>
      <c r="H8" s="10" t="n">
        <f aca="false">'0בתי מרקחת'!H285</f>
        <v>1283059.8</v>
      </c>
      <c r="I8" s="9" t="n">
        <f aca="false">'0בתי מרקחת'!J285</f>
        <v>-0.338878252864964</v>
      </c>
    </row>
    <row r="9" customFormat="false" ht="15" hidden="false" customHeight="false" outlineLevel="0" collapsed="false">
      <c r="A9" s="6" t="s">
        <v>15</v>
      </c>
      <c r="B9" s="7" t="s">
        <v>15</v>
      </c>
      <c r="C9" s="7" t="n">
        <v>0</v>
      </c>
      <c r="D9" s="8" t="n">
        <f aca="false">0כללי!C7</f>
        <v>0</v>
      </c>
      <c r="E9" s="8" t="n">
        <f aca="false">0כללי!D7</f>
        <v>0</v>
      </c>
      <c r="F9" s="9" t="n">
        <f aca="false">0כללי!F7</f>
        <v>0</v>
      </c>
      <c r="G9" s="10" t="n">
        <f aca="false">0כללי!G7</f>
        <v>0</v>
      </c>
      <c r="H9" s="10" t="n">
        <f aca="false">0כללי!H7</f>
        <v>0</v>
      </c>
      <c r="I9" s="9" t="n">
        <f aca="false">0כללי!J7</f>
        <v>0</v>
      </c>
    </row>
    <row r="10" customFormat="false" ht="15" hidden="false" customHeight="false" outlineLevel="0" collapsed="false">
      <c r="A10" s="6" t="s">
        <v>16</v>
      </c>
      <c r="B10" s="7" t="s">
        <v>16</v>
      </c>
      <c r="C10" s="7" t="n">
        <v>43</v>
      </c>
      <c r="D10" s="8" t="n">
        <f aca="false">'0מפיצי משנה'!C50</f>
        <v>374</v>
      </c>
      <c r="E10" s="8" t="n">
        <f aca="false">'0מפיצי משנה'!D50</f>
        <v>175</v>
      </c>
      <c r="F10" s="9" t="n">
        <f aca="false">'0מפיצי משנה'!F50</f>
        <v>-0.532085561497326</v>
      </c>
      <c r="G10" s="10" t="n">
        <f aca="false">'0מפיצי משנה'!G50</f>
        <v>9812.1</v>
      </c>
      <c r="H10" s="10" t="n">
        <f aca="false">'0מפיצי משנה'!H50</f>
        <v>4549.9</v>
      </c>
      <c r="I10" s="9" t="n">
        <f aca="false">'0מפיצי משנה'!J50</f>
        <v>-0.536297021025061</v>
      </c>
    </row>
    <row r="11" customFormat="false" ht="15" hidden="false" customHeight="false" outlineLevel="0" collapsed="false">
      <c r="A11" s="6" t="s">
        <v>17</v>
      </c>
      <c r="B11" s="7" t="s">
        <v>17</v>
      </c>
      <c r="C11" s="7" t="n">
        <v>255</v>
      </c>
      <c r="D11" s="8" t="n">
        <f aca="false">0פארמים!C262</f>
        <v>204428</v>
      </c>
      <c r="E11" s="8" t="n">
        <f aca="false">0פארמים!D262</f>
        <v>137851</v>
      </c>
      <c r="F11" s="9" t="n">
        <f aca="false">0פארמים!F262</f>
        <v>-0.325674565128065</v>
      </c>
      <c r="G11" s="10" t="n">
        <f aca="false">0פארמים!G262</f>
        <v>7597886.3</v>
      </c>
      <c r="H11" s="10" t="n">
        <f aca="false">0פארמים!H262</f>
        <v>5165969.3</v>
      </c>
      <c r="I11" s="9" t="n">
        <f aca="false">0פארמים!J262</f>
        <v>-0.320078098562754</v>
      </c>
    </row>
    <row r="12" customFormat="false" ht="15" hidden="false" customHeight="false" outlineLevel="0" collapsed="false">
      <c r="A12" s="6" t="s">
        <v>18</v>
      </c>
      <c r="B12" s="7" t="s">
        <v>18</v>
      </c>
      <c r="C12" s="7" t="n">
        <v>0</v>
      </c>
      <c r="D12" s="8" t="n">
        <f aca="false">BE!C7</f>
        <v>0</v>
      </c>
      <c r="E12" s="8" t="n">
        <f aca="false">BE!D7</f>
        <v>0</v>
      </c>
      <c r="F12" s="9" t="n">
        <f aca="false">BE!F7</f>
        <v>0</v>
      </c>
      <c r="G12" s="10" t="n">
        <f aca="false">BE!G7</f>
        <v>0</v>
      </c>
      <c r="H12" s="10" t="n">
        <f aca="false">BE!H7</f>
        <v>0</v>
      </c>
      <c r="I12" s="9" t="n">
        <f aca="false">BE!J7</f>
        <v>0</v>
      </c>
    </row>
    <row r="13" customFormat="false" ht="15" hidden="false" customHeight="false" outlineLevel="0" collapsed="false">
      <c r="A13" s="6" t="s">
        <v>19</v>
      </c>
      <c r="B13" s="7" t="s">
        <v>19</v>
      </c>
      <c r="C13" s="7" t="n">
        <v>116</v>
      </c>
      <c r="D13" s="8" t="n">
        <f aca="false">'אילת BE'!C123</f>
        <v>2393</v>
      </c>
      <c r="E13" s="8" t="n">
        <f aca="false">'אילת BE'!D123</f>
        <v>1501</v>
      </c>
      <c r="F13" s="9" t="n">
        <f aca="false">'אילת BE'!F123</f>
        <v>-0.372753865440869</v>
      </c>
      <c r="G13" s="10" t="n">
        <f aca="false">'אילת BE'!G123</f>
        <v>65581.4</v>
      </c>
      <c r="H13" s="10" t="n">
        <f aca="false">'אילת BE'!H123</f>
        <v>49349.3</v>
      </c>
      <c r="I13" s="9" t="n">
        <f aca="false">'אילת BE'!J123</f>
        <v>-0.247510727126899</v>
      </c>
    </row>
    <row r="14" customFormat="false" ht="15" hidden="false" customHeight="false" outlineLevel="0" collapsed="false">
      <c r="A14" s="6" t="s">
        <v>20</v>
      </c>
      <c r="B14" s="7" t="s">
        <v>20</v>
      </c>
      <c r="C14" s="7" t="n">
        <v>23</v>
      </c>
      <c r="D14" s="8" t="n">
        <f aca="false">'אילת זיכויי BE'!C30</f>
        <v>-47</v>
      </c>
      <c r="E14" s="8" t="n">
        <f aca="false">'אילת זיכויי BE'!D30</f>
        <v>-5</v>
      </c>
      <c r="F14" s="9" t="n">
        <f aca="false">'אילת זיכויי BE'!F30</f>
        <v>-0.893617021276596</v>
      </c>
      <c r="G14" s="10" t="n">
        <f aca="false">'אילת זיכויי BE'!G30</f>
        <v>-2050</v>
      </c>
      <c r="H14" s="10" t="n">
        <f aca="false">'אילת זיכויי BE'!H30</f>
        <v>-517.8</v>
      </c>
      <c r="I14" s="9" t="n">
        <f aca="false">'אילת זיכויי BE'!J30</f>
        <v>-0.747414634146342</v>
      </c>
    </row>
    <row r="15" customFormat="false" ht="15" hidden="false" customHeight="false" outlineLevel="0" collapsed="false">
      <c r="A15" s="6" t="s">
        <v>21</v>
      </c>
      <c r="B15" s="7" t="s">
        <v>21</v>
      </c>
      <c r="C15" s="7" t="n">
        <v>42</v>
      </c>
      <c r="D15" s="8" t="n">
        <f aca="false">'גוד פארם'!C49</f>
        <v>211</v>
      </c>
      <c r="E15" s="8" t="n">
        <f aca="false">'גוד פארם'!D49</f>
        <v>125</v>
      </c>
      <c r="F15" s="9" t="n">
        <f aca="false">'גוד פארם'!F49</f>
        <v>-0.407582938388626</v>
      </c>
      <c r="G15" s="10" t="n">
        <f aca="false">'גוד פארם'!G49</f>
        <v>7329.5</v>
      </c>
      <c r="H15" s="10" t="n">
        <f aca="false">'גוד פארם'!H49</f>
        <v>4352.2</v>
      </c>
      <c r="I15" s="9" t="n">
        <f aca="false">'גוד פארם'!J49</f>
        <v>-0.40620779043591</v>
      </c>
    </row>
    <row r="16" customFormat="false" ht="15" hidden="false" customHeight="false" outlineLevel="0" collapsed="false">
      <c r="A16" s="6" t="s">
        <v>22</v>
      </c>
      <c r="B16" s="7" t="s">
        <v>22</v>
      </c>
      <c r="C16" s="7" t="n">
        <v>99</v>
      </c>
      <c r="D16" s="8" t="n">
        <f aca="false">'גוד פארם מרכז'!C106</f>
        <v>444</v>
      </c>
      <c r="E16" s="8" t="n">
        <f aca="false">'גוד פארם מרכז'!D106</f>
        <v>310</v>
      </c>
      <c r="F16" s="9" t="n">
        <f aca="false">'גוד פארם מרכז'!F106</f>
        <v>-0.301801801801802</v>
      </c>
      <c r="G16" s="10" t="n">
        <f aca="false">'גוד פארם מרכז'!G106</f>
        <v>11837</v>
      </c>
      <c r="H16" s="10" t="n">
        <f aca="false">'גוד פארם מרכז'!H106</f>
        <v>8839.1</v>
      </c>
      <c r="I16" s="9" t="n">
        <f aca="false">'גוד פארם מרכז'!J106</f>
        <v>-0.253265185435499</v>
      </c>
    </row>
    <row r="17" customFormat="false" ht="15" hidden="false" customHeight="false" outlineLevel="0" collapsed="false">
      <c r="A17" s="6" t="s">
        <v>23</v>
      </c>
      <c r="B17" s="7" t="s">
        <v>23</v>
      </c>
      <c r="C17" s="7" t="n">
        <v>52</v>
      </c>
      <c r="D17" s="8" t="n">
        <f aca="false">'הפרכל הפרפארם'!C59</f>
        <v>316</v>
      </c>
      <c r="E17" s="8" t="n">
        <f aca="false">'הפרכל הפרפארם'!D59</f>
        <v>233</v>
      </c>
      <c r="F17" s="9" t="n">
        <f aca="false">'הפרכל הפרפארם'!F59</f>
        <v>-0.262658227848101</v>
      </c>
      <c r="G17" s="10" t="n">
        <f aca="false">'הפרכל הפרפארם'!G59</f>
        <v>9222.1</v>
      </c>
      <c r="H17" s="10" t="n">
        <f aca="false">'הפרכל הפרפארם'!H59</f>
        <v>7173.6</v>
      </c>
      <c r="I17" s="9" t="n">
        <f aca="false">'הפרכל הפרפארם'!J59</f>
        <v>-0.222129449908372</v>
      </c>
    </row>
    <row r="18" customFormat="false" ht="15" hidden="false" customHeight="false" outlineLevel="0" collapsed="false">
      <c r="A18" s="6" t="s">
        <v>24</v>
      </c>
      <c r="B18" s="7" t="s">
        <v>24</v>
      </c>
      <c r="C18" s="7" t="n">
        <v>150</v>
      </c>
      <c r="D18" s="8" t="n">
        <f aca="false">'זיכויים BE'!C157</f>
        <v>-1274</v>
      </c>
      <c r="E18" s="8" t="n">
        <f aca="false">'זיכויים BE'!D157</f>
        <v>-660</v>
      </c>
      <c r="F18" s="9" t="n">
        <f aca="false">'זיכויים BE'!F157</f>
        <v>-0.481946624803768</v>
      </c>
      <c r="G18" s="10" t="n">
        <f aca="false">'זיכויים BE'!G157</f>
        <v>-78358.9</v>
      </c>
      <c r="H18" s="10" t="n">
        <f aca="false">'זיכויים BE'!H157</f>
        <v>-35015.9</v>
      </c>
      <c r="I18" s="9" t="n">
        <f aca="false">'זיכויים BE'!J157</f>
        <v>-0.553134359976978</v>
      </c>
    </row>
    <row r="19" customFormat="false" ht="15" hidden="false" customHeight="false" outlineLevel="0" collapsed="false">
      <c r="A19" s="6" t="s">
        <v>25</v>
      </c>
      <c r="B19" s="7" t="s">
        <v>26</v>
      </c>
      <c r="C19" s="7" t="n">
        <v>219</v>
      </c>
      <c r="D19" s="8" t="n">
        <f aca="false">Comparison!C226</f>
        <v>176505</v>
      </c>
      <c r="E19" s="8" t="n">
        <f aca="false">Comparison!D226</f>
        <v>118307</v>
      </c>
      <c r="F19" s="9" t="n">
        <f aca="false">Comparison!F226</f>
        <v>-0.329724370414436</v>
      </c>
      <c r="G19" s="10" t="n">
        <f aca="false">Comparison!G226</f>
        <v>6689220.5</v>
      </c>
      <c r="H19" s="10" t="n">
        <f aca="false">Comparison!H226</f>
        <v>4476515.3</v>
      </c>
      <c r="I19" s="9" t="n">
        <f aca="false">Comparison!J226</f>
        <v>-0.330786703772136</v>
      </c>
    </row>
    <row r="20" customFormat="false" ht="15" hidden="false" customHeight="false" outlineLevel="0" collapsed="false">
      <c r="A20" s="6" t="s">
        <v>27</v>
      </c>
      <c r="B20" s="7" t="s">
        <v>27</v>
      </c>
      <c r="C20" s="7" t="n">
        <v>149</v>
      </c>
      <c r="D20" s="8" t="n">
        <f aca="false">'שופרסל BE'!C156</f>
        <v>25880</v>
      </c>
      <c r="E20" s="8" t="n">
        <f aca="false">'שופרסל BE'!D156</f>
        <v>18040</v>
      </c>
      <c r="F20" s="9" t="n">
        <f aca="false">'שופרסל BE'!F156</f>
        <v>-0.302936630602782</v>
      </c>
      <c r="G20" s="10" t="n">
        <f aca="false">'שופרסל BE'!G156</f>
        <v>895106.5</v>
      </c>
      <c r="H20" s="10" t="n">
        <f aca="false">'שופרסל BE'!H156</f>
        <v>655276.6</v>
      </c>
      <c r="I20" s="9" t="n">
        <f aca="false">'שופרסל BE'!J156</f>
        <v>-0.26793448600809</v>
      </c>
    </row>
    <row r="21" customFormat="false" ht="15" hidden="false" customHeight="false" outlineLevel="0" collapsed="false">
      <c r="A21" s="6" t="s">
        <v>28</v>
      </c>
      <c r="B21" s="7" t="s">
        <v>28</v>
      </c>
      <c r="C21" s="7" t="n">
        <v>23</v>
      </c>
      <c r="D21" s="8" t="n">
        <f aca="false">'0צרכנים פרטיים'!C30</f>
        <v>34</v>
      </c>
      <c r="E21" s="8" t="n">
        <f aca="false">'0צרכנים פרטיים'!D30</f>
        <v>8</v>
      </c>
      <c r="F21" s="9" t="n">
        <f aca="false">'0צרכנים פרטיים'!F30</f>
        <v>-0.764705882352941</v>
      </c>
      <c r="G21" s="10" t="n">
        <f aca="false">'0צרכנים פרטיים'!G30</f>
        <v>1620.1</v>
      </c>
      <c r="H21" s="10" t="n">
        <f aca="false">'0צרכנים פרטיים'!H30</f>
        <v>454.5</v>
      </c>
      <c r="I21" s="9" t="n">
        <f aca="false">'0צרכנים פרטיים'!J30</f>
        <v>-0.719461761619653</v>
      </c>
    </row>
    <row r="22" customFormat="false" ht="15" hidden="false" customHeight="false" outlineLevel="0" collapsed="false">
      <c r="A22" s="6" t="s">
        <v>29</v>
      </c>
      <c r="B22" s="7" t="s">
        <v>29</v>
      </c>
      <c r="C22" s="7" t="n">
        <v>107</v>
      </c>
      <c r="D22" s="8" t="n">
        <f aca="false">'0קופות חולים'!C114</f>
        <v>0</v>
      </c>
      <c r="E22" s="8" t="n">
        <f aca="false">'0קופות חולים'!D114</f>
        <v>10037</v>
      </c>
      <c r="F22" s="9" t="str">
        <f aca="false">'0קופות חולים'!F114</f>
        <v>N/A</v>
      </c>
      <c r="G22" s="10" t="n">
        <f aca="false">'0קופות חולים'!G114</f>
        <v>0</v>
      </c>
      <c r="H22" s="10" t="n">
        <f aca="false">'0קופות חולים'!H114</f>
        <v>307514.4</v>
      </c>
      <c r="I22" s="9" t="str">
        <f aca="false">'0קופות חולים'!J114</f>
        <v>N/A</v>
      </c>
    </row>
    <row r="23" customFormat="false" ht="15" hidden="false" customHeight="false" outlineLevel="0" collapsed="false">
      <c r="A23" s="6" t="s">
        <v>30</v>
      </c>
      <c r="B23" s="7" t="s">
        <v>30</v>
      </c>
      <c r="C23" s="7" t="n">
        <v>39</v>
      </c>
      <c r="D23" s="8" t="n">
        <f aca="false">0שונות!C46</f>
        <v>-39</v>
      </c>
      <c r="E23" s="8" t="n">
        <f aca="false">0שונות!D46</f>
        <v>-128</v>
      </c>
      <c r="F23" s="9" t="n">
        <f aca="false">0שונות!F46</f>
        <v>2.28205128205128</v>
      </c>
      <c r="G23" s="10" t="n">
        <f aca="false">0שונות!G46</f>
        <v>-3696.5</v>
      </c>
      <c r="H23" s="10" t="n">
        <f aca="false">0שונות!H46</f>
        <v>-7567.7</v>
      </c>
      <c r="I23" s="9" t="n">
        <f aca="false">0שונות!J46</f>
        <v>1.04726092249425</v>
      </c>
    </row>
  </sheetData>
  <mergeCells count="1">
    <mergeCell ref="A3:G3"/>
  </mergeCells>
  <hyperlinks>
    <hyperlink ref="A6" location="'0בתי טבע'!A1" display="0בתי טבע"/>
    <hyperlink ref="A7" location="'0בתי טבע רשתות'!A1" display="0בתי טבע רשתות"/>
    <hyperlink ref="A8" location="'0בתי מרקחת'!A1" display="0בתי מרקחת"/>
    <hyperlink ref="A9" location="'0כללי'!A1" display="0כללי"/>
    <hyperlink ref="A10" location="'0מפיצי משנה'!A1" display="0מפיצי משנה"/>
    <hyperlink ref="A11" location="'0פארמים'!A1" display="0פארמים"/>
    <hyperlink ref="A12" location="'BE'!A1" display="BE"/>
    <hyperlink ref="A13" location="'אילת BE'!A1" display="אילת BE"/>
    <hyperlink ref="A14" location="'אילת זיכויי BE'!A1" display="אילת זיכויי BE"/>
    <hyperlink ref="A15" location="'גוד פארם'!A1" display="גוד פארם"/>
    <hyperlink ref="A16" location="'גוד פארם מרכז'!A1" display="גוד פארם מרכז"/>
    <hyperlink ref="A17" location="'הפרכל הפרפארם'!A1" display="הפרכל הפרפארם"/>
    <hyperlink ref="A18" location="'זיכויים BE'!A1" display="זיכויים BE"/>
    <hyperlink ref="A19" location="'Comparison'!A1" display="סופרפארם"/>
    <hyperlink ref="A20" location="'שופרסל BE'!A1" display="שופרסל BE"/>
    <hyperlink ref="A21" location="'0צרכנים פרטיים'!A1" display="0צרכנים פרטיים"/>
    <hyperlink ref="A22" location="'0קופות חולים'!A1" display="0קופות חולים"/>
    <hyperlink ref="A23" location="'0שונות'!A1" display="0שונו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38</v>
      </c>
      <c r="B6" s="7" t="str">
        <f aca="false">IFERROR(INDEX('Source 2026'!$C:$C,MATCH($A6,'Source 2026'!$B:$B,0)),IFERROR(INDEX('Source 2025'!$C:$C,MATCH($A6,'Source 2025'!$B:$B,0)),""))</f>
        <v>אפיק ג'ל מולט.ספורט35-38</v>
      </c>
      <c r="C6" s="8" t="n">
        <f aca="false">SUMIFS('Source 2025'!$Q:$Q,'Source 2025'!$B:$B,$A6,'Source 2025'!$A:$A,"Quantity (units)")</f>
        <v>2855</v>
      </c>
      <c r="D6" s="8" t="n">
        <f aca="false">SUMIFS('Source 2026'!$Q:$Q,'Source 2026'!$B:$B,$A6,'Source 2026'!$A:$A,"Quantity (units)")</f>
        <v>481</v>
      </c>
      <c r="E6" s="8" t="n">
        <f aca="false">D6-C6</f>
        <v>-2374</v>
      </c>
      <c r="F6" s="9" t="n">
        <f aca="false">IF(AND(C6=0,D6=0),0,IF(C6=0,"New",(D6-C6)/C6))</f>
        <v>-0.831523642732049</v>
      </c>
      <c r="G6" s="10" t="n">
        <f aca="false">SUMIFS('Source 2025'!$Q:$Q,'Source 2025'!$B:$B,$A6,'Source 2025'!$A:$A,"Amount (NIS)")</f>
        <v>265726.2</v>
      </c>
      <c r="H6" s="10" t="n">
        <f aca="false">SUMIFS('Source 2026'!$Q:$Q,'Source 2026'!$B:$B,$A6,'Source 2026'!$A:$A,"Amount (NIS)")</f>
        <v>47626.6</v>
      </c>
      <c r="I6" s="10" t="n">
        <f aca="false">H6-G6</f>
        <v>-218099.6</v>
      </c>
      <c r="J6" s="9" t="n">
        <f aca="false">IF(AND(G6=0,H6=0),0,IF(G6=0,"New",(H6-G6)/G6))</f>
        <v>-0.820768144052036</v>
      </c>
    </row>
    <row r="7" customFormat="false" ht="15" hidden="false" customHeight="false" outlineLevel="0" collapsed="false">
      <c r="A7" s="7" t="s">
        <v>39</v>
      </c>
      <c r="B7" s="7" t="str">
        <f aca="false">IFERROR(INDEX('Source 2026'!$C:$C,MATCH($A7,'Source 2026'!$B:$B,0)),IFERROR(INDEX('Source 2025'!$C:$C,MATCH($A7,'Source 2025'!$B:$B,0)),""))</f>
        <v>מדרסי אפיק ג'ל נוחות</v>
      </c>
      <c r="C7" s="8" t="n">
        <f aca="false">SUMIFS('Source 2025'!$Q:$Q,'Source 2025'!$B:$B,$A7,'Source 2025'!$A:$A,"Quantity (units)")</f>
        <v>1776</v>
      </c>
      <c r="D7" s="8" t="n">
        <f aca="false">SUMIFS('Source 2026'!$Q:$Q,'Source 2026'!$B:$B,$A7,'Source 2026'!$A:$A,"Quantity (units)")</f>
        <v>112</v>
      </c>
      <c r="E7" s="8" t="n">
        <f aca="false">D7-C7</f>
        <v>-1664</v>
      </c>
      <c r="F7" s="9" t="n">
        <f aca="false">IF(AND(C7=0,D7=0),0,IF(C7=0,"New",(D7-C7)/C7))</f>
        <v>-0.936936936936937</v>
      </c>
      <c r="G7" s="10" t="n">
        <f aca="false">SUMIFS('Source 2025'!$Q:$Q,'Source 2025'!$B:$B,$A7,'Source 2025'!$A:$A,"Amount (NIS)")</f>
        <v>164431.7</v>
      </c>
      <c r="H7" s="10" t="n">
        <f aca="false">SUMIFS('Source 2026'!$Q:$Q,'Source 2026'!$B:$B,$A7,'Source 2026'!$A:$A,"Amount (NIS)")</f>
        <v>11519.9</v>
      </c>
      <c r="I7" s="10" t="n">
        <f aca="false">H7-G7</f>
        <v>-152911.8</v>
      </c>
      <c r="J7" s="9" t="n">
        <f aca="false">IF(AND(G7=0,H7=0),0,IF(G7=0,"New",(H7-G7)/G7))</f>
        <v>-0.929941124491202</v>
      </c>
    </row>
    <row r="8" customFormat="false" ht="15" hidden="false" customHeight="false" outlineLevel="0" collapsed="false">
      <c r="A8" s="7" t="s">
        <v>40</v>
      </c>
      <c r="B8" s="7" t="str">
        <f aca="false">IFERROR(INDEX('Source 2026'!$C:$C,MATCH($A8,'Source 2026'!$B:$B,0)),IFERROR(INDEX('Source 2025'!$C:$C,MATCH($A8,'Source 2025'!$B:$B,0)),""))</f>
        <v>מדרסי אפיק ג'ל נוחות</v>
      </c>
      <c r="C8" s="8" t="n">
        <f aca="false">SUMIFS('Source 2025'!$Q:$Q,'Source 2025'!$B:$B,$A8,'Source 2025'!$A:$A,"Quantity (units)")</f>
        <v>2025</v>
      </c>
      <c r="D8" s="8" t="n">
        <f aca="false">SUMIFS('Source 2026'!$Q:$Q,'Source 2026'!$B:$B,$A8,'Source 2026'!$A:$A,"Quantity (units)")</f>
        <v>522</v>
      </c>
      <c r="E8" s="8" t="n">
        <f aca="false">D8-C8</f>
        <v>-1503</v>
      </c>
      <c r="F8" s="9" t="n">
        <f aca="false">IF(AND(C8=0,D8=0),0,IF(C8=0,"New",(D8-C8)/C8))</f>
        <v>-0.742222222222222</v>
      </c>
      <c r="G8" s="10" t="n">
        <f aca="false">SUMIFS('Source 2025'!$Q:$Q,'Source 2025'!$B:$B,$A8,'Source 2025'!$A:$A,"Amount (NIS)")</f>
        <v>188767.1</v>
      </c>
      <c r="H8" s="10" t="n">
        <f aca="false">SUMIFS('Source 2026'!$Q:$Q,'Source 2026'!$B:$B,$A8,'Source 2026'!$A:$A,"Amount (NIS)")</f>
        <v>52314</v>
      </c>
      <c r="I8" s="10" t="n">
        <f aca="false">H8-G8</f>
        <v>-136453.1</v>
      </c>
      <c r="J8" s="9" t="n">
        <f aca="false">IF(AND(G8=0,H8=0),0,IF(G8=0,"New",(H8-G8)/G8))</f>
        <v>-0.722864842443413</v>
      </c>
    </row>
    <row r="9" customFormat="false" ht="15" hidden="false" customHeight="false" outlineLevel="0" collapsed="false">
      <c r="A9" s="7" t="s">
        <v>41</v>
      </c>
      <c r="B9" s="7" t="str">
        <f aca="false">IFERROR(INDEX('Source 2026'!$C:$C,MATCH($A9,'Source 2026'!$B:$B,0)),IFERROR(INDEX('Source 2025'!$C:$C,MATCH($A9,'Source 2025'!$B:$B,0)),""))</f>
        <v>מדרסי אפיק ג'ל נוחות</v>
      </c>
      <c r="C9" s="8" t="n">
        <f aca="false">SUMIFS('Source 2025'!$Q:$Q,'Source 2025'!$B:$B,$A9,'Source 2025'!$A:$A,"Quantity (units)")</f>
        <v>2122</v>
      </c>
      <c r="D9" s="8" t="n">
        <f aca="false">SUMIFS('Source 2026'!$Q:$Q,'Source 2026'!$B:$B,$A9,'Source 2026'!$A:$A,"Quantity (units)")</f>
        <v>789</v>
      </c>
      <c r="E9" s="8" t="n">
        <f aca="false">D9-C9</f>
        <v>-1333</v>
      </c>
      <c r="F9" s="9" t="n">
        <f aca="false">IF(AND(C9=0,D9=0),0,IF(C9=0,"New",(D9-C9)/C9))</f>
        <v>-0.62818096135721</v>
      </c>
      <c r="G9" s="10" t="n">
        <f aca="false">SUMIFS('Source 2025'!$Q:$Q,'Source 2025'!$B:$B,$A9,'Source 2025'!$A:$A,"Amount (NIS)")</f>
        <v>197774.9</v>
      </c>
      <c r="H9" s="10" t="n">
        <f aca="false">SUMIFS('Source 2026'!$Q:$Q,'Source 2026'!$B:$B,$A9,'Source 2026'!$A:$A,"Amount (NIS)")</f>
        <v>78734.4</v>
      </c>
      <c r="I9" s="10" t="n">
        <f aca="false">H9-G9</f>
        <v>-119040.5</v>
      </c>
      <c r="J9" s="9" t="n">
        <f aca="false">IF(AND(G9=0,H9=0),0,IF(G9=0,"New",(H9-G9)/G9))</f>
        <v>-0.601898926506852</v>
      </c>
    </row>
    <row r="10" customFormat="false" ht="15" hidden="false" customHeight="false" outlineLevel="0" collapsed="false">
      <c r="A10" s="7" t="s">
        <v>42</v>
      </c>
      <c r="B10" s="7" t="str">
        <f aca="false">IFERROR(INDEX('Source 2026'!$C:$C,MATCH($A10,'Source 2026'!$B:$B,0)),IFERROR(INDEX('Source 2025'!$C:$C,MATCH($A10,'Source 2025'!$B:$B,0)),""))</f>
        <v>L סד ליד דו צדדי לאחר שבר</v>
      </c>
      <c r="C10" s="8" t="n">
        <f aca="false">SUMIFS('Source 2025'!$Q:$Q,'Source 2025'!$B:$B,$A10,'Source 2025'!$A:$A,"Quantity (units)")</f>
        <v>2550</v>
      </c>
      <c r="D10" s="8" t="n">
        <f aca="false">SUMIFS('Source 2026'!$Q:$Q,'Source 2026'!$B:$B,$A10,'Source 2026'!$A:$A,"Quantity (units)")</f>
        <v>1172</v>
      </c>
      <c r="E10" s="8" t="n">
        <f aca="false">D10-C10</f>
        <v>-1378</v>
      </c>
      <c r="F10" s="9" t="n">
        <f aca="false">IF(AND(C10=0,D10=0),0,IF(C10=0,"New",(D10-C10)/C10))</f>
        <v>-0.540392156862745</v>
      </c>
      <c r="G10" s="10" t="n">
        <f aca="false">SUMIFS('Source 2025'!$Q:$Q,'Source 2025'!$B:$B,$A10,'Source 2025'!$A:$A,"Amount (NIS)")</f>
        <v>208574.2</v>
      </c>
      <c r="H10" s="10" t="n">
        <f aca="false">SUMIFS('Source 2026'!$Q:$Q,'Source 2026'!$B:$B,$A10,'Source 2026'!$A:$A,"Amount (NIS)")</f>
        <v>97035.9</v>
      </c>
      <c r="I10" s="10" t="n">
        <f aca="false">H10-G10</f>
        <v>-111538.3</v>
      </c>
      <c r="J10" s="9" t="n">
        <f aca="false">IF(AND(G10=0,H10=0),0,IF(G10=0,"New",(H10-G10)/G10))</f>
        <v>-0.534765565443856</v>
      </c>
    </row>
    <row r="11" customFormat="false" ht="15" hidden="false" customHeight="false" outlineLevel="0" collapsed="false">
      <c r="A11" s="7" t="s">
        <v>43</v>
      </c>
      <c r="B11" s="7" t="str">
        <f aca="false">IFERROR(INDEX('Source 2026'!$C:$C,MATCH($A11,'Source 2026'!$B:$B,0)),IFERROR(INDEX('Source 2025'!$C:$C,MATCH($A11,'Source 2025'!$B:$B,0)),""))</f>
        <v>S מגן קרסול חום</v>
      </c>
      <c r="C11" s="8" t="n">
        <f aca="false">SUMIFS('Source 2025'!$Q:$Q,'Source 2025'!$B:$B,$A11,'Source 2025'!$A:$A,"Quantity (units)")</f>
        <v>10751</v>
      </c>
      <c r="D11" s="8" t="n">
        <f aca="false">SUMIFS('Source 2026'!$Q:$Q,'Source 2026'!$B:$B,$A11,'Source 2026'!$A:$A,"Quantity (units)")</f>
        <v>7007</v>
      </c>
      <c r="E11" s="8" t="n">
        <f aca="false">D11-C11</f>
        <v>-3744</v>
      </c>
      <c r="F11" s="9" t="n">
        <f aca="false">IF(AND(C11=0,D11=0),0,IF(C11=0,"New",(D11-C11)/C11))</f>
        <v>-0.348246674727932</v>
      </c>
      <c r="G11" s="10" t="n">
        <f aca="false">SUMIFS('Source 2025'!$Q:$Q,'Source 2025'!$B:$B,$A11,'Source 2025'!$A:$A,"Amount (NIS)")</f>
        <v>276617</v>
      </c>
      <c r="H11" s="10" t="n">
        <f aca="false">SUMIFS('Source 2026'!$Q:$Q,'Source 2026'!$B:$B,$A11,'Source 2026'!$A:$A,"Amount (NIS)")</f>
        <v>183180</v>
      </c>
      <c r="I11" s="10" t="n">
        <f aca="false">H11-G11</f>
        <v>-93437</v>
      </c>
      <c r="J11" s="9" t="n">
        <f aca="false">IF(AND(G11=0,H11=0),0,IF(G11=0,"New",(H11-G11)/G11))</f>
        <v>-0.337784734849991</v>
      </c>
    </row>
    <row r="12" customFormat="false" ht="15" hidden="false" customHeight="false" outlineLevel="0" collapsed="false">
      <c r="A12" s="7" t="s">
        <v>44</v>
      </c>
      <c r="B12" s="7" t="str">
        <f aca="false">IFERROR(INDEX('Source 2026'!$C:$C,MATCH($A12,'Source 2026'!$B:$B,0)),IFERROR(INDEX('Source 2025'!$C:$C,MATCH($A12,'Source 2025'!$B:$B,0)),""))</f>
        <v>S  חבק יד ארוך</v>
      </c>
      <c r="C12" s="8" t="n">
        <f aca="false">SUMIFS('Source 2025'!$Q:$Q,'Source 2025'!$B:$B,$A12,'Source 2025'!$A:$A,"Quantity (units)")</f>
        <v>8258</v>
      </c>
      <c r="D12" s="8" t="n">
        <f aca="false">SUMIFS('Source 2026'!$Q:$Q,'Source 2026'!$B:$B,$A12,'Source 2026'!$A:$A,"Quantity (units)")</f>
        <v>5458</v>
      </c>
      <c r="E12" s="8" t="n">
        <f aca="false">D12-C12</f>
        <v>-2800</v>
      </c>
      <c r="F12" s="9" t="n">
        <f aca="false">IF(AND(C12=0,D12=0),0,IF(C12=0,"New",(D12-C12)/C12))</f>
        <v>-0.339065148946476</v>
      </c>
      <c r="G12" s="10" t="n">
        <f aca="false">SUMIFS('Source 2025'!$Q:$Q,'Source 2025'!$B:$B,$A12,'Source 2025'!$A:$A,"Amount (NIS)")</f>
        <v>269862.5</v>
      </c>
      <c r="H12" s="10" t="n">
        <f aca="false">SUMIFS('Source 2026'!$Q:$Q,'Source 2026'!$B:$B,$A12,'Source 2026'!$A:$A,"Amount (NIS)")</f>
        <v>179838.7</v>
      </c>
      <c r="I12" s="10" t="n">
        <f aca="false">H12-G12</f>
        <v>-90023.8</v>
      </c>
      <c r="J12" s="9" t="n">
        <f aca="false">IF(AND(G12=0,H12=0),0,IF(G12=0,"New",(H12-G12)/G12))</f>
        <v>-0.333591365973412</v>
      </c>
    </row>
    <row r="13" customFormat="false" ht="15" hidden="false" customHeight="false" outlineLevel="0" collapsed="false">
      <c r="A13" s="7" t="s">
        <v>45</v>
      </c>
      <c r="B13" s="7" t="str">
        <f aca="false">IFERROR(INDEX('Source 2026'!$C:$C,MATCH($A13,'Source 2026'!$B:$B,0)),IFERROR(INDEX('Source 2025'!$C:$C,MATCH($A13,'Source 2025'!$B:$B,0)),""))</f>
        <v>טיסה אנטי בקטרי35-38</v>
      </c>
      <c r="C13" s="8" t="n">
        <f aca="false">SUMIFS('Source 2025'!$Q:$Q,'Source 2025'!$B:$B,$A13,'Source 2025'!$A:$A,"Quantity (units)")</f>
        <v>0</v>
      </c>
      <c r="D13" s="8" t="n">
        <f aca="false">SUMIFS('Source 2026'!$Q:$Q,'Source 2026'!$B:$B,$A13,'Source 2026'!$A:$A,"Quantity (units)")</f>
        <v>1552</v>
      </c>
      <c r="E13" s="8" t="n">
        <f aca="false">D13-C13</f>
        <v>1552</v>
      </c>
      <c r="F13" s="9" t="str">
        <f aca="false">IF(AND(C13=0,D13=0),0,IF(C13=0,"New",(D13-C13)/C13))</f>
        <v>New</v>
      </c>
      <c r="G13" s="10" t="n">
        <f aca="false">SUMIFS('Source 2025'!$Q:$Q,'Source 2025'!$B:$B,$A13,'Source 2025'!$A:$A,"Amount (NIS)")</f>
        <v>0</v>
      </c>
      <c r="H13" s="10" t="n">
        <f aca="false">SUMIFS('Source 2026'!$Q:$Q,'Source 2026'!$B:$B,$A13,'Source 2026'!$A:$A,"Amount (NIS)")</f>
        <v>84761</v>
      </c>
      <c r="I13" s="10" t="n">
        <f aca="false">H13-G13</f>
        <v>84761</v>
      </c>
      <c r="J13" s="9" t="str">
        <f aca="false">IF(AND(G13=0,H13=0),0,IF(G13=0,"New",(H13-G13)/G13))</f>
        <v>New</v>
      </c>
    </row>
    <row r="14" customFormat="false" ht="15" hidden="false" customHeight="false" outlineLevel="0" collapsed="false">
      <c r="A14" s="7" t="s">
        <v>46</v>
      </c>
      <c r="B14" s="7" t="str">
        <f aca="false">IFERROR(INDEX('Source 2026'!$C:$C,MATCH($A14,'Source 2026'!$B:$B,0)),IFERROR(INDEX('Source 2025'!$C:$C,MATCH($A14,'Source 2025'!$B:$B,0)),""))</f>
        <v>35-38 גרבי טיסה מידה</v>
      </c>
      <c r="C14" s="8" t="n">
        <f aca="false">SUMIFS('Source 2025'!$Q:$Q,'Source 2025'!$B:$B,$A14,'Source 2025'!$A:$A,"Quantity (units)")</f>
        <v>1506</v>
      </c>
      <c r="D14" s="8" t="n">
        <f aca="false">SUMIFS('Source 2026'!$Q:$Q,'Source 2026'!$B:$B,$A14,'Source 2026'!$A:$A,"Quantity (units)")</f>
        <v>-10</v>
      </c>
      <c r="E14" s="8" t="n">
        <f aca="false">D14-C14</f>
        <v>-1516</v>
      </c>
      <c r="F14" s="9" t="n">
        <f aca="false">IF(AND(C14=0,D14=0),0,IF(C14=0,"New",(D14-C14)/C14))</f>
        <v>-1.0066401062417</v>
      </c>
      <c r="G14" s="10" t="n">
        <f aca="false">SUMIFS('Source 2025'!$Q:$Q,'Source 2025'!$B:$B,$A14,'Source 2025'!$A:$A,"Amount (NIS)")</f>
        <v>79204.9</v>
      </c>
      <c r="H14" s="10" t="n">
        <f aca="false">SUMIFS('Source 2026'!$Q:$Q,'Source 2026'!$B:$B,$A14,'Source 2026'!$A:$A,"Amount (NIS)")</f>
        <v>-514.5</v>
      </c>
      <c r="I14" s="10" t="n">
        <f aca="false">H14-G14</f>
        <v>-79719.4</v>
      </c>
      <c r="J14" s="9" t="n">
        <f aca="false">IF(AND(G14=0,H14=0),0,IF(G14=0,"New",(H14-G14)/G14))</f>
        <v>-1.00649581023396</v>
      </c>
    </row>
    <row r="15" customFormat="false" ht="15" hidden="false" customHeight="false" outlineLevel="0" collapsed="false">
      <c r="A15" s="7" t="s">
        <v>47</v>
      </c>
      <c r="B15" s="7" t="str">
        <f aca="false">IFERROR(INDEX('Source 2026'!$C:$C,MATCH($A15,'Source 2026'!$B:$B,0)),IFERROR(INDEX('Source 2025'!$C:$C,MATCH($A15,'Source 2025'!$B:$B,0)),""))</f>
        <v>M מגן קרסול עקב סגור</v>
      </c>
      <c r="C15" s="8" t="n">
        <f aca="false">SUMIFS('Source 2025'!$Q:$Q,'Source 2025'!$B:$B,$A15,'Source 2025'!$A:$A,"Quantity (units)")</f>
        <v>6177</v>
      </c>
      <c r="D15" s="8" t="n">
        <f aca="false">SUMIFS('Source 2026'!$Q:$Q,'Source 2026'!$B:$B,$A15,'Source 2026'!$A:$A,"Quantity (units)")</f>
        <v>4200</v>
      </c>
      <c r="E15" s="8" t="n">
        <f aca="false">D15-C15</f>
        <v>-1977</v>
      </c>
      <c r="F15" s="9" t="n">
        <f aca="false">IF(AND(C15=0,D15=0),0,IF(C15=0,"New",(D15-C15)/C15))</f>
        <v>-0.320058280718796</v>
      </c>
      <c r="G15" s="10" t="n">
        <f aca="false">SUMIFS('Source 2025'!$Q:$Q,'Source 2025'!$B:$B,$A15,'Source 2025'!$A:$A,"Amount (NIS)")</f>
        <v>231846.4</v>
      </c>
      <c r="H15" s="10" t="n">
        <f aca="false">SUMIFS('Source 2026'!$Q:$Q,'Source 2026'!$B:$B,$A15,'Source 2026'!$A:$A,"Amount (NIS)")</f>
        <v>159810.8</v>
      </c>
      <c r="I15" s="10" t="n">
        <f aca="false">H15-G15</f>
        <v>-72035.6</v>
      </c>
      <c r="J15" s="9" t="n">
        <f aca="false">IF(AND(G15=0,H15=0),0,IF(G15=0,"New",(H15-G15)/G15))</f>
        <v>-0.310703983326892</v>
      </c>
    </row>
    <row r="16" customFormat="false" ht="15" hidden="false" customHeight="false" outlineLevel="0" collapsed="false">
      <c r="A16" s="7" t="s">
        <v>48</v>
      </c>
      <c r="B16" s="7" t="str">
        <f aca="false">IFERROR(INDEX('Source 2026'!$C:$C,MATCH($A16,'Source 2026'!$B:$B,0)),IFERROR(INDEX('Source 2025'!$C:$C,MATCH($A16,'Source 2025'!$B:$B,0)),""))</f>
        <v>מישר כתפיים אקטיב</v>
      </c>
      <c r="C16" s="8" t="n">
        <f aca="false">SUMIFS('Source 2025'!$Q:$Q,'Source 2025'!$B:$B,$A16,'Source 2025'!$A:$A,"Quantity (units)")</f>
        <v>659</v>
      </c>
      <c r="D16" s="8" t="n">
        <f aca="false">SUMIFS('Source 2026'!$Q:$Q,'Source 2026'!$B:$B,$A16,'Source 2026'!$A:$A,"Quantity (units)")</f>
        <v>1707</v>
      </c>
      <c r="E16" s="8" t="n">
        <f aca="false">D16-C16</f>
        <v>1048</v>
      </c>
      <c r="F16" s="9" t="n">
        <f aca="false">IF(AND(C16=0,D16=0),0,IF(C16=0,"New",(D16-C16)/C16))</f>
        <v>1.59028831562974</v>
      </c>
      <c r="G16" s="10" t="n">
        <f aca="false">SUMIFS('Source 2025'!$Q:$Q,'Source 2025'!$B:$B,$A16,'Source 2025'!$A:$A,"Amount (NIS)")</f>
        <v>40255.2</v>
      </c>
      <c r="H16" s="10" t="n">
        <f aca="false">SUMIFS('Source 2026'!$Q:$Q,'Source 2026'!$B:$B,$A16,'Source 2026'!$A:$A,"Amount (NIS)")</f>
        <v>109715.2</v>
      </c>
      <c r="I16" s="10" t="n">
        <f aca="false">H16-G16</f>
        <v>69460</v>
      </c>
      <c r="J16" s="9" t="n">
        <f aca="false">IF(AND(G16=0,H16=0),0,IF(G16=0,"New",(H16-G16)/G16))</f>
        <v>1.72549136509072</v>
      </c>
    </row>
    <row r="17" customFormat="false" ht="15" hidden="false" customHeight="false" outlineLevel="0" collapsed="false">
      <c r="A17" s="7" t="s">
        <v>49</v>
      </c>
      <c r="B17" s="7" t="str">
        <f aca="false">IFERROR(INDEX('Source 2026'!$C:$C,MATCH($A17,'Source 2026'!$B:$B,0)),IFERROR(INDEX('Source 2025'!$C:$C,MATCH($A17,'Source 2025'!$B:$B,0)),""))</f>
        <v>S מגן ברך חום</v>
      </c>
      <c r="C17" s="8" t="n">
        <f aca="false">SUMIFS('Source 2025'!$Q:$Q,'Source 2025'!$B:$B,$A17,'Source 2025'!$A:$A,"Quantity (units)")</f>
        <v>10069</v>
      </c>
      <c r="D17" s="8" t="n">
        <f aca="false">SUMIFS('Source 2026'!$Q:$Q,'Source 2026'!$B:$B,$A17,'Source 2026'!$A:$A,"Quantity (units)")</f>
        <v>7331</v>
      </c>
      <c r="E17" s="8" t="n">
        <f aca="false">D17-C17</f>
        <v>-2738</v>
      </c>
      <c r="F17" s="9" t="n">
        <f aca="false">IF(AND(C17=0,D17=0),0,IF(C17=0,"New",(D17-C17)/C17))</f>
        <v>-0.271923726288609</v>
      </c>
      <c r="G17" s="10" t="n">
        <f aca="false">SUMIFS('Source 2025'!$Q:$Q,'Source 2025'!$B:$B,$A17,'Source 2025'!$A:$A,"Amount (NIS)")</f>
        <v>259116.9</v>
      </c>
      <c r="H17" s="10" t="n">
        <f aca="false">SUMIFS('Source 2026'!$Q:$Q,'Source 2026'!$B:$B,$A17,'Source 2026'!$A:$A,"Amount (NIS)")</f>
        <v>190767.7</v>
      </c>
      <c r="I17" s="10" t="n">
        <f aca="false">H17-G17</f>
        <v>-68349.2</v>
      </c>
      <c r="J17" s="9" t="n">
        <f aca="false">IF(AND(G17=0,H17=0),0,IF(G17=0,"New",(H17-G17)/G17))</f>
        <v>-0.263777468779535</v>
      </c>
    </row>
    <row r="18" customFormat="false" ht="15" hidden="false" customHeight="false" outlineLevel="0" collapsed="false">
      <c r="A18" s="7" t="s">
        <v>50</v>
      </c>
      <c r="B18" s="7" t="str">
        <f aca="false">IFERROR(INDEX('Source 2026'!$C:$C,MATCH($A18,'Source 2026'!$B:$B,0)),IFERROR(INDEX('Source 2025'!$C:$C,MATCH($A18,'Source 2025'!$B:$B,0)),""))</f>
        <v>S 'מגן ברך ארוך בז</v>
      </c>
      <c r="C18" s="8" t="n">
        <f aca="false">SUMIFS('Source 2025'!$Q:$Q,'Source 2025'!$B:$B,$A18,'Source 2025'!$A:$A,"Quantity (units)")</f>
        <v>9351</v>
      </c>
      <c r="D18" s="8" t="n">
        <f aca="false">SUMIFS('Source 2026'!$Q:$Q,'Source 2026'!$B:$B,$A18,'Source 2026'!$A:$A,"Quantity (units)")</f>
        <v>7130</v>
      </c>
      <c r="E18" s="8" t="n">
        <f aca="false">D18-C18</f>
        <v>-2221</v>
      </c>
      <c r="F18" s="9" t="n">
        <f aca="false">IF(AND(C18=0,D18=0),0,IF(C18=0,"New",(D18-C18)/C18))</f>
        <v>-0.2375147043097</v>
      </c>
      <c r="G18" s="10" t="n">
        <f aca="false">SUMIFS('Source 2025'!$Q:$Q,'Source 2025'!$B:$B,$A18,'Source 2025'!$A:$A,"Amount (NIS)")</f>
        <v>290388.7</v>
      </c>
      <c r="H18" s="10" t="n">
        <f aca="false">SUMIFS('Source 2026'!$Q:$Q,'Source 2026'!$B:$B,$A18,'Source 2026'!$A:$A,"Amount (NIS)")</f>
        <v>222926.7</v>
      </c>
      <c r="I18" s="10" t="n">
        <f aca="false">H18-G18</f>
        <v>-67462</v>
      </c>
      <c r="J18" s="9" t="n">
        <f aca="false">IF(AND(G18=0,H18=0),0,IF(G18=0,"New",(H18-G18)/G18))</f>
        <v>-0.232316202386663</v>
      </c>
    </row>
    <row r="19" customFormat="false" ht="15" hidden="false" customHeight="false" outlineLevel="0" collapsed="false">
      <c r="A19" s="7" t="s">
        <v>51</v>
      </c>
      <c r="B19" s="7" t="str">
        <f aca="false">IFERROR(INDEX('Source 2026'!$C:$C,MATCH($A19,'Source 2026'!$B:$B,0)),IFERROR(INDEX('Source 2025'!$C:$C,MATCH($A19,'Source 2025'!$B:$B,0)),""))</f>
        <v>Sמגן ברך ארוך לבן</v>
      </c>
      <c r="C19" s="8" t="n">
        <f aca="false">SUMIFS('Source 2025'!$Q:$Q,'Source 2025'!$B:$B,$A19,'Source 2025'!$A:$A,"Quantity (units)")</f>
        <v>4657</v>
      </c>
      <c r="D19" s="8" t="n">
        <f aca="false">SUMIFS('Source 2026'!$Q:$Q,'Source 2026'!$B:$B,$A19,'Source 2026'!$A:$A,"Quantity (units)")</f>
        <v>2675</v>
      </c>
      <c r="E19" s="8" t="n">
        <f aca="false">D19-C19</f>
        <v>-1982</v>
      </c>
      <c r="F19" s="9" t="n">
        <f aca="false">IF(AND(C19=0,D19=0),0,IF(C19=0,"New",(D19-C19)/C19))</f>
        <v>-0.425595877174146</v>
      </c>
      <c r="G19" s="10" t="n">
        <f aca="false">SUMIFS('Source 2025'!$Q:$Q,'Source 2025'!$B:$B,$A19,'Source 2025'!$A:$A,"Amount (NIS)")</f>
        <v>144547.9</v>
      </c>
      <c r="H19" s="10" t="n">
        <f aca="false">SUMIFS('Source 2026'!$Q:$Q,'Source 2026'!$B:$B,$A19,'Source 2026'!$A:$A,"Amount (NIS)")</f>
        <v>83475.2</v>
      </c>
      <c r="I19" s="10" t="n">
        <f aca="false">H19-G19</f>
        <v>-61072.7</v>
      </c>
      <c r="J19" s="9" t="n">
        <f aca="false">IF(AND(G19=0,H19=0),0,IF(G19=0,"New",(H19-G19)/G19))</f>
        <v>-0.422508386493335</v>
      </c>
    </row>
    <row r="20" customFormat="false" ht="15" hidden="false" customHeight="false" outlineLevel="0" collapsed="false">
      <c r="A20" s="7" t="s">
        <v>52</v>
      </c>
      <c r="B20" s="7" t="str">
        <f aca="false">IFERROR(INDEX('Source 2026'!$C:$C,MATCH($A20,'Source 2026'!$B:$B,0)),IFERROR(INDEX('Source 2025'!$C:$C,MATCH($A20,'Source 2025'!$B:$B,0)),""))</f>
        <v>L סד לאגודל לאחר שבר</v>
      </c>
      <c r="C20" s="8" t="n">
        <f aca="false">SUMIFS('Source 2025'!$Q:$Q,'Source 2025'!$B:$B,$A20,'Source 2025'!$A:$A,"Quantity (units)")</f>
        <v>1991</v>
      </c>
      <c r="D20" s="8" t="n">
        <f aca="false">SUMIFS('Source 2026'!$Q:$Q,'Source 2026'!$B:$B,$A20,'Source 2026'!$A:$A,"Quantity (units)")</f>
        <v>1240</v>
      </c>
      <c r="E20" s="8" t="n">
        <f aca="false">D20-C20</f>
        <v>-751</v>
      </c>
      <c r="F20" s="9" t="n">
        <f aca="false">IF(AND(C20=0,D20=0),0,IF(C20=0,"New",(D20-C20)/C20))</f>
        <v>-0.377197388247112</v>
      </c>
      <c r="G20" s="10" t="n">
        <f aca="false">SUMIFS('Source 2025'!$Q:$Q,'Source 2025'!$B:$B,$A20,'Source 2025'!$A:$A,"Amount (NIS)")</f>
        <v>162880.5</v>
      </c>
      <c r="H20" s="10" t="n">
        <f aca="false">SUMIFS('Source 2026'!$Q:$Q,'Source 2026'!$B:$B,$A20,'Source 2026'!$A:$A,"Amount (NIS)")</f>
        <v>101877.3</v>
      </c>
      <c r="I20" s="10" t="n">
        <f aca="false">H20-G20</f>
        <v>-61003.2</v>
      </c>
      <c r="J20" s="9" t="n">
        <f aca="false">IF(AND(G20=0,H20=0),0,IF(G20=0,"New",(H20-G20)/G20))</f>
        <v>-0.374527337526592</v>
      </c>
    </row>
    <row r="21" customFormat="false" ht="15" hidden="false" customHeight="false" outlineLevel="0" collapsed="false">
      <c r="A21" s="7" t="s">
        <v>53</v>
      </c>
      <c r="B21" s="7" t="str">
        <f aca="false">IFERROR(INDEX('Source 2026'!$C:$C,MATCH($A21,'Source 2026'!$B:$B,0)),IFERROR(INDEX('Source 2025'!$C:$C,MATCH($A21,'Source 2025'!$B:$B,0)),""))</f>
        <v>סד ליד דו צדדי</v>
      </c>
      <c r="C21" s="8" t="n">
        <f aca="false">SUMIFS('Source 2025'!$Q:$Q,'Source 2025'!$B:$B,$A21,'Source 2025'!$A:$A,"Quantity (units)")</f>
        <v>4521</v>
      </c>
      <c r="D21" s="8" t="n">
        <f aca="false">SUMIFS('Source 2026'!$Q:$Q,'Source 2026'!$B:$B,$A21,'Source 2026'!$A:$A,"Quantity (units)")</f>
        <v>3632</v>
      </c>
      <c r="E21" s="8" t="n">
        <f aca="false">D21-C21</f>
        <v>-889</v>
      </c>
      <c r="F21" s="9" t="n">
        <f aca="false">IF(AND(C21=0,D21=0),0,IF(C21=0,"New",(D21-C21)/C21))</f>
        <v>-0.196637911966379</v>
      </c>
      <c r="G21" s="10" t="n">
        <f aca="false">SUMIFS('Source 2025'!$Q:$Q,'Source 2025'!$B:$B,$A21,'Source 2025'!$A:$A,"Amount (NIS)")</f>
        <v>304743.2</v>
      </c>
      <c r="H21" s="10" t="n">
        <f aca="false">SUMIFS('Source 2026'!$Q:$Q,'Source 2026'!$B:$B,$A21,'Source 2026'!$A:$A,"Amount (NIS)")</f>
        <v>245794.8</v>
      </c>
      <c r="I21" s="10" t="n">
        <f aca="false">H21-G21</f>
        <v>-58948.4</v>
      </c>
      <c r="J21" s="9" t="n">
        <f aca="false">IF(AND(G21=0,H21=0),0,IF(G21=0,"New",(H21-G21)/G21))</f>
        <v>-0.193436309653505</v>
      </c>
    </row>
    <row r="22" customFormat="false" ht="15" hidden="false" customHeight="false" outlineLevel="0" collapsed="false">
      <c r="A22" s="7" t="s">
        <v>54</v>
      </c>
      <c r="B22" s="7" t="str">
        <f aca="false">IFERROR(INDEX('Source 2026'!$C:$C,MATCH($A22,'Source 2026'!$B:$B,0)),IFERROR(INDEX('Source 2025'!$C:$C,MATCH($A22,'Source 2025'!$B:$B,0)),""))</f>
        <v>גב אפורה</v>
      </c>
      <c r="C22" s="8" t="n">
        <f aca="false">SUMIFS('Source 2025'!$Q:$Q,'Source 2025'!$B:$B,$A22,'Source 2025'!$A:$A,"Quantity (units)")</f>
        <v>1499</v>
      </c>
      <c r="D22" s="8" t="n">
        <f aca="false">SUMIFS('Source 2026'!$Q:$Q,'Source 2026'!$B:$B,$A22,'Source 2026'!$A:$A,"Quantity (units)")</f>
        <v>892</v>
      </c>
      <c r="E22" s="8" t="n">
        <f aca="false">D22-C22</f>
        <v>-607</v>
      </c>
      <c r="F22" s="9" t="n">
        <f aca="false">IF(AND(C22=0,D22=0),0,IF(C22=0,"New",(D22-C22)/C22))</f>
        <v>-0.404936624416278</v>
      </c>
      <c r="G22" s="10" t="n">
        <f aca="false">SUMIFS('Source 2025'!$Q:$Q,'Source 2025'!$B:$B,$A22,'Source 2025'!$A:$A,"Amount (NIS)")</f>
        <v>137916.9</v>
      </c>
      <c r="H22" s="10" t="n">
        <f aca="false">SUMIFS('Source 2026'!$Q:$Q,'Source 2026'!$B:$B,$A22,'Source 2026'!$A:$A,"Amount (NIS)")</f>
        <v>83552.7</v>
      </c>
      <c r="I22" s="10" t="n">
        <f aca="false">H22-G22</f>
        <v>-54364.2</v>
      </c>
      <c r="J22" s="9" t="n">
        <f aca="false">IF(AND(G22=0,H22=0),0,IF(G22=0,"New",(H22-G22)/G22))</f>
        <v>-0.394180843681956</v>
      </c>
    </row>
    <row r="23" customFormat="false" ht="15" hidden="false" customHeight="false" outlineLevel="0" collapsed="false">
      <c r="A23" s="7" t="s">
        <v>55</v>
      </c>
      <c r="B23" s="7" t="str">
        <f aca="false">IFERROR(INDEX('Source 2026'!$C:$C,MATCH($A23,'Source 2026'!$B:$B,0)),IFERROR(INDEX('Source 2025'!$C:$C,MATCH($A23,'Source 2025'!$B:$B,0)),""))</f>
        <v>חגורת גב אפורה</v>
      </c>
      <c r="C23" s="8" t="n">
        <f aca="false">SUMIFS('Source 2025'!$Q:$Q,'Source 2025'!$B:$B,$A23,'Source 2025'!$A:$A,"Quantity (units)")</f>
        <v>1760</v>
      </c>
      <c r="D23" s="8" t="n">
        <f aca="false">SUMIFS('Source 2026'!$Q:$Q,'Source 2026'!$B:$B,$A23,'Source 2026'!$A:$A,"Quantity (units)")</f>
        <v>1180</v>
      </c>
      <c r="E23" s="8" t="n">
        <f aca="false">D23-C23</f>
        <v>-580</v>
      </c>
      <c r="F23" s="9" t="n">
        <f aca="false">IF(AND(C23=0,D23=0),0,IF(C23=0,"New",(D23-C23)/C23))</f>
        <v>-0.329545454545455</v>
      </c>
      <c r="G23" s="10" t="n">
        <f aca="false">SUMIFS('Source 2025'!$Q:$Q,'Source 2025'!$B:$B,$A23,'Source 2025'!$A:$A,"Amount (NIS)")</f>
        <v>161994.9</v>
      </c>
      <c r="H23" s="10" t="n">
        <f aca="false">SUMIFS('Source 2026'!$Q:$Q,'Source 2026'!$B:$B,$A23,'Source 2026'!$A:$A,"Amount (NIS)")</f>
        <v>110437.7</v>
      </c>
      <c r="I23" s="10" t="n">
        <f aca="false">H23-G23</f>
        <v>-51557.2</v>
      </c>
      <c r="J23" s="9" t="n">
        <f aca="false">IF(AND(G23=0,H23=0),0,IF(G23=0,"New",(H23-G23)/G23))</f>
        <v>-0.318264340420594</v>
      </c>
    </row>
    <row r="24" customFormat="false" ht="15" hidden="false" customHeight="false" outlineLevel="0" collapsed="false">
      <c r="A24" s="7" t="s">
        <v>56</v>
      </c>
      <c r="B24" s="7" t="str">
        <f aca="false">IFERROR(INDEX('Source 2026'!$C:$C,MATCH($A24,'Source 2026'!$B:$B,0)),IFERROR(INDEX('Source 2025'!$C:$C,MATCH($A24,'Source 2025'!$B:$B,0)),""))</f>
        <v>S מגן קרסול לבן</v>
      </c>
      <c r="C24" s="8" t="n">
        <f aca="false">SUMIFS('Source 2025'!$Q:$Q,'Source 2025'!$B:$B,$A24,'Source 2025'!$A:$A,"Quantity (units)")</f>
        <v>5910</v>
      </c>
      <c r="D24" s="8" t="n">
        <f aca="false">SUMIFS('Source 2026'!$Q:$Q,'Source 2026'!$B:$B,$A24,'Source 2026'!$A:$A,"Quantity (units)")</f>
        <v>3889</v>
      </c>
      <c r="E24" s="8" t="n">
        <f aca="false">D24-C24</f>
        <v>-2021</v>
      </c>
      <c r="F24" s="9" t="n">
        <f aca="false">IF(AND(C24=0,D24=0),0,IF(C24=0,"New",(D24-C24)/C24))</f>
        <v>-0.341962774957699</v>
      </c>
      <c r="G24" s="10" t="n">
        <f aca="false">SUMIFS('Source 2025'!$Q:$Q,'Source 2025'!$B:$B,$A24,'Source 2025'!$A:$A,"Amount (NIS)")</f>
        <v>151929.9</v>
      </c>
      <c r="H24" s="10" t="n">
        <f aca="false">SUMIFS('Source 2026'!$Q:$Q,'Source 2026'!$B:$B,$A24,'Source 2026'!$A:$A,"Amount (NIS)")</f>
        <v>101337</v>
      </c>
      <c r="I24" s="10" t="n">
        <f aca="false">H24-G24</f>
        <v>-50592.9</v>
      </c>
      <c r="J24" s="9" t="n">
        <f aca="false">IF(AND(G24=0,H24=0),0,IF(G24=0,"New",(H24-G24)/G24))</f>
        <v>-0.333001601396434</v>
      </c>
    </row>
    <row r="25" customFormat="false" ht="15" hidden="false" customHeight="false" outlineLevel="0" collapsed="false">
      <c r="A25" s="7" t="s">
        <v>57</v>
      </c>
      <c r="B25" s="7" t="str">
        <f aca="false">IFERROR(INDEX('Source 2026'!$C:$C,MATCH($A25,'Source 2026'!$B:$B,0)),IFERROR(INDEX('Source 2025'!$C:$C,MATCH($A25,'Source 2025'!$B:$B,0)),""))</f>
        <v>S""חגורת בטן""אורירית</v>
      </c>
      <c r="C25" s="8" t="n">
        <f aca="false">SUMIFS('Source 2025'!$Q:$Q,'Source 2025'!$B:$B,$A25,'Source 2025'!$A:$A,"Quantity (units)")</f>
        <v>1369</v>
      </c>
      <c r="D25" s="8" t="n">
        <f aca="false">SUMIFS('Source 2026'!$Q:$Q,'Source 2026'!$B:$B,$A25,'Source 2026'!$A:$A,"Quantity (units)")</f>
        <v>805</v>
      </c>
      <c r="E25" s="8" t="n">
        <f aca="false">D25-C25</f>
        <v>-564</v>
      </c>
      <c r="F25" s="9" t="n">
        <f aca="false">IF(AND(C25=0,D25=0),0,IF(C25=0,"New",(D25-C25)/C25))</f>
        <v>-0.411979547114682</v>
      </c>
      <c r="G25" s="10" t="n">
        <f aca="false">SUMIFS('Source 2025'!$Q:$Q,'Source 2025'!$B:$B,$A25,'Source 2025'!$A:$A,"Amount (NIS)")</f>
        <v>122995.2</v>
      </c>
      <c r="H25" s="10" t="n">
        <f aca="false">SUMIFS('Source 2026'!$Q:$Q,'Source 2026'!$B:$B,$A25,'Source 2026'!$A:$A,"Amount (NIS)")</f>
        <v>72957.1</v>
      </c>
      <c r="I25" s="10" t="n">
        <f aca="false">H25-G25</f>
        <v>-50038.1</v>
      </c>
      <c r="J25" s="9" t="n">
        <f aca="false">IF(AND(G25=0,H25=0),0,IF(G25=0,"New",(H25-G25)/G25))</f>
        <v>-0.406829697419086</v>
      </c>
    </row>
    <row r="26" customFormat="false" ht="15" hidden="false" customHeight="false" outlineLevel="0" collapsed="false">
      <c r="A26" s="7" t="s">
        <v>58</v>
      </c>
      <c r="B26" s="7" t="str">
        <f aca="false">IFERROR(INDEX('Source 2026'!$C:$C,MATCH($A26,'Source 2026'!$B:$B,0)),IFERROR(INDEX('Source 2025'!$C:$C,MATCH($A26,'Source 2025'!$B:$B,0)),""))</f>
        <v>L מגן ברך לבן</v>
      </c>
      <c r="C26" s="8" t="n">
        <f aca="false">SUMIFS('Source 2025'!$Q:$Q,'Source 2025'!$B:$B,$A26,'Source 2025'!$A:$A,"Quantity (units)")</f>
        <v>5449</v>
      </c>
      <c r="D26" s="8" t="n">
        <f aca="false">SUMIFS('Source 2026'!$Q:$Q,'Source 2026'!$B:$B,$A26,'Source 2026'!$A:$A,"Quantity (units)")</f>
        <v>3475</v>
      </c>
      <c r="E26" s="8" t="n">
        <f aca="false">D26-C26</f>
        <v>-1974</v>
      </c>
      <c r="F26" s="9" t="n">
        <f aca="false">IF(AND(C26=0,D26=0),0,IF(C26=0,"New",(D26-C26)/C26))</f>
        <v>-0.362268306111213</v>
      </c>
      <c r="G26" s="10" t="n">
        <f aca="false">SUMIFS('Source 2025'!$Q:$Q,'Source 2025'!$B:$B,$A26,'Source 2025'!$A:$A,"Amount (NIS)")</f>
        <v>140113</v>
      </c>
      <c r="H26" s="10" t="n">
        <f aca="false">SUMIFS('Source 2026'!$Q:$Q,'Source 2026'!$B:$B,$A26,'Source 2026'!$A:$A,"Amount (NIS)")</f>
        <v>90544.3</v>
      </c>
      <c r="I26" s="10" t="n">
        <f aca="false">H26-G26</f>
        <v>-49568.7</v>
      </c>
      <c r="J26" s="9" t="n">
        <f aca="false">IF(AND(G26=0,H26=0),0,IF(G26=0,"New",(H26-G26)/G26))</f>
        <v>-0.353776594605783</v>
      </c>
    </row>
    <row r="27" customFormat="false" ht="15" hidden="false" customHeight="false" outlineLevel="0" collapsed="false">
      <c r="A27" s="7" t="s">
        <v>59</v>
      </c>
      <c r="B27" s="7" t="str">
        <f aca="false">IFERROR(INDEX('Source 2026'!$C:$C,MATCH($A27,'Source 2026'!$B:$B,0)),IFERROR(INDEX('Source 2025'!$C:$C,MATCH($A27,'Source 2025'!$B:$B,0)),""))</f>
        <v>יד אגודלי</v>
      </c>
      <c r="C27" s="8" t="n">
        <f aca="false">SUMIFS('Source 2025'!$Q:$Q,'Source 2025'!$B:$B,$A27,'Source 2025'!$A:$A,"Quantity (units)")</f>
        <v>5414</v>
      </c>
      <c r="D27" s="8" t="n">
        <f aca="false">SUMIFS('Source 2026'!$Q:$Q,'Source 2026'!$B:$B,$A27,'Source 2026'!$A:$A,"Quantity (units)")</f>
        <v>4087</v>
      </c>
      <c r="E27" s="8" t="n">
        <f aca="false">D27-C27</f>
        <v>-1327</v>
      </c>
      <c r="F27" s="9" t="n">
        <f aca="false">IF(AND(C27=0,D27=0),0,IF(C27=0,"New",(D27-C27)/C27))</f>
        <v>-0.245105282600665</v>
      </c>
      <c r="G27" s="10" t="n">
        <f aca="false">SUMIFS('Source 2025'!$Q:$Q,'Source 2025'!$B:$B,$A27,'Source 2025'!$A:$A,"Amount (NIS)")</f>
        <v>199054.3</v>
      </c>
      <c r="H27" s="10" t="n">
        <f aca="false">SUMIFS('Source 2026'!$Q:$Q,'Source 2026'!$B:$B,$A27,'Source 2026'!$A:$A,"Amount (NIS)")</f>
        <v>152480.8</v>
      </c>
      <c r="I27" s="10" t="n">
        <f aca="false">H27-G27</f>
        <v>-46573.5</v>
      </c>
      <c r="J27" s="9" t="n">
        <f aca="false">IF(AND(G27=0,H27=0),0,IF(G27=0,"New",(H27-G27)/G27))</f>
        <v>-0.233973845327632</v>
      </c>
    </row>
    <row r="28" customFormat="false" ht="15" hidden="false" customHeight="false" outlineLevel="0" collapsed="false">
      <c r="A28" s="7" t="s">
        <v>60</v>
      </c>
      <c r="B28" s="7" t="str">
        <f aca="false">IFERROR(INDEX('Source 2026'!$C:$C,MATCH($A28,'Source 2026'!$B:$B,0)),IFERROR(INDEX('Source 2025'!$C:$C,MATCH($A28,'Source 2025'!$B:$B,0)),""))</f>
        <v>יד אגודלי</v>
      </c>
      <c r="C28" s="8" t="n">
        <f aca="false">SUMIFS('Source 2025'!$Q:$Q,'Source 2025'!$B:$B,$A28,'Source 2025'!$A:$A,"Quantity (units)")</f>
        <v>4392</v>
      </c>
      <c r="D28" s="8" t="n">
        <f aca="false">SUMIFS('Source 2026'!$Q:$Q,'Source 2026'!$B:$B,$A28,'Source 2026'!$A:$A,"Quantity (units)")</f>
        <v>3316</v>
      </c>
      <c r="E28" s="8" t="n">
        <f aca="false">D28-C28</f>
        <v>-1076</v>
      </c>
      <c r="F28" s="9" t="n">
        <f aca="false">IF(AND(C28=0,D28=0),0,IF(C28=0,"New",(D28-C28)/C28))</f>
        <v>-0.244990892531876</v>
      </c>
      <c r="G28" s="10" t="n">
        <f aca="false">SUMIFS('Source 2025'!$Q:$Q,'Source 2025'!$B:$B,$A28,'Source 2025'!$A:$A,"Amount (NIS)")</f>
        <v>161481.4</v>
      </c>
      <c r="H28" s="10" t="n">
        <f aca="false">SUMIFS('Source 2026'!$Q:$Q,'Source 2026'!$B:$B,$A28,'Source 2026'!$A:$A,"Amount (NIS)")</f>
        <v>123767.5</v>
      </c>
      <c r="I28" s="10" t="n">
        <f aca="false">H28-G28</f>
        <v>-37713.9</v>
      </c>
      <c r="J28" s="9" t="n">
        <f aca="false">IF(AND(G28=0,H28=0),0,IF(G28=0,"New",(H28-G28)/G28))</f>
        <v>-0.233549498580022</v>
      </c>
    </row>
    <row r="29" customFormat="false" ht="15" hidden="false" customHeight="false" outlineLevel="0" collapsed="false">
      <c r="A29" s="7" t="s">
        <v>61</v>
      </c>
      <c r="B29" s="7" t="str">
        <f aca="false">IFERROR(INDEX('Source 2026'!$C:$C,MATCH($A29,'Source 2026'!$B:$B,0)),IFERROR(INDEX('Source 2025'!$C:$C,MATCH($A29,'Source 2025'!$B:$B,0)),""))</f>
        <v>חגורת גב אפורה</v>
      </c>
      <c r="C29" s="8" t="n">
        <f aca="false">SUMIFS('Source 2025'!$Q:$Q,'Source 2025'!$B:$B,$A29,'Source 2025'!$A:$A,"Quantity (units)")</f>
        <v>1204</v>
      </c>
      <c r="D29" s="8" t="n">
        <f aca="false">SUMIFS('Source 2026'!$Q:$Q,'Source 2026'!$B:$B,$A29,'Source 2026'!$A:$A,"Quantity (units)")</f>
        <v>807</v>
      </c>
      <c r="E29" s="8" t="n">
        <f aca="false">D29-C29</f>
        <v>-397</v>
      </c>
      <c r="F29" s="9" t="n">
        <f aca="false">IF(AND(C29=0,D29=0),0,IF(C29=0,"New",(D29-C29)/C29))</f>
        <v>-0.329734219269103</v>
      </c>
      <c r="G29" s="10" t="n">
        <f aca="false">SUMIFS('Source 2025'!$Q:$Q,'Source 2025'!$B:$B,$A29,'Source 2025'!$A:$A,"Amount (NIS)")</f>
        <v>110749.4</v>
      </c>
      <c r="H29" s="10" t="n">
        <f aca="false">SUMIFS('Source 2026'!$Q:$Q,'Source 2026'!$B:$B,$A29,'Source 2026'!$A:$A,"Amount (NIS)")</f>
        <v>75572.3</v>
      </c>
      <c r="I29" s="10" t="n">
        <f aca="false">H29-G29</f>
        <v>-35177.1</v>
      </c>
      <c r="J29" s="9" t="n">
        <f aca="false">IF(AND(G29=0,H29=0),0,IF(G29=0,"New",(H29-G29)/G29))</f>
        <v>-0.317627905884817</v>
      </c>
    </row>
    <row r="30" customFormat="false" ht="15" hidden="false" customHeight="false" outlineLevel="0" collapsed="false">
      <c r="A30" s="7" t="s">
        <v>62</v>
      </c>
      <c r="B30" s="7" t="str">
        <f aca="false">IFERROR(INDEX('Source 2026'!$C:$C,MATCH($A30,'Source 2026'!$B:$B,0)),IFERROR(INDEX('Source 2025'!$C:$C,MATCH($A30,'Source 2025'!$B:$B,0)),""))</f>
        <v>L (מתלה ליד )כיס</v>
      </c>
      <c r="C30" s="8" t="n">
        <f aca="false">SUMIFS('Source 2025'!$Q:$Q,'Source 2025'!$B:$B,$A30,'Source 2025'!$A:$A,"Quantity (units)")</f>
        <v>2070</v>
      </c>
      <c r="D30" s="8" t="n">
        <f aca="false">SUMIFS('Source 2026'!$Q:$Q,'Source 2026'!$B:$B,$A30,'Source 2026'!$A:$A,"Quantity (units)")</f>
        <v>1381</v>
      </c>
      <c r="E30" s="8" t="n">
        <f aca="false">D30-C30</f>
        <v>-689</v>
      </c>
      <c r="F30" s="9" t="n">
        <f aca="false">IF(AND(C30=0,D30=0),0,IF(C30=0,"New",(D30-C30)/C30))</f>
        <v>-0.332850241545894</v>
      </c>
      <c r="G30" s="10" t="n">
        <f aca="false">SUMIFS('Source 2025'!$Q:$Q,'Source 2025'!$B:$B,$A30,'Source 2025'!$A:$A,"Amount (NIS)")</f>
        <v>100585.5</v>
      </c>
      <c r="H30" s="10" t="n">
        <f aca="false">SUMIFS('Source 2026'!$Q:$Q,'Source 2026'!$B:$B,$A30,'Source 2026'!$A:$A,"Amount (NIS)")</f>
        <v>67122.1</v>
      </c>
      <c r="I30" s="10" t="n">
        <f aca="false">H30-G30</f>
        <v>-33463.4</v>
      </c>
      <c r="J30" s="9" t="n">
        <f aca="false">IF(AND(G30=0,H30=0),0,IF(G30=0,"New",(H30-G30)/G30))</f>
        <v>-0.332686122751291</v>
      </c>
    </row>
    <row r="31" customFormat="false" ht="15" hidden="false" customHeight="false" outlineLevel="0" collapsed="false">
      <c r="A31" s="7" t="s">
        <v>63</v>
      </c>
      <c r="B31" s="7" t="str">
        <f aca="false">IFERROR(INDEX('Source 2026'!$C:$C,MATCH($A31,'Source 2026'!$B:$B,0)),IFERROR(INDEX('Source 2025'!$C:$C,MATCH($A31,'Source 2025'!$B:$B,0)),""))</f>
        <v>L עקבים לדורבן-זוג כריות</v>
      </c>
      <c r="C31" s="8" t="n">
        <f aca="false">SUMIFS('Source 2025'!$Q:$Q,'Source 2025'!$B:$B,$A31,'Source 2025'!$A:$A,"Quantity (units)")</f>
        <v>1284</v>
      </c>
      <c r="D31" s="8" t="n">
        <f aca="false">SUMIFS('Source 2026'!$Q:$Q,'Source 2026'!$B:$B,$A31,'Source 2026'!$A:$A,"Quantity (units)")</f>
        <v>924</v>
      </c>
      <c r="E31" s="8" t="n">
        <f aca="false">D31-C31</f>
        <v>-360</v>
      </c>
      <c r="F31" s="9" t="n">
        <f aca="false">IF(AND(C31=0,D31=0),0,IF(C31=0,"New",(D31-C31)/C31))</f>
        <v>-0.280373831775701</v>
      </c>
      <c r="G31" s="10" t="n">
        <f aca="false">SUMIFS('Source 2025'!$Q:$Q,'Source 2025'!$B:$B,$A31,'Source 2025'!$A:$A,"Amount (NIS)")</f>
        <v>104119.4</v>
      </c>
      <c r="H31" s="10" t="n">
        <f aca="false">SUMIFS('Source 2026'!$Q:$Q,'Source 2026'!$B:$B,$A31,'Source 2026'!$A:$A,"Amount (NIS)")</f>
        <v>74448.4</v>
      </c>
      <c r="I31" s="10" t="n">
        <f aca="false">H31-G31</f>
        <v>-29671</v>
      </c>
      <c r="J31" s="9" t="n">
        <f aca="false">IF(AND(G31=0,H31=0),0,IF(G31=0,"New",(H31-G31)/G31))</f>
        <v>-0.284970908399395</v>
      </c>
    </row>
    <row r="32" customFormat="false" ht="15" hidden="false" customHeight="false" outlineLevel="0" collapsed="false">
      <c r="A32" s="7" t="s">
        <v>64</v>
      </c>
      <c r="B32" s="7" t="str">
        <f aca="false">IFERROR(INDEX('Source 2026'!$C:$C,MATCH($A32,'Source 2026'!$B:$B,0)),IFERROR(INDEX('Source 2025'!$C:$C,MATCH($A32,'Source 2025'!$B:$B,0)),""))</f>
        <v>1 תומך ברך גנושילד</v>
      </c>
      <c r="C32" s="8" t="n">
        <f aca="false">SUMIFS('Source 2025'!$Q:$Q,'Source 2025'!$B:$B,$A32,'Source 2025'!$A:$A,"Quantity (units)")</f>
        <v>0</v>
      </c>
      <c r="D32" s="8" t="n">
        <f aca="false">SUMIFS('Source 2026'!$Q:$Q,'Source 2026'!$B:$B,$A32,'Source 2026'!$A:$A,"Quantity (units)")</f>
        <v>149</v>
      </c>
      <c r="E32" s="8" t="n">
        <f aca="false">D32-C32</f>
        <v>149</v>
      </c>
      <c r="F32" s="9" t="str">
        <f aca="false">IF(AND(C32=0,D32=0),0,IF(C32=0,"New",(D32-C32)/C32))</f>
        <v>New</v>
      </c>
      <c r="G32" s="10" t="n">
        <f aca="false">SUMIFS('Source 2025'!$Q:$Q,'Source 2025'!$B:$B,$A32,'Source 2025'!$A:$A,"Amount (NIS)")</f>
        <v>0</v>
      </c>
      <c r="H32" s="10" t="n">
        <f aca="false">SUMIFS('Source 2026'!$Q:$Q,'Source 2026'!$B:$B,$A32,'Source 2026'!$A:$A,"Amount (NIS)")</f>
        <v>26893.1</v>
      </c>
      <c r="I32" s="10" t="n">
        <f aca="false">H32-G32</f>
        <v>26893.1</v>
      </c>
      <c r="J32" s="9" t="str">
        <f aca="false">IF(AND(G32=0,H32=0),0,IF(G32=0,"New",(H32-G32)/G32))</f>
        <v>New</v>
      </c>
    </row>
    <row r="33" customFormat="false" ht="15" hidden="false" customHeight="false" outlineLevel="0" collapsed="false">
      <c r="A33" s="7" t="s">
        <v>65</v>
      </c>
      <c r="B33" s="7" t="str">
        <f aca="false">IFERROR(INDEX('Source 2026'!$C:$C,MATCH($A33,'Source 2026'!$B:$B,0)),IFERROR(INDEX('Source 2025'!$C:$C,MATCH($A33,'Source 2025'!$B:$B,0)),""))</f>
        <v>M 'מגן מרפק בז</v>
      </c>
      <c r="C33" s="8" t="n">
        <f aca="false">SUMIFS('Source 2025'!$Q:$Q,'Source 2025'!$B:$B,$A33,'Source 2025'!$A:$A,"Quantity (units)")</f>
        <v>3002</v>
      </c>
      <c r="D33" s="8" t="n">
        <f aca="false">SUMIFS('Source 2026'!$Q:$Q,'Source 2026'!$B:$B,$A33,'Source 2026'!$A:$A,"Quantity (units)")</f>
        <v>1943</v>
      </c>
      <c r="E33" s="8" t="n">
        <f aca="false">D33-C33</f>
        <v>-1059</v>
      </c>
      <c r="F33" s="9" t="n">
        <f aca="false">IF(AND(C33=0,D33=0),0,IF(C33=0,"New",(D33-C33)/C33))</f>
        <v>-0.352764823451033</v>
      </c>
      <c r="G33" s="10" t="n">
        <f aca="false">SUMIFS('Source 2025'!$Q:$Q,'Source 2025'!$B:$B,$A33,'Source 2025'!$A:$A,"Amount (NIS)")</f>
        <v>77209.1</v>
      </c>
      <c r="H33" s="10" t="n">
        <f aca="false">SUMIFS('Source 2026'!$Q:$Q,'Source 2026'!$B:$B,$A33,'Source 2026'!$A:$A,"Amount (NIS)")</f>
        <v>50700.2</v>
      </c>
      <c r="I33" s="10" t="n">
        <f aca="false">H33-G33</f>
        <v>-26508.9</v>
      </c>
      <c r="J33" s="9" t="n">
        <f aca="false">IF(AND(G33=0,H33=0),0,IF(G33=0,"New",(H33-G33)/G33))</f>
        <v>-0.343339062364411</v>
      </c>
    </row>
    <row r="34" customFormat="false" ht="15" hidden="false" customHeight="false" outlineLevel="0" collapsed="false">
      <c r="A34" s="7" t="s">
        <v>66</v>
      </c>
      <c r="B34" s="7" t="str">
        <f aca="false">IFERROR(INDEX('Source 2026'!$C:$C,MATCH($A34,'Source 2026'!$B:$B,0)),IFERROR(INDEX('Source 2025'!$C:$C,MATCH($A34,'Source 2025'!$B:$B,0)),""))</f>
        <v>מגן ברך עם תמיכות</v>
      </c>
      <c r="C34" s="8" t="n">
        <f aca="false">SUMIFS('Source 2025'!$Q:$Q,'Source 2025'!$B:$B,$A34,'Source 2025'!$A:$A,"Quantity (units)")</f>
        <v>87</v>
      </c>
      <c r="D34" s="8" t="n">
        <f aca="false">SUMIFS('Source 2026'!$Q:$Q,'Source 2026'!$B:$B,$A34,'Source 2026'!$A:$A,"Quantity (units)")</f>
        <v>480</v>
      </c>
      <c r="E34" s="8" t="n">
        <f aca="false">D34-C34</f>
        <v>393</v>
      </c>
      <c r="F34" s="9" t="n">
        <f aca="false">IF(AND(C34=0,D34=0),0,IF(C34=0,"New",(D34-C34)/C34))</f>
        <v>4.51724137931035</v>
      </c>
      <c r="G34" s="10" t="n">
        <f aca="false">SUMIFS('Source 2025'!$Q:$Q,'Source 2025'!$B:$B,$A34,'Source 2025'!$A:$A,"Amount (NIS)")</f>
        <v>5062.6</v>
      </c>
      <c r="H34" s="10" t="n">
        <f aca="false">SUMIFS('Source 2026'!$Q:$Q,'Source 2026'!$B:$B,$A34,'Source 2026'!$A:$A,"Amount (NIS)")</f>
        <v>30593.7</v>
      </c>
      <c r="I34" s="10" t="n">
        <f aca="false">H34-G34</f>
        <v>25531.1</v>
      </c>
      <c r="J34" s="9" t="n">
        <f aca="false">IF(AND(G34=0,H34=0),0,IF(G34=0,"New",(H34-G34)/G34))</f>
        <v>5.04308063050606</v>
      </c>
    </row>
    <row r="35" customFormat="false" ht="15" hidden="false" customHeight="false" outlineLevel="0" collapsed="false">
      <c r="A35" s="7" t="s">
        <v>67</v>
      </c>
      <c r="B35" s="7" t="str">
        <f aca="false">IFERROR(INDEX('Source 2026'!$C:$C,MATCH($A35,'Source 2026'!$B:$B,0)),IFERROR(INDEX('Source 2025'!$C:$C,MATCH($A35,'Source 2025'!$B:$B,0)),""))</f>
        <v>שרוול מטטרזלי מסיליקון</v>
      </c>
      <c r="C35" s="8" t="n">
        <f aca="false">SUMIFS('Source 2025'!$Q:$Q,'Source 2025'!$B:$B,$A35,'Source 2025'!$A:$A,"Quantity (units)")</f>
        <v>1179</v>
      </c>
      <c r="D35" s="8" t="n">
        <f aca="false">SUMIFS('Source 2026'!$Q:$Q,'Source 2026'!$B:$B,$A35,'Source 2026'!$A:$A,"Quantity (units)")</f>
        <v>724</v>
      </c>
      <c r="E35" s="8" t="n">
        <f aca="false">D35-C35</f>
        <v>-455</v>
      </c>
      <c r="F35" s="9" t="n">
        <f aca="false">IF(AND(C35=0,D35=0),0,IF(C35=0,"New",(D35-C35)/C35))</f>
        <v>-0.385920271416455</v>
      </c>
      <c r="G35" s="10" t="n">
        <f aca="false">SUMIFS('Source 2025'!$Q:$Q,'Source 2025'!$B:$B,$A35,'Source 2025'!$A:$A,"Amount (NIS)")</f>
        <v>61190.5</v>
      </c>
      <c r="H35" s="10" t="n">
        <f aca="false">SUMIFS('Source 2026'!$Q:$Q,'Source 2026'!$B:$B,$A35,'Source 2026'!$A:$A,"Amount (NIS)")</f>
        <v>37711.2</v>
      </c>
      <c r="I35" s="10" t="n">
        <f aca="false">H35-G35</f>
        <v>-23479.3</v>
      </c>
      <c r="J35" s="9" t="n">
        <f aca="false">IF(AND(G35=0,H35=0),0,IF(G35=0,"New",(H35-G35)/G35))</f>
        <v>-0.383708255366438</v>
      </c>
    </row>
    <row r="36" customFormat="false" ht="15" hidden="false" customHeight="false" outlineLevel="0" collapsed="false">
      <c r="A36" s="7" t="s">
        <v>68</v>
      </c>
      <c r="B36" s="7" t="str">
        <f aca="false">IFERROR(INDEX('Source 2026'!$C:$C,MATCH($A36,'Source 2026'!$B:$B,0)),IFERROR(INDEX('Source 2025'!$C:$C,MATCH($A36,'Source 2025'!$B:$B,0)),""))</f>
        <v>פיקה לברך</v>
      </c>
      <c r="C36" s="8" t="n">
        <f aca="false">SUMIFS('Source 2025'!$Q:$Q,'Source 2025'!$B:$B,$A36,'Source 2025'!$A:$A,"Quantity (units)")</f>
        <v>965</v>
      </c>
      <c r="D36" s="8" t="n">
        <f aca="false">SUMIFS('Source 2026'!$Q:$Q,'Source 2026'!$B:$B,$A36,'Source 2026'!$A:$A,"Quantity (units)")</f>
        <v>461</v>
      </c>
      <c r="E36" s="8" t="n">
        <f aca="false">D36-C36</f>
        <v>-504</v>
      </c>
      <c r="F36" s="9" t="n">
        <f aca="false">IF(AND(C36=0,D36=0),0,IF(C36=0,"New",(D36-C36)/C36))</f>
        <v>-0.522279792746114</v>
      </c>
      <c r="G36" s="10" t="n">
        <f aca="false">SUMIFS('Source 2025'!$Q:$Q,'Source 2025'!$B:$B,$A36,'Source 2025'!$A:$A,"Amount (NIS)")</f>
        <v>43385.1</v>
      </c>
      <c r="H36" s="10" t="n">
        <f aca="false">SUMIFS('Source 2026'!$Q:$Q,'Source 2026'!$B:$B,$A36,'Source 2026'!$A:$A,"Amount (NIS)")</f>
        <v>20707.1</v>
      </c>
      <c r="I36" s="10" t="n">
        <f aca="false">H36-G36</f>
        <v>-22678</v>
      </c>
      <c r="J36" s="9" t="n">
        <f aca="false">IF(AND(G36=0,H36=0),0,IF(G36=0,"New",(H36-G36)/G36))</f>
        <v>-0.522714019329217</v>
      </c>
    </row>
    <row r="37" customFormat="false" ht="15" hidden="false" customHeight="false" outlineLevel="0" collapsed="false">
      <c r="A37" s="7" t="s">
        <v>69</v>
      </c>
      <c r="B37" s="7" t="str">
        <f aca="false">IFERROR(INDEX('Source 2026'!$C:$C,MATCH($A37,'Source 2026'!$B:$B,0)),IFERROR(INDEX('Source 2025'!$C:$C,MATCH($A37,'Source 2025'!$B:$B,0)),""))</f>
        <v>לציפורן חודרנית</v>
      </c>
      <c r="C37" s="8" t="n">
        <f aca="false">SUMIFS('Source 2025'!$Q:$Q,'Source 2025'!$B:$B,$A37,'Source 2025'!$A:$A,"Quantity (units)")</f>
        <v>2132</v>
      </c>
      <c r="D37" s="8" t="n">
        <f aca="false">SUMIFS('Source 2026'!$Q:$Q,'Source 2026'!$B:$B,$A37,'Source 2026'!$A:$A,"Quantity (units)")</f>
        <v>1430</v>
      </c>
      <c r="E37" s="8" t="n">
        <f aca="false">D37-C37</f>
        <v>-702</v>
      </c>
      <c r="F37" s="9" t="n">
        <f aca="false">IF(AND(C37=0,D37=0),0,IF(C37=0,"New",(D37-C37)/C37))</f>
        <v>-0.329268292682927</v>
      </c>
      <c r="G37" s="10" t="n">
        <f aca="false">SUMIFS('Source 2025'!$Q:$Q,'Source 2025'!$B:$B,$A37,'Source 2025'!$A:$A,"Amount (NIS)")</f>
        <v>66609.4</v>
      </c>
      <c r="H37" s="10" t="n">
        <f aca="false">SUMIFS('Source 2026'!$Q:$Q,'Source 2026'!$B:$B,$A37,'Source 2026'!$A:$A,"Amount (NIS)")</f>
        <v>44688.8</v>
      </c>
      <c r="I37" s="10" t="n">
        <f aca="false">H37-G37</f>
        <v>-21920.6</v>
      </c>
      <c r="J37" s="9" t="n">
        <f aca="false">IF(AND(G37=0,H37=0),0,IF(G37=0,"New",(H37-G37)/G37))</f>
        <v>-0.329091689761505</v>
      </c>
    </row>
    <row r="38" customFormat="false" ht="15" hidden="false" customHeight="false" outlineLevel="0" collapsed="false">
      <c r="A38" s="7" t="s">
        <v>70</v>
      </c>
      <c r="B38" s="7" t="str">
        <f aca="false">IFERROR(INDEX('Source 2026'!$C:$C,MATCH($A38,'Source 2026'!$B:$B,0)),IFERROR(INDEX('Source 2025'!$C:$C,MATCH($A38,'Source 2025'!$B:$B,0)),""))</f>
        <v>תחבושת א.נצמ</v>
      </c>
      <c r="C38" s="8" t="n">
        <f aca="false">SUMIFS('Source 2025'!$Q:$Q,'Source 2025'!$B:$B,$A38,'Source 2025'!$A:$A,"Quantity (units)")</f>
        <v>3203</v>
      </c>
      <c r="D38" s="8" t="n">
        <f aca="false">SUMIFS('Source 2026'!$Q:$Q,'Source 2026'!$B:$B,$A38,'Source 2026'!$A:$A,"Quantity (units)")</f>
        <v>1177</v>
      </c>
      <c r="E38" s="8" t="n">
        <f aca="false">D38-C38</f>
        <v>-2026</v>
      </c>
      <c r="F38" s="9" t="n">
        <f aca="false">IF(AND(C38=0,D38=0),0,IF(C38=0,"New",(D38-C38)/C38))</f>
        <v>-0.632532001248829</v>
      </c>
      <c r="G38" s="10" t="n">
        <f aca="false">SUMIFS('Source 2025'!$Q:$Q,'Source 2025'!$B:$B,$A38,'Source 2025'!$A:$A,"Amount (NIS)")</f>
        <v>32526.4</v>
      </c>
      <c r="H38" s="10" t="n">
        <f aca="false">SUMIFS('Source 2026'!$Q:$Q,'Source 2026'!$B:$B,$A38,'Source 2026'!$A:$A,"Amount (NIS)")</f>
        <v>12016.1</v>
      </c>
      <c r="I38" s="10" t="n">
        <f aca="false">H38-G38</f>
        <v>-20510.3</v>
      </c>
      <c r="J38" s="9" t="n">
        <f aca="false">IF(AND(G38=0,H38=0),0,IF(G38=0,"New",(H38-G38)/G38))</f>
        <v>-0.630573933789168</v>
      </c>
    </row>
    <row r="39" customFormat="false" ht="15" hidden="false" customHeight="false" outlineLevel="0" collapsed="false">
      <c r="A39" s="7" t="s">
        <v>71</v>
      </c>
      <c r="B39" s="7" t="str">
        <f aca="false">IFERROR(INDEX('Source 2026'!$C:$C,MATCH($A39,'Source 2026'!$B:$B,0)),IFERROR(INDEX('Source 2025'!$C:$C,MATCH($A39,'Source 2025'!$B:$B,0)),""))</f>
        <v>טייפ קינזיולוגי</v>
      </c>
      <c r="C39" s="8" t="n">
        <f aca="false">SUMIFS('Source 2025'!$Q:$Q,'Source 2025'!$B:$B,$A39,'Source 2025'!$A:$A,"Quantity (units)")</f>
        <v>1200</v>
      </c>
      <c r="D39" s="8" t="n">
        <f aca="false">SUMIFS('Source 2026'!$Q:$Q,'Source 2026'!$B:$B,$A39,'Source 2026'!$A:$A,"Quantity (units)")</f>
        <v>711</v>
      </c>
      <c r="E39" s="8" t="n">
        <f aca="false">D39-C39</f>
        <v>-489</v>
      </c>
      <c r="F39" s="9" t="n">
        <f aca="false">IF(AND(C39=0,D39=0),0,IF(C39=0,"New",(D39-C39)/C39))</f>
        <v>-0.4075</v>
      </c>
      <c r="G39" s="10" t="n">
        <f aca="false">SUMIFS('Source 2025'!$Q:$Q,'Source 2025'!$B:$B,$A39,'Source 2025'!$A:$A,"Amount (NIS)")</f>
        <v>48495.6</v>
      </c>
      <c r="H39" s="10" t="n">
        <f aca="false">SUMIFS('Source 2026'!$Q:$Q,'Source 2026'!$B:$B,$A39,'Source 2026'!$A:$A,"Amount (NIS)")</f>
        <v>28682.6</v>
      </c>
      <c r="I39" s="10" t="n">
        <f aca="false">H39-G39</f>
        <v>-19813</v>
      </c>
      <c r="J39" s="9" t="n">
        <f aca="false">IF(AND(G39=0,H39=0),0,IF(G39=0,"New",(H39-G39)/G39))</f>
        <v>-0.40855252847681</v>
      </c>
    </row>
    <row r="40" customFormat="false" ht="15" hidden="false" customHeight="false" outlineLevel="0" collapsed="false">
      <c r="A40" s="7" t="s">
        <v>72</v>
      </c>
      <c r="B40" s="7" t="str">
        <f aca="false">IFERROR(INDEX('Source 2026'!$C:$C,MATCH($A40,'Source 2026'!$B:$B,0)),IFERROR(INDEX('Source 2025'!$C:$C,MATCH($A40,'Source 2025'!$B:$B,0)),""))</f>
        <v>טייפ קינזיולוגי</v>
      </c>
      <c r="C40" s="8" t="n">
        <f aca="false">SUMIFS('Source 2025'!$Q:$Q,'Source 2025'!$B:$B,$A40,'Source 2025'!$A:$A,"Quantity (units)")</f>
        <v>1251</v>
      </c>
      <c r="D40" s="8" t="n">
        <f aca="false">SUMIFS('Source 2026'!$Q:$Q,'Source 2026'!$B:$B,$A40,'Source 2026'!$A:$A,"Quantity (units)")</f>
        <v>779</v>
      </c>
      <c r="E40" s="8" t="n">
        <f aca="false">D40-C40</f>
        <v>-472</v>
      </c>
      <c r="F40" s="9" t="n">
        <f aca="false">IF(AND(C40=0,D40=0),0,IF(C40=0,"New",(D40-C40)/C40))</f>
        <v>-0.377298161470823</v>
      </c>
      <c r="G40" s="10" t="n">
        <f aca="false">SUMIFS('Source 2025'!$Q:$Q,'Source 2025'!$B:$B,$A40,'Source 2025'!$A:$A,"Amount (NIS)")</f>
        <v>49688.4</v>
      </c>
      <c r="H40" s="10" t="n">
        <f aca="false">SUMIFS('Source 2026'!$Q:$Q,'Source 2026'!$B:$B,$A40,'Source 2026'!$A:$A,"Amount (NIS)")</f>
        <v>31161.7</v>
      </c>
      <c r="I40" s="10" t="n">
        <f aca="false">H40-G40</f>
        <v>-18526.7</v>
      </c>
      <c r="J40" s="9" t="n">
        <f aca="false">IF(AND(G40=0,H40=0),0,IF(G40=0,"New",(H40-G40)/G40))</f>
        <v>-0.372857648867744</v>
      </c>
    </row>
    <row r="41" customFormat="false" ht="15" hidden="false" customHeight="false" outlineLevel="0" collapsed="false">
      <c r="A41" s="7" t="s">
        <v>73</v>
      </c>
      <c r="B41" s="7" t="str">
        <f aca="false">IFERROR(INDEX('Source 2026'!$C:$C,MATCH($A41,'Source 2026'!$B:$B,0)),IFERROR(INDEX('Source 2025'!$C:$C,MATCH($A41,'Source 2025'!$B:$B,0)),""))</f>
        <v>L צוארון ספוגי</v>
      </c>
      <c r="C41" s="8" t="n">
        <f aca="false">SUMIFS('Source 2025'!$Q:$Q,'Source 2025'!$B:$B,$A41,'Source 2025'!$A:$A,"Quantity (units)")</f>
        <v>2106</v>
      </c>
      <c r="D41" s="8" t="n">
        <f aca="false">SUMIFS('Source 2026'!$Q:$Q,'Source 2026'!$B:$B,$A41,'Source 2026'!$A:$A,"Quantity (units)")</f>
        <v>1412</v>
      </c>
      <c r="E41" s="8" t="n">
        <f aca="false">D41-C41</f>
        <v>-694</v>
      </c>
      <c r="F41" s="9" t="n">
        <f aca="false">IF(AND(C41=0,D41=0),0,IF(C41=0,"New",(D41-C41)/C41))</f>
        <v>-0.329534662867996</v>
      </c>
      <c r="G41" s="10" t="n">
        <f aca="false">SUMIFS('Source 2025'!$Q:$Q,'Source 2025'!$B:$B,$A41,'Source 2025'!$A:$A,"Amount (NIS)")</f>
        <v>63047.1</v>
      </c>
      <c r="H41" s="10" t="n">
        <f aca="false">SUMIFS('Source 2026'!$Q:$Q,'Source 2026'!$B:$B,$A41,'Source 2026'!$A:$A,"Amount (NIS)")</f>
        <v>44553.7</v>
      </c>
      <c r="I41" s="10" t="n">
        <f aca="false">H41-G41</f>
        <v>-18493.4</v>
      </c>
      <c r="J41" s="9" t="n">
        <f aca="false">IF(AND(G41=0,H41=0),0,IF(G41=0,"New",(H41-G41)/G41))</f>
        <v>-0.293326735091701</v>
      </c>
    </row>
    <row r="42" customFormat="false" ht="15" hidden="false" customHeight="false" outlineLevel="0" collapsed="false">
      <c r="A42" s="7" t="s">
        <v>74</v>
      </c>
      <c r="B42" s="7" t="str">
        <f aca="false">IFERROR(INDEX('Source 2026'!$C:$C,MATCH($A42,'Source 2026'!$B:$B,0)),IFERROR(INDEX('Source 2025'!$C:$C,MATCH($A42,'Source 2025'!$B:$B,0)),""))</f>
        <v>L מגן מרפק רגיל לבן</v>
      </c>
      <c r="C42" s="8" t="n">
        <f aca="false">SUMIFS('Source 2025'!$Q:$Q,'Source 2025'!$B:$B,$A42,'Source 2025'!$A:$A,"Quantity (units)")</f>
        <v>1603</v>
      </c>
      <c r="D42" s="8" t="n">
        <f aca="false">SUMIFS('Source 2026'!$Q:$Q,'Source 2026'!$B:$B,$A42,'Source 2026'!$A:$A,"Quantity (units)")</f>
        <v>911</v>
      </c>
      <c r="E42" s="8" t="n">
        <f aca="false">D42-C42</f>
        <v>-692</v>
      </c>
      <c r="F42" s="9" t="n">
        <f aca="false">IF(AND(C42=0,D42=0),0,IF(C42=0,"New",(D42-C42)/C42))</f>
        <v>-0.431690580162196</v>
      </c>
      <c r="G42" s="10" t="n">
        <f aca="false">SUMIFS('Source 2025'!$Q:$Q,'Source 2025'!$B:$B,$A42,'Source 2025'!$A:$A,"Amount (NIS)")</f>
        <v>41250</v>
      </c>
      <c r="H42" s="10" t="n">
        <f aca="false">SUMIFS('Source 2026'!$Q:$Q,'Source 2026'!$B:$B,$A42,'Source 2026'!$A:$A,"Amount (NIS)")</f>
        <v>23677.1</v>
      </c>
      <c r="I42" s="10" t="n">
        <f aca="false">H42-G42</f>
        <v>-17572.9</v>
      </c>
      <c r="J42" s="9" t="n">
        <f aca="false">IF(AND(G42=0,H42=0),0,IF(G42=0,"New",(H42-G42)/G42))</f>
        <v>-0.426009696969697</v>
      </c>
    </row>
    <row r="43" customFormat="false" ht="15" hidden="false" customHeight="false" outlineLevel="0" collapsed="false">
      <c r="A43" s="7" t="s">
        <v>75</v>
      </c>
      <c r="B43" s="7" t="str">
        <f aca="false">IFERROR(INDEX('Source 2026'!$C:$C,MATCH($A43,'Source 2026'!$B:$B,0)),IFERROR(INDEX('Source 2025'!$C:$C,MATCH($A43,'Source 2025'!$B:$B,0)),""))</f>
        <v>חבק ""טניס אלבו רצועה</v>
      </c>
      <c r="C43" s="8" t="n">
        <f aca="false">SUMIFS('Source 2025'!$Q:$Q,'Source 2025'!$B:$B,$A43,'Source 2025'!$A:$A,"Quantity (units)")</f>
        <v>224</v>
      </c>
      <c r="D43" s="8" t="n">
        <f aca="false">SUMIFS('Source 2026'!$Q:$Q,'Source 2026'!$B:$B,$A43,'Source 2026'!$A:$A,"Quantity (units)")</f>
        <v>-25</v>
      </c>
      <c r="E43" s="8" t="n">
        <f aca="false">D43-C43</f>
        <v>-249</v>
      </c>
      <c r="F43" s="9" t="n">
        <f aca="false">IF(AND(C43=0,D43=0),0,IF(C43=0,"New",(D43-C43)/C43))</f>
        <v>-1.11160714285714</v>
      </c>
      <c r="G43" s="10" t="n">
        <f aca="false">SUMIFS('Source 2025'!$Q:$Q,'Source 2025'!$B:$B,$A43,'Source 2025'!$A:$A,"Amount (NIS)")</f>
        <v>15661.5</v>
      </c>
      <c r="H43" s="10" t="n">
        <f aca="false">SUMIFS('Source 2026'!$Q:$Q,'Source 2026'!$B:$B,$A43,'Source 2026'!$A:$A,"Amount (NIS)")</f>
        <v>-1715.2</v>
      </c>
      <c r="I43" s="10" t="n">
        <f aca="false">H43-G43</f>
        <v>-17376.7</v>
      </c>
      <c r="J43" s="9" t="n">
        <f aca="false">IF(AND(G43=0,H43=0),0,IF(G43=0,"New",(H43-G43)/G43))</f>
        <v>-1.10951696836191</v>
      </c>
    </row>
    <row r="44" customFormat="false" ht="15" hidden="false" customHeight="false" outlineLevel="0" collapsed="false">
      <c r="A44" s="7" t="s">
        <v>76</v>
      </c>
      <c r="B44" s="7" t="str">
        <f aca="false">IFERROR(INDEX('Source 2026'!$C:$C,MATCH($A44,'Source 2026'!$B:$B,0)),IFERROR(INDEX('Source 2025'!$C:$C,MATCH($A44,'Source 2025'!$B:$B,0)),""))</f>
        <v>טייפ קינזיולוגי</v>
      </c>
      <c r="C44" s="8" t="n">
        <f aca="false">SUMIFS('Source 2025'!$Q:$Q,'Source 2025'!$B:$B,$A44,'Source 2025'!$A:$A,"Quantity (units)")</f>
        <v>1150</v>
      </c>
      <c r="D44" s="8" t="n">
        <f aca="false">SUMIFS('Source 2026'!$Q:$Q,'Source 2026'!$B:$B,$A44,'Source 2026'!$A:$A,"Quantity (units)")</f>
        <v>705</v>
      </c>
      <c r="E44" s="8" t="n">
        <f aca="false">D44-C44</f>
        <v>-445</v>
      </c>
      <c r="F44" s="9" t="n">
        <f aca="false">IF(AND(C44=0,D44=0),0,IF(C44=0,"New",(D44-C44)/C44))</f>
        <v>-0.38695652173913</v>
      </c>
      <c r="G44" s="10" t="n">
        <f aca="false">SUMIFS('Source 2025'!$Q:$Q,'Source 2025'!$B:$B,$A44,'Source 2025'!$A:$A,"Amount (NIS)")</f>
        <v>45598.1</v>
      </c>
      <c r="H44" s="10" t="n">
        <f aca="false">SUMIFS('Source 2026'!$Q:$Q,'Source 2026'!$B:$B,$A44,'Source 2026'!$A:$A,"Amount (NIS)")</f>
        <v>28253.3</v>
      </c>
      <c r="I44" s="10" t="n">
        <f aca="false">H44-G44</f>
        <v>-17344.8</v>
      </c>
      <c r="J44" s="9" t="n">
        <f aca="false">IF(AND(G44=0,H44=0),0,IF(G44=0,"New",(H44-G44)/G44))</f>
        <v>-0.380384270397231</v>
      </c>
    </row>
    <row r="45" customFormat="false" ht="15" hidden="false" customHeight="false" outlineLevel="0" collapsed="false">
      <c r="A45" s="7" t="s">
        <v>77</v>
      </c>
      <c r="B45" s="7" t="str">
        <f aca="false">IFERROR(INDEX('Source 2026'!$C:$C,MATCH($A45,'Source 2026'!$B:$B,0)),IFERROR(INDEX('Source 2025'!$C:$C,MATCH($A45,'Source 2025'!$B:$B,0)),""))</f>
        <v>S מקבע כתף ויד</v>
      </c>
      <c r="C45" s="8" t="n">
        <f aca="false">SUMIFS('Source 2025'!$Q:$Q,'Source 2025'!$B:$B,$A45,'Source 2025'!$A:$A,"Quantity (units)")</f>
        <v>541</v>
      </c>
      <c r="D45" s="8" t="n">
        <f aca="false">SUMIFS('Source 2026'!$Q:$Q,'Source 2026'!$B:$B,$A45,'Source 2026'!$A:$A,"Quantity (units)")</f>
        <v>434</v>
      </c>
      <c r="E45" s="8" t="n">
        <f aca="false">D45-C45</f>
        <v>-107</v>
      </c>
      <c r="F45" s="9" t="n">
        <f aca="false">IF(AND(C45=0,D45=0),0,IF(C45=0,"New",(D45-C45)/C45))</f>
        <v>-0.197781885397412</v>
      </c>
      <c r="G45" s="10" t="n">
        <f aca="false">SUMIFS('Source 2025'!$Q:$Q,'Source 2025'!$B:$B,$A45,'Source 2025'!$A:$A,"Amount (NIS)")</f>
        <v>87145.9</v>
      </c>
      <c r="H45" s="10" t="n">
        <f aca="false">SUMIFS('Source 2026'!$Q:$Q,'Source 2026'!$B:$B,$A45,'Source 2026'!$A:$A,"Amount (NIS)")</f>
        <v>69975.1</v>
      </c>
      <c r="I45" s="10" t="n">
        <f aca="false">H45-G45</f>
        <v>-17170.8</v>
      </c>
      <c r="J45" s="9" t="n">
        <f aca="false">IF(AND(G45=0,H45=0),0,IF(G45=0,"New",(H45-G45)/G45))</f>
        <v>-0.197035087135482</v>
      </c>
    </row>
    <row r="46" customFormat="false" ht="15" hidden="false" customHeight="false" outlineLevel="0" collapsed="false">
      <c r="A46" s="7" t="s">
        <v>78</v>
      </c>
      <c r="B46" s="7" t="str">
        <f aca="false">IFERROR(INDEX('Source 2026'!$C:$C,MATCH($A46,'Source 2026'!$B:$B,0)),IFERROR(INDEX('Source 2025'!$C:$C,MATCH($A46,'Source 2025'!$B:$B,0)),""))</f>
        <v>טייפ קינזיולוגי</v>
      </c>
      <c r="C46" s="8" t="n">
        <f aca="false">SUMIFS('Source 2025'!$Q:$Q,'Source 2025'!$B:$B,$A46,'Source 2025'!$A:$A,"Quantity (units)")</f>
        <v>796</v>
      </c>
      <c r="D46" s="8" t="n">
        <f aca="false">SUMIFS('Source 2026'!$Q:$Q,'Source 2026'!$B:$B,$A46,'Source 2026'!$A:$A,"Quantity (units)")</f>
        <v>387</v>
      </c>
      <c r="E46" s="8" t="n">
        <f aca="false">D46-C46</f>
        <v>-409</v>
      </c>
      <c r="F46" s="9" t="n">
        <f aca="false">IF(AND(C46=0,D46=0),0,IF(C46=0,"New",(D46-C46)/C46))</f>
        <v>-0.513819095477387</v>
      </c>
      <c r="G46" s="10" t="n">
        <f aca="false">SUMIFS('Source 2025'!$Q:$Q,'Source 2025'!$B:$B,$A46,'Source 2025'!$A:$A,"Amount (NIS)")</f>
        <v>32148.2</v>
      </c>
      <c r="H46" s="10" t="n">
        <f aca="false">SUMIFS('Source 2026'!$Q:$Q,'Source 2026'!$B:$B,$A46,'Source 2026'!$A:$A,"Amount (NIS)")</f>
        <v>15624.9</v>
      </c>
      <c r="I46" s="10" t="n">
        <f aca="false">H46-G46</f>
        <v>-16523.3</v>
      </c>
      <c r="J46" s="9" t="n">
        <f aca="false">IF(AND(G46=0,H46=0),0,IF(G46=0,"New",(H46-G46)/G46))</f>
        <v>-0.513972788523152</v>
      </c>
    </row>
    <row r="47" customFormat="false" ht="15" hidden="false" customHeight="false" outlineLevel="0" collapsed="false">
      <c r="A47" s="7" t="s">
        <v>79</v>
      </c>
      <c r="B47" s="7" t="str">
        <f aca="false">IFERROR(INDEX('Source 2026'!$C:$C,MATCH($A47,'Source 2026'!$B:$B,0)),IFERROR(INDEX('Source 2025'!$C:$C,MATCH($A47,'Source 2025'!$B:$B,0)),""))</f>
        <v>S ""חגורת גב ""לומבו</v>
      </c>
      <c r="C47" s="8" t="n">
        <f aca="false">SUMIFS('Source 2025'!$Q:$Q,'Source 2025'!$B:$B,$A47,'Source 2025'!$A:$A,"Quantity (units)")</f>
        <v>170</v>
      </c>
      <c r="D47" s="8" t="n">
        <f aca="false">SUMIFS('Source 2026'!$Q:$Q,'Source 2026'!$B:$B,$A47,'Source 2026'!$A:$A,"Quantity (units)")</f>
        <v>45</v>
      </c>
      <c r="E47" s="8" t="n">
        <f aca="false">D47-C47</f>
        <v>-125</v>
      </c>
      <c r="F47" s="9" t="n">
        <f aca="false">IF(AND(C47=0,D47=0),0,IF(C47=0,"New",(D47-C47)/C47))</f>
        <v>-0.735294117647059</v>
      </c>
      <c r="G47" s="10" t="n">
        <f aca="false">SUMIFS('Source 2025'!$Q:$Q,'Source 2025'!$B:$B,$A47,'Source 2025'!$A:$A,"Amount (NIS)")</f>
        <v>22281.9</v>
      </c>
      <c r="H47" s="10" t="n">
        <f aca="false">SUMIFS('Source 2026'!$Q:$Q,'Source 2026'!$B:$B,$A47,'Source 2026'!$A:$A,"Amount (NIS)")</f>
        <v>6031.7</v>
      </c>
      <c r="I47" s="10" t="n">
        <f aca="false">H47-G47</f>
        <v>-16250.2</v>
      </c>
      <c r="J47" s="9" t="n">
        <f aca="false">IF(AND(G47=0,H47=0),0,IF(G47=0,"New",(H47-G47)/G47))</f>
        <v>-0.729300463604989</v>
      </c>
    </row>
    <row r="48" customFormat="false" ht="15" hidden="false" customHeight="false" outlineLevel="0" collapsed="false">
      <c r="A48" s="7" t="s">
        <v>80</v>
      </c>
      <c r="B48" s="7" t="str">
        <f aca="false">IFERROR(INDEX('Source 2026'!$C:$C,MATCH($A48,'Source 2026'!$B:$B,0)),IFERROR(INDEX('Source 2025'!$C:$C,MATCH($A48,'Source 2025'!$B:$B,0)),""))</f>
        <v>45 M מגן ברך רגיל</v>
      </c>
      <c r="C48" s="8" t="n">
        <f aca="false">SUMIFS('Source 2025'!$Q:$Q,'Source 2025'!$B:$B,$A48,'Source 2025'!$A:$A,"Quantity (units)")</f>
        <v>260</v>
      </c>
      <c r="D48" s="8" t="n">
        <f aca="false">SUMIFS('Source 2026'!$Q:$Q,'Source 2026'!$B:$B,$A48,'Source 2026'!$A:$A,"Quantity (units)")</f>
        <v>102</v>
      </c>
      <c r="E48" s="8" t="n">
        <f aca="false">D48-C48</f>
        <v>-158</v>
      </c>
      <c r="F48" s="9" t="n">
        <f aca="false">IF(AND(C48=0,D48=0),0,IF(C48=0,"New",(D48-C48)/C48))</f>
        <v>-0.607692307692308</v>
      </c>
      <c r="G48" s="10" t="n">
        <f aca="false">SUMIFS('Source 2025'!$Q:$Q,'Source 2025'!$B:$B,$A48,'Source 2025'!$A:$A,"Amount (NIS)")</f>
        <v>23410.8</v>
      </c>
      <c r="H48" s="10" t="n">
        <f aca="false">SUMIFS('Source 2026'!$Q:$Q,'Source 2026'!$B:$B,$A48,'Source 2026'!$A:$A,"Amount (NIS)")</f>
        <v>9335.7</v>
      </c>
      <c r="I48" s="10" t="n">
        <f aca="false">H48-G48</f>
        <v>-14075.1</v>
      </c>
      <c r="J48" s="9" t="n">
        <f aca="false">IF(AND(G48=0,H48=0),0,IF(G48=0,"New",(H48-G48)/G48))</f>
        <v>-0.601222512686452</v>
      </c>
    </row>
    <row r="49" customFormat="false" ht="15" hidden="false" customHeight="false" outlineLevel="0" collapsed="false">
      <c r="A49" s="7" t="s">
        <v>81</v>
      </c>
      <c r="B49" s="7" t="str">
        <f aca="false">IFERROR(INDEX('Source 2026'!$C:$C,MATCH($A49,'Source 2026'!$B:$B,0)),IFERROR(INDEX('Source 2025'!$C:$C,MATCH($A49,'Source 2025'!$B:$B,0)),""))</f>
        <v>0 מ.בוניון+מפריד אצבע</v>
      </c>
      <c r="C49" s="8" t="n">
        <f aca="false">SUMIFS('Source 2025'!$Q:$Q,'Source 2025'!$B:$B,$A49,'Source 2025'!$A:$A,"Quantity (units)")</f>
        <v>1818</v>
      </c>
      <c r="D49" s="8" t="n">
        <f aca="false">SUMIFS('Source 2026'!$Q:$Q,'Source 2026'!$B:$B,$A49,'Source 2026'!$A:$A,"Quantity (units)")</f>
        <v>1418</v>
      </c>
      <c r="E49" s="8" t="n">
        <f aca="false">D49-C49</f>
        <v>-400</v>
      </c>
      <c r="F49" s="9" t="n">
        <f aca="false">IF(AND(C49=0,D49=0),0,IF(C49=0,"New",(D49-C49)/C49))</f>
        <v>-0.22002200220022</v>
      </c>
      <c r="G49" s="10" t="n">
        <f aca="false">SUMIFS('Source 2025'!$Q:$Q,'Source 2025'!$B:$B,$A49,'Source 2025'!$A:$A,"Amount (NIS)")</f>
        <v>63005.9</v>
      </c>
      <c r="H49" s="10" t="n">
        <f aca="false">SUMIFS('Source 2026'!$Q:$Q,'Source 2026'!$B:$B,$A49,'Source 2026'!$A:$A,"Amount (NIS)")</f>
        <v>49012.5</v>
      </c>
      <c r="I49" s="10" t="n">
        <f aca="false">H49-G49</f>
        <v>-13993.4</v>
      </c>
      <c r="J49" s="9" t="n">
        <f aca="false">IF(AND(G49=0,H49=0),0,IF(G49=0,"New",(H49-G49)/G49))</f>
        <v>-0.22209666078891</v>
      </c>
    </row>
    <row r="50" customFormat="false" ht="15" hidden="false" customHeight="false" outlineLevel="0" collapsed="false">
      <c r="A50" s="7" t="s">
        <v>82</v>
      </c>
      <c r="B50" s="7" t="str">
        <f aca="false">IFERROR(INDEX('Source 2026'!$C:$C,MATCH($A50,'Source 2026'!$B:$B,0)),IFERROR(INDEX('Source 2025'!$C:$C,MATCH($A50,'Source 2025'!$B:$B,0)),""))</f>
        <v>S-L אצבעון מסיליקון יחידה</v>
      </c>
      <c r="C50" s="8" t="n">
        <f aca="false">SUMIFS('Source 2025'!$Q:$Q,'Source 2025'!$B:$B,$A50,'Source 2025'!$A:$A,"Quantity (units)")</f>
        <v>2172</v>
      </c>
      <c r="D50" s="8" t="n">
        <f aca="false">SUMIFS('Source 2026'!$Q:$Q,'Source 2026'!$B:$B,$A50,'Source 2026'!$A:$A,"Quantity (units)")</f>
        <v>1549</v>
      </c>
      <c r="E50" s="8" t="n">
        <f aca="false">D50-C50</f>
        <v>-623</v>
      </c>
      <c r="F50" s="9" t="n">
        <f aca="false">IF(AND(C50=0,D50=0),0,IF(C50=0,"New",(D50-C50)/C50))</f>
        <v>-0.28683241252302</v>
      </c>
      <c r="G50" s="10" t="n">
        <f aca="false">SUMIFS('Source 2025'!$Q:$Q,'Source 2025'!$B:$B,$A50,'Source 2025'!$A:$A,"Amount (NIS)")</f>
        <v>48349.5</v>
      </c>
      <c r="H50" s="10" t="n">
        <f aca="false">SUMIFS('Source 2026'!$Q:$Q,'Source 2026'!$B:$B,$A50,'Source 2026'!$A:$A,"Amount (NIS)")</f>
        <v>34693.3</v>
      </c>
      <c r="I50" s="10" t="n">
        <f aca="false">H50-G50</f>
        <v>-13656.2</v>
      </c>
      <c r="J50" s="9" t="n">
        <f aca="false">IF(AND(G50=0,H50=0),0,IF(G50=0,"New",(H50-G50)/G50))</f>
        <v>-0.282447595114737</v>
      </c>
    </row>
    <row r="51" customFormat="false" ht="15" hidden="false" customHeight="false" outlineLevel="0" collapsed="false">
      <c r="A51" s="7" t="s">
        <v>83</v>
      </c>
      <c r="B51" s="7" t="str">
        <f aca="false">IFERROR(INDEX('Source 2026'!$C:$C,MATCH($A51,'Source 2026'!$B:$B,0)),IFERROR(INDEX('Source 2025'!$C:$C,MATCH($A51,'Source 2025'!$B:$B,0)),""))</f>
        <v>XS חגורת פאבליק</v>
      </c>
      <c r="C51" s="8" t="n">
        <f aca="false">SUMIFS('Source 2025'!$Q:$Q,'Source 2025'!$B:$B,$A51,'Source 2025'!$A:$A,"Quantity (units)")</f>
        <v>0</v>
      </c>
      <c r="D51" s="8" t="n">
        <f aca="false">SUMIFS('Source 2026'!$Q:$Q,'Source 2026'!$B:$B,$A51,'Source 2026'!$A:$A,"Quantity (units)")</f>
        <v>47</v>
      </c>
      <c r="E51" s="8" t="n">
        <f aca="false">D51-C51</f>
        <v>47</v>
      </c>
      <c r="F51" s="9" t="str">
        <f aca="false">IF(AND(C51=0,D51=0),0,IF(C51=0,"New",(D51-C51)/C51))</f>
        <v>New</v>
      </c>
      <c r="G51" s="10" t="n">
        <f aca="false">SUMIFS('Source 2025'!$Q:$Q,'Source 2025'!$B:$B,$A51,'Source 2025'!$A:$A,"Amount (NIS)")</f>
        <v>0</v>
      </c>
      <c r="H51" s="10" t="n">
        <f aca="false">SUMIFS('Source 2026'!$Q:$Q,'Source 2026'!$B:$B,$A51,'Source 2026'!$A:$A,"Amount (NIS)")</f>
        <v>13130.3</v>
      </c>
      <c r="I51" s="10" t="n">
        <f aca="false">H51-G51</f>
        <v>13130.3</v>
      </c>
      <c r="J51" s="9" t="str">
        <f aca="false">IF(AND(G51=0,H51=0),0,IF(G51=0,"New",(H51-G51)/G51))</f>
        <v>New</v>
      </c>
    </row>
    <row r="52" customFormat="false" ht="15" hidden="false" customHeight="false" outlineLevel="0" collapsed="false">
      <c r="A52" s="7" t="s">
        <v>84</v>
      </c>
      <c r="B52" s="7" t="str">
        <f aca="false">IFERROR(INDEX('Source 2026'!$C:$C,MATCH($A52,'Source 2026'!$B:$B,0)),IFERROR(INDEX('Source 2025'!$C:$C,MATCH($A52,'Source 2025'!$B:$B,0)),""))</f>
        <v>Sמיישר כתף יציב יישור גב צר</v>
      </c>
      <c r="C52" s="8" t="n">
        <f aca="false">SUMIFS('Source 2025'!$Q:$Q,'Source 2025'!$B:$B,$A52,'Source 2025'!$A:$A,"Quantity (units)")</f>
        <v>155</v>
      </c>
      <c r="D52" s="8" t="n">
        <f aca="false">SUMIFS('Source 2026'!$Q:$Q,'Source 2026'!$B:$B,$A52,'Source 2026'!$A:$A,"Quantity (units)")</f>
        <v>52</v>
      </c>
      <c r="E52" s="8" t="n">
        <f aca="false">D52-C52</f>
        <v>-103</v>
      </c>
      <c r="F52" s="9" t="n">
        <f aca="false">IF(AND(C52=0,D52=0),0,IF(C52=0,"New",(D52-C52)/C52))</f>
        <v>-0.664516129032258</v>
      </c>
      <c r="G52" s="10" t="n">
        <f aca="false">SUMIFS('Source 2025'!$Q:$Q,'Source 2025'!$B:$B,$A52,'Source 2025'!$A:$A,"Amount (NIS)")</f>
        <v>20571.3</v>
      </c>
      <c r="H52" s="10" t="n">
        <f aca="false">SUMIFS('Source 2026'!$Q:$Q,'Source 2026'!$B:$B,$A52,'Source 2026'!$A:$A,"Amount (NIS)")</f>
        <v>7911.2</v>
      </c>
      <c r="I52" s="10" t="n">
        <f aca="false">H52-G52</f>
        <v>-12660.1</v>
      </c>
      <c r="J52" s="9" t="n">
        <f aca="false">IF(AND(G52=0,H52=0),0,IF(G52=0,"New",(H52-G52)/G52))</f>
        <v>-0.615425374186366</v>
      </c>
    </row>
    <row r="53" customFormat="false" ht="15" hidden="false" customHeight="false" outlineLevel="0" collapsed="false">
      <c r="A53" s="7" t="s">
        <v>85</v>
      </c>
      <c r="B53" s="7" t="str">
        <f aca="false">IFERROR(INDEX('Source 2026'!$C:$C,MATCH($A53,'Source 2026'!$B:$B,0)),IFERROR(INDEX('Source 2025'!$C:$C,MATCH($A53,'Source 2025'!$B:$B,0)),""))</f>
        <v>נצמדת שחור 20 מ""מ</v>
      </c>
      <c r="C53" s="8" t="n">
        <f aca="false">SUMIFS('Source 2025'!$Q:$Q,'Source 2025'!$B:$B,$A53,'Source 2025'!$A:$A,"Quantity (units)")</f>
        <v>1790</v>
      </c>
      <c r="D53" s="8" t="n">
        <f aca="false">SUMIFS('Source 2026'!$Q:$Q,'Source 2026'!$B:$B,$A53,'Source 2026'!$A:$A,"Quantity (units)")</f>
        <v>580</v>
      </c>
      <c r="E53" s="8" t="n">
        <f aca="false">D53-C53</f>
        <v>-1210</v>
      </c>
      <c r="F53" s="9" t="n">
        <f aca="false">IF(AND(C53=0,D53=0),0,IF(C53=0,"New",(D53-C53)/C53))</f>
        <v>-0.675977653631285</v>
      </c>
      <c r="G53" s="10" t="n">
        <f aca="false">SUMIFS('Source 2025'!$Q:$Q,'Source 2025'!$B:$B,$A53,'Source 2025'!$A:$A,"Amount (NIS)")</f>
        <v>18164.7</v>
      </c>
      <c r="H53" s="10" t="n">
        <f aca="false">SUMIFS('Source 2026'!$Q:$Q,'Source 2026'!$B:$B,$A53,'Source 2026'!$A:$A,"Amount (NIS)")</f>
        <v>5942.1</v>
      </c>
      <c r="I53" s="10" t="n">
        <f aca="false">H53-G53</f>
        <v>-12222.6</v>
      </c>
      <c r="J53" s="9" t="n">
        <f aca="false">IF(AND(G53=0,H53=0),0,IF(G53=0,"New",(H53-G53)/G53))</f>
        <v>-0.672876513237213</v>
      </c>
    </row>
    <row r="54" customFormat="false" ht="15" hidden="false" customHeight="false" outlineLevel="0" collapsed="false">
      <c r="A54" s="7" t="s">
        <v>86</v>
      </c>
      <c r="B54" s="7" t="str">
        <f aca="false">IFERROR(INDEX('Source 2026'!$C:$C,MATCH($A54,'Source 2026'!$B:$B,0)),IFERROR(INDEX('Source 2025'!$C:$C,MATCH($A54,'Source 2025'!$B:$B,0)),""))</f>
        <v>נצמדת כחול20מ""מ</v>
      </c>
      <c r="C54" s="8" t="n">
        <f aca="false">SUMIFS('Source 2025'!$Q:$Q,'Source 2025'!$B:$B,$A54,'Source 2025'!$A:$A,"Quantity (units)")</f>
        <v>1556</v>
      </c>
      <c r="D54" s="8" t="n">
        <f aca="false">SUMIFS('Source 2026'!$Q:$Q,'Source 2026'!$B:$B,$A54,'Source 2026'!$A:$A,"Quantity (units)")</f>
        <v>358</v>
      </c>
      <c r="E54" s="8" t="n">
        <f aca="false">D54-C54</f>
        <v>-1198</v>
      </c>
      <c r="F54" s="9" t="n">
        <f aca="false">IF(AND(C54=0,D54=0),0,IF(C54=0,"New",(D54-C54)/C54))</f>
        <v>-0.769922879177378</v>
      </c>
      <c r="G54" s="10" t="n">
        <f aca="false">SUMIFS('Source 2025'!$Q:$Q,'Source 2025'!$B:$B,$A54,'Source 2025'!$A:$A,"Amount (NIS)")</f>
        <v>15795.7</v>
      </c>
      <c r="H54" s="10" t="n">
        <f aca="false">SUMIFS('Source 2026'!$Q:$Q,'Source 2026'!$B:$B,$A54,'Source 2026'!$A:$A,"Amount (NIS)")</f>
        <v>3674.8</v>
      </c>
      <c r="I54" s="10" t="n">
        <f aca="false">H54-G54</f>
        <v>-12120.9</v>
      </c>
      <c r="J54" s="9" t="n">
        <f aca="false">IF(AND(G54=0,H54=0),0,IF(G54=0,"New",(H54-G54)/G54))</f>
        <v>-0.767354406579006</v>
      </c>
    </row>
    <row r="55" customFormat="false" ht="15" hidden="false" customHeight="false" outlineLevel="0" collapsed="false">
      <c r="A55" s="7" t="s">
        <v>87</v>
      </c>
      <c r="B55" s="7" t="str">
        <f aca="false">IFERROR(INDEX('Source 2026'!$C:$C,MATCH($A55,'Source 2026'!$B:$B,0)),IFERROR(INDEX('Source 2025'!$C:$C,MATCH($A55,'Source 2025'!$B:$B,0)),""))</f>
        <v>טלק מעושר באלוורה</v>
      </c>
      <c r="C55" s="8" t="n">
        <f aca="false">SUMIFS('Source 2025'!$Q:$Q,'Source 2025'!$B:$B,$A55,'Source 2025'!$A:$A,"Quantity (units)")</f>
        <v>1282</v>
      </c>
      <c r="D55" s="8" t="n">
        <f aca="false">SUMIFS('Source 2026'!$Q:$Q,'Source 2026'!$B:$B,$A55,'Source 2026'!$A:$A,"Quantity (units)")</f>
        <v>562</v>
      </c>
      <c r="E55" s="8" t="n">
        <f aca="false">D55-C55</f>
        <v>-720</v>
      </c>
      <c r="F55" s="9" t="n">
        <f aca="false">IF(AND(C55=0,D55=0),0,IF(C55=0,"New",(D55-C55)/C55))</f>
        <v>-0.561622464898596</v>
      </c>
      <c r="G55" s="10" t="n">
        <f aca="false">SUMIFS('Source 2025'!$Q:$Q,'Source 2025'!$B:$B,$A55,'Source 2025'!$A:$A,"Amount (NIS)")</f>
        <v>20668.1</v>
      </c>
      <c r="H55" s="10" t="n">
        <f aca="false">SUMIFS('Source 2026'!$Q:$Q,'Source 2026'!$B:$B,$A55,'Source 2026'!$A:$A,"Amount (NIS)")</f>
        <v>9322</v>
      </c>
      <c r="I55" s="10" t="n">
        <f aca="false">H55-G55</f>
        <v>-11346.1</v>
      </c>
      <c r="J55" s="9" t="n">
        <f aca="false">IF(AND(G55=0,H55=0),0,IF(G55=0,"New",(H55-G55)/G55))</f>
        <v>-0.548966765208219</v>
      </c>
    </row>
    <row r="56" customFormat="false" ht="15" hidden="false" customHeight="false" outlineLevel="0" collapsed="false">
      <c r="A56" s="7" t="s">
        <v>88</v>
      </c>
      <c r="B56" s="7" t="str">
        <f aca="false">IFERROR(INDEX('Source 2026'!$C:$C,MATCH($A56,'Source 2026'!$B:$B,0)),IFERROR(INDEX('Source 2025'!$C:$C,MATCH($A56,'Source 2025'!$B:$B,0)),""))</f>
        <v>למניעת שפשוף 5 יח</v>
      </c>
      <c r="C56" s="8" t="n">
        <f aca="false">SUMIFS('Source 2025'!$Q:$Q,'Source 2025'!$B:$B,$A56,'Source 2025'!$A:$A,"Quantity (units)")</f>
        <v>4057</v>
      </c>
      <c r="D56" s="8" t="n">
        <f aca="false">SUMIFS('Source 2026'!$Q:$Q,'Source 2026'!$B:$B,$A56,'Source 2026'!$A:$A,"Quantity (units)")</f>
        <v>2898</v>
      </c>
      <c r="E56" s="8" t="n">
        <f aca="false">D56-C56</f>
        <v>-1159</v>
      </c>
      <c r="F56" s="9" t="n">
        <f aca="false">IF(AND(C56=0,D56=0),0,IF(C56=0,"New",(D56-C56)/C56))</f>
        <v>-0.285679073206803</v>
      </c>
      <c r="G56" s="10" t="n">
        <f aca="false">SUMIFS('Source 2025'!$Q:$Q,'Source 2025'!$B:$B,$A56,'Source 2025'!$A:$A,"Amount (NIS)")</f>
        <v>50190</v>
      </c>
      <c r="H56" s="10" t="n">
        <f aca="false">SUMIFS('Source 2026'!$Q:$Q,'Source 2026'!$B:$B,$A56,'Source 2026'!$A:$A,"Amount (NIS)")</f>
        <v>39121.1</v>
      </c>
      <c r="I56" s="10" t="n">
        <f aca="false">H56-G56</f>
        <v>-11068.9</v>
      </c>
      <c r="J56" s="9" t="n">
        <f aca="false">IF(AND(G56=0,H56=0),0,IF(G56=0,"New",(H56-G56)/G56))</f>
        <v>-0.220539948196852</v>
      </c>
    </row>
    <row r="57" customFormat="false" ht="15" hidden="false" customHeight="false" outlineLevel="0" collapsed="false">
      <c r="A57" s="7" t="s">
        <v>89</v>
      </c>
      <c r="B57" s="7" t="str">
        <f aca="false">IFERROR(INDEX('Source 2026'!$C:$C,MATCH($A57,'Source 2026'!$B:$B,0)),IFERROR(INDEX('Source 2025'!$C:$C,MATCH($A57,'Source 2025'!$B:$B,0)),""))</f>
        <v>מדרס אורטופ.מתכוון35-36</v>
      </c>
      <c r="C57" s="8" t="n">
        <f aca="false">SUMIFS('Source 2025'!$Q:$Q,'Source 2025'!$B:$B,$A57,'Source 2025'!$A:$A,"Quantity (units)")</f>
        <v>492</v>
      </c>
      <c r="D57" s="8" t="n">
        <f aca="false">SUMIFS('Source 2026'!$Q:$Q,'Source 2026'!$B:$B,$A57,'Source 2026'!$A:$A,"Quantity (units)")</f>
        <v>347</v>
      </c>
      <c r="E57" s="8" t="n">
        <f aca="false">D57-C57</f>
        <v>-145</v>
      </c>
      <c r="F57" s="9" t="n">
        <f aca="false">IF(AND(C57=0,D57=0),0,IF(C57=0,"New",(D57-C57)/C57))</f>
        <v>-0.294715447154472</v>
      </c>
      <c r="G57" s="10" t="n">
        <f aca="false">SUMIFS('Source 2025'!$Q:$Q,'Source 2025'!$B:$B,$A57,'Source 2025'!$A:$A,"Amount (NIS)")</f>
        <v>32730.3</v>
      </c>
      <c r="H57" s="10" t="n">
        <f aca="false">SUMIFS('Source 2026'!$Q:$Q,'Source 2026'!$B:$B,$A57,'Source 2026'!$A:$A,"Amount (NIS)")</f>
        <v>22593.7</v>
      </c>
      <c r="I57" s="10" t="n">
        <f aca="false">H57-G57</f>
        <v>-10136.6</v>
      </c>
      <c r="J57" s="9" t="n">
        <f aca="false">IF(AND(G57=0,H57=0),0,IF(G57=0,"New",(H57-G57)/G57))</f>
        <v>-0.309700797120711</v>
      </c>
    </row>
    <row r="58" customFormat="false" ht="15" hidden="false" customHeight="false" outlineLevel="0" collapsed="false">
      <c r="A58" s="7" t="s">
        <v>90</v>
      </c>
      <c r="B58" s="7" t="str">
        <f aca="false">IFERROR(INDEX('Source 2026'!$C:$C,MATCH($A58,'Source 2026'!$B:$B,0)),IFERROR(INDEX('Source 2025'!$C:$C,MATCH($A58,'Source 2025'!$B:$B,0)),""))</f>
        <v>מטטרזלי סיליקון362</v>
      </c>
      <c r="C58" s="8" t="n">
        <f aca="false">SUMIFS('Source 2025'!$Q:$Q,'Source 2025'!$B:$B,$A58,'Source 2025'!$A:$A,"Quantity (units)")</f>
        <v>2204</v>
      </c>
      <c r="D58" s="8" t="n">
        <f aca="false">SUMIFS('Source 2026'!$Q:$Q,'Source 2026'!$B:$B,$A58,'Source 2026'!$A:$A,"Quantity (units)")</f>
        <v>1727</v>
      </c>
      <c r="E58" s="8" t="n">
        <f aca="false">D58-C58</f>
        <v>-477</v>
      </c>
      <c r="F58" s="9" t="n">
        <f aca="false">IF(AND(C58=0,D58=0),0,IF(C58=0,"New",(D58-C58)/C58))</f>
        <v>-0.216424682395644</v>
      </c>
      <c r="G58" s="10" t="n">
        <f aca="false">SUMIFS('Source 2025'!$Q:$Q,'Source 2025'!$B:$B,$A58,'Source 2025'!$A:$A,"Amount (NIS)")</f>
        <v>51118.9</v>
      </c>
      <c r="H58" s="10" t="n">
        <f aca="false">SUMIFS('Source 2026'!$Q:$Q,'Source 2026'!$B:$B,$A58,'Source 2026'!$A:$A,"Amount (NIS)")</f>
        <v>41072.9</v>
      </c>
      <c r="I58" s="10" t="n">
        <f aca="false">H58-G58</f>
        <v>-10046</v>
      </c>
      <c r="J58" s="9" t="n">
        <f aca="false">IF(AND(G58=0,H58=0),0,IF(G58=0,"New",(H58-G58)/G58))</f>
        <v>-0.196522225634746</v>
      </c>
    </row>
    <row r="59" customFormat="false" ht="15" hidden="false" customHeight="false" outlineLevel="0" collapsed="false">
      <c r="A59" s="7" t="s">
        <v>91</v>
      </c>
      <c r="B59" s="7" t="str">
        <f aca="false">IFERROR(INDEX('Source 2026'!$C:$C,MATCH($A59,'Source 2026'!$B:$B,0)),IFERROR(INDEX('Source 2025'!$C:$C,MATCH($A59,'Source 2025'!$B:$B,0)),""))</f>
        <v>בליסטר פלסטר</v>
      </c>
      <c r="C59" s="8" t="n">
        <f aca="false">SUMIFS('Source 2025'!$Q:$Q,'Source 2025'!$B:$B,$A59,'Source 2025'!$A:$A,"Quantity (units)")</f>
        <v>1909</v>
      </c>
      <c r="D59" s="8" t="n">
        <f aca="false">SUMIFS('Source 2026'!$Q:$Q,'Source 2026'!$B:$B,$A59,'Source 2026'!$A:$A,"Quantity (units)")</f>
        <v>1332</v>
      </c>
      <c r="E59" s="8" t="n">
        <f aca="false">D59-C59</f>
        <v>-577</v>
      </c>
      <c r="F59" s="9" t="n">
        <f aca="false">IF(AND(C59=0,D59=0),0,IF(C59=0,"New",(D59-C59)/C59))</f>
        <v>-0.302252488213724</v>
      </c>
      <c r="G59" s="10" t="n">
        <f aca="false">SUMIFS('Source 2025'!$Q:$Q,'Source 2025'!$B:$B,$A59,'Source 2025'!$A:$A,"Amount (NIS)")</f>
        <v>33927.9</v>
      </c>
      <c r="H59" s="10" t="n">
        <f aca="false">SUMIFS('Source 2026'!$Q:$Q,'Source 2026'!$B:$B,$A59,'Source 2026'!$A:$A,"Amount (NIS)")</f>
        <v>23901.8</v>
      </c>
      <c r="I59" s="10" t="n">
        <f aca="false">H59-G59</f>
        <v>-10026.1</v>
      </c>
      <c r="J59" s="9" t="n">
        <f aca="false">IF(AND(G59=0,H59=0),0,IF(G59=0,"New",(H59-G59)/G59))</f>
        <v>-0.295511953289181</v>
      </c>
    </row>
    <row r="60" customFormat="false" ht="15" hidden="false" customHeight="false" outlineLevel="0" collapsed="false">
      <c r="A60" s="7" t="s">
        <v>92</v>
      </c>
      <c r="B60" s="7" t="str">
        <f aca="false">IFERROR(INDEX('Source 2026'!$C:$C,MATCH($A60,'Source 2026'!$B:$B,0)),IFERROR(INDEX('Source 2025'!$C:$C,MATCH($A60,'Source 2025'!$B:$B,0)),""))</f>
        <v>תחבושת א.נצמ</v>
      </c>
      <c r="C60" s="8" t="n">
        <f aca="false">SUMIFS('Source 2025'!$Q:$Q,'Source 2025'!$B:$B,$A60,'Source 2025'!$A:$A,"Quantity (units)")</f>
        <v>1749</v>
      </c>
      <c r="D60" s="8" t="n">
        <f aca="false">SUMIFS('Source 2026'!$Q:$Q,'Source 2026'!$B:$B,$A60,'Source 2026'!$A:$A,"Quantity (units)")</f>
        <v>820</v>
      </c>
      <c r="E60" s="8" t="n">
        <f aca="false">D60-C60</f>
        <v>-929</v>
      </c>
      <c r="F60" s="9" t="n">
        <f aca="false">IF(AND(C60=0,D60=0),0,IF(C60=0,"New",(D60-C60)/C60))</f>
        <v>-0.531160663236135</v>
      </c>
      <c r="G60" s="10" t="n">
        <f aca="false">SUMIFS('Source 2025'!$Q:$Q,'Source 2025'!$B:$B,$A60,'Source 2025'!$A:$A,"Amount (NIS)")</f>
        <v>17832.6</v>
      </c>
      <c r="H60" s="10" t="n">
        <f aca="false">SUMIFS('Source 2026'!$Q:$Q,'Source 2026'!$B:$B,$A60,'Source 2026'!$A:$A,"Amount (NIS)")</f>
        <v>8468.2</v>
      </c>
      <c r="I60" s="10" t="n">
        <f aca="false">H60-G60</f>
        <v>-9364.4</v>
      </c>
      <c r="J60" s="9" t="n">
        <f aca="false">IF(AND(G60=0,H60=0),0,IF(G60=0,"New",(H60-G60)/G60))</f>
        <v>-0.52512813611027</v>
      </c>
    </row>
    <row r="61" customFormat="false" ht="15" hidden="false" customHeight="false" outlineLevel="0" collapsed="false">
      <c r="A61" s="7" t="s">
        <v>93</v>
      </c>
      <c r="B61" s="7" t="str">
        <f aca="false">IFERROR(INDEX('Source 2026'!$C:$C,MATCH($A61,'Source 2026'!$B:$B,0)),IFERROR(INDEX('Source 2025'!$C:$C,MATCH($A61,'Source 2025'!$B:$B,0)),""))</f>
        <v>תחבושת א.נצמ</v>
      </c>
      <c r="C61" s="8" t="n">
        <f aca="false">SUMIFS('Source 2025'!$Q:$Q,'Source 2025'!$B:$B,$A61,'Source 2025'!$A:$A,"Quantity (units)")</f>
        <v>2756</v>
      </c>
      <c r="D61" s="8" t="n">
        <f aca="false">SUMIFS('Source 2026'!$Q:$Q,'Source 2026'!$B:$B,$A61,'Source 2026'!$A:$A,"Quantity (units)")</f>
        <v>1822</v>
      </c>
      <c r="E61" s="8" t="n">
        <f aca="false">D61-C61</f>
        <v>-934</v>
      </c>
      <c r="F61" s="9" t="n">
        <f aca="false">IF(AND(C61=0,D61=0),0,IF(C61=0,"New",(D61-C61)/C61))</f>
        <v>-0.338896952104499</v>
      </c>
      <c r="G61" s="10" t="n">
        <f aca="false">SUMIFS('Source 2025'!$Q:$Q,'Source 2025'!$B:$B,$A61,'Source 2025'!$A:$A,"Amount (NIS)")</f>
        <v>28005.4</v>
      </c>
      <c r="H61" s="10" t="n">
        <f aca="false">SUMIFS('Source 2026'!$Q:$Q,'Source 2026'!$B:$B,$A61,'Source 2026'!$A:$A,"Amount (NIS)")</f>
        <v>18650.2</v>
      </c>
      <c r="I61" s="10" t="n">
        <f aca="false">H61-G61</f>
        <v>-9355.2</v>
      </c>
      <c r="J61" s="9" t="n">
        <f aca="false">IF(AND(G61=0,H61=0),0,IF(G61=0,"New",(H61-G61)/G61))</f>
        <v>-0.334049861812365</v>
      </c>
    </row>
    <row r="62" customFormat="false" ht="15" hidden="false" customHeight="false" outlineLevel="0" collapsed="false">
      <c r="A62" s="7" t="s">
        <v>94</v>
      </c>
      <c r="B62" s="7" t="str">
        <f aca="false">IFERROR(INDEX('Source 2026'!$C:$C,MATCH($A62,'Source 2026'!$B:$B,0)),IFERROR(INDEX('Source 2025'!$C:$C,MATCH($A62,'Source 2025'!$B:$B,0)),""))</f>
        <v>L שמאל CTS כפפות</v>
      </c>
      <c r="C62" s="8" t="n">
        <f aca="false">SUMIFS('Source 2025'!$Q:$Q,'Source 2025'!$B:$B,$A62,'Source 2025'!$A:$A,"Quantity (units)")</f>
        <v>0</v>
      </c>
      <c r="D62" s="8" t="n">
        <f aca="false">SUMIFS('Source 2026'!$Q:$Q,'Source 2026'!$B:$B,$A62,'Source 2026'!$A:$A,"Quantity (units)")</f>
        <v>93</v>
      </c>
      <c r="E62" s="8" t="n">
        <f aca="false">D62-C62</f>
        <v>93</v>
      </c>
      <c r="F62" s="9" t="str">
        <f aca="false">IF(AND(C62=0,D62=0),0,IF(C62=0,"New",(D62-C62)/C62))</f>
        <v>New</v>
      </c>
      <c r="G62" s="10" t="n">
        <f aca="false">SUMIFS('Source 2025'!$Q:$Q,'Source 2025'!$B:$B,$A62,'Source 2025'!$A:$A,"Amount (NIS)")</f>
        <v>0</v>
      </c>
      <c r="H62" s="10" t="n">
        <f aca="false">SUMIFS('Source 2026'!$Q:$Q,'Source 2026'!$B:$B,$A62,'Source 2026'!$A:$A,"Amount (NIS)")</f>
        <v>9344.9</v>
      </c>
      <c r="I62" s="10" t="n">
        <f aca="false">H62-G62</f>
        <v>9344.9</v>
      </c>
      <c r="J62" s="9" t="str">
        <f aca="false">IF(AND(G62=0,H62=0),0,IF(G62=0,"New",(H62-G62)/G62))</f>
        <v>New</v>
      </c>
    </row>
    <row r="63" customFormat="false" ht="15" hidden="false" customHeight="false" outlineLevel="0" collapsed="false">
      <c r="A63" s="7" t="s">
        <v>95</v>
      </c>
      <c r="B63" s="7" t="str">
        <f aca="false">IFERROR(INDEX('Source 2026'!$C:$C,MATCH($A63,'Source 2026'!$B:$B,0)),IFERROR(INDEX('Source 2025'!$C:$C,MATCH($A63,'Source 2025'!$B:$B,0)),""))</f>
        <v>תחבושת נצמדת ורוד 20ממ</v>
      </c>
      <c r="C63" s="8" t="n">
        <f aca="false">SUMIFS('Source 2025'!$Q:$Q,'Source 2025'!$B:$B,$A63,'Source 2025'!$A:$A,"Quantity (units)")</f>
        <v>1134</v>
      </c>
      <c r="D63" s="8" t="n">
        <f aca="false">SUMIFS('Source 2026'!$Q:$Q,'Source 2026'!$B:$B,$A63,'Source 2026'!$A:$A,"Quantity (units)")</f>
        <v>283</v>
      </c>
      <c r="E63" s="8" t="n">
        <f aca="false">D63-C63</f>
        <v>-851</v>
      </c>
      <c r="F63" s="9" t="n">
        <f aca="false">IF(AND(C63=0,D63=0),0,IF(C63=0,"New",(D63-C63)/C63))</f>
        <v>-0.750440917107584</v>
      </c>
      <c r="G63" s="10" t="n">
        <f aca="false">SUMIFS('Source 2025'!$Q:$Q,'Source 2025'!$B:$B,$A63,'Source 2025'!$A:$A,"Amount (NIS)")</f>
        <v>11512.2</v>
      </c>
      <c r="H63" s="10" t="n">
        <f aca="false">SUMIFS('Source 2026'!$Q:$Q,'Source 2026'!$B:$B,$A63,'Source 2026'!$A:$A,"Amount (NIS)")</f>
        <v>2916</v>
      </c>
      <c r="I63" s="10" t="n">
        <f aca="false">H63-G63</f>
        <v>-8596.2</v>
      </c>
      <c r="J63" s="9" t="n">
        <f aca="false">IF(AND(G63=0,H63=0),0,IF(G63=0,"New",(H63-G63)/G63))</f>
        <v>-0.746703497159535</v>
      </c>
    </row>
    <row r="64" customFormat="false" ht="15" hidden="false" customHeight="false" outlineLevel="0" collapsed="false">
      <c r="A64" s="7" t="s">
        <v>96</v>
      </c>
      <c r="B64" s="7" t="str">
        <f aca="false">IFERROR(INDEX('Source 2026'!$C:$C,MATCH($A64,'Source 2026'!$B:$B,0)),IFERROR(INDEX('Source 2025'!$C:$C,MATCH($A64,'Source 2025'!$B:$B,0)),""))</f>
        <v>שרוול מגן לבוניון</v>
      </c>
      <c r="C64" s="8" t="n">
        <f aca="false">SUMIFS('Source 2025'!$Q:$Q,'Source 2025'!$B:$B,$A64,'Source 2025'!$A:$A,"Quantity (units)")</f>
        <v>968</v>
      </c>
      <c r="D64" s="8" t="n">
        <f aca="false">SUMIFS('Source 2026'!$Q:$Q,'Source 2026'!$B:$B,$A64,'Source 2026'!$A:$A,"Quantity (units)")</f>
        <v>650</v>
      </c>
      <c r="E64" s="8" t="n">
        <f aca="false">D64-C64</f>
        <v>-318</v>
      </c>
      <c r="F64" s="9" t="n">
        <f aca="false">IF(AND(C64=0,D64=0),0,IF(C64=0,"New",(D64-C64)/C64))</f>
        <v>-0.328512396694215</v>
      </c>
      <c r="G64" s="10" t="n">
        <f aca="false">SUMIFS('Source 2025'!$Q:$Q,'Source 2025'!$B:$B,$A64,'Source 2025'!$A:$A,"Amount (NIS)")</f>
        <v>27666.3</v>
      </c>
      <c r="H64" s="10" t="n">
        <f aca="false">SUMIFS('Source 2026'!$Q:$Q,'Source 2026'!$B:$B,$A64,'Source 2026'!$A:$A,"Amount (NIS)")</f>
        <v>19108.9</v>
      </c>
      <c r="I64" s="10" t="n">
        <f aca="false">H64-G64</f>
        <v>-8557.4</v>
      </c>
      <c r="J64" s="9" t="n">
        <f aca="false">IF(AND(G64=0,H64=0),0,IF(G64=0,"New",(H64-G64)/G64))</f>
        <v>-0.309307713716688</v>
      </c>
    </row>
    <row r="65" customFormat="false" ht="15" hidden="false" customHeight="false" outlineLevel="0" collapsed="false">
      <c r="A65" s="7" t="s">
        <v>97</v>
      </c>
      <c r="B65" s="7" t="str">
        <f aca="false">IFERROR(INDEX('Source 2026'!$C:$C,MATCH($A65,'Source 2026'!$B:$B,0)),IFERROR(INDEX('Source 2025'!$C:$C,MATCH($A65,'Source 2025'!$B:$B,0)),""))</f>
        <v>חגורת גב אפורה</v>
      </c>
      <c r="C65" s="8" t="n">
        <f aca="false">SUMIFS('Source 2025'!$Q:$Q,'Source 2025'!$B:$B,$A65,'Source 2025'!$A:$A,"Quantity (units)")</f>
        <v>359</v>
      </c>
      <c r="D65" s="8" t="n">
        <f aca="false">SUMIFS('Source 2026'!$Q:$Q,'Source 2026'!$B:$B,$A65,'Source 2026'!$A:$A,"Quantity (units)")</f>
        <v>263</v>
      </c>
      <c r="E65" s="8" t="n">
        <f aca="false">D65-C65</f>
        <v>-96</v>
      </c>
      <c r="F65" s="9" t="n">
        <f aca="false">IF(AND(C65=0,D65=0),0,IF(C65=0,"New",(D65-C65)/C65))</f>
        <v>-0.267409470752089</v>
      </c>
      <c r="G65" s="10" t="n">
        <f aca="false">SUMIFS('Source 2025'!$Q:$Q,'Source 2025'!$B:$B,$A65,'Source 2025'!$A:$A,"Amount (NIS)")</f>
        <v>33059.8</v>
      </c>
      <c r="H65" s="10" t="n">
        <f aca="false">SUMIFS('Source 2026'!$Q:$Q,'Source 2026'!$B:$B,$A65,'Source 2026'!$A:$A,"Amount (NIS)")</f>
        <v>24607.7</v>
      </c>
      <c r="I65" s="10" t="n">
        <f aca="false">H65-G65</f>
        <v>-8452.1</v>
      </c>
      <c r="J65" s="9" t="n">
        <f aca="false">IF(AND(G65=0,H65=0),0,IF(G65=0,"New",(H65-G65)/G65))</f>
        <v>-0.255660953786774</v>
      </c>
    </row>
    <row r="66" customFormat="false" ht="15" hidden="false" customHeight="false" outlineLevel="0" collapsed="false">
      <c r="A66" s="7" t="s">
        <v>98</v>
      </c>
      <c r="B66" s="7" t="str">
        <f aca="false">IFERROR(INDEX('Source 2026'!$C:$C,MATCH($A66,'Source 2026'!$B:$B,0)),IFERROR(INDEX('Source 2025'!$C:$C,MATCH($A66,'Source 2025'!$B:$B,0)),""))</f>
        <v>דאודורנט אנטיבק.נעל333</v>
      </c>
      <c r="C66" s="8" t="n">
        <f aca="false">SUMIFS('Source 2025'!$Q:$Q,'Source 2025'!$B:$B,$A66,'Source 2025'!$A:$A,"Quantity (units)")</f>
        <v>1663</v>
      </c>
      <c r="D66" s="8" t="n">
        <f aca="false">SUMIFS('Source 2026'!$Q:$Q,'Source 2026'!$B:$B,$A66,'Source 2026'!$A:$A,"Quantity (units)")</f>
        <v>1283</v>
      </c>
      <c r="E66" s="8" t="n">
        <f aca="false">D66-C66</f>
        <v>-380</v>
      </c>
      <c r="F66" s="9" t="n">
        <f aca="false">IF(AND(C66=0,D66=0),0,IF(C66=0,"New",(D66-C66)/C66))</f>
        <v>-0.228502705953097</v>
      </c>
      <c r="G66" s="10" t="n">
        <f aca="false">SUMIFS('Source 2025'!$Q:$Q,'Source 2025'!$B:$B,$A66,'Source 2025'!$A:$A,"Amount (NIS)")</f>
        <v>30574.4</v>
      </c>
      <c r="H66" s="10" t="n">
        <f aca="false">SUMIFS('Source 2026'!$Q:$Q,'Source 2026'!$B:$B,$A66,'Source 2026'!$A:$A,"Amount (NIS)")</f>
        <v>22225.7</v>
      </c>
      <c r="I66" s="10" t="n">
        <f aca="false">H66-G66</f>
        <v>-8348.7</v>
      </c>
      <c r="J66" s="9" t="n">
        <f aca="false">IF(AND(G66=0,H66=0),0,IF(G66=0,"New",(H66-G66)/G66))</f>
        <v>-0.27306177717306</v>
      </c>
    </row>
    <row r="67" customFormat="false" ht="15" hidden="false" customHeight="false" outlineLevel="0" collapsed="false">
      <c r="A67" s="7" t="s">
        <v>99</v>
      </c>
      <c r="B67" s="7" t="str">
        <f aca="false">IFERROR(INDEX('Source 2026'!$C:$C,MATCH($A67,'Source 2026'!$B:$B,0)),IFERROR(INDEX('Source 2025'!$C:$C,MATCH($A67,'Source 2025'!$B:$B,0)),""))</f>
        <v>חגורת גב +סגירה כפולה</v>
      </c>
      <c r="C67" s="8" t="n">
        <f aca="false">SUMIFS('Source 2025'!$Q:$Q,'Source 2025'!$B:$B,$A67,'Source 2025'!$A:$A,"Quantity (units)")</f>
        <v>132</v>
      </c>
      <c r="D67" s="8" t="n">
        <f aca="false">SUMIFS('Source 2026'!$Q:$Q,'Source 2026'!$B:$B,$A67,'Source 2026'!$A:$A,"Quantity (units)")</f>
        <v>42</v>
      </c>
      <c r="E67" s="8" t="n">
        <f aca="false">D67-C67</f>
        <v>-90</v>
      </c>
      <c r="F67" s="9" t="n">
        <f aca="false">IF(AND(C67=0,D67=0),0,IF(C67=0,"New",(D67-C67)/C67))</f>
        <v>-0.681818181818182</v>
      </c>
      <c r="G67" s="10" t="n">
        <f aca="false">SUMIFS('Source 2025'!$Q:$Q,'Source 2025'!$B:$B,$A67,'Source 2025'!$A:$A,"Amount (NIS)")</f>
        <v>12600.2</v>
      </c>
      <c r="H67" s="10" t="n">
        <f aca="false">SUMIFS('Source 2026'!$Q:$Q,'Source 2026'!$B:$B,$A67,'Source 2026'!$A:$A,"Amount (NIS)")</f>
        <v>4263.8</v>
      </c>
      <c r="I67" s="10" t="n">
        <f aca="false">H67-G67</f>
        <v>-8336.4</v>
      </c>
      <c r="J67" s="9" t="n">
        <f aca="false">IF(AND(G67=0,H67=0),0,IF(G67=0,"New",(H67-G67)/G67))</f>
        <v>-0.661608545896097</v>
      </c>
    </row>
    <row r="68" customFormat="false" ht="15" hidden="false" customHeight="false" outlineLevel="0" collapsed="false">
      <c r="A68" s="7" t="s">
        <v>100</v>
      </c>
      <c r="B68" s="7" t="str">
        <f aca="false">IFERROR(INDEX('Source 2026'!$C:$C,MATCH($A68,'Source 2026'!$B:$B,0)),IFERROR(INDEX('Source 2025'!$C:$C,MATCH($A68,'Source 2025'!$B:$B,0)),""))</f>
        <v>L חבק יד מתכוון עם צמדן</v>
      </c>
      <c r="C68" s="8" t="n">
        <f aca="false">SUMIFS('Source 2025'!$Q:$Q,'Source 2025'!$B:$B,$A68,'Source 2025'!$A:$A,"Quantity (units)")</f>
        <v>739</v>
      </c>
      <c r="D68" s="8" t="n">
        <f aca="false">SUMIFS('Source 2026'!$Q:$Q,'Source 2026'!$B:$B,$A68,'Source 2026'!$A:$A,"Quantity (units)")</f>
        <v>398</v>
      </c>
      <c r="E68" s="8" t="n">
        <f aca="false">D68-C68</f>
        <v>-341</v>
      </c>
      <c r="F68" s="9" t="n">
        <f aca="false">IF(AND(C68=0,D68=0),0,IF(C68=0,"New",(D68-C68)/C68))</f>
        <v>-0.461434370771313</v>
      </c>
      <c r="G68" s="10" t="n">
        <f aca="false">SUMIFS('Source 2025'!$Q:$Q,'Source 2025'!$B:$B,$A68,'Source 2025'!$A:$A,"Amount (NIS)")</f>
        <v>18552.4</v>
      </c>
      <c r="H68" s="10" t="n">
        <f aca="false">SUMIFS('Source 2026'!$Q:$Q,'Source 2026'!$B:$B,$A68,'Source 2026'!$A:$A,"Amount (NIS)")</f>
        <v>10262</v>
      </c>
      <c r="I68" s="10" t="n">
        <f aca="false">H68-G68</f>
        <v>-8290.4</v>
      </c>
      <c r="J68" s="9" t="n">
        <f aca="false">IF(AND(G68=0,H68=0),0,IF(G68=0,"New",(H68-G68)/G68))</f>
        <v>-0.446864017593411</v>
      </c>
    </row>
    <row r="69" customFormat="false" ht="15" hidden="false" customHeight="false" outlineLevel="0" collapsed="false">
      <c r="A69" s="7" t="s">
        <v>101</v>
      </c>
      <c r="B69" s="7" t="str">
        <f aca="false">IFERROR(INDEX('Source 2026'!$C:$C,MATCH($A69,'Source 2026'!$B:$B,0)),IFERROR(INDEX('Source 2025'!$C:$C,MATCH($A69,'Source 2025'!$B:$B,0)),""))</f>
        <v>S מגן קרסול מתכוון עם סקוטש</v>
      </c>
      <c r="C69" s="8" t="n">
        <f aca="false">SUMIFS('Source 2025'!$Q:$Q,'Source 2025'!$B:$B,$A69,'Source 2025'!$A:$A,"Quantity (units)")</f>
        <v>97</v>
      </c>
      <c r="D69" s="8" t="n">
        <f aca="false">SUMIFS('Source 2026'!$Q:$Q,'Source 2026'!$B:$B,$A69,'Source 2026'!$A:$A,"Quantity (units)")</f>
        <v>-36</v>
      </c>
      <c r="E69" s="8" t="n">
        <f aca="false">D69-C69</f>
        <v>-133</v>
      </c>
      <c r="F69" s="9" t="n">
        <f aca="false">IF(AND(C69=0,D69=0),0,IF(C69=0,"New",(D69-C69)/C69))</f>
        <v>-1.37113402061856</v>
      </c>
      <c r="G69" s="10" t="n">
        <f aca="false">SUMIFS('Source 2025'!$Q:$Q,'Source 2025'!$B:$B,$A69,'Source 2025'!$A:$A,"Amount (NIS)")</f>
        <v>5669.5</v>
      </c>
      <c r="H69" s="10" t="n">
        <f aca="false">SUMIFS('Source 2026'!$Q:$Q,'Source 2026'!$B:$B,$A69,'Source 2026'!$A:$A,"Amount (NIS)")</f>
        <v>-1982.7</v>
      </c>
      <c r="I69" s="10" t="n">
        <f aca="false">H69-G69</f>
        <v>-7652.2</v>
      </c>
      <c r="J69" s="9" t="n">
        <f aca="false">IF(AND(G69=0,H69=0),0,IF(G69=0,"New",(H69-G69)/G69))</f>
        <v>-1.34971337860482</v>
      </c>
    </row>
    <row r="70" customFormat="false" ht="15" hidden="false" customHeight="false" outlineLevel="0" collapsed="false">
      <c r="A70" s="7" t="s">
        <v>102</v>
      </c>
      <c r="B70" s="7" t="str">
        <f aca="false">IFERROR(INDEX('Source 2026'!$C:$C,MATCH($A70,'Source 2026'!$B:$B,0)),IFERROR(INDEX('Source 2025'!$C:$C,MATCH($A70,'Source 2025'!$B:$B,0)),""))</f>
        <v>3667 מגן בוניון</v>
      </c>
      <c r="C70" s="8" t="n">
        <f aca="false">SUMIFS('Source 2025'!$Q:$Q,'Source 2025'!$B:$B,$A70,'Source 2025'!$A:$A,"Quantity (units)")</f>
        <v>962</v>
      </c>
      <c r="D70" s="8" t="n">
        <f aca="false">SUMIFS('Source 2026'!$Q:$Q,'Source 2026'!$B:$B,$A70,'Source 2026'!$A:$A,"Quantity (units)")</f>
        <v>673</v>
      </c>
      <c r="E70" s="8" t="n">
        <f aca="false">D70-C70</f>
        <v>-289</v>
      </c>
      <c r="F70" s="9" t="n">
        <f aca="false">IF(AND(C70=0,D70=0),0,IF(C70=0,"New",(D70-C70)/C70))</f>
        <v>-0.3004158004158</v>
      </c>
      <c r="G70" s="10" t="n">
        <f aca="false">SUMIFS('Source 2025'!$Q:$Q,'Source 2025'!$B:$B,$A70,'Source 2025'!$A:$A,"Amount (NIS)")</f>
        <v>25707.7</v>
      </c>
      <c r="H70" s="10" t="n">
        <f aca="false">SUMIFS('Source 2026'!$Q:$Q,'Source 2026'!$B:$B,$A70,'Source 2026'!$A:$A,"Amount (NIS)")</f>
        <v>18182.5</v>
      </c>
      <c r="I70" s="10" t="n">
        <f aca="false">H70-G70</f>
        <v>-7525.2</v>
      </c>
      <c r="J70" s="9" t="n">
        <f aca="false">IF(AND(G70=0,H70=0),0,IF(G70=0,"New",(H70-G70)/G70))</f>
        <v>-0.292721635930091</v>
      </c>
    </row>
    <row r="71" customFormat="false" ht="15" hidden="false" customHeight="false" outlineLevel="0" collapsed="false">
      <c r="A71" s="7" t="s">
        <v>103</v>
      </c>
      <c r="B71" s="7" t="str">
        <f aca="false">IFERROR(INDEX('Source 2026'!$C:$C,MATCH($A71,'Source 2026'!$B:$B,0)),IFERROR(INDEX('Source 2025'!$C:$C,MATCH($A71,'Source 2025'!$B:$B,0)),""))</f>
        <v>L חגורת גב +סגירה</v>
      </c>
      <c r="C71" s="8" t="n">
        <f aca="false">SUMIFS('Source 2025'!$Q:$Q,'Source 2025'!$B:$B,$A71,'Source 2025'!$A:$A,"Quantity (units)")</f>
        <v>164</v>
      </c>
      <c r="D71" s="8" t="n">
        <f aca="false">SUMIFS('Source 2026'!$Q:$Q,'Source 2026'!$B:$B,$A71,'Source 2026'!$A:$A,"Quantity (units)")</f>
        <v>82</v>
      </c>
      <c r="E71" s="8" t="n">
        <f aca="false">D71-C71</f>
        <v>-82</v>
      </c>
      <c r="F71" s="9" t="n">
        <f aca="false">IF(AND(C71=0,D71=0),0,IF(C71=0,"New",(D71-C71)/C71))</f>
        <v>-0.5</v>
      </c>
      <c r="G71" s="10" t="n">
        <f aca="false">SUMIFS('Source 2025'!$Q:$Q,'Source 2025'!$B:$B,$A71,'Source 2025'!$A:$A,"Amount (NIS)")</f>
        <v>15702.7</v>
      </c>
      <c r="H71" s="10" t="n">
        <f aca="false">SUMIFS('Source 2026'!$Q:$Q,'Source 2026'!$B:$B,$A71,'Source 2026'!$A:$A,"Amount (NIS)")</f>
        <v>8230.7</v>
      </c>
      <c r="I71" s="10" t="n">
        <f aca="false">H71-G71</f>
        <v>-7472</v>
      </c>
      <c r="J71" s="9" t="n">
        <f aca="false">IF(AND(G71=0,H71=0),0,IF(G71=0,"New",(H71-G71)/G71))</f>
        <v>-0.475841734224051</v>
      </c>
    </row>
    <row r="72" customFormat="false" ht="15" hidden="false" customHeight="false" outlineLevel="0" collapsed="false">
      <c r="A72" s="7" t="s">
        <v>104</v>
      </c>
      <c r="B72" s="7" t="str">
        <f aca="false">IFERROR(INDEX('Source 2026'!$C:$C,MATCH($A72,'Source 2026'!$B:$B,0)),IFERROR(INDEX('Source 2025'!$C:$C,MATCH($A72,'Source 2025'!$B:$B,0)),""))</f>
        <v>מיישר בוניון-האלוקס ולגוס</v>
      </c>
      <c r="C72" s="8" t="n">
        <f aca="false">SUMIFS('Source 2025'!$Q:$Q,'Source 2025'!$B:$B,$A72,'Source 2025'!$A:$A,"Quantity (units)")</f>
        <v>830</v>
      </c>
      <c r="D72" s="8" t="n">
        <f aca="false">SUMIFS('Source 2026'!$Q:$Q,'Source 2026'!$B:$B,$A72,'Source 2026'!$A:$A,"Quantity (units)")</f>
        <v>654</v>
      </c>
      <c r="E72" s="8" t="n">
        <f aca="false">D72-C72</f>
        <v>-176</v>
      </c>
      <c r="F72" s="9" t="n">
        <f aca="false">IF(AND(C72=0,D72=0),0,IF(C72=0,"New",(D72-C72)/C72))</f>
        <v>-0.212048192771084</v>
      </c>
      <c r="G72" s="10" t="n">
        <f aca="false">SUMIFS('Source 2025'!$Q:$Q,'Source 2025'!$B:$B,$A72,'Source 2025'!$A:$A,"Amount (NIS)")</f>
        <v>33989.9</v>
      </c>
      <c r="H72" s="10" t="n">
        <f aca="false">SUMIFS('Source 2026'!$Q:$Q,'Source 2026'!$B:$B,$A72,'Source 2026'!$A:$A,"Amount (NIS)")</f>
        <v>26677.6</v>
      </c>
      <c r="I72" s="10" t="n">
        <f aca="false">H72-G72</f>
        <v>-7312.3</v>
      </c>
      <c r="J72" s="9" t="n">
        <f aca="false">IF(AND(G72=0,H72=0),0,IF(G72=0,"New",(H72-G72)/G72))</f>
        <v>-0.215131553785095</v>
      </c>
    </row>
    <row r="73" customFormat="false" ht="15" hidden="false" customHeight="false" outlineLevel="0" collapsed="false">
      <c r="A73" s="7" t="s">
        <v>105</v>
      </c>
      <c r="B73" s="7" t="str">
        <f aca="false">IFERROR(INDEX('Source 2026'!$C:$C,MATCH($A73,'Source 2026'!$B:$B,0)),IFERROR(INDEX('Source 2025'!$C:$C,MATCH($A73,'Source 2025'!$B:$B,0)),""))</f>
        <v>S-M סד לאגודל</v>
      </c>
      <c r="C73" s="8" t="n">
        <f aca="false">SUMIFS('Source 2025'!$Q:$Q,'Source 2025'!$B:$B,$A73,'Source 2025'!$A:$A,"Quantity (units)")</f>
        <v>484</v>
      </c>
      <c r="D73" s="8" t="n">
        <f aca="false">SUMIFS('Source 2026'!$Q:$Q,'Source 2026'!$B:$B,$A73,'Source 2026'!$A:$A,"Quantity (units)")</f>
        <v>360</v>
      </c>
      <c r="E73" s="8" t="n">
        <f aca="false">D73-C73</f>
        <v>-124</v>
      </c>
      <c r="F73" s="9" t="n">
        <f aca="false">IF(AND(C73=0,D73=0),0,IF(C73=0,"New",(D73-C73)/C73))</f>
        <v>-0.256198347107438</v>
      </c>
      <c r="G73" s="10" t="n">
        <f aca="false">SUMIFS('Source 2025'!$Q:$Q,'Source 2025'!$B:$B,$A73,'Source 2025'!$A:$A,"Amount (NIS)")</f>
        <v>28166.5</v>
      </c>
      <c r="H73" s="10" t="n">
        <f aca="false">SUMIFS('Source 2026'!$Q:$Q,'Source 2026'!$B:$B,$A73,'Source 2026'!$A:$A,"Amount (NIS)")</f>
        <v>21127.7</v>
      </c>
      <c r="I73" s="10" t="n">
        <f aca="false">H73-G73</f>
        <v>-7038.8</v>
      </c>
      <c r="J73" s="9" t="n">
        <f aca="false">IF(AND(G73=0,H73=0),0,IF(G73=0,"New",(H73-G73)/G73))</f>
        <v>-0.249899703548542</v>
      </c>
    </row>
    <row r="74" customFormat="false" ht="15" hidden="false" customHeight="false" outlineLevel="0" collapsed="false">
      <c r="A74" s="7" t="s">
        <v>106</v>
      </c>
      <c r="B74" s="7" t="str">
        <f aca="false">IFERROR(INDEX('Source 2026'!$C:$C,MATCH($A74,'Source 2026'!$B:$B,0)),IFERROR(INDEX('Source 2025'!$C:$C,MATCH($A74,'Source 2025'!$B:$B,0)),""))</f>
        <v>S-M STRAP4U</v>
      </c>
      <c r="C74" s="8" t="n">
        <f aca="false">SUMIFS('Source 2025'!$Q:$Q,'Source 2025'!$B:$B,$A74,'Source 2025'!$A:$A,"Quantity (units)")</f>
        <v>496</v>
      </c>
      <c r="D74" s="8" t="n">
        <f aca="false">SUMIFS('Source 2026'!$Q:$Q,'Source 2026'!$B:$B,$A74,'Source 2026'!$A:$A,"Quantity (units)")</f>
        <v>89</v>
      </c>
      <c r="E74" s="8" t="n">
        <f aca="false">D74-C74</f>
        <v>-407</v>
      </c>
      <c r="F74" s="9" t="n">
        <f aca="false">IF(AND(C74=0,D74=0),0,IF(C74=0,"New",(D74-C74)/C74))</f>
        <v>-0.820564516129032</v>
      </c>
      <c r="G74" s="10" t="n">
        <f aca="false">SUMIFS('Source 2025'!$Q:$Q,'Source 2025'!$B:$B,$A74,'Source 2025'!$A:$A,"Amount (NIS)")</f>
        <v>8292.2</v>
      </c>
      <c r="H74" s="10" t="n">
        <f aca="false">SUMIFS('Source 2026'!$Q:$Q,'Source 2026'!$B:$B,$A74,'Source 2026'!$A:$A,"Amount (NIS)")</f>
        <v>1612.2</v>
      </c>
      <c r="I74" s="10" t="n">
        <f aca="false">H74-G74</f>
        <v>-6680</v>
      </c>
      <c r="J74" s="9" t="n">
        <f aca="false">IF(AND(G74=0,H74=0),0,IF(G74=0,"New",(H74-G74)/G74))</f>
        <v>-0.805576324738911</v>
      </c>
    </row>
    <row r="75" customFormat="false" ht="15" hidden="false" customHeight="false" outlineLevel="0" collapsed="false">
      <c r="A75" s="7" t="s">
        <v>107</v>
      </c>
      <c r="B75" s="7" t="str">
        <f aca="false">IFERROR(INDEX('Source 2026'!$C:$C,MATCH($A75,'Source 2026'!$B:$B,0)),IFERROR(INDEX('Source 2025'!$C:$C,MATCH($A75,'Source 2025'!$B:$B,0)),""))</f>
        <v>L ימין CTS כפפות</v>
      </c>
      <c r="C75" s="8" t="n">
        <f aca="false">SUMIFS('Source 2025'!$Q:$Q,'Source 2025'!$B:$B,$A75,'Source 2025'!$A:$A,"Quantity (units)")</f>
        <v>0</v>
      </c>
      <c r="D75" s="8" t="n">
        <f aca="false">SUMIFS('Source 2026'!$Q:$Q,'Source 2026'!$B:$B,$A75,'Source 2026'!$A:$A,"Quantity (units)")</f>
        <v>64</v>
      </c>
      <c r="E75" s="8" t="n">
        <f aca="false">D75-C75</f>
        <v>64</v>
      </c>
      <c r="F75" s="9" t="str">
        <f aca="false">IF(AND(C75=0,D75=0),0,IF(C75=0,"New",(D75-C75)/C75))</f>
        <v>New</v>
      </c>
      <c r="G75" s="10" t="n">
        <f aca="false">SUMIFS('Source 2025'!$Q:$Q,'Source 2025'!$B:$B,$A75,'Source 2025'!$A:$A,"Amount (NIS)")</f>
        <v>0</v>
      </c>
      <c r="H75" s="10" t="n">
        <f aca="false">SUMIFS('Source 2026'!$Q:$Q,'Source 2026'!$B:$B,$A75,'Source 2026'!$A:$A,"Amount (NIS)")</f>
        <v>6431.2</v>
      </c>
      <c r="I75" s="10" t="n">
        <f aca="false">H75-G75</f>
        <v>6431.2</v>
      </c>
      <c r="J75" s="9" t="str">
        <f aca="false">IF(AND(G75=0,H75=0),0,IF(G75=0,"New",(H75-G75)/G75))</f>
        <v>New</v>
      </c>
    </row>
    <row r="76" customFormat="false" ht="15" hidden="false" customHeight="false" outlineLevel="0" collapsed="false">
      <c r="A76" s="7" t="s">
        <v>108</v>
      </c>
      <c r="B76" s="7" t="str">
        <f aca="false">IFERROR(INDEX('Source 2026'!$C:$C,MATCH($A76,'Source 2026'!$B:$B,0)),IFERROR(INDEX('Source 2025'!$C:$C,MATCH($A76,'Source 2025'!$B:$B,0)),""))</f>
        <v>גב אפורה</v>
      </c>
      <c r="C76" s="8" t="n">
        <f aca="false">SUMIFS('Source 2025'!$Q:$Q,'Source 2025'!$B:$B,$A76,'Source 2025'!$A:$A,"Quantity (units)")</f>
        <v>161</v>
      </c>
      <c r="D76" s="8" t="n">
        <f aca="false">SUMIFS('Source 2026'!$Q:$Q,'Source 2026'!$B:$B,$A76,'Source 2026'!$A:$A,"Quantity (units)")</f>
        <v>95</v>
      </c>
      <c r="E76" s="8" t="n">
        <f aca="false">D76-C76</f>
        <v>-66</v>
      </c>
      <c r="F76" s="9" t="n">
        <f aca="false">IF(AND(C76=0,D76=0),0,IF(C76=0,"New",(D76-C76)/C76))</f>
        <v>-0.409937888198758</v>
      </c>
      <c r="G76" s="10" t="n">
        <f aca="false">SUMIFS('Source 2025'!$Q:$Q,'Source 2025'!$B:$B,$A76,'Source 2025'!$A:$A,"Amount (NIS)")</f>
        <v>14776.5</v>
      </c>
      <c r="H76" s="10" t="n">
        <f aca="false">SUMIFS('Source 2026'!$Q:$Q,'Source 2026'!$B:$B,$A76,'Source 2026'!$A:$A,"Amount (NIS)")</f>
        <v>8894.8</v>
      </c>
      <c r="I76" s="10" t="n">
        <f aca="false">H76-G76</f>
        <v>-5881.7</v>
      </c>
      <c r="J76" s="9" t="n">
        <f aca="false">IF(AND(G76=0,H76=0),0,IF(G76=0,"New",(H76-G76)/G76))</f>
        <v>-0.39804419179102</v>
      </c>
    </row>
    <row r="77" customFormat="false" ht="15" hidden="false" customHeight="false" outlineLevel="0" collapsed="false">
      <c r="A77" s="7" t="s">
        <v>109</v>
      </c>
      <c r="B77" s="7" t="str">
        <f aca="false">IFERROR(INDEX('Source 2026'!$C:$C,MATCH($A77,'Source 2026'!$B:$B,0)),IFERROR(INDEX('Source 2025'!$C:$C,MATCH($A77,'Source 2025'!$B:$B,0)),""))</f>
        <v>גרב.כסף לסכרתים שחור35-38</v>
      </c>
      <c r="C77" s="8" t="n">
        <f aca="false">SUMIFS('Source 2025'!$Q:$Q,'Source 2025'!$B:$B,$A77,'Source 2025'!$A:$A,"Quantity (units)")</f>
        <v>438</v>
      </c>
      <c r="D77" s="8" t="n">
        <f aca="false">SUMIFS('Source 2026'!$Q:$Q,'Source 2026'!$B:$B,$A77,'Source 2026'!$A:$A,"Quantity (units)")</f>
        <v>176</v>
      </c>
      <c r="E77" s="8" t="n">
        <f aca="false">D77-C77</f>
        <v>-262</v>
      </c>
      <c r="F77" s="9" t="n">
        <f aca="false">IF(AND(C77=0,D77=0),0,IF(C77=0,"New",(D77-C77)/C77))</f>
        <v>-0.598173515981735</v>
      </c>
      <c r="G77" s="10" t="n">
        <f aca="false">SUMIFS('Source 2025'!$Q:$Q,'Source 2025'!$B:$B,$A77,'Source 2025'!$A:$A,"Amount (NIS)")</f>
        <v>9732.4</v>
      </c>
      <c r="H77" s="10" t="n">
        <f aca="false">SUMIFS('Source 2026'!$Q:$Q,'Source 2026'!$B:$B,$A77,'Source 2026'!$A:$A,"Amount (NIS)")</f>
        <v>3919.7</v>
      </c>
      <c r="I77" s="10" t="n">
        <f aca="false">H77-G77</f>
        <v>-5812.7</v>
      </c>
      <c r="J77" s="9" t="n">
        <f aca="false">IF(AND(G77=0,H77=0),0,IF(G77=0,"New",(H77-G77)/G77))</f>
        <v>-0.597252476264847</v>
      </c>
    </row>
    <row r="78" customFormat="false" ht="15" hidden="false" customHeight="false" outlineLevel="0" collapsed="false">
      <c r="A78" s="7" t="s">
        <v>110</v>
      </c>
      <c r="B78" s="7" t="str">
        <f aca="false">IFERROR(INDEX('Source 2026'!$C:$C,MATCH($A78,'Source 2026'!$B:$B,0)),IFERROR(INDEX('Source 2025'!$C:$C,MATCH($A78,'Source 2025'!$B:$B,0)),""))</f>
        <v>חבק טניס</v>
      </c>
      <c r="C78" s="8" t="n">
        <f aca="false">SUMIFS('Source 2025'!$Q:$Q,'Source 2025'!$B:$B,$A78,'Source 2025'!$A:$A,"Quantity (units)")</f>
        <v>803</v>
      </c>
      <c r="D78" s="8" t="n">
        <f aca="false">SUMIFS('Source 2026'!$Q:$Q,'Source 2026'!$B:$B,$A78,'Source 2026'!$A:$A,"Quantity (units)")</f>
        <v>571</v>
      </c>
      <c r="E78" s="8" t="n">
        <f aca="false">D78-C78</f>
        <v>-232</v>
      </c>
      <c r="F78" s="9" t="n">
        <f aca="false">IF(AND(C78=0,D78=0),0,IF(C78=0,"New",(D78-C78)/C78))</f>
        <v>-0.288916562889166</v>
      </c>
      <c r="G78" s="10" t="n">
        <f aca="false">SUMIFS('Source 2025'!$Q:$Q,'Source 2025'!$B:$B,$A78,'Source 2025'!$A:$A,"Amount (NIS)")</f>
        <v>21410.6</v>
      </c>
      <c r="H78" s="10" t="n">
        <f aca="false">SUMIFS('Source 2026'!$Q:$Q,'Source 2026'!$B:$B,$A78,'Source 2026'!$A:$A,"Amount (NIS)")</f>
        <v>15737.5</v>
      </c>
      <c r="I78" s="10" t="n">
        <f aca="false">H78-G78</f>
        <v>-5673.1</v>
      </c>
      <c r="J78" s="9" t="n">
        <f aca="false">IF(AND(G78=0,H78=0),0,IF(G78=0,"New",(H78-G78)/G78))</f>
        <v>-0.264966885561357</v>
      </c>
    </row>
    <row r="79" customFormat="false" ht="15" hidden="false" customHeight="false" outlineLevel="0" collapsed="false">
      <c r="A79" s="7" t="s">
        <v>111</v>
      </c>
      <c r="B79" s="7" t="str">
        <f aca="false">IFERROR(INDEX('Source 2026'!$C:$C,MATCH($A79,'Source 2026'!$B:$B,0)),IFERROR(INDEX('Source 2025'!$C:$C,MATCH($A79,'Source 2025'!$B:$B,0)),""))</f>
        <v>מקבע קרסול</v>
      </c>
      <c r="C79" s="8" t="n">
        <f aca="false">SUMIFS('Source 2025'!$Q:$Q,'Source 2025'!$B:$B,$A79,'Source 2025'!$A:$A,"Quantity (units)")</f>
        <v>0</v>
      </c>
      <c r="D79" s="8" t="n">
        <f aca="false">SUMIFS('Source 2026'!$Q:$Q,'Source 2026'!$B:$B,$A79,'Source 2026'!$A:$A,"Quantity (units)")</f>
        <v>40</v>
      </c>
      <c r="E79" s="8" t="n">
        <f aca="false">D79-C79</f>
        <v>40</v>
      </c>
      <c r="F79" s="9" t="str">
        <f aca="false">IF(AND(C79=0,D79=0),0,IF(C79=0,"New",(D79-C79)/C79))</f>
        <v>New</v>
      </c>
      <c r="G79" s="10" t="n">
        <f aca="false">SUMIFS('Source 2025'!$Q:$Q,'Source 2025'!$B:$B,$A79,'Source 2025'!$A:$A,"Amount (NIS)")</f>
        <v>0</v>
      </c>
      <c r="H79" s="10" t="n">
        <f aca="false">SUMIFS('Source 2026'!$Q:$Q,'Source 2026'!$B:$B,$A79,'Source 2026'!$A:$A,"Amount (NIS)")</f>
        <v>5635.8</v>
      </c>
      <c r="I79" s="10" t="n">
        <f aca="false">H79-G79</f>
        <v>5635.8</v>
      </c>
      <c r="J79" s="9" t="str">
        <f aca="false">IF(AND(G79=0,H79=0),0,IF(G79=0,"New",(H79-G79)/G79))</f>
        <v>New</v>
      </c>
    </row>
    <row r="80" customFormat="false" ht="15" hidden="false" customHeight="false" outlineLevel="0" collapsed="false">
      <c r="A80" s="7" t="s">
        <v>112</v>
      </c>
      <c r="B80" s="7" t="str">
        <f aca="false">IFERROR(INDEX('Source 2026'!$C:$C,MATCH($A80,'Source 2026'!$B:$B,0)),IFERROR(INDEX('Source 2025'!$C:$C,MATCH($A80,'Source 2025'!$B:$B,0)),""))</f>
        <v>אמבט לכף הרגל</v>
      </c>
      <c r="C80" s="8" t="n">
        <f aca="false">SUMIFS('Source 2025'!$Q:$Q,'Source 2025'!$B:$B,$A80,'Source 2025'!$A:$A,"Quantity (units)")</f>
        <v>871</v>
      </c>
      <c r="D80" s="8" t="n">
        <f aca="false">SUMIFS('Source 2026'!$Q:$Q,'Source 2026'!$B:$B,$A80,'Source 2026'!$A:$A,"Quantity (units)")</f>
        <v>320</v>
      </c>
      <c r="E80" s="8" t="n">
        <f aca="false">D80-C80</f>
        <v>-551</v>
      </c>
      <c r="F80" s="9" t="n">
        <f aca="false">IF(AND(C80=0,D80=0),0,IF(C80=0,"New",(D80-C80)/C80))</f>
        <v>-0.632606199770379</v>
      </c>
      <c r="G80" s="10" t="n">
        <f aca="false">SUMIFS('Source 2025'!$Q:$Q,'Source 2025'!$B:$B,$A80,'Source 2025'!$A:$A,"Amount (NIS)")</f>
        <v>8834.2</v>
      </c>
      <c r="H80" s="10" t="n">
        <f aca="false">SUMIFS('Source 2026'!$Q:$Q,'Source 2026'!$B:$B,$A80,'Source 2026'!$A:$A,"Amount (NIS)")</f>
        <v>3240.5</v>
      </c>
      <c r="I80" s="10" t="n">
        <f aca="false">H80-G80</f>
        <v>-5593.7</v>
      </c>
      <c r="J80" s="9" t="n">
        <f aca="false">IF(AND(G80=0,H80=0),0,IF(G80=0,"New",(H80-G80)/G80))</f>
        <v>-0.633186932602839</v>
      </c>
    </row>
    <row r="81" customFormat="false" ht="15" hidden="false" customHeight="false" outlineLevel="0" collapsed="false">
      <c r="A81" s="7" t="s">
        <v>113</v>
      </c>
      <c r="B81" s="7" t="str">
        <f aca="false">IFERROR(INDEX('Source 2026'!$C:$C,MATCH($A81,'Source 2026'!$B:$B,0)),IFERROR(INDEX('Source 2025'!$C:$C,MATCH($A81,'Source 2025'!$B:$B,0)),""))</f>
        <v>S מגן קרסול עקב סגור+רצוע</v>
      </c>
      <c r="C81" s="8" t="n">
        <f aca="false">SUMIFS('Source 2025'!$Q:$Q,'Source 2025'!$B:$B,$A81,'Source 2025'!$A:$A,"Quantity (units)")</f>
        <v>288</v>
      </c>
      <c r="D81" s="8" t="n">
        <f aca="false">SUMIFS('Source 2026'!$Q:$Q,'Source 2026'!$B:$B,$A81,'Source 2026'!$A:$A,"Quantity (units)")</f>
        <v>191</v>
      </c>
      <c r="E81" s="8" t="n">
        <f aca="false">D81-C81</f>
        <v>-97</v>
      </c>
      <c r="F81" s="9" t="n">
        <f aca="false">IF(AND(C81=0,D81=0),0,IF(C81=0,"New",(D81-C81)/C81))</f>
        <v>-0.336805555555556</v>
      </c>
      <c r="G81" s="10" t="n">
        <f aca="false">SUMIFS('Source 2025'!$Q:$Q,'Source 2025'!$B:$B,$A81,'Source 2025'!$A:$A,"Amount (NIS)")</f>
        <v>15220.9</v>
      </c>
      <c r="H81" s="10" t="n">
        <f aca="false">SUMIFS('Source 2026'!$Q:$Q,'Source 2026'!$B:$B,$A81,'Source 2026'!$A:$A,"Amount (NIS)")</f>
        <v>10242</v>
      </c>
      <c r="I81" s="10" t="n">
        <f aca="false">H81-G81</f>
        <v>-4978.9</v>
      </c>
      <c r="J81" s="9" t="n">
        <f aca="false">IF(AND(G81=0,H81=0),0,IF(G81=0,"New",(H81-G81)/G81))</f>
        <v>-0.327109435053118</v>
      </c>
    </row>
    <row r="82" customFormat="false" ht="15" hidden="false" customHeight="false" outlineLevel="0" collapsed="false">
      <c r="A82" s="7" t="s">
        <v>114</v>
      </c>
      <c r="B82" s="7" t="str">
        <f aca="false">IFERROR(INDEX('Source 2026'!$C:$C,MATCH($A82,'Source 2026'!$B:$B,0)),IFERROR(INDEX('Source 2025'!$C:$C,MATCH($A82,'Source 2025'!$B:$B,0)),""))</f>
        <v>מדבקה לשחרור לחץ 2 יח</v>
      </c>
      <c r="C82" s="8" t="n">
        <f aca="false">SUMIFS('Source 2025'!$Q:$Q,'Source 2025'!$B:$B,$A82,'Source 2025'!$A:$A,"Quantity (units)")</f>
        <v>571</v>
      </c>
      <c r="D82" s="8" t="n">
        <f aca="false">SUMIFS('Source 2026'!$Q:$Q,'Source 2026'!$B:$B,$A82,'Source 2026'!$A:$A,"Quantity (units)")</f>
        <v>409</v>
      </c>
      <c r="E82" s="8" t="n">
        <f aca="false">D82-C82</f>
        <v>-162</v>
      </c>
      <c r="F82" s="9" t="n">
        <f aca="false">IF(AND(C82=0,D82=0),0,IF(C82=0,"New",(D82-C82)/C82))</f>
        <v>-0.283712784588441</v>
      </c>
      <c r="G82" s="10" t="n">
        <f aca="false">SUMIFS('Source 2025'!$Q:$Q,'Source 2025'!$B:$B,$A82,'Source 2025'!$A:$A,"Amount (NIS)")</f>
        <v>15313.6</v>
      </c>
      <c r="H82" s="10" t="n">
        <f aca="false">SUMIFS('Source 2026'!$Q:$Q,'Source 2026'!$B:$B,$A82,'Source 2026'!$A:$A,"Amount (NIS)")</f>
        <v>11036.9</v>
      </c>
      <c r="I82" s="10" t="n">
        <f aca="false">H82-G82</f>
        <v>-4276.7</v>
      </c>
      <c r="J82" s="9" t="n">
        <f aca="false">IF(AND(G82=0,H82=0),0,IF(G82=0,"New",(H82-G82)/G82))</f>
        <v>-0.279274631699927</v>
      </c>
    </row>
    <row r="83" customFormat="false" ht="15" hidden="false" customHeight="false" outlineLevel="0" collapsed="false">
      <c r="A83" s="7" t="s">
        <v>115</v>
      </c>
      <c r="B83" s="7" t="str">
        <f aca="false">IFERROR(INDEX('Source 2026'!$C:$C,MATCH($A83,'Source 2026'!$B:$B,0)),IFERROR(INDEX('Source 2025'!$C:$C,MATCH($A83,'Source 2025'!$B:$B,0)),""))</f>
        <v>סד ליישור אצבע</v>
      </c>
      <c r="C83" s="8" t="n">
        <f aca="false">SUMIFS('Source 2025'!$Q:$Q,'Source 2025'!$B:$B,$A83,'Source 2025'!$A:$A,"Quantity (units)")</f>
        <v>1303</v>
      </c>
      <c r="D83" s="8" t="n">
        <f aca="false">SUMIFS('Source 2026'!$Q:$Q,'Source 2026'!$B:$B,$A83,'Source 2026'!$A:$A,"Quantity (units)")</f>
        <v>1525</v>
      </c>
      <c r="E83" s="8" t="n">
        <f aca="false">D83-C83</f>
        <v>222</v>
      </c>
      <c r="F83" s="9" t="n">
        <f aca="false">IF(AND(C83=0,D83=0),0,IF(C83=0,"New",(D83-C83)/C83))</f>
        <v>0.170376055257099</v>
      </c>
      <c r="G83" s="10" t="n">
        <f aca="false">SUMIFS('Source 2025'!$Q:$Q,'Source 2025'!$B:$B,$A83,'Source 2025'!$A:$A,"Amount (NIS)")</f>
        <v>18579.7</v>
      </c>
      <c r="H83" s="10" t="n">
        <f aca="false">SUMIFS('Source 2026'!$Q:$Q,'Source 2026'!$B:$B,$A83,'Source 2026'!$A:$A,"Amount (NIS)")</f>
        <v>22856</v>
      </c>
      <c r="I83" s="10" t="n">
        <f aca="false">H83-G83</f>
        <v>4276.3</v>
      </c>
      <c r="J83" s="9" t="n">
        <f aca="false">IF(AND(G83=0,H83=0),0,IF(G83=0,"New",(H83-G83)/G83))</f>
        <v>0.230159798059172</v>
      </c>
    </row>
    <row r="84" customFormat="false" ht="15" hidden="false" customHeight="false" outlineLevel="0" collapsed="false">
      <c r="A84" s="7" t="s">
        <v>116</v>
      </c>
      <c r="B84" s="7" t="str">
        <f aca="false">IFERROR(INDEX('Source 2026'!$C:$C,MATCH($A84,'Source 2026'!$B:$B,0)),IFERROR(INDEX('Source 2025'!$C:$C,MATCH($A84,'Source 2025'!$B:$B,0)),""))</f>
        <v>S חגורה למנותחי בית החזה</v>
      </c>
      <c r="C84" s="8" t="n">
        <f aca="false">SUMIFS('Source 2025'!$Q:$Q,'Source 2025'!$B:$B,$A84,'Source 2025'!$A:$A,"Quantity (units)")</f>
        <v>63</v>
      </c>
      <c r="D84" s="8" t="n">
        <f aca="false">SUMIFS('Source 2026'!$Q:$Q,'Source 2026'!$B:$B,$A84,'Source 2026'!$A:$A,"Quantity (units)")</f>
        <v>94</v>
      </c>
      <c r="E84" s="8" t="n">
        <f aca="false">D84-C84</f>
        <v>31</v>
      </c>
      <c r="F84" s="9" t="n">
        <f aca="false">IF(AND(C84=0,D84=0),0,IF(C84=0,"New",(D84-C84)/C84))</f>
        <v>0.492063492063492</v>
      </c>
      <c r="G84" s="10" t="n">
        <f aca="false">SUMIFS('Source 2025'!$Q:$Q,'Source 2025'!$B:$B,$A84,'Source 2025'!$A:$A,"Amount (NIS)")</f>
        <v>8325.8</v>
      </c>
      <c r="H84" s="10" t="n">
        <f aca="false">SUMIFS('Source 2026'!$Q:$Q,'Source 2026'!$B:$B,$A84,'Source 2026'!$A:$A,"Amount (NIS)")</f>
        <v>12508.9</v>
      </c>
      <c r="I84" s="10" t="n">
        <f aca="false">H84-G84</f>
        <v>4183.1</v>
      </c>
      <c r="J84" s="9" t="n">
        <f aca="false">IF(AND(G84=0,H84=0),0,IF(G84=0,"New",(H84-G84)/G84))</f>
        <v>0.502426193278724</v>
      </c>
    </row>
    <row r="85" customFormat="false" ht="15" hidden="false" customHeight="false" outlineLevel="0" collapsed="false">
      <c r="A85" s="7" t="s">
        <v>117</v>
      </c>
      <c r="B85" s="7" t="str">
        <f aca="false">IFERROR(INDEX('Source 2026'!$C:$C,MATCH($A85,'Source 2026'!$B:$B,0)),IFERROR(INDEX('Source 2025'!$C:$C,MATCH($A85,'Source 2025'!$B:$B,0)),""))</f>
        <v>כפפות אגודל לחץ</v>
      </c>
      <c r="C85" s="8" t="n">
        <f aca="false">SUMIFS('Source 2025'!$Q:$Q,'Source 2025'!$B:$B,$A85,'Source 2025'!$A:$A,"Quantity (units)")</f>
        <v>395</v>
      </c>
      <c r="D85" s="8" t="n">
        <f aca="false">SUMIFS('Source 2026'!$Q:$Q,'Source 2026'!$B:$B,$A85,'Source 2026'!$A:$A,"Quantity (units)")</f>
        <v>247</v>
      </c>
      <c r="E85" s="8" t="n">
        <f aca="false">D85-C85</f>
        <v>-148</v>
      </c>
      <c r="F85" s="9" t="n">
        <f aca="false">IF(AND(C85=0,D85=0),0,IF(C85=0,"New",(D85-C85)/C85))</f>
        <v>-0.374683544303797</v>
      </c>
      <c r="G85" s="10" t="n">
        <f aca="false">SUMIFS('Source 2025'!$Q:$Q,'Source 2025'!$B:$B,$A85,'Source 2025'!$A:$A,"Amount (NIS)")</f>
        <v>11254.2</v>
      </c>
      <c r="H85" s="10" t="n">
        <f aca="false">SUMIFS('Source 2026'!$Q:$Q,'Source 2026'!$B:$B,$A85,'Source 2026'!$A:$A,"Amount (NIS)")</f>
        <v>7189.1</v>
      </c>
      <c r="I85" s="10" t="n">
        <f aca="false">H85-G85</f>
        <v>-4065.1</v>
      </c>
      <c r="J85" s="9" t="n">
        <f aca="false">IF(AND(G85=0,H85=0),0,IF(G85=0,"New",(H85-G85)/G85))</f>
        <v>-0.361207371470207</v>
      </c>
    </row>
    <row r="86" customFormat="false" ht="15" hidden="false" customHeight="false" outlineLevel="0" collapsed="false">
      <c r="A86" s="7" t="s">
        <v>118</v>
      </c>
      <c r="B86" s="7" t="str">
        <f aca="false">IFERROR(INDEX('Source 2026'!$C:$C,MATCH($A86,'Source 2026'!$B:$B,0)),IFERROR(INDEX('Source 2025'!$C:$C,MATCH($A86,'Source 2025'!$B:$B,0)),""))</f>
        <v>S-M חבק יד עם צמדן</v>
      </c>
      <c r="C86" s="8" t="n">
        <f aca="false">SUMIFS('Source 2025'!$Q:$Q,'Source 2025'!$B:$B,$A86,'Source 2025'!$A:$A,"Quantity (units)")</f>
        <v>308</v>
      </c>
      <c r="D86" s="8" t="n">
        <f aca="false">SUMIFS('Source 2026'!$Q:$Q,'Source 2026'!$B:$B,$A86,'Source 2026'!$A:$A,"Quantity (units)")</f>
        <v>185</v>
      </c>
      <c r="E86" s="8" t="n">
        <f aca="false">D86-C86</f>
        <v>-123</v>
      </c>
      <c r="F86" s="9" t="n">
        <f aca="false">IF(AND(C86=0,D86=0),0,IF(C86=0,"New",(D86-C86)/C86))</f>
        <v>-0.399350649350649</v>
      </c>
      <c r="G86" s="10" t="n">
        <f aca="false">SUMIFS('Source 2025'!$Q:$Q,'Source 2025'!$B:$B,$A86,'Source 2025'!$A:$A,"Amount (NIS)")</f>
        <v>9804.1</v>
      </c>
      <c r="H86" s="10" t="n">
        <f aca="false">SUMIFS('Source 2026'!$Q:$Q,'Source 2026'!$B:$B,$A86,'Source 2026'!$A:$A,"Amount (NIS)")</f>
        <v>5808.7</v>
      </c>
      <c r="I86" s="10" t="n">
        <f aca="false">H86-G86</f>
        <v>-3995.4</v>
      </c>
      <c r="J86" s="9" t="n">
        <f aca="false">IF(AND(G86=0,H86=0),0,IF(G86=0,"New",(H86-G86)/G86))</f>
        <v>-0.407523383074428</v>
      </c>
    </row>
    <row r="87" customFormat="false" ht="15" hidden="false" customHeight="false" outlineLevel="0" collapsed="false">
      <c r="A87" s="7" t="s">
        <v>119</v>
      </c>
      <c r="B87" s="7" t="str">
        <f aca="false">IFERROR(INDEX('Source 2026'!$C:$C,MATCH($A87,'Source 2026'!$B:$B,0)),IFERROR(INDEX('Source 2025'!$C:$C,MATCH($A87,'Source 2025'!$B:$B,0)),""))</f>
        <v>גרב.כסף לסכרתים שחור35-38</v>
      </c>
      <c r="C87" s="8" t="n">
        <f aca="false">SUMIFS('Source 2025'!$Q:$Q,'Source 2025'!$B:$B,$A87,'Source 2025'!$A:$A,"Quantity (units)")</f>
        <v>201</v>
      </c>
      <c r="D87" s="8" t="n">
        <f aca="false">SUMIFS('Source 2026'!$Q:$Q,'Source 2026'!$B:$B,$A87,'Source 2026'!$A:$A,"Quantity (units)")</f>
        <v>65</v>
      </c>
      <c r="E87" s="8" t="n">
        <f aca="false">D87-C87</f>
        <v>-136</v>
      </c>
      <c r="F87" s="9" t="n">
        <f aca="false">IF(AND(C87=0,D87=0),0,IF(C87=0,"New",(D87-C87)/C87))</f>
        <v>-0.676616915422886</v>
      </c>
      <c r="G87" s="10" t="n">
        <f aca="false">SUMIFS('Source 2025'!$Q:$Q,'Source 2025'!$B:$B,$A87,'Source 2025'!$A:$A,"Amount (NIS)")</f>
        <v>5852.8</v>
      </c>
      <c r="H87" s="10" t="n">
        <f aca="false">SUMIFS('Source 2026'!$Q:$Q,'Source 2026'!$B:$B,$A87,'Source 2026'!$A:$A,"Amount (NIS)")</f>
        <v>1918.6</v>
      </c>
      <c r="I87" s="10" t="n">
        <f aca="false">H87-G87</f>
        <v>-3934.2</v>
      </c>
      <c r="J87" s="9" t="n">
        <f aca="false">IF(AND(G87=0,H87=0),0,IF(G87=0,"New",(H87-G87)/G87))</f>
        <v>-0.672191088026244</v>
      </c>
    </row>
    <row r="88" customFormat="false" ht="15" hidden="false" customHeight="false" outlineLevel="0" collapsed="false">
      <c r="A88" s="7" t="s">
        <v>120</v>
      </c>
      <c r="B88" s="7" t="str">
        <f aca="false">IFERROR(INDEX('Source 2026'!$C:$C,MATCH($A88,'Source 2026'!$B:$B,0)),IFERROR(INDEX('Source 2025'!$C:$C,MATCH($A88,'Source 2025'!$B:$B,0)),""))</f>
        <v>גרב.כסף לסכרתים אפור35-38</v>
      </c>
      <c r="C88" s="8" t="n">
        <f aca="false">SUMIFS('Source 2025'!$Q:$Q,'Source 2025'!$B:$B,$A88,'Source 2025'!$A:$A,"Quantity (units)")</f>
        <v>157</v>
      </c>
      <c r="D88" s="8" t="n">
        <f aca="false">SUMIFS('Source 2026'!$Q:$Q,'Source 2026'!$B:$B,$A88,'Source 2026'!$A:$A,"Quantity (units)")</f>
        <v>-9</v>
      </c>
      <c r="E88" s="8" t="n">
        <f aca="false">D88-C88</f>
        <v>-166</v>
      </c>
      <c r="F88" s="9" t="n">
        <f aca="false">IF(AND(C88=0,D88=0),0,IF(C88=0,"New",(D88-C88)/C88))</f>
        <v>-1.05732484076433</v>
      </c>
      <c r="G88" s="10" t="n">
        <f aca="false">SUMIFS('Source 2025'!$Q:$Q,'Source 2025'!$B:$B,$A88,'Source 2025'!$A:$A,"Amount (NIS)")</f>
        <v>3499.7</v>
      </c>
      <c r="H88" s="10" t="n">
        <f aca="false">SUMIFS('Source 2026'!$Q:$Q,'Source 2026'!$B:$B,$A88,'Source 2026'!$A:$A,"Amount (NIS)")</f>
        <v>-191.9</v>
      </c>
      <c r="I88" s="10" t="n">
        <f aca="false">H88-G88</f>
        <v>-3691.6</v>
      </c>
      <c r="J88" s="9" t="n">
        <f aca="false">IF(AND(G88=0,H88=0),0,IF(G88=0,"New",(H88-G88)/G88))</f>
        <v>-1.05483327142326</v>
      </c>
    </row>
    <row r="89" customFormat="false" ht="15" hidden="false" customHeight="false" outlineLevel="0" collapsed="false">
      <c r="A89" s="7" t="s">
        <v>121</v>
      </c>
      <c r="B89" s="7" t="str">
        <f aca="false">IFERROR(INDEX('Source 2026'!$C:$C,MATCH($A89,'Source 2026'!$B:$B,0)),IFERROR(INDEX('Source 2025'!$C:$C,MATCH($A89,'Source 2025'!$B:$B,0)),""))</f>
        <v>L-XL STRAP4U</v>
      </c>
      <c r="C89" s="8" t="n">
        <f aca="false">SUMIFS('Source 2025'!$Q:$Q,'Source 2025'!$B:$B,$A89,'Source 2025'!$A:$A,"Quantity (units)")</f>
        <v>328</v>
      </c>
      <c r="D89" s="8" t="n">
        <f aca="false">SUMIFS('Source 2026'!$Q:$Q,'Source 2026'!$B:$B,$A89,'Source 2026'!$A:$A,"Quantity (units)")</f>
        <v>118</v>
      </c>
      <c r="E89" s="8" t="n">
        <f aca="false">D89-C89</f>
        <v>-210</v>
      </c>
      <c r="F89" s="9" t="n">
        <f aca="false">IF(AND(C89=0,D89=0),0,IF(C89=0,"New",(D89-C89)/C89))</f>
        <v>-0.640243902439024</v>
      </c>
      <c r="G89" s="10" t="n">
        <f aca="false">SUMIFS('Source 2025'!$Q:$Q,'Source 2025'!$B:$B,$A89,'Source 2025'!$A:$A,"Amount (NIS)")</f>
        <v>5450</v>
      </c>
      <c r="H89" s="10" t="n">
        <f aca="false">SUMIFS('Source 2026'!$Q:$Q,'Source 2026'!$B:$B,$A89,'Source 2026'!$A:$A,"Amount (NIS)")</f>
        <v>1978.2</v>
      </c>
      <c r="I89" s="10" t="n">
        <f aca="false">H89-G89</f>
        <v>-3471.8</v>
      </c>
      <c r="J89" s="9" t="n">
        <f aca="false">IF(AND(G89=0,H89=0),0,IF(G89=0,"New",(H89-G89)/G89))</f>
        <v>-0.63702752293578</v>
      </c>
    </row>
    <row r="90" customFormat="false" ht="15" hidden="false" customHeight="false" outlineLevel="0" collapsed="false">
      <c r="A90" s="7" t="s">
        <v>122</v>
      </c>
      <c r="B90" s="7" t="str">
        <f aca="false">IFERROR(INDEX('Source 2026'!$C:$C,MATCH($A90,'Source 2026'!$B:$B,0)),IFERROR(INDEX('Source 2025'!$C:$C,MATCH($A90,'Source 2025'!$B:$B,0)),""))</f>
        <v>חבק טניס אלבו</v>
      </c>
      <c r="C90" s="8" t="n">
        <f aca="false">SUMIFS('Source 2025'!$Q:$Q,'Source 2025'!$B:$B,$A90,'Source 2025'!$A:$A,"Quantity (units)")</f>
        <v>922</v>
      </c>
      <c r="D90" s="8" t="n">
        <f aca="false">SUMIFS('Source 2026'!$Q:$Q,'Source 2026'!$B:$B,$A90,'Source 2026'!$A:$A,"Quantity (units)")</f>
        <v>909</v>
      </c>
      <c r="E90" s="8" t="n">
        <f aca="false">D90-C90</f>
        <v>-13</v>
      </c>
      <c r="F90" s="9" t="n">
        <f aca="false">IF(AND(C90=0,D90=0),0,IF(C90=0,"New",(D90-C90)/C90))</f>
        <v>-0.0140997830802603</v>
      </c>
      <c r="G90" s="10" t="n">
        <f aca="false">SUMIFS('Source 2025'!$Q:$Q,'Source 2025'!$B:$B,$A90,'Source 2025'!$A:$A,"Amount (NIS)")</f>
        <v>62831.2</v>
      </c>
      <c r="H90" s="10" t="n">
        <f aca="false">SUMIFS('Source 2026'!$Q:$Q,'Source 2026'!$B:$B,$A90,'Source 2026'!$A:$A,"Amount (NIS)")</f>
        <v>66257.5</v>
      </c>
      <c r="I90" s="10" t="n">
        <f aca="false">H90-G90</f>
        <v>3426.3</v>
      </c>
      <c r="J90" s="9" t="n">
        <f aca="false">IF(AND(G90=0,H90=0),0,IF(G90=0,"New",(H90-G90)/G90))</f>
        <v>0.054531824953208</v>
      </c>
    </row>
    <row r="91" customFormat="false" ht="15" hidden="false" customHeight="false" outlineLevel="0" collapsed="false">
      <c r="A91" s="7" t="s">
        <v>123</v>
      </c>
      <c r="B91" s="7" t="str">
        <f aca="false">IFERROR(INDEX('Source 2026'!$C:$C,MATCH($A91,'Source 2026'!$B:$B,0)),IFERROR(INDEX('Source 2025'!$C:$C,MATCH($A91,'Source 2025'!$B:$B,0)),""))</f>
        <v>11 אפורUG חגורת בטן</v>
      </c>
      <c r="C91" s="8" t="n">
        <f aca="false">SUMIFS('Source 2025'!$Q:$Q,'Source 2025'!$B:$B,$A91,'Source 2025'!$A:$A,"Quantity (units)")</f>
        <v>45</v>
      </c>
      <c r="D91" s="8" t="n">
        <f aca="false">SUMIFS('Source 2026'!$Q:$Q,'Source 2026'!$B:$B,$A91,'Source 2026'!$A:$A,"Quantity (units)")</f>
        <v>2</v>
      </c>
      <c r="E91" s="8" t="n">
        <f aca="false">D91-C91</f>
        <v>-43</v>
      </c>
      <c r="F91" s="9" t="n">
        <f aca="false">IF(AND(C91=0,D91=0),0,IF(C91=0,"New",(D91-C91)/C91))</f>
        <v>-0.955555555555556</v>
      </c>
      <c r="G91" s="10" t="n">
        <f aca="false">SUMIFS('Source 2025'!$Q:$Q,'Source 2025'!$B:$B,$A91,'Source 2025'!$A:$A,"Amount (NIS)")</f>
        <v>3611.3</v>
      </c>
      <c r="H91" s="10" t="n">
        <f aca="false">SUMIFS('Source 2026'!$Q:$Q,'Source 2026'!$B:$B,$A91,'Source 2026'!$A:$A,"Amount (NIS)")</f>
        <v>203.1</v>
      </c>
      <c r="I91" s="10" t="n">
        <f aca="false">H91-G91</f>
        <v>-3408.2</v>
      </c>
      <c r="J91" s="9" t="n">
        <f aca="false">IF(AND(G91=0,H91=0),0,IF(G91=0,"New",(H91-G91)/G91))</f>
        <v>-0.943759864868607</v>
      </c>
    </row>
    <row r="92" customFormat="false" ht="15" hidden="false" customHeight="false" outlineLevel="0" collapsed="false">
      <c r="A92" s="7" t="s">
        <v>124</v>
      </c>
      <c r="B92" s="7" t="str">
        <f aca="false">IFERROR(INDEX('Source 2026'!$C:$C,MATCH($A92,'Source 2026'!$B:$B,0)),IFERROR(INDEX('Source 2025'!$C:$C,MATCH($A92,'Source 2025'!$B:$B,0)),""))</f>
        <v>S-M חבק יד עם צמדןחום</v>
      </c>
      <c r="C92" s="8" t="n">
        <f aca="false">SUMIFS('Source 2025'!$Q:$Q,'Source 2025'!$B:$B,$A92,'Source 2025'!$A:$A,"Quantity (units)")</f>
        <v>218</v>
      </c>
      <c r="D92" s="8" t="n">
        <f aca="false">SUMIFS('Source 2026'!$Q:$Q,'Source 2026'!$B:$B,$A92,'Source 2026'!$A:$A,"Quantity (units)")</f>
        <v>118</v>
      </c>
      <c r="E92" s="8" t="n">
        <f aca="false">D92-C92</f>
        <v>-100</v>
      </c>
      <c r="F92" s="9" t="n">
        <f aca="false">IF(AND(C92=0,D92=0),0,IF(C92=0,"New",(D92-C92)/C92))</f>
        <v>-0.458715596330275</v>
      </c>
      <c r="G92" s="10" t="n">
        <f aca="false">SUMIFS('Source 2025'!$Q:$Q,'Source 2025'!$B:$B,$A92,'Source 2025'!$A:$A,"Amount (NIS)")</f>
        <v>6935.2</v>
      </c>
      <c r="H92" s="10" t="n">
        <f aca="false">SUMIFS('Source 2026'!$Q:$Q,'Source 2026'!$B:$B,$A92,'Source 2026'!$A:$A,"Amount (NIS)")</f>
        <v>3707.3</v>
      </c>
      <c r="I92" s="10" t="n">
        <f aca="false">H92-G92</f>
        <v>-3227.9</v>
      </c>
      <c r="J92" s="9" t="n">
        <f aca="false">IF(AND(G92=0,H92=0),0,IF(G92=0,"New",(H92-G92)/G92))</f>
        <v>-0.465437189987311</v>
      </c>
    </row>
    <row r="93" customFormat="false" ht="15" hidden="false" customHeight="false" outlineLevel="0" collapsed="false">
      <c r="A93" s="7" t="s">
        <v>125</v>
      </c>
      <c r="B93" s="7" t="str">
        <f aca="false">IFERROR(INDEX('Source 2026'!$C:$C,MATCH($A93,'Source 2026'!$B:$B,0)),IFERROR(INDEX('Source 2025'!$C:$C,MATCH($A93,'Source 2025'!$B:$B,0)),""))</f>
        <v>S מגן ירך</v>
      </c>
      <c r="C93" s="8" t="n">
        <f aca="false">SUMIFS('Source 2025'!$Q:$Q,'Source 2025'!$B:$B,$A93,'Source 2025'!$A:$A,"Quantity (units)")</f>
        <v>218</v>
      </c>
      <c r="D93" s="8" t="n">
        <f aca="false">SUMIFS('Source 2026'!$Q:$Q,'Source 2026'!$B:$B,$A93,'Source 2026'!$A:$A,"Quantity (units)")</f>
        <v>103</v>
      </c>
      <c r="E93" s="8" t="n">
        <f aca="false">D93-C93</f>
        <v>-115</v>
      </c>
      <c r="F93" s="9" t="n">
        <f aca="false">IF(AND(C93=0,D93=0),0,IF(C93=0,"New",(D93-C93)/C93))</f>
        <v>-0.527522935779817</v>
      </c>
      <c r="G93" s="10" t="n">
        <f aca="false">SUMIFS('Source 2025'!$Q:$Q,'Source 2025'!$B:$B,$A93,'Source 2025'!$A:$A,"Amount (NIS)")</f>
        <v>6229.2</v>
      </c>
      <c r="H93" s="10" t="n">
        <f aca="false">SUMIFS('Source 2026'!$Q:$Q,'Source 2026'!$B:$B,$A93,'Source 2026'!$A:$A,"Amount (NIS)")</f>
        <v>3003.9</v>
      </c>
      <c r="I93" s="10" t="n">
        <f aca="false">H93-G93</f>
        <v>-3225.3</v>
      </c>
      <c r="J93" s="9" t="n">
        <f aca="false">IF(AND(G93=0,H93=0),0,IF(G93=0,"New",(H93-G93)/G93))</f>
        <v>-0.51777114236178</v>
      </c>
    </row>
    <row r="94" customFormat="false" ht="15" hidden="false" customHeight="false" outlineLevel="0" collapsed="false">
      <c r="A94" s="7" t="s">
        <v>126</v>
      </c>
      <c r="B94" s="7" t="str">
        <f aca="false">IFERROR(INDEX('Source 2026'!$C:$C,MATCH($A94,'Source 2026'!$B:$B,0)),IFERROR(INDEX('Source 2025'!$C:$C,MATCH($A94,'Source 2025'!$B:$B,0)),""))</f>
        <v>S ימין CTS כפפות</v>
      </c>
      <c r="C94" s="8" t="n">
        <f aca="false">SUMIFS('Source 2025'!$Q:$Q,'Source 2025'!$B:$B,$A94,'Source 2025'!$A:$A,"Quantity (units)")</f>
        <v>0</v>
      </c>
      <c r="D94" s="8" t="n">
        <f aca="false">SUMIFS('Source 2026'!$Q:$Q,'Source 2026'!$B:$B,$A94,'Source 2026'!$A:$A,"Quantity (units)")</f>
        <v>31</v>
      </c>
      <c r="E94" s="8" t="n">
        <f aca="false">D94-C94</f>
        <v>31</v>
      </c>
      <c r="F94" s="9" t="str">
        <f aca="false">IF(AND(C94=0,D94=0),0,IF(C94=0,"New",(D94-C94)/C94))</f>
        <v>New</v>
      </c>
      <c r="G94" s="10" t="n">
        <f aca="false">SUMIFS('Source 2025'!$Q:$Q,'Source 2025'!$B:$B,$A94,'Source 2025'!$A:$A,"Amount (NIS)")</f>
        <v>0</v>
      </c>
      <c r="H94" s="10" t="n">
        <f aca="false">SUMIFS('Source 2026'!$Q:$Q,'Source 2026'!$B:$B,$A94,'Source 2026'!$A:$A,"Amount (NIS)")</f>
        <v>3111.6</v>
      </c>
      <c r="I94" s="10" t="n">
        <f aca="false">H94-G94</f>
        <v>3111.6</v>
      </c>
      <c r="J94" s="9" t="str">
        <f aca="false">IF(AND(G94=0,H94=0),0,IF(G94=0,"New",(H94-G94)/G94))</f>
        <v>New</v>
      </c>
    </row>
    <row r="95" customFormat="false" ht="15" hidden="false" customHeight="false" outlineLevel="0" collapsed="false">
      <c r="A95" s="7" t="s">
        <v>127</v>
      </c>
      <c r="B95" s="7" t="str">
        <f aca="false">IFERROR(INDEX('Source 2026'!$C:$C,MATCH($A95,'Source 2026'!$B:$B,0)),IFERROR(INDEX('Source 2025'!$C:$C,MATCH($A95,'Source 2025'!$B:$B,0)),""))</f>
        <v>מתלה ליד לילדים</v>
      </c>
      <c r="C95" s="8" t="n">
        <f aca="false">SUMIFS('Source 2025'!$Q:$Q,'Source 2025'!$B:$B,$A95,'Source 2025'!$A:$A,"Quantity (units)")</f>
        <v>299</v>
      </c>
      <c r="D95" s="8" t="n">
        <f aca="false">SUMIFS('Source 2026'!$Q:$Q,'Source 2026'!$B:$B,$A95,'Source 2026'!$A:$A,"Quantity (units)")</f>
        <v>236</v>
      </c>
      <c r="E95" s="8" t="n">
        <f aca="false">D95-C95</f>
        <v>-63</v>
      </c>
      <c r="F95" s="9" t="n">
        <f aca="false">IF(AND(C95=0,D95=0),0,IF(C95=0,"New",(D95-C95)/C95))</f>
        <v>-0.210702341137124</v>
      </c>
      <c r="G95" s="10" t="n">
        <f aca="false">SUMIFS('Source 2025'!$Q:$Q,'Source 2025'!$B:$B,$A95,'Source 2025'!$A:$A,"Amount (NIS)")</f>
        <v>13367.2</v>
      </c>
      <c r="H95" s="10" t="n">
        <f aca="false">SUMIFS('Source 2026'!$Q:$Q,'Source 2026'!$B:$B,$A95,'Source 2026'!$A:$A,"Amount (NIS)")</f>
        <v>10544.6</v>
      </c>
      <c r="I95" s="10" t="n">
        <f aca="false">H95-G95</f>
        <v>-2822.6</v>
      </c>
      <c r="J95" s="9" t="n">
        <f aca="false">IF(AND(G95=0,H95=0),0,IF(G95=0,"New",(H95-G95)/G95))</f>
        <v>-0.211158657011192</v>
      </c>
    </row>
    <row r="96" customFormat="false" ht="15" hidden="false" customHeight="false" outlineLevel="0" collapsed="false">
      <c r="A96" s="7" t="s">
        <v>128</v>
      </c>
      <c r="B96" s="7" t="str">
        <f aca="false">IFERROR(INDEX('Source 2026'!$C:$C,MATCH($A96,'Source 2026'!$B:$B,0)),IFERROR(INDEX('Source 2025'!$C:$C,MATCH($A96,'Source 2025'!$B:$B,0)),""))</f>
        <v>L מתלה רשת לזרוע שחור</v>
      </c>
      <c r="C96" s="8" t="n">
        <f aca="false">SUMIFS('Source 2025'!$Q:$Q,'Source 2025'!$B:$B,$A96,'Source 2025'!$A:$A,"Quantity (units)")</f>
        <v>2789</v>
      </c>
      <c r="D96" s="8" t="n">
        <f aca="false">SUMIFS('Source 2026'!$Q:$Q,'Source 2026'!$B:$B,$A96,'Source 2026'!$A:$A,"Quantity (units)")</f>
        <v>2847</v>
      </c>
      <c r="E96" s="8" t="n">
        <f aca="false">D96-C96</f>
        <v>58</v>
      </c>
      <c r="F96" s="9" t="n">
        <f aca="false">IF(AND(C96=0,D96=0),0,IF(C96=0,"New",(D96-C96)/C96))</f>
        <v>0.0207959842237361</v>
      </c>
      <c r="G96" s="10" t="n">
        <f aca="false">SUMIFS('Source 2025'!$Q:$Q,'Source 2025'!$B:$B,$A96,'Source 2025'!$A:$A,"Amount (NIS)")</f>
        <v>136637.6</v>
      </c>
      <c r="H96" s="10" t="n">
        <f aca="false">SUMIFS('Source 2026'!$Q:$Q,'Source 2026'!$B:$B,$A96,'Source 2026'!$A:$A,"Amount (NIS)")</f>
        <v>139434.1</v>
      </c>
      <c r="I96" s="10" t="n">
        <f aca="false">H96-G96</f>
        <v>2796.5</v>
      </c>
      <c r="J96" s="9" t="n">
        <f aca="false">IF(AND(G96=0,H96=0),0,IF(G96=0,"New",(H96-G96)/G96))</f>
        <v>0.0204665480072835</v>
      </c>
    </row>
    <row r="97" customFormat="false" ht="15" hidden="false" customHeight="false" outlineLevel="0" collapsed="false">
      <c r="A97" s="7" t="s">
        <v>129</v>
      </c>
      <c r="B97" s="7" t="str">
        <f aca="false">IFERROR(INDEX('Source 2026'!$C:$C,MATCH($A97,'Source 2026'!$B:$B,0)),IFERROR(INDEX('Source 2025'!$C:$C,MATCH($A97,'Source 2025'!$B:$B,0)),""))</f>
        <v>תחבושת א.נצמ</v>
      </c>
      <c r="C97" s="8" t="n">
        <f aca="false">SUMIFS('Source 2025'!$Q:$Q,'Source 2025'!$B:$B,$A97,'Source 2025'!$A:$A,"Quantity (units)")</f>
        <v>980</v>
      </c>
      <c r="D97" s="8" t="n">
        <f aca="false">SUMIFS('Source 2026'!$Q:$Q,'Source 2026'!$B:$B,$A97,'Source 2026'!$A:$A,"Quantity (units)")</f>
        <v>697</v>
      </c>
      <c r="E97" s="8" t="n">
        <f aca="false">D97-C97</f>
        <v>-283</v>
      </c>
      <c r="F97" s="9" t="n">
        <f aca="false">IF(AND(C97=0,D97=0),0,IF(C97=0,"New",(D97-C97)/C97))</f>
        <v>-0.288775510204082</v>
      </c>
      <c r="G97" s="10" t="n">
        <f aca="false">SUMIFS('Source 2025'!$Q:$Q,'Source 2025'!$B:$B,$A97,'Source 2025'!$A:$A,"Amount (NIS)")</f>
        <v>9936.3</v>
      </c>
      <c r="H97" s="10" t="n">
        <f aca="false">SUMIFS('Source 2026'!$Q:$Q,'Source 2026'!$B:$B,$A97,'Source 2026'!$A:$A,"Amount (NIS)")</f>
        <v>7156.9</v>
      </c>
      <c r="I97" s="10" t="n">
        <f aca="false">H97-G97</f>
        <v>-2779.4</v>
      </c>
      <c r="J97" s="9" t="n">
        <f aca="false">IF(AND(G97=0,H97=0),0,IF(G97=0,"New",(H97-G97)/G97))</f>
        <v>-0.279721828044644</v>
      </c>
    </row>
    <row r="98" customFormat="false" ht="15" hidden="false" customHeight="false" outlineLevel="0" collapsed="false">
      <c r="A98" s="7" t="s">
        <v>130</v>
      </c>
      <c r="B98" s="7" t="str">
        <f aca="false">IFERROR(INDEX('Source 2026'!$C:$C,MATCH($A98,'Source 2026'!$B:$B,0)),IFERROR(INDEX('Source 2025'!$C:$C,MATCH($A98,'Source 2025'!$B:$B,0)),""))</f>
        <v>11 אפורUG חגורת בטן</v>
      </c>
      <c r="C98" s="8" t="n">
        <f aca="false">SUMIFS('Source 2025'!$Q:$Q,'Source 2025'!$B:$B,$A98,'Source 2025'!$A:$A,"Quantity (units)")</f>
        <v>34</v>
      </c>
      <c r="D98" s="8" t="n">
        <f aca="false">SUMIFS('Source 2026'!$Q:$Q,'Source 2026'!$B:$B,$A98,'Source 2026'!$A:$A,"Quantity (units)")</f>
        <v>0</v>
      </c>
      <c r="E98" s="8" t="n">
        <f aca="false">D98-C98</f>
        <v>-34</v>
      </c>
      <c r="F98" s="9" t="n">
        <f aca="false">IF(AND(C98=0,D98=0),0,IF(C98=0,"New",(D98-C98)/C98))</f>
        <v>-1</v>
      </c>
      <c r="G98" s="10" t="n">
        <f aca="false">SUMIFS('Source 2025'!$Q:$Q,'Source 2025'!$B:$B,$A98,'Source 2025'!$A:$A,"Amount (NIS)")</f>
        <v>2730.6</v>
      </c>
      <c r="H98" s="10" t="n">
        <f aca="false">SUMIFS('Source 2026'!$Q:$Q,'Source 2026'!$B:$B,$A98,'Source 2026'!$A:$A,"Amount (NIS)")</f>
        <v>68.2</v>
      </c>
      <c r="I98" s="10" t="n">
        <f aca="false">H98-G98</f>
        <v>-2662.4</v>
      </c>
      <c r="J98" s="9" t="n">
        <f aca="false">IF(AND(G98=0,H98=0),0,IF(G98=0,"New",(H98-G98)/G98))</f>
        <v>-0.975023804292097</v>
      </c>
    </row>
    <row r="99" customFormat="false" ht="15" hidden="false" customHeight="false" outlineLevel="0" collapsed="false">
      <c r="A99" s="7" t="s">
        <v>131</v>
      </c>
      <c r="B99" s="7" t="str">
        <f aca="false">IFERROR(INDEX('Source 2026'!$C:$C,MATCH($A99,'Source 2026'!$B:$B,0)),IFERROR(INDEX('Source 2025'!$C:$C,MATCH($A99,'Source 2025'!$B:$B,0)),""))</f>
        <v>כפפות לחץ</v>
      </c>
      <c r="C99" s="8" t="n">
        <f aca="false">SUMIFS('Source 2025'!$Q:$Q,'Source 2025'!$B:$B,$A99,'Source 2025'!$A:$A,"Quantity (units)")</f>
        <v>258</v>
      </c>
      <c r="D99" s="8" t="n">
        <f aca="false">SUMIFS('Source 2026'!$Q:$Q,'Source 2026'!$B:$B,$A99,'Source 2026'!$A:$A,"Quantity (units)")</f>
        <v>162</v>
      </c>
      <c r="E99" s="8" t="n">
        <f aca="false">D99-C99</f>
        <v>-96</v>
      </c>
      <c r="F99" s="9" t="n">
        <f aca="false">IF(AND(C99=0,D99=0),0,IF(C99=0,"New",(D99-C99)/C99))</f>
        <v>-0.372093023255814</v>
      </c>
      <c r="G99" s="10" t="n">
        <f aca="false">SUMIFS('Source 2025'!$Q:$Q,'Source 2025'!$B:$B,$A99,'Source 2025'!$A:$A,"Amount (NIS)")</f>
        <v>7344.8</v>
      </c>
      <c r="H99" s="10" t="n">
        <f aca="false">SUMIFS('Source 2026'!$Q:$Q,'Source 2026'!$B:$B,$A99,'Source 2026'!$A:$A,"Amount (NIS)")</f>
        <v>4690.8</v>
      </c>
      <c r="I99" s="10" t="n">
        <f aca="false">H99-G99</f>
        <v>-2654</v>
      </c>
      <c r="J99" s="9" t="n">
        <f aca="false">IF(AND(G99=0,H99=0),0,IF(G99=0,"New",(H99-G99)/G99))</f>
        <v>-0.361344080165559</v>
      </c>
    </row>
    <row r="100" customFormat="false" ht="15" hidden="false" customHeight="false" outlineLevel="0" collapsed="false">
      <c r="A100" s="7" t="s">
        <v>132</v>
      </c>
      <c r="B100" s="7" t="str">
        <f aca="false">IFERROR(INDEX('Source 2026'!$C:$C,MATCH($A100,'Source 2026'!$B:$B,0)),IFERROR(INDEX('Source 2025'!$C:$C,MATCH($A100,'Source 2025'!$B:$B,0)),""))</f>
        <v>L סד לילה שחור לבוהן שמאל</v>
      </c>
      <c r="C100" s="8" t="n">
        <f aca="false">SUMIFS('Source 2025'!$Q:$Q,'Source 2025'!$B:$B,$A100,'Source 2025'!$A:$A,"Quantity (units)")</f>
        <v>87</v>
      </c>
      <c r="D100" s="8" t="n">
        <f aca="false">SUMIFS('Source 2026'!$Q:$Q,'Source 2026'!$B:$B,$A100,'Source 2026'!$A:$A,"Quantity (units)")</f>
        <v>40</v>
      </c>
      <c r="E100" s="8" t="n">
        <f aca="false">D100-C100</f>
        <v>-47</v>
      </c>
      <c r="F100" s="9" t="n">
        <f aca="false">IF(AND(C100=0,D100=0),0,IF(C100=0,"New",(D100-C100)/C100))</f>
        <v>-0.540229885057471</v>
      </c>
      <c r="G100" s="10" t="n">
        <f aca="false">SUMIFS('Source 2025'!$Q:$Q,'Source 2025'!$B:$B,$A100,'Source 2025'!$A:$A,"Amount (NIS)")</f>
        <v>5148.8</v>
      </c>
      <c r="H100" s="10" t="n">
        <f aca="false">SUMIFS('Source 2026'!$Q:$Q,'Source 2026'!$B:$B,$A100,'Source 2026'!$A:$A,"Amount (NIS)")</f>
        <v>2571.3</v>
      </c>
      <c r="I100" s="10" t="n">
        <f aca="false">H100-G100</f>
        <v>-2577.5</v>
      </c>
      <c r="J100" s="9" t="n">
        <f aca="false">IF(AND(G100=0,H100=0),0,IF(G100=0,"New",(H100-G100)/G100))</f>
        <v>-0.500602082038533</v>
      </c>
    </row>
    <row r="101" customFormat="false" ht="15" hidden="false" customHeight="false" outlineLevel="0" collapsed="false">
      <c r="A101" s="7" t="s">
        <v>133</v>
      </c>
      <c r="B101" s="7" t="str">
        <f aca="false">IFERROR(INDEX('Source 2026'!$C:$C,MATCH($A101,'Source 2026'!$B:$B,0)),IFERROR(INDEX('Source 2025'!$C:$C,MATCH($A101,'Source 2025'!$B:$B,0)),""))</f>
        <v>חגורת גב +סגירה כפולה</v>
      </c>
      <c r="C101" s="8" t="n">
        <f aca="false">SUMIFS('Source 2025'!$Q:$Q,'Source 2025'!$B:$B,$A101,'Source 2025'!$A:$A,"Quantity (units)")</f>
        <v>65</v>
      </c>
      <c r="D101" s="8" t="n">
        <f aca="false">SUMIFS('Source 2026'!$Q:$Q,'Source 2026'!$B:$B,$A101,'Source 2026'!$A:$A,"Quantity (units)")</f>
        <v>36</v>
      </c>
      <c r="E101" s="8" t="n">
        <f aca="false">D101-C101</f>
        <v>-29</v>
      </c>
      <c r="F101" s="9" t="n">
        <f aca="false">IF(AND(C101=0,D101=0),0,IF(C101=0,"New",(D101-C101)/C101))</f>
        <v>-0.446153846153846</v>
      </c>
      <c r="G101" s="10" t="n">
        <f aca="false">SUMIFS('Source 2025'!$Q:$Q,'Source 2025'!$B:$B,$A101,'Source 2025'!$A:$A,"Amount (NIS)")</f>
        <v>6213.6</v>
      </c>
      <c r="H101" s="10" t="n">
        <f aca="false">SUMIFS('Source 2026'!$Q:$Q,'Source 2026'!$B:$B,$A101,'Source 2026'!$A:$A,"Amount (NIS)")</f>
        <v>3644.6</v>
      </c>
      <c r="I101" s="10" t="n">
        <f aca="false">H101-G101</f>
        <v>-2569</v>
      </c>
      <c r="J101" s="9" t="n">
        <f aca="false">IF(AND(G101=0,H101=0),0,IF(G101=0,"New",(H101-G101)/G101))</f>
        <v>-0.413447920690099</v>
      </c>
    </row>
    <row r="102" customFormat="false" ht="15" hidden="false" customHeight="false" outlineLevel="0" collapsed="false">
      <c r="A102" s="7" t="s">
        <v>134</v>
      </c>
      <c r="B102" s="7" t="str">
        <f aca="false">IFERROR(INDEX('Source 2026'!$C:$C,MATCH($A102,'Source 2026'!$B:$B,0)),IFERROR(INDEX('Source 2025'!$C:$C,MATCH($A102,'Source 2025'!$B:$B,0)),""))</f>
        <v>רצועת ""פיקה""+כרית</v>
      </c>
      <c r="C102" s="8" t="n">
        <f aca="false">SUMIFS('Source 2025'!$Q:$Q,'Source 2025'!$B:$B,$A102,'Source 2025'!$A:$A,"Quantity (units)")</f>
        <v>40</v>
      </c>
      <c r="D102" s="8" t="n">
        <f aca="false">SUMIFS('Source 2026'!$Q:$Q,'Source 2026'!$B:$B,$A102,'Source 2026'!$A:$A,"Quantity (units)")</f>
        <v>12</v>
      </c>
      <c r="E102" s="8" t="n">
        <f aca="false">D102-C102</f>
        <v>-28</v>
      </c>
      <c r="F102" s="9" t="n">
        <f aca="false">IF(AND(C102=0,D102=0),0,IF(C102=0,"New",(D102-C102)/C102))</f>
        <v>-0.7</v>
      </c>
      <c r="G102" s="10" t="n">
        <f aca="false">SUMIFS('Source 2025'!$Q:$Q,'Source 2025'!$B:$B,$A102,'Source 2025'!$A:$A,"Amount (NIS)")</f>
        <v>3726.4</v>
      </c>
      <c r="H102" s="10" t="n">
        <f aca="false">SUMIFS('Source 2026'!$Q:$Q,'Source 2026'!$B:$B,$A102,'Source 2026'!$A:$A,"Amount (NIS)")</f>
        <v>1185.3</v>
      </c>
      <c r="I102" s="10" t="n">
        <f aca="false">H102-G102</f>
        <v>-2541.1</v>
      </c>
      <c r="J102" s="9" t="n">
        <f aca="false">IF(AND(G102=0,H102=0),0,IF(G102=0,"New",(H102-G102)/G102))</f>
        <v>-0.6819182052383</v>
      </c>
    </row>
    <row r="103" customFormat="false" ht="15" hidden="false" customHeight="false" outlineLevel="0" collapsed="false">
      <c r="A103" s="7" t="s">
        <v>135</v>
      </c>
      <c r="B103" s="7" t="str">
        <f aca="false">IFERROR(INDEX('Source 2026'!$C:$C,MATCH($A103,'Source 2026'!$B:$B,0)),IFERROR(INDEX('Source 2025'!$C:$C,MATCH($A103,'Source 2025'!$B:$B,0)),""))</f>
        <v>כפפות לחץ</v>
      </c>
      <c r="C103" s="8" t="n">
        <f aca="false">SUMIFS('Source 2025'!$Q:$Q,'Source 2025'!$B:$B,$A103,'Source 2025'!$A:$A,"Quantity (units)")</f>
        <v>246</v>
      </c>
      <c r="D103" s="8" t="n">
        <f aca="false">SUMIFS('Source 2026'!$Q:$Q,'Source 2026'!$B:$B,$A103,'Source 2026'!$A:$A,"Quantity (units)")</f>
        <v>155</v>
      </c>
      <c r="E103" s="8" t="n">
        <f aca="false">D103-C103</f>
        <v>-91</v>
      </c>
      <c r="F103" s="9" t="n">
        <f aca="false">IF(AND(C103=0,D103=0),0,IF(C103=0,"New",(D103-C103)/C103))</f>
        <v>-0.369918699186992</v>
      </c>
      <c r="G103" s="10" t="n">
        <f aca="false">SUMIFS('Source 2025'!$Q:$Q,'Source 2025'!$B:$B,$A103,'Source 2025'!$A:$A,"Amount (NIS)")</f>
        <v>6998.3</v>
      </c>
      <c r="H103" s="10" t="n">
        <f aca="false">SUMIFS('Source 2026'!$Q:$Q,'Source 2026'!$B:$B,$A103,'Source 2026'!$A:$A,"Amount (NIS)")</f>
        <v>4476.9</v>
      </c>
      <c r="I103" s="10" t="n">
        <f aca="false">H103-G103</f>
        <v>-2521.4</v>
      </c>
      <c r="J103" s="9" t="n">
        <f aca="false">IF(AND(G103=0,H103=0),0,IF(G103=0,"New",(H103-G103)/G103))</f>
        <v>-0.360287498392467</v>
      </c>
    </row>
    <row r="104" customFormat="false" ht="15" hidden="false" customHeight="false" outlineLevel="0" collapsed="false">
      <c r="A104" s="7" t="s">
        <v>136</v>
      </c>
      <c r="B104" s="7" t="str">
        <f aca="false">IFERROR(INDEX('Source 2026'!$C:$C,MATCH($A104,'Source 2026'!$B:$B,0)),IFERROR(INDEX('Source 2025'!$C:$C,MATCH($A104,'Source 2025'!$B:$B,0)),""))</f>
        <v>תחבושת אלסטית מקררת</v>
      </c>
      <c r="C104" s="8" t="n">
        <f aca="false">SUMIFS('Source 2025'!$Q:$Q,'Source 2025'!$B:$B,$A104,'Source 2025'!$A:$A,"Quantity (units)")</f>
        <v>283</v>
      </c>
      <c r="D104" s="8" t="n">
        <f aca="false">SUMIFS('Source 2026'!$Q:$Q,'Source 2026'!$B:$B,$A104,'Source 2026'!$A:$A,"Quantity (units)")</f>
        <v>428</v>
      </c>
      <c r="E104" s="8" t="n">
        <f aca="false">D104-C104</f>
        <v>145</v>
      </c>
      <c r="F104" s="9" t="n">
        <f aca="false">IF(AND(C104=0,D104=0),0,IF(C104=0,"New",(D104-C104)/C104))</f>
        <v>0.512367491166078</v>
      </c>
      <c r="G104" s="10" t="n">
        <f aca="false">SUMIFS('Source 2025'!$Q:$Q,'Source 2025'!$B:$B,$A104,'Source 2025'!$A:$A,"Amount (NIS)")</f>
        <v>4566.7</v>
      </c>
      <c r="H104" s="10" t="n">
        <f aca="false">SUMIFS('Source 2026'!$Q:$Q,'Source 2026'!$B:$B,$A104,'Source 2026'!$A:$A,"Amount (NIS)")</f>
        <v>7064.7</v>
      </c>
      <c r="I104" s="10" t="n">
        <f aca="false">H104-G104</f>
        <v>2498</v>
      </c>
      <c r="J104" s="9" t="n">
        <f aca="false">IF(AND(G104=0,H104=0),0,IF(G104=0,"New",(H104-G104)/G104))</f>
        <v>0.547003306545208</v>
      </c>
    </row>
    <row r="105" customFormat="false" ht="15" hidden="false" customHeight="false" outlineLevel="0" collapsed="false">
      <c r="A105" s="7" t="s">
        <v>137</v>
      </c>
      <c r="B105" s="7" t="str">
        <f aca="false">IFERROR(INDEX('Source 2026'!$C:$C,MATCH($A105,'Source 2026'!$B:$B,0)),IFERROR(INDEX('Source 2025'!$C:$C,MATCH($A105,'Source 2025'!$B:$B,0)),""))</f>
        <v>נצמדת בז' 20 מ""מ</v>
      </c>
      <c r="C105" s="8" t="n">
        <f aca="false">SUMIFS('Source 2025'!$Q:$Q,'Source 2025'!$B:$B,$A105,'Source 2025'!$A:$A,"Quantity (units)")</f>
        <v>1235</v>
      </c>
      <c r="D105" s="8" t="n">
        <f aca="false">SUMIFS('Source 2026'!$Q:$Q,'Source 2026'!$B:$B,$A105,'Source 2026'!$A:$A,"Quantity (units)")</f>
        <v>988</v>
      </c>
      <c r="E105" s="8" t="n">
        <f aca="false">D105-C105</f>
        <v>-247</v>
      </c>
      <c r="F105" s="9" t="n">
        <f aca="false">IF(AND(C105=0,D105=0),0,IF(C105=0,"New",(D105-C105)/C105))</f>
        <v>-0.2</v>
      </c>
      <c r="G105" s="10" t="n">
        <f aca="false">SUMIFS('Source 2025'!$Q:$Q,'Source 2025'!$B:$B,$A105,'Source 2025'!$A:$A,"Amount (NIS)")</f>
        <v>12532.2</v>
      </c>
      <c r="H105" s="10" t="n">
        <f aca="false">SUMIFS('Source 2026'!$Q:$Q,'Source 2026'!$B:$B,$A105,'Source 2026'!$A:$A,"Amount (NIS)")</f>
        <v>10070.6</v>
      </c>
      <c r="I105" s="10" t="n">
        <f aca="false">H105-G105</f>
        <v>-2461.6</v>
      </c>
      <c r="J105" s="9" t="n">
        <f aca="false">IF(AND(G105=0,H105=0),0,IF(G105=0,"New",(H105-G105)/G105))</f>
        <v>-0.196422016884506</v>
      </c>
    </row>
    <row r="106" customFormat="false" ht="15" hidden="false" customHeight="false" outlineLevel="0" collapsed="false">
      <c r="A106" s="7" t="s">
        <v>138</v>
      </c>
      <c r="B106" s="7" t="str">
        <f aca="false">IFERROR(INDEX('Source 2026'!$C:$C,MATCH($A106,'Source 2026'!$B:$B,0)),IFERROR(INDEX('Source 2025'!$C:$C,MATCH($A106,'Source 2025'!$B:$B,0)),""))</f>
        <v>11 אפורUG חגורת בטן</v>
      </c>
      <c r="C106" s="8" t="n">
        <f aca="false">SUMIFS('Source 2025'!$Q:$Q,'Source 2025'!$B:$B,$A106,'Source 2025'!$A:$A,"Quantity (units)")</f>
        <v>32</v>
      </c>
      <c r="D106" s="8" t="n">
        <f aca="false">SUMIFS('Source 2026'!$Q:$Q,'Source 2026'!$B:$B,$A106,'Source 2026'!$A:$A,"Quantity (units)")</f>
        <v>1</v>
      </c>
      <c r="E106" s="8" t="n">
        <f aca="false">D106-C106</f>
        <v>-31</v>
      </c>
      <c r="F106" s="9" t="n">
        <f aca="false">IF(AND(C106=0,D106=0),0,IF(C106=0,"New",(D106-C106)/C106))</f>
        <v>-0.96875</v>
      </c>
      <c r="G106" s="10" t="n">
        <f aca="false">SUMIFS('Source 2025'!$Q:$Q,'Source 2025'!$B:$B,$A106,'Source 2025'!$A:$A,"Amount (NIS)")</f>
        <v>2549.6</v>
      </c>
      <c r="H106" s="10" t="n">
        <f aca="false">SUMIFS('Source 2026'!$Q:$Q,'Source 2026'!$B:$B,$A106,'Source 2026'!$A:$A,"Amount (NIS)")</f>
        <v>132.3</v>
      </c>
      <c r="I106" s="10" t="n">
        <f aca="false">H106-G106</f>
        <v>-2417.3</v>
      </c>
      <c r="J106" s="9" t="n">
        <f aca="false">IF(AND(G106=0,H106=0),0,IF(G106=0,"New",(H106-G106)/G106))</f>
        <v>-0.948109507373706</v>
      </c>
    </row>
    <row r="107" customFormat="false" ht="15" hidden="false" customHeight="false" outlineLevel="0" collapsed="false">
      <c r="A107" s="7" t="s">
        <v>139</v>
      </c>
      <c r="B107" s="7" t="str">
        <f aca="false">IFERROR(INDEX('Source 2026'!$C:$C,MATCH($A107,'Source 2026'!$B:$B,0)),IFERROR(INDEX('Source 2025'!$C:$C,MATCH($A107,'Source 2025'!$B:$B,0)),""))</f>
        <v>כפפות אגודל לחץ</v>
      </c>
      <c r="C107" s="8" t="n">
        <f aca="false">SUMIFS('Source 2025'!$Q:$Q,'Source 2025'!$B:$B,$A107,'Source 2025'!$A:$A,"Quantity (units)")</f>
        <v>419</v>
      </c>
      <c r="D107" s="8" t="n">
        <f aca="false">SUMIFS('Source 2026'!$Q:$Q,'Source 2026'!$B:$B,$A107,'Source 2026'!$A:$A,"Quantity (units)")</f>
        <v>324</v>
      </c>
      <c r="E107" s="8" t="n">
        <f aca="false">D107-C107</f>
        <v>-95</v>
      </c>
      <c r="F107" s="9" t="n">
        <f aca="false">IF(AND(C107=0,D107=0),0,IF(C107=0,"New",(D107-C107)/C107))</f>
        <v>-0.22673031026253</v>
      </c>
      <c r="G107" s="10" t="n">
        <f aca="false">SUMIFS('Source 2025'!$Q:$Q,'Source 2025'!$B:$B,$A107,'Source 2025'!$A:$A,"Amount (NIS)")</f>
        <v>11927.2</v>
      </c>
      <c r="H107" s="10" t="n">
        <f aca="false">SUMIFS('Source 2026'!$Q:$Q,'Source 2026'!$B:$B,$A107,'Source 2026'!$A:$A,"Amount (NIS)")</f>
        <v>9579</v>
      </c>
      <c r="I107" s="10" t="n">
        <f aca="false">H107-G107</f>
        <v>-2348.2</v>
      </c>
      <c r="J107" s="9" t="n">
        <f aca="false">IF(AND(G107=0,H107=0),0,IF(G107=0,"New",(H107-G107)/G107))</f>
        <v>-0.196877724864176</v>
      </c>
    </row>
    <row r="108" customFormat="false" ht="15" hidden="false" customHeight="false" outlineLevel="0" collapsed="false">
      <c r="A108" s="7" t="s">
        <v>140</v>
      </c>
      <c r="B108" s="7" t="str">
        <f aca="false">IFERROR(INDEX('Source 2026'!$C:$C,MATCH($A108,'Source 2026'!$B:$B,0)),IFERROR(INDEX('Source 2025'!$C:$C,MATCH($A108,'Source 2025'!$B:$B,0)),""))</f>
        <v>S-M STRAP4U</v>
      </c>
      <c r="C108" s="8" t="n">
        <f aca="false">SUMIFS('Source 2025'!$Q:$Q,'Source 2025'!$B:$B,$A108,'Source 2025'!$A:$A,"Quantity (units)")</f>
        <v>95</v>
      </c>
      <c r="D108" s="8" t="n">
        <f aca="false">SUMIFS('Source 2026'!$Q:$Q,'Source 2026'!$B:$B,$A108,'Source 2026'!$A:$A,"Quantity (units)")</f>
        <v>-57</v>
      </c>
      <c r="E108" s="8" t="n">
        <f aca="false">D108-C108</f>
        <v>-152</v>
      </c>
      <c r="F108" s="9" t="n">
        <f aca="false">IF(AND(C108=0,D108=0),0,IF(C108=0,"New",(D108-C108)/C108))</f>
        <v>-1.6</v>
      </c>
      <c r="G108" s="10" t="n">
        <f aca="false">SUMIFS('Source 2025'!$Q:$Q,'Source 2025'!$B:$B,$A108,'Source 2025'!$A:$A,"Amount (NIS)")</f>
        <v>1673</v>
      </c>
      <c r="H108" s="10" t="n">
        <f aca="false">SUMIFS('Source 2026'!$Q:$Q,'Source 2026'!$B:$B,$A108,'Source 2026'!$A:$A,"Amount (NIS)")</f>
        <v>-564.6</v>
      </c>
      <c r="I108" s="10" t="n">
        <f aca="false">H108-G108</f>
        <v>-2237.6</v>
      </c>
      <c r="J108" s="9" t="n">
        <f aca="false">IF(AND(G108=0,H108=0),0,IF(G108=0,"New",(H108-G108)/G108))</f>
        <v>-1.33747758517633</v>
      </c>
    </row>
    <row r="109" customFormat="false" ht="15" hidden="false" customHeight="false" outlineLevel="0" collapsed="false">
      <c r="A109" s="7" t="s">
        <v>141</v>
      </c>
      <c r="B109" s="7" t="str">
        <f aca="false">IFERROR(INDEX('Source 2026'!$C:$C,MATCH($A109,'Source 2026'!$B:$B,0)),IFERROR(INDEX('Source 2025'!$C:$C,MATCH($A109,'Source 2025'!$B:$B,0)),""))</f>
        <v>ג.כסף לסכרתיים אפור35-38</v>
      </c>
      <c r="C109" s="8" t="n">
        <f aca="false">SUMIFS('Source 2025'!$Q:$Q,'Source 2025'!$B:$B,$A109,'Source 2025'!$A:$A,"Quantity (units)")</f>
        <v>74</v>
      </c>
      <c r="D109" s="8" t="n">
        <f aca="false">SUMIFS('Source 2026'!$Q:$Q,'Source 2026'!$B:$B,$A109,'Source 2026'!$A:$A,"Quantity (units)")</f>
        <v>1</v>
      </c>
      <c r="E109" s="8" t="n">
        <f aca="false">D109-C109</f>
        <v>-73</v>
      </c>
      <c r="F109" s="9" t="n">
        <f aca="false">IF(AND(C109=0,D109=0),0,IF(C109=0,"New",(D109-C109)/C109))</f>
        <v>-0.986486486486487</v>
      </c>
      <c r="G109" s="10" t="n">
        <f aca="false">SUMIFS('Source 2025'!$Q:$Q,'Source 2025'!$B:$B,$A109,'Source 2025'!$A:$A,"Amount (NIS)")</f>
        <v>2161.6</v>
      </c>
      <c r="H109" s="10" t="n">
        <f aca="false">SUMIFS('Source 2026'!$Q:$Q,'Source 2026'!$B:$B,$A109,'Source 2026'!$A:$A,"Amount (NIS)")</f>
        <v>35</v>
      </c>
      <c r="I109" s="10" t="n">
        <f aca="false">H109-G109</f>
        <v>-2126.6</v>
      </c>
      <c r="J109" s="9" t="n">
        <f aca="false">IF(AND(G109=0,H109=0),0,IF(G109=0,"New",(H109-G109)/G109))</f>
        <v>-0.983808290155441</v>
      </c>
    </row>
    <row r="110" customFormat="false" ht="15" hidden="false" customHeight="false" outlineLevel="0" collapsed="false">
      <c r="A110" s="7" t="s">
        <v>142</v>
      </c>
      <c r="B110" s="7" t="str">
        <f aca="false">IFERROR(INDEX('Source 2026'!$C:$C,MATCH($A110,'Source 2026'!$B:$B,0)),IFERROR(INDEX('Source 2025'!$C:$C,MATCH($A110,'Source 2025'!$B:$B,0)),""))</f>
        <v>9 מ""ס להתאמהX5 מדבקה גדולה</v>
      </c>
      <c r="C110" s="8" t="n">
        <f aca="false">SUMIFS('Source 2025'!$Q:$Q,'Source 2025'!$B:$B,$A110,'Source 2025'!$A:$A,"Quantity (units)")</f>
        <v>208</v>
      </c>
      <c r="D110" s="8" t="n">
        <f aca="false">SUMIFS('Source 2026'!$Q:$Q,'Source 2026'!$B:$B,$A110,'Source 2026'!$A:$A,"Quantity (units)")</f>
        <v>102</v>
      </c>
      <c r="E110" s="8" t="n">
        <f aca="false">D110-C110</f>
        <v>-106</v>
      </c>
      <c r="F110" s="9" t="n">
        <f aca="false">IF(AND(C110=0,D110=0),0,IF(C110=0,"New",(D110-C110)/C110))</f>
        <v>-0.509615384615385</v>
      </c>
      <c r="G110" s="10" t="n">
        <f aca="false">SUMIFS('Source 2025'!$Q:$Q,'Source 2025'!$B:$B,$A110,'Source 2025'!$A:$A,"Amount (NIS)")</f>
        <v>4120.4</v>
      </c>
      <c r="H110" s="10" t="n">
        <f aca="false">SUMIFS('Source 2026'!$Q:$Q,'Source 2026'!$B:$B,$A110,'Source 2026'!$A:$A,"Amount (NIS)")</f>
        <v>2001.2</v>
      </c>
      <c r="I110" s="10" t="n">
        <f aca="false">H110-G110</f>
        <v>-2119.2</v>
      </c>
      <c r="J110" s="9" t="n">
        <f aca="false">IF(AND(G110=0,H110=0),0,IF(G110=0,"New",(H110-G110)/G110))</f>
        <v>-0.514318998155519</v>
      </c>
    </row>
    <row r="111" customFormat="false" ht="15" hidden="false" customHeight="false" outlineLevel="0" collapsed="false">
      <c r="A111" s="7" t="s">
        <v>143</v>
      </c>
      <c r="B111" s="7" t="str">
        <f aca="false">IFERROR(INDEX('Source 2026'!$C:$C,MATCH($A111,'Source 2026'!$B:$B,0)),IFERROR(INDEX('Source 2025'!$C:$C,MATCH($A111,'Source 2025'!$B:$B,0)),""))</f>
        <v>בננה לתמיכת אצבעות ז.כרית</v>
      </c>
      <c r="C111" s="8" t="n">
        <f aca="false">SUMIFS('Source 2025'!$Q:$Q,'Source 2025'!$B:$B,$A111,'Source 2025'!$A:$A,"Quantity (units)")</f>
        <v>199</v>
      </c>
      <c r="D111" s="8" t="n">
        <f aca="false">SUMIFS('Source 2026'!$Q:$Q,'Source 2026'!$B:$B,$A111,'Source 2026'!$A:$A,"Quantity (units)")</f>
        <v>101</v>
      </c>
      <c r="E111" s="8" t="n">
        <f aca="false">D111-C111</f>
        <v>-98</v>
      </c>
      <c r="F111" s="9" t="n">
        <f aca="false">IF(AND(C111=0,D111=0),0,IF(C111=0,"New",(D111-C111)/C111))</f>
        <v>-0.492462311557789</v>
      </c>
      <c r="G111" s="10" t="n">
        <f aca="false">SUMIFS('Source 2025'!$Q:$Q,'Source 2025'!$B:$B,$A111,'Source 2025'!$A:$A,"Amount (NIS)")</f>
        <v>4320.4</v>
      </c>
      <c r="H111" s="10" t="n">
        <f aca="false">SUMIFS('Source 2026'!$Q:$Q,'Source 2026'!$B:$B,$A111,'Source 2026'!$A:$A,"Amount (NIS)")</f>
        <v>2224.3</v>
      </c>
      <c r="I111" s="10" t="n">
        <f aca="false">H111-G111</f>
        <v>-2096.1</v>
      </c>
      <c r="J111" s="9" t="n">
        <f aca="false">IF(AND(G111=0,H111=0),0,IF(G111=0,"New",(H111-G111)/G111))</f>
        <v>-0.485163410795297</v>
      </c>
    </row>
    <row r="112" customFormat="false" ht="15" hidden="false" customHeight="false" outlineLevel="0" collapsed="false">
      <c r="A112" s="7" t="s">
        <v>144</v>
      </c>
      <c r="B112" s="7" t="str">
        <f aca="false">IFERROR(INDEX('Source 2026'!$C:$C,MATCH($A112,'Source 2026'!$B:$B,0)),IFERROR(INDEX('Source 2025'!$C:$C,MATCH($A112,'Source 2025'!$B:$B,0)),""))</f>
        <v>תרסיס דאודורנט לכף הרגל</v>
      </c>
      <c r="C112" s="8" t="n">
        <f aca="false">SUMIFS('Source 2025'!$Q:$Q,'Source 2025'!$B:$B,$A112,'Source 2025'!$A:$A,"Quantity (units)")</f>
        <v>583</v>
      </c>
      <c r="D112" s="8" t="n">
        <f aca="false">SUMIFS('Source 2026'!$Q:$Q,'Source 2026'!$B:$B,$A112,'Source 2026'!$A:$A,"Quantity (units)")</f>
        <v>536</v>
      </c>
      <c r="E112" s="8" t="n">
        <f aca="false">D112-C112</f>
        <v>-47</v>
      </c>
      <c r="F112" s="9" t="n">
        <f aca="false">IF(AND(C112=0,D112=0),0,IF(C112=0,"New",(D112-C112)/C112))</f>
        <v>-0.0806174957118353</v>
      </c>
      <c r="G112" s="10" t="n">
        <f aca="false">SUMIFS('Source 2025'!$Q:$Q,'Source 2025'!$B:$B,$A112,'Source 2025'!$A:$A,"Amount (NIS)")</f>
        <v>12662</v>
      </c>
      <c r="H112" s="10" t="n">
        <f aca="false">SUMIFS('Source 2026'!$Q:$Q,'Source 2026'!$B:$B,$A112,'Source 2026'!$A:$A,"Amount (NIS)")</f>
        <v>10680.7</v>
      </c>
      <c r="I112" s="10" t="n">
        <f aca="false">H112-G112</f>
        <v>-1981.3</v>
      </c>
      <c r="J112" s="9" t="n">
        <f aca="false">IF(AND(G112=0,H112=0),0,IF(G112=0,"New",(H112-G112)/G112))</f>
        <v>-0.156476070131101</v>
      </c>
    </row>
    <row r="113" customFormat="false" ht="15" hidden="false" customHeight="false" outlineLevel="0" collapsed="false">
      <c r="A113" s="7" t="s">
        <v>145</v>
      </c>
      <c r="B113" s="7" t="str">
        <f aca="false">IFERROR(INDEX('Source 2026'!$C:$C,MATCH($A113,'Source 2026'!$B:$B,0)),IFERROR(INDEX('Source 2025'!$C:$C,MATCH($A113,'Source 2025'!$B:$B,0)),""))</f>
        <v>לגבס קצר יד</v>
      </c>
      <c r="C113" s="8" t="n">
        <f aca="false">SUMIFS('Source 2025'!$Q:$Q,'Source 2025'!$B:$B,$A113,'Source 2025'!$A:$A,"Quantity (units)")</f>
        <v>1526</v>
      </c>
      <c r="D113" s="8" t="n">
        <f aca="false">SUMIFS('Source 2026'!$Q:$Q,'Source 2026'!$B:$B,$A113,'Source 2026'!$A:$A,"Quantity (units)")</f>
        <v>1595</v>
      </c>
      <c r="E113" s="8" t="n">
        <f aca="false">D113-C113</f>
        <v>69</v>
      </c>
      <c r="F113" s="9" t="n">
        <f aca="false">IF(AND(C113=0,D113=0),0,IF(C113=0,"New",(D113-C113)/C113))</f>
        <v>0.04521625163827</v>
      </c>
      <c r="G113" s="10" t="n">
        <f aca="false">SUMIFS('Source 2025'!$Q:$Q,'Source 2025'!$B:$B,$A113,'Source 2025'!$A:$A,"Amount (NIS)")</f>
        <v>50607.4</v>
      </c>
      <c r="H113" s="10" t="n">
        <f aca="false">SUMIFS('Source 2026'!$Q:$Q,'Source 2026'!$B:$B,$A113,'Source 2026'!$A:$A,"Amount (NIS)")</f>
        <v>52502.9</v>
      </c>
      <c r="I113" s="10" t="n">
        <f aca="false">H113-G113</f>
        <v>1895.50000000001</v>
      </c>
      <c r="J113" s="9" t="n">
        <f aca="false">IF(AND(G113=0,H113=0),0,IF(G113=0,"New",(H113-G113)/G113))</f>
        <v>0.0374549967000875</v>
      </c>
    </row>
    <row r="114" customFormat="false" ht="15" hidden="false" customHeight="false" outlineLevel="0" collapsed="false">
      <c r="A114" s="7" t="s">
        <v>146</v>
      </c>
      <c r="B114" s="7" t="str">
        <f aca="false">IFERROR(INDEX('Source 2026'!$C:$C,MATCH($A114,'Source 2026'!$B:$B,0)),IFERROR(INDEX('Source 2025'!$C:$C,MATCH($A114,'Source 2025'!$B:$B,0)),""))</f>
        <v>מפריד הלוקס</v>
      </c>
      <c r="C114" s="8" t="n">
        <f aca="false">SUMIFS('Source 2025'!$Q:$Q,'Source 2025'!$B:$B,$A114,'Source 2025'!$A:$A,"Quantity (units)")</f>
        <v>106</v>
      </c>
      <c r="D114" s="8" t="n">
        <f aca="false">SUMIFS('Source 2026'!$Q:$Q,'Source 2026'!$B:$B,$A114,'Source 2026'!$A:$A,"Quantity (units)")</f>
        <v>57</v>
      </c>
      <c r="E114" s="8" t="n">
        <f aca="false">D114-C114</f>
        <v>-49</v>
      </c>
      <c r="F114" s="9" t="n">
        <f aca="false">IF(AND(C114=0,D114=0),0,IF(C114=0,"New",(D114-C114)/C114))</f>
        <v>-0.462264150943396</v>
      </c>
      <c r="G114" s="10" t="n">
        <f aca="false">SUMIFS('Source 2025'!$Q:$Q,'Source 2025'!$B:$B,$A114,'Source 2025'!$A:$A,"Amount (NIS)")</f>
        <v>4298.2</v>
      </c>
      <c r="H114" s="10" t="n">
        <f aca="false">SUMIFS('Source 2026'!$Q:$Q,'Source 2026'!$B:$B,$A114,'Source 2026'!$A:$A,"Amount (NIS)")</f>
        <v>2453.1</v>
      </c>
      <c r="I114" s="10" t="n">
        <f aca="false">H114-G114</f>
        <v>-1845.1</v>
      </c>
      <c r="J114" s="9" t="n">
        <f aca="false">IF(AND(G114=0,H114=0),0,IF(G114=0,"New",(H114-G114)/G114))</f>
        <v>-0.429272718812526</v>
      </c>
    </row>
    <row r="115" customFormat="false" ht="15" hidden="false" customHeight="false" outlineLevel="0" collapsed="false">
      <c r="A115" s="7" t="s">
        <v>147</v>
      </c>
      <c r="B115" s="7" t="str">
        <f aca="false">IFERROR(INDEX('Source 2026'!$C:$C,MATCH($A115,'Source 2026'!$B:$B,0)),IFERROR(INDEX('Source 2025'!$C:$C,MATCH($A115,'Source 2025'!$B:$B,0)),""))</f>
        <v>כפפות לחץ</v>
      </c>
      <c r="C115" s="8" t="n">
        <f aca="false">SUMIFS('Source 2025'!$Q:$Q,'Source 2025'!$B:$B,$A115,'Source 2025'!$A:$A,"Quantity (units)")</f>
        <v>180</v>
      </c>
      <c r="D115" s="8" t="n">
        <f aca="false">SUMIFS('Source 2026'!$Q:$Q,'Source 2026'!$B:$B,$A115,'Source 2026'!$A:$A,"Quantity (units)")</f>
        <v>113</v>
      </c>
      <c r="E115" s="8" t="n">
        <f aca="false">D115-C115</f>
        <v>-67</v>
      </c>
      <c r="F115" s="9" t="n">
        <f aca="false">IF(AND(C115=0,D115=0),0,IF(C115=0,"New",(D115-C115)/C115))</f>
        <v>-0.372222222222222</v>
      </c>
      <c r="G115" s="10" t="n">
        <f aca="false">SUMIFS('Source 2025'!$Q:$Q,'Source 2025'!$B:$B,$A115,'Source 2025'!$A:$A,"Amount (NIS)")</f>
        <v>5113.7</v>
      </c>
      <c r="H115" s="10" t="n">
        <f aca="false">SUMIFS('Source 2026'!$Q:$Q,'Source 2026'!$B:$B,$A115,'Source 2026'!$A:$A,"Amount (NIS)")</f>
        <v>3300.4</v>
      </c>
      <c r="I115" s="10" t="n">
        <f aca="false">H115-G115</f>
        <v>-1813.3</v>
      </c>
      <c r="J115" s="9" t="n">
        <f aca="false">IF(AND(G115=0,H115=0),0,IF(G115=0,"New",(H115-G115)/G115))</f>
        <v>-0.354596476132741</v>
      </c>
    </row>
    <row r="116" customFormat="false" ht="15" hidden="false" customHeight="false" outlineLevel="0" collapsed="false">
      <c r="A116" s="7" t="s">
        <v>148</v>
      </c>
      <c r="B116" s="7" t="str">
        <f aca="false">IFERROR(INDEX('Source 2026'!$C:$C,MATCH($A116,'Source 2026'!$B:$B,0)),IFERROR(INDEX('Source 2025'!$C:$C,MATCH($A116,'Source 2025'!$B:$B,0)),""))</f>
        <v>0 כרית חום וקור</v>
      </c>
      <c r="C116" s="8" t="n">
        <f aca="false">SUMIFS('Source 2025'!$Q:$Q,'Source 2025'!$B:$B,$A116,'Source 2025'!$A:$A,"Quantity (units)")</f>
        <v>21</v>
      </c>
      <c r="D116" s="8" t="n">
        <f aca="false">SUMIFS('Source 2026'!$Q:$Q,'Source 2026'!$B:$B,$A116,'Source 2026'!$A:$A,"Quantity (units)")</f>
        <v>67</v>
      </c>
      <c r="E116" s="8" t="n">
        <f aca="false">D116-C116</f>
        <v>46</v>
      </c>
      <c r="F116" s="9" t="n">
        <f aca="false">IF(AND(C116=0,D116=0),0,IF(C116=0,"New",(D116-C116)/C116))</f>
        <v>2.19047619047619</v>
      </c>
      <c r="G116" s="10" t="n">
        <f aca="false">SUMIFS('Source 2025'!$Q:$Q,'Source 2025'!$B:$B,$A116,'Source 2025'!$A:$A,"Amount (NIS)")</f>
        <v>826.4</v>
      </c>
      <c r="H116" s="10" t="n">
        <f aca="false">SUMIFS('Source 2026'!$Q:$Q,'Source 2026'!$B:$B,$A116,'Source 2026'!$A:$A,"Amount (NIS)")</f>
        <v>2616.2</v>
      </c>
      <c r="I116" s="10" t="n">
        <f aca="false">H116-G116</f>
        <v>1789.8</v>
      </c>
      <c r="J116" s="9" t="n">
        <f aca="false">IF(AND(G116=0,H116=0),0,IF(G116=0,"New",(H116-G116)/G116))</f>
        <v>2.16577928363988</v>
      </c>
    </row>
    <row r="117" customFormat="false" ht="15" hidden="false" customHeight="false" outlineLevel="0" collapsed="false">
      <c r="A117" s="7" t="s">
        <v>149</v>
      </c>
      <c r="B117" s="7" t="str">
        <f aca="false">IFERROR(INDEX('Source 2026'!$C:$C,MATCH($A117,'Source 2026'!$B:$B,0)),IFERROR(INDEX('Source 2025'!$C:$C,MATCH($A117,'Source 2025'!$B:$B,0)),""))</f>
        <v>סד לאגודל</v>
      </c>
      <c r="C117" s="8" t="n">
        <f aca="false">SUMIFS('Source 2025'!$Q:$Q,'Source 2025'!$B:$B,$A117,'Source 2025'!$A:$A,"Quantity (units)")</f>
        <v>145</v>
      </c>
      <c r="D117" s="8" t="n">
        <f aca="false">SUMIFS('Source 2026'!$Q:$Q,'Source 2026'!$B:$B,$A117,'Source 2026'!$A:$A,"Quantity (units)")</f>
        <v>128</v>
      </c>
      <c r="E117" s="8" t="n">
        <f aca="false">D117-C117</f>
        <v>-17</v>
      </c>
      <c r="F117" s="9" t="n">
        <f aca="false">IF(AND(C117=0,D117=0),0,IF(C117=0,"New",(D117-C117)/C117))</f>
        <v>-0.117241379310345</v>
      </c>
      <c r="G117" s="10" t="n">
        <f aca="false">SUMIFS('Source 2025'!$Q:$Q,'Source 2025'!$B:$B,$A117,'Source 2025'!$A:$A,"Amount (NIS)")</f>
        <v>14778.5</v>
      </c>
      <c r="H117" s="10" t="n">
        <f aca="false">SUMIFS('Source 2026'!$Q:$Q,'Source 2026'!$B:$B,$A117,'Source 2026'!$A:$A,"Amount (NIS)")</f>
        <v>13023.1</v>
      </c>
      <c r="I117" s="10" t="n">
        <f aca="false">H117-G117</f>
        <v>-1755.4</v>
      </c>
      <c r="J117" s="9" t="n">
        <f aca="false">IF(AND(G117=0,H117=0),0,IF(G117=0,"New",(H117-G117)/G117))</f>
        <v>-0.11878066109551</v>
      </c>
    </row>
    <row r="118" customFormat="false" ht="15" hidden="false" customHeight="false" outlineLevel="0" collapsed="false">
      <c r="A118" s="7" t="s">
        <v>150</v>
      </c>
      <c r="B118" s="7" t="str">
        <f aca="false">IFERROR(INDEX('Source 2026'!$C:$C,MATCH($A118,'Source 2026'!$B:$B,0)),IFERROR(INDEX('Source 2025'!$C:$C,MATCH($A118,'Source 2025'!$B:$B,0)),""))</f>
        <v>S מגן קרסול שמאל</v>
      </c>
      <c r="C118" s="8" t="n">
        <f aca="false">SUMIFS('Source 2025'!$Q:$Q,'Source 2025'!$B:$B,$A118,'Source 2025'!$A:$A,"Quantity (units)")</f>
        <v>48</v>
      </c>
      <c r="D118" s="8" t="n">
        <f aca="false">SUMIFS('Source 2026'!$Q:$Q,'Source 2026'!$B:$B,$A118,'Source 2026'!$A:$A,"Quantity (units)")</f>
        <v>24</v>
      </c>
      <c r="E118" s="8" t="n">
        <f aca="false">D118-C118</f>
        <v>-24</v>
      </c>
      <c r="F118" s="9" t="n">
        <f aca="false">IF(AND(C118=0,D118=0),0,IF(C118=0,"New",(D118-C118)/C118))</f>
        <v>-0.5</v>
      </c>
      <c r="G118" s="10" t="n">
        <f aca="false">SUMIFS('Source 2025'!$Q:$Q,'Source 2025'!$B:$B,$A118,'Source 2025'!$A:$A,"Amount (NIS)")</f>
        <v>3556.9</v>
      </c>
      <c r="H118" s="10" t="n">
        <f aca="false">SUMIFS('Source 2026'!$Q:$Q,'Source 2026'!$B:$B,$A118,'Source 2026'!$A:$A,"Amount (NIS)")</f>
        <v>1803.2</v>
      </c>
      <c r="I118" s="10" t="n">
        <f aca="false">H118-G118</f>
        <v>-1753.7</v>
      </c>
      <c r="J118" s="9" t="n">
        <f aca="false">IF(AND(G118=0,H118=0),0,IF(G118=0,"New",(H118-G118)/G118))</f>
        <v>-0.493041693609604</v>
      </c>
    </row>
    <row r="119" customFormat="false" ht="15" hidden="false" customHeight="false" outlineLevel="0" collapsed="false">
      <c r="A119" s="7" t="s">
        <v>151</v>
      </c>
      <c r="B119" s="7" t="str">
        <f aca="false">IFERROR(INDEX('Source 2026'!$C:$C,MATCH($A119,'Source 2026'!$B:$B,0)),IFERROR(INDEX('Source 2025'!$C:$C,MATCH($A119,'Source 2025'!$B:$B,0)),""))</f>
        <v>L-XL חגורת הריון</v>
      </c>
      <c r="C119" s="8" t="n">
        <f aca="false">SUMIFS('Source 2025'!$Q:$Q,'Source 2025'!$B:$B,$A119,'Source 2025'!$A:$A,"Quantity (units)")</f>
        <v>62</v>
      </c>
      <c r="D119" s="8" t="n">
        <f aca="false">SUMIFS('Source 2026'!$Q:$Q,'Source 2026'!$B:$B,$A119,'Source 2026'!$A:$A,"Quantity (units)")</f>
        <v>44</v>
      </c>
      <c r="E119" s="8" t="n">
        <f aca="false">D119-C119</f>
        <v>-18</v>
      </c>
      <c r="F119" s="9" t="n">
        <f aca="false">IF(AND(C119=0,D119=0),0,IF(C119=0,"New",(D119-C119)/C119))</f>
        <v>-0.290322580645161</v>
      </c>
      <c r="G119" s="10" t="n">
        <f aca="false">SUMIFS('Source 2025'!$Q:$Q,'Source 2025'!$B:$B,$A119,'Source 2025'!$A:$A,"Amount (NIS)")</f>
        <v>6256.2</v>
      </c>
      <c r="H119" s="10" t="n">
        <f aca="false">SUMIFS('Source 2026'!$Q:$Q,'Source 2026'!$B:$B,$A119,'Source 2026'!$A:$A,"Amount (NIS)")</f>
        <v>4505</v>
      </c>
      <c r="I119" s="10" t="n">
        <f aca="false">H119-G119</f>
        <v>-1751.2</v>
      </c>
      <c r="J119" s="9" t="n">
        <f aca="false">IF(AND(G119=0,H119=0),0,IF(G119=0,"New",(H119-G119)/G119))</f>
        <v>-0.27991432498961</v>
      </c>
    </row>
    <row r="120" customFormat="false" ht="15" hidden="false" customHeight="false" outlineLevel="0" collapsed="false">
      <c r="A120" s="7" t="s">
        <v>152</v>
      </c>
      <c r="B120" s="7" t="str">
        <f aca="false">IFERROR(INDEX('Source 2026'!$C:$C,MATCH($A120,'Source 2026'!$B:$B,0)),IFERROR(INDEX('Source 2025'!$C:$C,MATCH($A120,'Source 2025'!$B:$B,0)),""))</f>
        <v>S  חגורת גב פוג'יאמה</v>
      </c>
      <c r="C120" s="8" t="n">
        <f aca="false">SUMIFS('Source 2025'!$Q:$Q,'Source 2025'!$B:$B,$A120,'Source 2025'!$A:$A,"Quantity (units)")</f>
        <v>28</v>
      </c>
      <c r="D120" s="8" t="n">
        <f aca="false">SUMIFS('Source 2026'!$Q:$Q,'Source 2026'!$B:$B,$A120,'Source 2026'!$A:$A,"Quantity (units)")</f>
        <v>8</v>
      </c>
      <c r="E120" s="8" t="n">
        <f aca="false">D120-C120</f>
        <v>-20</v>
      </c>
      <c r="F120" s="9" t="n">
        <f aca="false">IF(AND(C120=0,D120=0),0,IF(C120=0,"New",(D120-C120)/C120))</f>
        <v>-0.714285714285714</v>
      </c>
      <c r="G120" s="10" t="n">
        <f aca="false">SUMIFS('Source 2025'!$Q:$Q,'Source 2025'!$B:$B,$A120,'Source 2025'!$A:$A,"Amount (NIS)")</f>
        <v>2272.7</v>
      </c>
      <c r="H120" s="10" t="n">
        <f aca="false">SUMIFS('Source 2026'!$Q:$Q,'Source 2026'!$B:$B,$A120,'Source 2026'!$A:$A,"Amount (NIS)")</f>
        <v>647.1</v>
      </c>
      <c r="I120" s="10" t="n">
        <f aca="false">H120-G120</f>
        <v>-1625.6</v>
      </c>
      <c r="J120" s="9" t="n">
        <f aca="false">IF(AND(G120=0,H120=0),0,IF(G120=0,"New",(H120-G120)/G120))</f>
        <v>-0.715272583270999</v>
      </c>
    </row>
    <row r="121" customFormat="false" ht="15" hidden="false" customHeight="false" outlineLevel="0" collapsed="false">
      <c r="A121" s="7" t="s">
        <v>153</v>
      </c>
      <c r="B121" s="7" t="str">
        <f aca="false">IFERROR(INDEX('Source 2026'!$C:$C,MATCH($A121,'Source 2026'!$B:$B,0)),IFERROR(INDEX('Source 2025'!$C:$C,MATCH($A121,'Source 2025'!$B:$B,0)),""))</f>
        <v>S-M סד לאגודל</v>
      </c>
      <c r="C121" s="8" t="n">
        <f aca="false">SUMIFS('Source 2025'!$Q:$Q,'Source 2025'!$B:$B,$A121,'Source 2025'!$A:$A,"Quantity (units)")</f>
        <v>2213</v>
      </c>
      <c r="D121" s="8" t="n">
        <f aca="false">SUMIFS('Source 2026'!$Q:$Q,'Source 2026'!$B:$B,$A121,'Source 2026'!$A:$A,"Quantity (units)")</f>
        <v>2170</v>
      </c>
      <c r="E121" s="8" t="n">
        <f aca="false">D121-C121</f>
        <v>-43</v>
      </c>
      <c r="F121" s="9" t="n">
        <f aca="false">IF(AND(C121=0,D121=0),0,IF(C121=0,"New",(D121-C121)/C121))</f>
        <v>-0.0194306371441482</v>
      </c>
      <c r="G121" s="10" t="n">
        <f aca="false">SUMIFS('Source 2025'!$Q:$Q,'Source 2025'!$B:$B,$A121,'Source 2025'!$A:$A,"Amount (NIS)")</f>
        <v>129432.9</v>
      </c>
      <c r="H121" s="10" t="n">
        <f aca="false">SUMIFS('Source 2026'!$Q:$Q,'Source 2026'!$B:$B,$A121,'Source 2026'!$A:$A,"Amount (NIS)")</f>
        <v>127810.9</v>
      </c>
      <c r="I121" s="10" t="n">
        <f aca="false">H121-G121</f>
        <v>-1622</v>
      </c>
      <c r="J121" s="9" t="n">
        <f aca="false">IF(AND(G121=0,H121=0),0,IF(G121=0,"New",(H121-G121)/G121))</f>
        <v>-0.0125315897271868</v>
      </c>
    </row>
    <row r="122" customFormat="false" ht="15" hidden="false" customHeight="false" outlineLevel="0" collapsed="false">
      <c r="A122" s="7" t="s">
        <v>154</v>
      </c>
      <c r="B122" s="7" t="str">
        <f aca="false">IFERROR(INDEX('Source 2026'!$C:$C,MATCH($A122,'Source 2026'!$B:$B,0)),IFERROR(INDEX('Source 2025'!$C:$C,MATCH($A122,'Source 2025'!$B:$B,0)),""))</f>
        <v>כפפות אגודל לחץ</v>
      </c>
      <c r="C122" s="8" t="n">
        <f aca="false">SUMIFS('Source 2025'!$Q:$Q,'Source 2025'!$B:$B,$A122,'Source 2025'!$A:$A,"Quantity (units)")</f>
        <v>244</v>
      </c>
      <c r="D122" s="8" t="n">
        <f aca="false">SUMIFS('Source 2026'!$Q:$Q,'Source 2026'!$B:$B,$A122,'Source 2026'!$A:$A,"Quantity (units)")</f>
        <v>183</v>
      </c>
      <c r="E122" s="8" t="n">
        <f aca="false">D122-C122</f>
        <v>-61</v>
      </c>
      <c r="F122" s="9" t="n">
        <f aca="false">IF(AND(C122=0,D122=0),0,IF(C122=0,"New",(D122-C122)/C122))</f>
        <v>-0.25</v>
      </c>
      <c r="G122" s="10" t="n">
        <f aca="false">SUMIFS('Source 2025'!$Q:$Q,'Source 2025'!$B:$B,$A122,'Source 2025'!$A:$A,"Amount (NIS)")</f>
        <v>6942.4</v>
      </c>
      <c r="H122" s="10" t="n">
        <f aca="false">SUMIFS('Source 2026'!$Q:$Q,'Source 2026'!$B:$B,$A122,'Source 2026'!$A:$A,"Amount (NIS)")</f>
        <v>5400.6</v>
      </c>
      <c r="I122" s="10" t="n">
        <f aca="false">H122-G122</f>
        <v>-1541.8</v>
      </c>
      <c r="J122" s="9" t="n">
        <f aca="false">IF(AND(G122=0,H122=0),0,IF(G122=0,"New",(H122-G122)/G122))</f>
        <v>-0.222084581700853</v>
      </c>
    </row>
    <row r="123" customFormat="false" ht="15" hidden="false" customHeight="false" outlineLevel="0" collapsed="false">
      <c r="A123" s="7" t="s">
        <v>155</v>
      </c>
      <c r="B123" s="7" t="str">
        <f aca="false">IFERROR(INDEX('Source 2026'!$C:$C,MATCH($A123,'Source 2026'!$B:$B,0)),IFERROR(INDEX('Source 2025'!$C:$C,MATCH($A123,'Source 2025'!$B:$B,0)),""))</f>
        <v>0 חגורה למנותחי בית חזה</v>
      </c>
      <c r="C123" s="8" t="n">
        <f aca="false">SUMIFS('Source 2025'!$Q:$Q,'Source 2025'!$B:$B,$A123,'Source 2025'!$A:$A,"Quantity (units)")</f>
        <v>2</v>
      </c>
      <c r="D123" s="8" t="n">
        <f aca="false">SUMIFS('Source 2026'!$Q:$Q,'Source 2026'!$B:$B,$A123,'Source 2026'!$A:$A,"Quantity (units)")</f>
        <v>11</v>
      </c>
      <c r="E123" s="8" t="n">
        <f aca="false">D123-C123</f>
        <v>9</v>
      </c>
      <c r="F123" s="9" t="n">
        <f aca="false">IF(AND(C123=0,D123=0),0,IF(C123=0,"New",(D123-C123)/C123))</f>
        <v>4.5</v>
      </c>
      <c r="G123" s="10" t="n">
        <f aca="false">SUMIFS('Source 2025'!$Q:$Q,'Source 2025'!$B:$B,$A123,'Source 2025'!$A:$A,"Amount (NIS)")</f>
        <v>442.1</v>
      </c>
      <c r="H123" s="10" t="n">
        <f aca="false">SUMIFS('Source 2026'!$Q:$Q,'Source 2026'!$B:$B,$A123,'Source 2026'!$A:$A,"Amount (NIS)")</f>
        <v>1896.4</v>
      </c>
      <c r="I123" s="10" t="n">
        <f aca="false">H123-G123</f>
        <v>1454.3</v>
      </c>
      <c r="J123" s="9" t="n">
        <f aca="false">IF(AND(G123=0,H123=0),0,IF(G123=0,"New",(H123-G123)/G123))</f>
        <v>3.28952725627686</v>
      </c>
    </row>
    <row r="124" customFormat="false" ht="15" hidden="false" customHeight="false" outlineLevel="0" collapsed="false">
      <c r="A124" s="7" t="s">
        <v>156</v>
      </c>
      <c r="B124" s="7" t="str">
        <f aca="false">IFERROR(INDEX('Source 2026'!$C:$C,MATCH($A124,'Source 2026'!$B:$B,0)),IFERROR(INDEX('Source 2025'!$C:$C,MATCH($A124,'Source 2025'!$B:$B,0)),""))</f>
        <v>כרית ליישור אצבע פטיש</v>
      </c>
      <c r="C124" s="8" t="n">
        <f aca="false">SUMIFS('Source 2025'!$Q:$Q,'Source 2025'!$B:$B,$A124,'Source 2025'!$A:$A,"Quantity (units)")</f>
        <v>235</v>
      </c>
      <c r="D124" s="8" t="n">
        <f aca="false">SUMIFS('Source 2026'!$Q:$Q,'Source 2026'!$B:$B,$A124,'Source 2026'!$A:$A,"Quantity (units)")</f>
        <v>177</v>
      </c>
      <c r="E124" s="8" t="n">
        <f aca="false">D124-C124</f>
        <v>-58</v>
      </c>
      <c r="F124" s="9" t="n">
        <f aca="false">IF(AND(C124=0,D124=0),0,IF(C124=0,"New",(D124-C124)/C124))</f>
        <v>-0.246808510638298</v>
      </c>
      <c r="G124" s="10" t="n">
        <f aca="false">SUMIFS('Source 2025'!$Q:$Q,'Source 2025'!$B:$B,$A124,'Source 2025'!$A:$A,"Amount (NIS)")</f>
        <v>5701.6</v>
      </c>
      <c r="H124" s="10" t="n">
        <f aca="false">SUMIFS('Source 2026'!$Q:$Q,'Source 2026'!$B:$B,$A124,'Source 2026'!$A:$A,"Amount (NIS)")</f>
        <v>4296.7</v>
      </c>
      <c r="I124" s="10" t="n">
        <f aca="false">H124-G124</f>
        <v>-1404.9</v>
      </c>
      <c r="J124" s="9" t="n">
        <f aca="false">IF(AND(G124=0,H124=0),0,IF(G124=0,"New",(H124-G124)/G124))</f>
        <v>-0.246404518030027</v>
      </c>
    </row>
    <row r="125" customFormat="false" ht="15" hidden="false" customHeight="false" outlineLevel="0" collapsed="false">
      <c r="A125" s="7" t="s">
        <v>157</v>
      </c>
      <c r="B125" s="7" t="str">
        <f aca="false">IFERROR(INDEX('Source 2026'!$C:$C,MATCH($A125,'Source 2026'!$B:$B,0)),IFERROR(INDEX('Source 2025'!$C:$C,MATCH($A125,'Source 2025'!$B:$B,0)),""))</f>
        <v>גרבי ג'ל לריכוך עור העקב</v>
      </c>
      <c r="C125" s="8" t="n">
        <f aca="false">SUMIFS('Source 2025'!$Q:$Q,'Source 2025'!$B:$B,$A125,'Source 2025'!$A:$A,"Quantity (units)")</f>
        <v>111</v>
      </c>
      <c r="D125" s="8" t="n">
        <f aca="false">SUMIFS('Source 2026'!$Q:$Q,'Source 2026'!$B:$B,$A125,'Source 2026'!$A:$A,"Quantity (units)")</f>
        <v>62</v>
      </c>
      <c r="E125" s="8" t="n">
        <f aca="false">D125-C125</f>
        <v>-49</v>
      </c>
      <c r="F125" s="9" t="n">
        <f aca="false">IF(AND(C125=0,D125=0),0,IF(C125=0,"New",(D125-C125)/C125))</f>
        <v>-0.441441441441441</v>
      </c>
      <c r="G125" s="10" t="n">
        <f aca="false">SUMIFS('Source 2025'!$Q:$Q,'Source 2025'!$B:$B,$A125,'Source 2025'!$A:$A,"Amount (NIS)")</f>
        <v>3384.7</v>
      </c>
      <c r="H125" s="10" t="n">
        <f aca="false">SUMIFS('Source 2026'!$Q:$Q,'Source 2026'!$B:$B,$A125,'Source 2026'!$A:$A,"Amount (NIS)")</f>
        <v>1987</v>
      </c>
      <c r="I125" s="10" t="n">
        <f aca="false">H125-G125</f>
        <v>-1397.7</v>
      </c>
      <c r="J125" s="9" t="n">
        <f aca="false">IF(AND(G125=0,H125=0),0,IF(G125=0,"New",(H125-G125)/G125))</f>
        <v>-0.412946494519455</v>
      </c>
    </row>
    <row r="126" customFormat="false" ht="15" hidden="false" customHeight="false" outlineLevel="0" collapsed="false">
      <c r="A126" s="7" t="s">
        <v>158</v>
      </c>
      <c r="B126" s="7" t="str">
        <f aca="false">IFERROR(INDEX('Source 2026'!$C:$C,MATCH($A126,'Source 2026'!$B:$B,0)),IFERROR(INDEX('Source 2025'!$C:$C,MATCH($A126,'Source 2025'!$B:$B,0)),""))</f>
        <v>קיבוע לאצבע הדק</v>
      </c>
      <c r="C126" s="8" t="n">
        <f aca="false">SUMIFS('Source 2025'!$Q:$Q,'Source 2025'!$B:$B,$A126,'Source 2025'!$A:$A,"Quantity (units)")</f>
        <v>217</v>
      </c>
      <c r="D126" s="8" t="n">
        <f aca="false">SUMIFS('Source 2026'!$Q:$Q,'Source 2026'!$B:$B,$A126,'Source 2026'!$A:$A,"Quantity (units)")</f>
        <v>158</v>
      </c>
      <c r="E126" s="8" t="n">
        <f aca="false">D126-C126</f>
        <v>-59</v>
      </c>
      <c r="F126" s="9" t="n">
        <f aca="false">IF(AND(C126=0,D126=0),0,IF(C126=0,"New",(D126-C126)/C126))</f>
        <v>-0.271889400921659</v>
      </c>
      <c r="G126" s="10" t="n">
        <f aca="false">SUMIFS('Source 2025'!$Q:$Q,'Source 2025'!$B:$B,$A126,'Source 2025'!$A:$A,"Amount (NIS)")</f>
        <v>5300.6</v>
      </c>
      <c r="H126" s="10" t="n">
        <f aca="false">SUMIFS('Source 2026'!$Q:$Q,'Source 2026'!$B:$B,$A126,'Source 2026'!$A:$A,"Amount (NIS)")</f>
        <v>3912.8</v>
      </c>
      <c r="I126" s="10" t="n">
        <f aca="false">H126-G126</f>
        <v>-1387.8</v>
      </c>
      <c r="J126" s="9" t="n">
        <f aca="false">IF(AND(G126=0,H126=0),0,IF(G126=0,"New",(H126-G126)/G126))</f>
        <v>-0.261819416669811</v>
      </c>
    </row>
    <row r="127" customFormat="false" ht="15" hidden="false" customHeight="false" outlineLevel="0" collapsed="false">
      <c r="A127" s="7" t="s">
        <v>159</v>
      </c>
      <c r="B127" s="7" t="str">
        <f aca="false">IFERROR(INDEX('Source 2026'!$C:$C,MATCH($A127,'Source 2026'!$B:$B,0)),IFERROR(INDEX('Source 2025'!$C:$C,MATCH($A127,'Source 2025'!$B:$B,0)),""))</f>
        <v>S מגן שוק</v>
      </c>
      <c r="C127" s="8" t="n">
        <f aca="false">SUMIFS('Source 2025'!$Q:$Q,'Source 2025'!$B:$B,$A127,'Source 2025'!$A:$A,"Quantity (units)")</f>
        <v>16</v>
      </c>
      <c r="D127" s="8" t="n">
        <f aca="false">SUMIFS('Source 2026'!$Q:$Q,'Source 2026'!$B:$B,$A127,'Source 2026'!$A:$A,"Quantity (units)")</f>
        <v>26</v>
      </c>
      <c r="E127" s="8" t="n">
        <f aca="false">D127-C127</f>
        <v>10</v>
      </c>
      <c r="F127" s="9" t="n">
        <f aca="false">IF(AND(C127=0,D127=0),0,IF(C127=0,"New",(D127-C127)/C127))</f>
        <v>0.625</v>
      </c>
      <c r="G127" s="10" t="n">
        <f aca="false">SUMIFS('Source 2025'!$Q:$Q,'Source 2025'!$B:$B,$A127,'Source 2025'!$A:$A,"Amount (NIS)")</f>
        <v>2172.2</v>
      </c>
      <c r="H127" s="10" t="n">
        <f aca="false">SUMIFS('Source 2026'!$Q:$Q,'Source 2026'!$B:$B,$A127,'Source 2026'!$A:$A,"Amount (NIS)")</f>
        <v>3489.8</v>
      </c>
      <c r="I127" s="10" t="n">
        <f aca="false">H127-G127</f>
        <v>1317.6</v>
      </c>
      <c r="J127" s="9" t="n">
        <f aca="false">IF(AND(G127=0,H127=0),0,IF(G127=0,"New",(H127-G127)/G127))</f>
        <v>0.606573980296474</v>
      </c>
    </row>
    <row r="128" customFormat="false" ht="15" hidden="false" customHeight="false" outlineLevel="0" collapsed="false">
      <c r="A128" s="7" t="s">
        <v>160</v>
      </c>
      <c r="B128" s="7" t="str">
        <f aca="false">IFERROR(INDEX('Source 2026'!$C:$C,MATCH($A128,'Source 2026'!$B:$B,0)),IFERROR(INDEX('Source 2025'!$C:$C,MATCH($A128,'Source 2025'!$B:$B,0)),""))</f>
        <v>סד ליישור אצבע</v>
      </c>
      <c r="C128" s="8" t="n">
        <f aca="false">SUMIFS('Source 2025'!$Q:$Q,'Source 2025'!$B:$B,$A128,'Source 2025'!$A:$A,"Quantity (units)")</f>
        <v>2021</v>
      </c>
      <c r="D128" s="8" t="n">
        <f aca="false">SUMIFS('Source 2026'!$Q:$Q,'Source 2026'!$B:$B,$A128,'Source 2026'!$A:$A,"Quantity (units)")</f>
        <v>1845</v>
      </c>
      <c r="E128" s="8" t="n">
        <f aca="false">D128-C128</f>
        <v>-176</v>
      </c>
      <c r="F128" s="9" t="n">
        <f aca="false">IF(AND(C128=0,D128=0),0,IF(C128=0,"New",(D128-C128)/C128))</f>
        <v>-0.0870856011875309</v>
      </c>
      <c r="G128" s="10" t="n">
        <f aca="false">SUMIFS('Source 2025'!$Q:$Q,'Source 2025'!$B:$B,$A128,'Source 2025'!$A:$A,"Amount (NIS)")</f>
        <v>28832.9</v>
      </c>
      <c r="H128" s="10" t="n">
        <f aca="false">SUMIFS('Source 2026'!$Q:$Q,'Source 2026'!$B:$B,$A128,'Source 2026'!$A:$A,"Amount (NIS)")</f>
        <v>27547.4</v>
      </c>
      <c r="I128" s="10" t="n">
        <f aca="false">H128-G128</f>
        <v>-1285.5</v>
      </c>
      <c r="J128" s="9" t="n">
        <f aca="false">IF(AND(G128=0,H128=0),0,IF(G128=0,"New",(H128-G128)/G128))</f>
        <v>-0.0445844850847469</v>
      </c>
    </row>
    <row r="129" customFormat="false" ht="15" hidden="false" customHeight="false" outlineLevel="0" collapsed="false">
      <c r="A129" s="7" t="s">
        <v>161</v>
      </c>
      <c r="B129" s="7" t="str">
        <f aca="false">IFERROR(INDEX('Source 2026'!$C:$C,MATCH($A129,'Source 2026'!$B:$B,0)),IFERROR(INDEX('Source 2025'!$C:$C,MATCH($A129,'Source 2025'!$B:$B,0)),""))</f>
        <v>11 אפורUGחגורת בטן</v>
      </c>
      <c r="C129" s="8" t="n">
        <f aca="false">SUMIFS('Source 2025'!$Q:$Q,'Source 2025'!$B:$B,$A129,'Source 2025'!$A:$A,"Quantity (units)")</f>
        <v>15</v>
      </c>
      <c r="D129" s="8" t="n">
        <f aca="false">SUMIFS('Source 2026'!$Q:$Q,'Source 2026'!$B:$B,$A129,'Source 2026'!$A:$A,"Quantity (units)")</f>
        <v>0</v>
      </c>
      <c r="E129" s="8" t="n">
        <f aca="false">D129-C129</f>
        <v>-15</v>
      </c>
      <c r="F129" s="9" t="n">
        <f aca="false">IF(AND(C129=0,D129=0),0,IF(C129=0,"New",(D129-C129)/C129))</f>
        <v>-1</v>
      </c>
      <c r="G129" s="10" t="n">
        <f aca="false">SUMIFS('Source 2025'!$Q:$Q,'Source 2025'!$B:$B,$A129,'Source 2025'!$A:$A,"Amount (NIS)")</f>
        <v>1210.5</v>
      </c>
      <c r="H129" s="10" t="n">
        <f aca="false">SUMIFS('Source 2026'!$Q:$Q,'Source 2026'!$B:$B,$A129,'Source 2026'!$A:$A,"Amount (NIS)")</f>
        <v>25.9</v>
      </c>
      <c r="I129" s="10" t="n">
        <f aca="false">H129-G129</f>
        <v>-1184.6</v>
      </c>
      <c r="J129" s="9" t="n">
        <f aca="false">IF(AND(G129=0,H129=0),0,IF(G129=0,"New",(H129-G129)/G129))</f>
        <v>-0.978603882693102</v>
      </c>
    </row>
    <row r="130" customFormat="false" ht="15" hidden="false" customHeight="false" outlineLevel="0" collapsed="false">
      <c r="A130" s="7" t="s">
        <v>162</v>
      </c>
      <c r="B130" s="7" t="str">
        <f aca="false">IFERROR(INDEX('Source 2026'!$C:$C,MATCH($A130,'Source 2026'!$B:$B,0)),IFERROR(INDEX('Source 2025'!$C:$C,MATCH($A130,'Source 2025'!$B:$B,0)),""))</f>
        <v>מגן קרסול עקב סגור+רצוע</v>
      </c>
      <c r="C130" s="8" t="n">
        <f aca="false">SUMIFS('Source 2025'!$Q:$Q,'Source 2025'!$B:$B,$A130,'Source 2025'!$A:$A,"Quantity (units)")</f>
        <v>83</v>
      </c>
      <c r="D130" s="8" t="n">
        <f aca="false">SUMIFS('Source 2026'!$Q:$Q,'Source 2026'!$B:$B,$A130,'Source 2026'!$A:$A,"Quantity (units)")</f>
        <v>59</v>
      </c>
      <c r="E130" s="8" t="n">
        <f aca="false">D130-C130</f>
        <v>-24</v>
      </c>
      <c r="F130" s="9" t="n">
        <f aca="false">IF(AND(C130=0,D130=0),0,IF(C130=0,"New",(D130-C130)/C130))</f>
        <v>-0.289156626506024</v>
      </c>
      <c r="G130" s="10" t="n">
        <f aca="false">SUMIFS('Source 2025'!$Q:$Q,'Source 2025'!$B:$B,$A130,'Source 2025'!$A:$A,"Amount (NIS)")</f>
        <v>4401.3</v>
      </c>
      <c r="H130" s="10" t="n">
        <f aca="false">SUMIFS('Source 2026'!$Q:$Q,'Source 2026'!$B:$B,$A130,'Source 2026'!$A:$A,"Amount (NIS)")</f>
        <v>3227.7</v>
      </c>
      <c r="I130" s="10" t="n">
        <f aca="false">H130-G130</f>
        <v>-1173.6</v>
      </c>
      <c r="J130" s="9" t="n">
        <f aca="false">IF(AND(G130=0,H130=0),0,IF(G130=0,"New",(H130-G130)/G130))</f>
        <v>-0.266648490218799</v>
      </c>
    </row>
    <row r="131" customFormat="false" ht="15" hidden="false" customHeight="false" outlineLevel="0" collapsed="false">
      <c r="A131" s="7" t="s">
        <v>163</v>
      </c>
      <c r="B131" s="7" t="str">
        <f aca="false">IFERROR(INDEX('Source 2026'!$C:$C,MATCH($A131,'Source 2026'!$B:$B,0)),IFERROR(INDEX('Source 2025'!$C:$C,MATCH($A131,'Source 2025'!$B:$B,0)),""))</f>
        <v>כפפות לחץ</v>
      </c>
      <c r="C131" s="8" t="n">
        <f aca="false">SUMIFS('Source 2025'!$Q:$Q,'Source 2025'!$B:$B,$A131,'Source 2025'!$A:$A,"Quantity (units)")</f>
        <v>76</v>
      </c>
      <c r="D131" s="8" t="n">
        <f aca="false">SUMIFS('Source 2026'!$Q:$Q,'Source 2026'!$B:$B,$A131,'Source 2026'!$A:$A,"Quantity (units)")</f>
        <v>34</v>
      </c>
      <c r="E131" s="8" t="n">
        <f aca="false">D131-C131</f>
        <v>-42</v>
      </c>
      <c r="F131" s="9" t="n">
        <f aca="false">IF(AND(C131=0,D131=0),0,IF(C131=0,"New",(D131-C131)/C131))</f>
        <v>-0.552631578947369</v>
      </c>
      <c r="G131" s="10" t="n">
        <f aca="false">SUMIFS('Source 2025'!$Q:$Q,'Source 2025'!$B:$B,$A131,'Source 2025'!$A:$A,"Amount (NIS)")</f>
        <v>2156.6</v>
      </c>
      <c r="H131" s="10" t="n">
        <f aca="false">SUMIFS('Source 2026'!$Q:$Q,'Source 2026'!$B:$B,$A131,'Source 2026'!$A:$A,"Amount (NIS)")</f>
        <v>993.8</v>
      </c>
      <c r="I131" s="10" t="n">
        <f aca="false">H131-G131</f>
        <v>-1162.8</v>
      </c>
      <c r="J131" s="9" t="n">
        <f aca="false">IF(AND(G131=0,H131=0),0,IF(G131=0,"New",(H131-G131)/G131))</f>
        <v>-0.539182045812854</v>
      </c>
    </row>
    <row r="132" customFormat="false" ht="15" hidden="false" customHeight="false" outlineLevel="0" collapsed="false">
      <c r="A132" s="7" t="s">
        <v>164</v>
      </c>
      <c r="B132" s="7" t="str">
        <f aca="false">IFERROR(INDEX('Source 2026'!$C:$C,MATCH($A132,'Source 2026'!$B:$B,0)),IFERROR(INDEX('Source 2025'!$C:$C,MATCH($A132,'Source 2025'!$B:$B,0)),""))</f>
        <v>Sמיישר כתף יציב יישור ג.רחב</v>
      </c>
      <c r="C132" s="8" t="n">
        <f aca="false">SUMIFS('Source 2025'!$Q:$Q,'Source 2025'!$B:$B,$A132,'Source 2025'!$A:$A,"Quantity (units)")</f>
        <v>22</v>
      </c>
      <c r="D132" s="8" t="n">
        <f aca="false">SUMIFS('Source 2026'!$Q:$Q,'Source 2026'!$B:$B,$A132,'Source 2026'!$A:$A,"Quantity (units)")</f>
        <v>27</v>
      </c>
      <c r="E132" s="8" t="n">
        <f aca="false">D132-C132</f>
        <v>5</v>
      </c>
      <c r="F132" s="9" t="n">
        <f aca="false">IF(AND(C132=0,D132=0),0,IF(C132=0,"New",(D132-C132)/C132))</f>
        <v>0.227272727272727</v>
      </c>
      <c r="G132" s="10" t="n">
        <f aca="false">SUMIFS('Source 2025'!$Q:$Q,'Source 2025'!$B:$B,$A132,'Source 2025'!$A:$A,"Amount (NIS)")</f>
        <v>3604.4</v>
      </c>
      <c r="H132" s="10" t="n">
        <f aca="false">SUMIFS('Source 2026'!$Q:$Q,'Source 2026'!$B:$B,$A132,'Source 2026'!$A:$A,"Amount (NIS)")</f>
        <v>4676.4</v>
      </c>
      <c r="I132" s="10" t="n">
        <f aca="false">H132-G132</f>
        <v>1072</v>
      </c>
      <c r="J132" s="9" t="n">
        <f aca="false">IF(AND(G132=0,H132=0),0,IF(G132=0,"New",(H132-G132)/G132))</f>
        <v>0.29741427144601</v>
      </c>
    </row>
    <row r="133" customFormat="false" ht="15" hidden="false" customHeight="false" outlineLevel="0" collapsed="false">
      <c r="A133" s="7" t="s">
        <v>165</v>
      </c>
      <c r="B133" s="7" t="str">
        <f aca="false">IFERROR(INDEX('Source 2026'!$C:$C,MATCH($A133,'Source 2026'!$B:$B,0)),IFERROR(INDEX('Source 2025'!$C:$C,MATCH($A133,'Source 2025'!$B:$B,0)),""))</f>
        <v>S מגן קרסול ימין</v>
      </c>
      <c r="C133" s="8" t="n">
        <f aca="false">SUMIFS('Source 2025'!$Q:$Q,'Source 2025'!$B:$B,$A133,'Source 2025'!$A:$A,"Quantity (units)")</f>
        <v>56</v>
      </c>
      <c r="D133" s="8" t="n">
        <f aca="false">SUMIFS('Source 2026'!$Q:$Q,'Source 2026'!$B:$B,$A133,'Source 2026'!$A:$A,"Quantity (units)")</f>
        <v>41</v>
      </c>
      <c r="E133" s="8" t="n">
        <f aca="false">D133-C133</f>
        <v>-15</v>
      </c>
      <c r="F133" s="9" t="n">
        <f aca="false">IF(AND(C133=0,D133=0),0,IF(C133=0,"New",(D133-C133)/C133))</f>
        <v>-0.267857142857143</v>
      </c>
      <c r="G133" s="10" t="n">
        <f aca="false">SUMIFS('Source 2025'!$Q:$Q,'Source 2025'!$B:$B,$A133,'Source 2025'!$A:$A,"Amount (NIS)")</f>
        <v>4138</v>
      </c>
      <c r="H133" s="10" t="n">
        <f aca="false">SUMIFS('Source 2026'!$Q:$Q,'Source 2026'!$B:$B,$A133,'Source 2026'!$A:$A,"Amount (NIS)")</f>
        <v>3071.2</v>
      </c>
      <c r="I133" s="10" t="n">
        <f aca="false">H133-G133</f>
        <v>-1066.8</v>
      </c>
      <c r="J133" s="9" t="n">
        <f aca="false">IF(AND(G133=0,H133=0),0,IF(G133=0,"New",(H133-G133)/G133))</f>
        <v>-0.257805703238279</v>
      </c>
    </row>
    <row r="134" customFormat="false" ht="15" hidden="false" customHeight="false" outlineLevel="0" collapsed="false">
      <c r="A134" s="7" t="s">
        <v>166</v>
      </c>
      <c r="B134" s="7" t="str">
        <f aca="false">IFERROR(INDEX('Source 2026'!$C:$C,MATCH($A134,'Source 2026'!$B:$B,0)),IFERROR(INDEX('Source 2025'!$C:$C,MATCH($A134,'Source 2025'!$B:$B,0)),""))</f>
        <v>S מגן מרפק</v>
      </c>
      <c r="C134" s="8" t="n">
        <f aca="false">SUMIFS('Source 2025'!$Q:$Q,'Source 2025'!$B:$B,$A134,'Source 2025'!$A:$A,"Quantity (units)")</f>
        <v>54</v>
      </c>
      <c r="D134" s="8" t="n">
        <f aca="false">SUMIFS('Source 2026'!$Q:$Q,'Source 2026'!$B:$B,$A134,'Source 2026'!$A:$A,"Quantity (units)")</f>
        <v>39</v>
      </c>
      <c r="E134" s="8" t="n">
        <f aca="false">D134-C134</f>
        <v>-15</v>
      </c>
      <c r="F134" s="9" t="n">
        <f aca="false">IF(AND(C134=0,D134=0),0,IF(C134=0,"New",(D134-C134)/C134))</f>
        <v>-0.277777777777778</v>
      </c>
      <c r="G134" s="10" t="n">
        <f aca="false">SUMIFS('Source 2025'!$Q:$Q,'Source 2025'!$B:$B,$A134,'Source 2025'!$A:$A,"Amount (NIS)")</f>
        <v>4015.1</v>
      </c>
      <c r="H134" s="10" t="n">
        <f aca="false">SUMIFS('Source 2026'!$Q:$Q,'Source 2026'!$B:$B,$A134,'Source 2026'!$A:$A,"Amount (NIS)")</f>
        <v>2951.2</v>
      </c>
      <c r="I134" s="10" t="n">
        <f aca="false">H134-G134</f>
        <v>-1063.9</v>
      </c>
      <c r="J134" s="9" t="n">
        <f aca="false">IF(AND(G134=0,H134=0),0,IF(G134=0,"New",(H134-G134)/G134))</f>
        <v>-0.264974720430375</v>
      </c>
    </row>
    <row r="135" customFormat="false" ht="15" hidden="false" customHeight="false" outlineLevel="0" collapsed="false">
      <c r="A135" s="7" t="s">
        <v>167</v>
      </c>
      <c r="B135" s="7" t="str">
        <f aca="false">IFERROR(INDEX('Source 2026'!$C:$C,MATCH($A135,'Source 2026'!$B:$B,0)),IFERROR(INDEX('Source 2025'!$C:$C,MATCH($A135,'Source 2025'!$B:$B,0)),""))</f>
        <v>S מגן ברך מחמם</v>
      </c>
      <c r="C135" s="8" t="n">
        <f aca="false">SUMIFS('Source 2025'!$Q:$Q,'Source 2025'!$B:$B,$A135,'Source 2025'!$A:$A,"Quantity (units)")</f>
        <v>30</v>
      </c>
      <c r="D135" s="8" t="n">
        <f aca="false">SUMIFS('Source 2026'!$Q:$Q,'Source 2026'!$B:$B,$A135,'Source 2026'!$A:$A,"Quantity (units)")</f>
        <v>8</v>
      </c>
      <c r="E135" s="8" t="n">
        <f aca="false">D135-C135</f>
        <v>-22</v>
      </c>
      <c r="F135" s="9" t="n">
        <f aca="false">IF(AND(C135=0,D135=0),0,IF(C135=0,"New",(D135-C135)/C135))</f>
        <v>-0.733333333333333</v>
      </c>
      <c r="G135" s="10" t="n">
        <f aca="false">SUMIFS('Source 2025'!$Q:$Q,'Source 2025'!$B:$B,$A135,'Source 2025'!$A:$A,"Amount (NIS)")</f>
        <v>1458.6</v>
      </c>
      <c r="H135" s="10" t="n">
        <f aca="false">SUMIFS('Source 2026'!$Q:$Q,'Source 2026'!$B:$B,$A135,'Source 2026'!$A:$A,"Amount (NIS)")</f>
        <v>395.8</v>
      </c>
      <c r="I135" s="10" t="n">
        <f aca="false">H135-G135</f>
        <v>-1062.8</v>
      </c>
      <c r="J135" s="9" t="n">
        <f aca="false">IF(AND(G135=0,H135=0),0,IF(G135=0,"New",(H135-G135)/G135))</f>
        <v>-0.728643905114493</v>
      </c>
    </row>
    <row r="136" customFormat="false" ht="15" hidden="false" customHeight="false" outlineLevel="0" collapsed="false">
      <c r="A136" s="7" t="s">
        <v>168</v>
      </c>
      <c r="B136" s="7" t="str">
        <f aca="false">IFERROR(INDEX('Source 2026'!$C:$C,MATCH($A136,'Source 2026'!$B:$B,0)),IFERROR(INDEX('Source 2025'!$C:$C,MATCH($A136,'Source 2025'!$B:$B,0)),""))</f>
        <v>גרב כסף לסכרתיים לבן35-38</v>
      </c>
      <c r="C136" s="8" t="n">
        <f aca="false">SUMIFS('Source 2025'!$Q:$Q,'Source 2025'!$B:$B,$A136,'Source 2025'!$A:$A,"Quantity (units)")</f>
        <v>89</v>
      </c>
      <c r="D136" s="8" t="n">
        <f aca="false">SUMIFS('Source 2026'!$Q:$Q,'Source 2026'!$B:$B,$A136,'Source 2026'!$A:$A,"Quantity (units)")</f>
        <v>54</v>
      </c>
      <c r="E136" s="8" t="n">
        <f aca="false">D136-C136</f>
        <v>-35</v>
      </c>
      <c r="F136" s="9" t="n">
        <f aca="false">IF(AND(C136=0,D136=0),0,IF(C136=0,"New",(D136-C136)/C136))</f>
        <v>-0.393258426966292</v>
      </c>
      <c r="G136" s="10" t="n">
        <f aca="false">SUMIFS('Source 2025'!$Q:$Q,'Source 2025'!$B:$B,$A136,'Source 2025'!$A:$A,"Amount (NIS)")</f>
        <v>2600.4</v>
      </c>
      <c r="H136" s="10" t="n">
        <f aca="false">SUMIFS('Source 2026'!$Q:$Q,'Source 2026'!$B:$B,$A136,'Source 2026'!$A:$A,"Amount (NIS)")</f>
        <v>1575.2</v>
      </c>
      <c r="I136" s="10" t="n">
        <f aca="false">H136-G136</f>
        <v>-1025.2</v>
      </c>
      <c r="J136" s="9" t="n">
        <f aca="false">IF(AND(G136=0,H136=0),0,IF(G136=0,"New",(H136-G136)/G136))</f>
        <v>-0.39424703891709</v>
      </c>
    </row>
    <row r="137" customFormat="false" ht="15" hidden="false" customHeight="false" outlineLevel="0" collapsed="false">
      <c r="A137" s="7" t="s">
        <v>169</v>
      </c>
      <c r="B137" s="7" t="str">
        <f aca="false">IFERROR(INDEX('Source 2026'!$C:$C,MATCH($A137,'Source 2026'!$B:$B,0)),IFERROR(INDEX('Source 2025'!$C:$C,MATCH($A137,'Source 2025'!$B:$B,0)),""))</f>
        <v>S-Lטבעת אלסטית מסיליקון</v>
      </c>
      <c r="C137" s="8" t="n">
        <f aca="false">SUMIFS('Source 2025'!$Q:$Q,'Source 2025'!$B:$B,$A137,'Source 2025'!$A:$A,"Quantity (units)")</f>
        <v>223</v>
      </c>
      <c r="D137" s="8" t="n">
        <f aca="false">SUMIFS('Source 2026'!$Q:$Q,'Source 2026'!$B:$B,$A137,'Source 2026'!$A:$A,"Quantity (units)")</f>
        <v>131</v>
      </c>
      <c r="E137" s="8" t="n">
        <f aca="false">D137-C137</f>
        <v>-92</v>
      </c>
      <c r="F137" s="9" t="n">
        <f aca="false">IF(AND(C137=0,D137=0),0,IF(C137=0,"New",(D137-C137)/C137))</f>
        <v>-0.412556053811659</v>
      </c>
      <c r="G137" s="10" t="n">
        <f aca="false">SUMIFS('Source 2025'!$Q:$Q,'Source 2025'!$B:$B,$A137,'Source 2025'!$A:$A,"Amount (NIS)")</f>
        <v>2310.4</v>
      </c>
      <c r="H137" s="10" t="n">
        <f aca="false">SUMIFS('Source 2026'!$Q:$Q,'Source 2026'!$B:$B,$A137,'Source 2026'!$A:$A,"Amount (NIS)")</f>
        <v>1378</v>
      </c>
      <c r="I137" s="10" t="n">
        <f aca="false">H137-G137</f>
        <v>-932.4</v>
      </c>
      <c r="J137" s="9" t="n">
        <f aca="false">IF(AND(G137=0,H137=0),0,IF(G137=0,"New",(H137-G137)/G137))</f>
        <v>-0.40356648199446</v>
      </c>
    </row>
    <row r="138" customFormat="false" ht="15" hidden="false" customHeight="false" outlineLevel="0" collapsed="false">
      <c r="A138" s="7" t="s">
        <v>170</v>
      </c>
      <c r="B138" s="7" t="str">
        <f aca="false">IFERROR(INDEX('Source 2026'!$C:$C,MATCH($A138,'Source 2026'!$B:$B,0)),IFERROR(INDEX('Source 2025'!$C:$C,MATCH($A138,'Source 2025'!$B:$B,0)),""))</f>
        <v>0 רפידת לילדים אנטי ריח</v>
      </c>
      <c r="C138" s="8" t="n">
        <f aca="false">SUMIFS('Source 2025'!$Q:$Q,'Source 2025'!$B:$B,$A138,'Source 2025'!$A:$A,"Quantity (units)")</f>
        <v>140</v>
      </c>
      <c r="D138" s="8" t="n">
        <f aca="false">SUMIFS('Source 2026'!$Q:$Q,'Source 2026'!$B:$B,$A138,'Source 2026'!$A:$A,"Quantity (units)")</f>
        <v>56</v>
      </c>
      <c r="E138" s="8" t="n">
        <f aca="false">D138-C138</f>
        <v>-84</v>
      </c>
      <c r="F138" s="9" t="n">
        <f aca="false">IF(AND(C138=0,D138=0),0,IF(C138=0,"New",(D138-C138)/C138))</f>
        <v>-0.6</v>
      </c>
      <c r="G138" s="10" t="n">
        <f aca="false">SUMIFS('Source 2025'!$Q:$Q,'Source 2025'!$B:$B,$A138,'Source 2025'!$A:$A,"Amount (NIS)")</f>
        <v>1434.1</v>
      </c>
      <c r="H138" s="10" t="n">
        <f aca="false">SUMIFS('Source 2026'!$Q:$Q,'Source 2026'!$B:$B,$A138,'Source 2026'!$A:$A,"Amount (NIS)")</f>
        <v>574.5</v>
      </c>
      <c r="I138" s="10" t="n">
        <f aca="false">H138-G138</f>
        <v>-859.6</v>
      </c>
      <c r="J138" s="9" t="n">
        <f aca="false">IF(AND(G138=0,H138=0),0,IF(G138=0,"New",(H138-G138)/G138))</f>
        <v>-0.599400320758664</v>
      </c>
    </row>
    <row r="139" customFormat="false" ht="15" hidden="false" customHeight="false" outlineLevel="0" collapsed="false">
      <c r="A139" s="7" t="s">
        <v>171</v>
      </c>
      <c r="B139" s="7" t="str">
        <f aca="false">IFERROR(INDEX('Source 2026'!$C:$C,MATCH($A139,'Source 2026'!$B:$B,0)),IFERROR(INDEX('Source 2025'!$C:$C,MATCH($A139,'Source 2025'!$B:$B,0)),""))</f>
        <v>סד לילה לבוהן</v>
      </c>
      <c r="C139" s="8" t="n">
        <f aca="false">SUMIFS('Source 2025'!$Q:$Q,'Source 2025'!$B:$B,$A139,'Source 2025'!$A:$A,"Quantity (units)")</f>
        <v>-16</v>
      </c>
      <c r="D139" s="8" t="n">
        <f aca="false">SUMIFS('Source 2026'!$Q:$Q,'Source 2026'!$B:$B,$A139,'Source 2026'!$A:$A,"Quantity (units)")</f>
        <v>-3</v>
      </c>
      <c r="E139" s="8" t="n">
        <f aca="false">D139-C139</f>
        <v>13</v>
      </c>
      <c r="F139" s="9" t="n">
        <f aca="false">IF(AND(C139=0,D139=0),0,IF(C139=0,"New",(D139-C139)/C139))</f>
        <v>-0.8125</v>
      </c>
      <c r="G139" s="10" t="n">
        <f aca="false">SUMIFS('Source 2025'!$Q:$Q,'Source 2025'!$B:$B,$A139,'Source 2025'!$A:$A,"Amount (NIS)")</f>
        <v>-1026.6</v>
      </c>
      <c r="H139" s="10" t="n">
        <f aca="false">SUMIFS('Source 2026'!$Q:$Q,'Source 2026'!$B:$B,$A139,'Source 2026'!$A:$A,"Amount (NIS)")</f>
        <v>-192.5</v>
      </c>
      <c r="I139" s="10" t="n">
        <f aca="false">H139-G139</f>
        <v>834.1</v>
      </c>
      <c r="J139" s="9" t="n">
        <f aca="false">IF(AND(G139=0,H139=0),0,IF(G139=0,"New",(H139-G139)/G139))</f>
        <v>-0.812487823884668</v>
      </c>
    </row>
    <row r="140" customFormat="false" ht="15" hidden="false" customHeight="false" outlineLevel="0" collapsed="false">
      <c r="A140" s="7" t="s">
        <v>172</v>
      </c>
      <c r="B140" s="7" t="str">
        <f aca="false">IFERROR(INDEX('Source 2026'!$C:$C,MATCH($A140,'Source 2026'!$B:$B,0)),IFERROR(INDEX('Source 2025'!$C:$C,MATCH($A140,'Source 2025'!$B:$B,0)),""))</f>
        <v>Lמ.ברך+כרית סיל.סביב לפיקה</v>
      </c>
      <c r="C140" s="8" t="n">
        <f aca="false">SUMIFS('Source 2025'!$Q:$Q,'Source 2025'!$B:$B,$A140,'Source 2025'!$A:$A,"Quantity (units)")</f>
        <v>-3</v>
      </c>
      <c r="D140" s="8" t="n">
        <f aca="false">SUMIFS('Source 2026'!$Q:$Q,'Source 2026'!$B:$B,$A140,'Source 2026'!$A:$A,"Quantity (units)")</f>
        <v>-9</v>
      </c>
      <c r="E140" s="8" t="n">
        <f aca="false">D140-C140</f>
        <v>-6</v>
      </c>
      <c r="F140" s="9" t="n">
        <f aca="false">IF(AND(C140=0,D140=0),0,IF(C140=0,"New",(D140-C140)/C140))</f>
        <v>2</v>
      </c>
      <c r="G140" s="10" t="n">
        <f aca="false">SUMIFS('Source 2025'!$Q:$Q,'Source 2025'!$B:$B,$A140,'Source 2025'!$A:$A,"Amount (NIS)")</f>
        <v>-386.4</v>
      </c>
      <c r="H140" s="10" t="n">
        <f aca="false">SUMIFS('Source 2026'!$Q:$Q,'Source 2026'!$B:$B,$A140,'Source 2026'!$A:$A,"Amount (NIS)")</f>
        <v>-1207.9</v>
      </c>
      <c r="I140" s="10" t="n">
        <f aca="false">H140-G140</f>
        <v>-821.5</v>
      </c>
      <c r="J140" s="9" t="n">
        <f aca="false">IF(AND(G140=0,H140=0),0,IF(G140=0,"New",(H140-G140)/G140))</f>
        <v>2.12603519668737</v>
      </c>
    </row>
    <row r="141" customFormat="false" ht="15" hidden="false" customHeight="false" outlineLevel="0" collapsed="false">
      <c r="A141" s="7" t="s">
        <v>173</v>
      </c>
      <c r="B141" s="7" t="str">
        <f aca="false">IFERROR(INDEX('Source 2026'!$C:$C,MATCH($A141,'Source 2026'!$B:$B,0)),IFERROR(INDEX('Source 2025'!$C:$C,MATCH($A141,'Source 2025'!$B:$B,0)),""))</f>
        <v>S ח.גב סג. כפולה שחור+אדום</v>
      </c>
      <c r="C141" s="8" t="n">
        <f aca="false">SUMIFS('Source 2025'!$Q:$Q,'Source 2025'!$B:$B,$A141,'Source 2025'!$A:$A,"Quantity (units)")</f>
        <v>-6</v>
      </c>
      <c r="D141" s="8" t="n">
        <f aca="false">SUMIFS('Source 2026'!$Q:$Q,'Source 2026'!$B:$B,$A141,'Source 2026'!$A:$A,"Quantity (units)")</f>
        <v>-14</v>
      </c>
      <c r="E141" s="8" t="n">
        <f aca="false">D141-C141</f>
        <v>-8</v>
      </c>
      <c r="F141" s="9" t="n">
        <f aca="false">IF(AND(C141=0,D141=0),0,IF(C141=0,"New",(D141-C141)/C141))</f>
        <v>1.33333333333333</v>
      </c>
      <c r="G141" s="10" t="n">
        <f aca="false">SUMIFS('Source 2025'!$Q:$Q,'Source 2025'!$B:$B,$A141,'Source 2025'!$A:$A,"Amount (NIS)")</f>
        <v>-445.1</v>
      </c>
      <c r="H141" s="10" t="n">
        <f aca="false">SUMIFS('Source 2026'!$Q:$Q,'Source 2026'!$B:$B,$A141,'Source 2026'!$A:$A,"Amount (NIS)")</f>
        <v>-1258.6</v>
      </c>
      <c r="I141" s="10" t="n">
        <f aca="false">H141-G141</f>
        <v>-813.5</v>
      </c>
      <c r="J141" s="9" t="n">
        <f aca="false">IF(AND(G141=0,H141=0),0,IF(G141=0,"New",(H141-G141)/G141))</f>
        <v>1.8276791732195</v>
      </c>
    </row>
    <row r="142" customFormat="false" ht="15" hidden="false" customHeight="false" outlineLevel="0" collapsed="false">
      <c r="A142" s="7" t="s">
        <v>174</v>
      </c>
      <c r="B142" s="7" t="str">
        <f aca="false">IFERROR(INDEX('Source 2026'!$C:$C,MATCH($A142,'Source 2026'!$B:$B,0)),IFERROR(INDEX('Source 2025'!$C:$C,MATCH($A142,'Source 2025'!$B:$B,0)),""))</f>
        <v>סד ליישור אצבע</v>
      </c>
      <c r="C142" s="8" t="n">
        <f aca="false">SUMIFS('Source 2025'!$Q:$Q,'Source 2025'!$B:$B,$A142,'Source 2025'!$A:$A,"Quantity (units)")</f>
        <v>1840</v>
      </c>
      <c r="D142" s="8" t="n">
        <f aca="false">SUMIFS('Source 2026'!$Q:$Q,'Source 2026'!$B:$B,$A142,'Source 2026'!$A:$A,"Quantity (units)")</f>
        <v>1704</v>
      </c>
      <c r="E142" s="8" t="n">
        <f aca="false">D142-C142</f>
        <v>-136</v>
      </c>
      <c r="F142" s="9" t="n">
        <f aca="false">IF(AND(C142=0,D142=0),0,IF(C142=0,"New",(D142-C142)/C142))</f>
        <v>-0.0739130434782609</v>
      </c>
      <c r="G142" s="10" t="n">
        <f aca="false">SUMIFS('Source 2025'!$Q:$Q,'Source 2025'!$B:$B,$A142,'Source 2025'!$A:$A,"Amount (NIS)")</f>
        <v>26241.7</v>
      </c>
      <c r="H142" s="10" t="n">
        <f aca="false">SUMIFS('Source 2026'!$Q:$Q,'Source 2026'!$B:$B,$A142,'Source 2026'!$A:$A,"Amount (NIS)")</f>
        <v>25451.8</v>
      </c>
      <c r="I142" s="10" t="n">
        <f aca="false">H142-G142</f>
        <v>-789.900000000002</v>
      </c>
      <c r="J142" s="9" t="n">
        <f aca="false">IF(AND(G142=0,H142=0),0,IF(G142=0,"New",(H142-G142)/G142))</f>
        <v>-0.0301009462039426</v>
      </c>
    </row>
    <row r="143" customFormat="false" ht="15" hidden="false" customHeight="false" outlineLevel="0" collapsed="false">
      <c r="A143" s="7" t="s">
        <v>175</v>
      </c>
      <c r="B143" s="7" t="str">
        <f aca="false">IFERROR(INDEX('Source 2026'!$C:$C,MATCH($A143,'Source 2026'!$B:$B,0)),IFERROR(INDEX('Source 2025'!$C:$C,MATCH($A143,'Source 2025'!$B:$B,0)),""))</f>
        <v>סד ליישור אצבע</v>
      </c>
      <c r="C143" s="8" t="n">
        <f aca="false">SUMIFS('Source 2025'!$Q:$Q,'Source 2025'!$B:$B,$A143,'Source 2025'!$A:$A,"Quantity (units)")</f>
        <v>1128</v>
      </c>
      <c r="D143" s="8" t="n">
        <f aca="false">SUMIFS('Source 2026'!$Q:$Q,'Source 2026'!$B:$B,$A143,'Source 2026'!$A:$A,"Quantity (units)")</f>
        <v>1023</v>
      </c>
      <c r="E143" s="8" t="n">
        <f aca="false">D143-C143</f>
        <v>-105</v>
      </c>
      <c r="F143" s="9" t="n">
        <f aca="false">IF(AND(C143=0,D143=0),0,IF(C143=0,"New",(D143-C143)/C143))</f>
        <v>-0.0930851063829787</v>
      </c>
      <c r="G143" s="10" t="n">
        <f aca="false">SUMIFS('Source 2025'!$Q:$Q,'Source 2025'!$B:$B,$A143,'Source 2025'!$A:$A,"Amount (NIS)")</f>
        <v>16083.8</v>
      </c>
      <c r="H143" s="10" t="n">
        <f aca="false">SUMIFS('Source 2026'!$Q:$Q,'Source 2026'!$B:$B,$A143,'Source 2026'!$A:$A,"Amount (NIS)")</f>
        <v>15302.1</v>
      </c>
      <c r="I143" s="10" t="n">
        <f aca="false">H143-G143</f>
        <v>-781.699999999999</v>
      </c>
      <c r="J143" s="9" t="n">
        <f aca="false">IF(AND(G143=0,H143=0),0,IF(G143=0,"New",(H143-G143)/G143))</f>
        <v>-0.0486016986035638</v>
      </c>
    </row>
    <row r="144" customFormat="false" ht="15" hidden="false" customHeight="false" outlineLevel="0" collapsed="false">
      <c r="A144" s="7" t="s">
        <v>176</v>
      </c>
      <c r="B144" s="7" t="str">
        <f aca="false">IFERROR(INDEX('Source 2026'!$C:$C,MATCH($A144,'Source 2026'!$B:$B,0)),IFERROR(INDEX('Source 2025'!$C:$C,MATCH($A144,'Source 2025'!$B:$B,0)),""))</f>
        <v>סד לאגודל</v>
      </c>
      <c r="C144" s="8" t="n">
        <f aca="false">SUMIFS('Source 2025'!$Q:$Q,'Source 2025'!$B:$B,$A144,'Source 2025'!$A:$A,"Quantity (units)")</f>
        <v>194</v>
      </c>
      <c r="D144" s="8" t="n">
        <f aca="false">SUMIFS('Source 2026'!$Q:$Q,'Source 2026'!$B:$B,$A144,'Source 2026'!$A:$A,"Quantity (units)")</f>
        <v>141</v>
      </c>
      <c r="E144" s="8" t="n">
        <f aca="false">D144-C144</f>
        <v>-53</v>
      </c>
      <c r="F144" s="9" t="n">
        <f aca="false">IF(AND(C144=0,D144=0),0,IF(C144=0,"New",(D144-C144)/C144))</f>
        <v>-0.27319587628866</v>
      </c>
      <c r="G144" s="10" t="n">
        <f aca="false">SUMIFS('Source 2025'!$Q:$Q,'Source 2025'!$B:$B,$A144,'Source 2025'!$A:$A,"Amount (NIS)")</f>
        <v>4329.5</v>
      </c>
      <c r="H144" s="10" t="n">
        <f aca="false">SUMIFS('Source 2026'!$Q:$Q,'Source 2026'!$B:$B,$A144,'Source 2026'!$A:$A,"Amount (NIS)")</f>
        <v>3548.1</v>
      </c>
      <c r="I144" s="10" t="n">
        <f aca="false">H144-G144</f>
        <v>-781.4</v>
      </c>
      <c r="J144" s="9" t="n">
        <f aca="false">IF(AND(G144=0,H144=0),0,IF(G144=0,"New",(H144-G144)/G144))</f>
        <v>-0.180482734726874</v>
      </c>
    </row>
    <row r="145" customFormat="false" ht="15" hidden="false" customHeight="false" outlineLevel="0" collapsed="false">
      <c r="A145" s="7" t="s">
        <v>177</v>
      </c>
      <c r="B145" s="7" t="str">
        <f aca="false">IFERROR(INDEX('Source 2026'!$C:$C,MATCH($A145,'Source 2026'!$B:$B,0)),IFERROR(INDEX('Source 2025'!$C:$C,MATCH($A145,'Source 2025'!$B:$B,0)),""))</f>
        <v>35-38 גרב.כסף לסכרתים לבן</v>
      </c>
      <c r="C145" s="8" t="n">
        <f aca="false">SUMIFS('Source 2025'!$Q:$Q,'Source 2025'!$B:$B,$A145,'Source 2025'!$A:$A,"Quantity (units)")</f>
        <v>188</v>
      </c>
      <c r="D145" s="8" t="n">
        <f aca="false">SUMIFS('Source 2026'!$Q:$Q,'Source 2026'!$B:$B,$A145,'Source 2026'!$A:$A,"Quantity (units)")</f>
        <v>152</v>
      </c>
      <c r="E145" s="8" t="n">
        <f aca="false">D145-C145</f>
        <v>-36</v>
      </c>
      <c r="F145" s="9" t="n">
        <f aca="false">IF(AND(C145=0,D145=0),0,IF(C145=0,"New",(D145-C145)/C145))</f>
        <v>-0.191489361702128</v>
      </c>
      <c r="G145" s="10" t="n">
        <f aca="false">SUMIFS('Source 2025'!$Q:$Q,'Source 2025'!$B:$B,$A145,'Source 2025'!$A:$A,"Amount (NIS)")</f>
        <v>4182</v>
      </c>
      <c r="H145" s="10" t="n">
        <f aca="false">SUMIFS('Source 2026'!$Q:$Q,'Source 2026'!$B:$B,$A145,'Source 2026'!$A:$A,"Amount (NIS)")</f>
        <v>3446.8</v>
      </c>
      <c r="I145" s="10" t="n">
        <f aca="false">H145-G145</f>
        <v>-735.2</v>
      </c>
      <c r="J145" s="9" t="n">
        <f aca="false">IF(AND(G145=0,H145=0),0,IF(G145=0,"New",(H145-G145)/G145))</f>
        <v>-0.175801052128168</v>
      </c>
    </row>
    <row r="146" customFormat="false" ht="15" hidden="false" customHeight="false" outlineLevel="0" collapsed="false">
      <c r="A146" s="7" t="s">
        <v>178</v>
      </c>
      <c r="B146" s="7" t="str">
        <f aca="false">IFERROR(INDEX('Source 2026'!$C:$C,MATCH($A146,'Source 2026'!$B:$B,0)),IFERROR(INDEX('Source 2025'!$C:$C,MATCH($A146,'Source 2025'!$B:$B,0)),""))</f>
        <v>XXL מגן ברך ארוך עם כרית</v>
      </c>
      <c r="C146" s="8" t="n">
        <f aca="false">SUMIFS('Source 2025'!$Q:$Q,'Source 2025'!$B:$B,$A146,'Source 2025'!$A:$A,"Quantity (units)")</f>
        <v>-4</v>
      </c>
      <c r="D146" s="8" t="n">
        <f aca="false">SUMIFS('Source 2026'!$Q:$Q,'Source 2026'!$B:$B,$A146,'Source 2026'!$A:$A,"Quantity (units)")</f>
        <v>0</v>
      </c>
      <c r="E146" s="8" t="n">
        <f aca="false">D146-C146</f>
        <v>4</v>
      </c>
      <c r="F146" s="9" t="n">
        <f aca="false">IF(AND(C146=0,D146=0),0,IF(C146=0,"New",(D146-C146)/C146))</f>
        <v>-1</v>
      </c>
      <c r="G146" s="10" t="n">
        <f aca="false">SUMIFS('Source 2025'!$Q:$Q,'Source 2025'!$B:$B,$A146,'Source 2025'!$A:$A,"Amount (NIS)")</f>
        <v>-730.8</v>
      </c>
      <c r="H146" s="10" t="n">
        <f aca="false">SUMIFS('Source 2026'!$Q:$Q,'Source 2026'!$B:$B,$A146,'Source 2026'!$A:$A,"Amount (NIS)")</f>
        <v>0</v>
      </c>
      <c r="I146" s="10" t="n">
        <f aca="false">H146-G146</f>
        <v>730.8</v>
      </c>
      <c r="J146" s="9" t="n">
        <f aca="false">IF(AND(G146=0,H146=0),0,IF(G146=0,"New",(H146-G146)/G146))</f>
        <v>-1</v>
      </c>
    </row>
    <row r="147" customFormat="false" ht="15" hidden="false" customHeight="false" outlineLevel="0" collapsed="false">
      <c r="A147" s="7" t="s">
        <v>179</v>
      </c>
      <c r="B147" s="7" t="str">
        <f aca="false">IFERROR(INDEX('Source 2026'!$C:$C,MATCH($A147,'Source 2026'!$B:$B,0)),IFERROR(INDEX('Source 2025'!$C:$C,MATCH($A147,'Source 2025'!$B:$B,0)),""))</f>
        <v>חגורת גב +סגירה כפולה</v>
      </c>
      <c r="C147" s="8" t="n">
        <f aca="false">SUMIFS('Source 2025'!$Q:$Q,'Source 2025'!$B:$B,$A147,'Source 2025'!$A:$A,"Quantity (units)")</f>
        <v>11</v>
      </c>
      <c r="D147" s="8" t="n">
        <f aca="false">SUMIFS('Source 2026'!$Q:$Q,'Source 2026'!$B:$B,$A147,'Source 2026'!$A:$A,"Quantity (units)")</f>
        <v>3</v>
      </c>
      <c r="E147" s="8" t="n">
        <f aca="false">D147-C147</f>
        <v>-8</v>
      </c>
      <c r="F147" s="9" t="n">
        <f aca="false">IF(AND(C147=0,D147=0),0,IF(C147=0,"New",(D147-C147)/C147))</f>
        <v>-0.727272727272727</v>
      </c>
      <c r="G147" s="10" t="n">
        <f aca="false">SUMIFS('Source 2025'!$Q:$Q,'Source 2025'!$B:$B,$A147,'Source 2025'!$A:$A,"Amount (NIS)")</f>
        <v>1035.5</v>
      </c>
      <c r="H147" s="10" t="n">
        <f aca="false">SUMIFS('Source 2026'!$Q:$Q,'Source 2026'!$B:$B,$A147,'Source 2026'!$A:$A,"Amount (NIS)")</f>
        <v>314.7</v>
      </c>
      <c r="I147" s="10" t="n">
        <f aca="false">H147-G147</f>
        <v>-720.8</v>
      </c>
      <c r="J147" s="9" t="n">
        <f aca="false">IF(AND(G147=0,H147=0),0,IF(G147=0,"New",(H147-G147)/G147))</f>
        <v>-0.696088845968131</v>
      </c>
    </row>
    <row r="148" customFormat="false" ht="15" hidden="false" customHeight="false" outlineLevel="0" collapsed="false">
      <c r="A148" s="7" t="s">
        <v>180</v>
      </c>
      <c r="B148" s="7" t="str">
        <f aca="false">IFERROR(INDEX('Source 2026'!$C:$C,MATCH($A148,'Source 2026'!$B:$B,0)),IFERROR(INDEX('Source 2025'!$C:$C,MATCH($A148,'Source 2025'!$B:$B,0)),""))</f>
        <v>S מגן ברך</v>
      </c>
      <c r="C148" s="8" t="n">
        <f aca="false">SUMIFS('Source 2025'!$Q:$Q,'Source 2025'!$B:$B,$A148,'Source 2025'!$A:$A,"Quantity (units)")</f>
        <v>82</v>
      </c>
      <c r="D148" s="8" t="n">
        <f aca="false">SUMIFS('Source 2026'!$Q:$Q,'Source 2026'!$B:$B,$A148,'Source 2026'!$A:$A,"Quantity (units)")</f>
        <v>78</v>
      </c>
      <c r="E148" s="8" t="n">
        <f aca="false">D148-C148</f>
        <v>-4</v>
      </c>
      <c r="F148" s="9" t="n">
        <f aca="false">IF(AND(C148=0,D148=0),0,IF(C148=0,"New",(D148-C148)/C148))</f>
        <v>-0.0487804878048781</v>
      </c>
      <c r="G148" s="10" t="n">
        <f aca="false">SUMIFS('Source 2025'!$Q:$Q,'Source 2025'!$B:$B,$A148,'Source 2025'!$A:$A,"Amount (NIS)")</f>
        <v>10943</v>
      </c>
      <c r="H148" s="10" t="n">
        <f aca="false">SUMIFS('Source 2026'!$Q:$Q,'Source 2026'!$B:$B,$A148,'Source 2026'!$A:$A,"Amount (NIS)")</f>
        <v>10297.7</v>
      </c>
      <c r="I148" s="10" t="n">
        <f aca="false">H148-G148</f>
        <v>-645.299999999999</v>
      </c>
      <c r="J148" s="9" t="n">
        <f aca="false">IF(AND(G148=0,H148=0),0,IF(G148=0,"New",(H148-G148)/G148))</f>
        <v>-0.0589692040573882</v>
      </c>
    </row>
    <row r="149" customFormat="false" ht="15" hidden="false" customHeight="false" outlineLevel="0" collapsed="false">
      <c r="A149" s="7" t="s">
        <v>181</v>
      </c>
      <c r="B149" s="7" t="str">
        <f aca="false">IFERROR(INDEX('Source 2026'!$C:$C,MATCH($A149,'Source 2026'!$B:$B,0)),IFERROR(INDEX('Source 2025'!$C:$C,MATCH($A149,'Source 2025'!$B:$B,0)),""))</f>
        <v>מדרס מטטרזלי לנעלי עקב</v>
      </c>
      <c r="C149" s="8" t="n">
        <f aca="false">SUMIFS('Source 2025'!$Q:$Q,'Source 2025'!$B:$B,$A149,'Source 2025'!$A:$A,"Quantity (units)")</f>
        <v>44</v>
      </c>
      <c r="D149" s="8" t="n">
        <f aca="false">SUMIFS('Source 2026'!$Q:$Q,'Source 2026'!$B:$B,$A149,'Source 2026'!$A:$A,"Quantity (units)")</f>
        <v>13</v>
      </c>
      <c r="E149" s="8" t="n">
        <f aca="false">D149-C149</f>
        <v>-31</v>
      </c>
      <c r="F149" s="9" t="n">
        <f aca="false">IF(AND(C149=0,D149=0),0,IF(C149=0,"New",(D149-C149)/C149))</f>
        <v>-0.704545454545455</v>
      </c>
      <c r="G149" s="10" t="n">
        <f aca="false">SUMIFS('Source 2025'!$Q:$Q,'Source 2025'!$B:$B,$A149,'Source 2025'!$A:$A,"Amount (NIS)")</f>
        <v>891.9</v>
      </c>
      <c r="H149" s="10" t="n">
        <f aca="false">SUMIFS('Source 2026'!$Q:$Q,'Source 2026'!$B:$B,$A149,'Source 2026'!$A:$A,"Amount (NIS)")</f>
        <v>266.4</v>
      </c>
      <c r="I149" s="10" t="n">
        <f aca="false">H149-G149</f>
        <v>-625.5</v>
      </c>
      <c r="J149" s="9" t="n">
        <f aca="false">IF(AND(G149=0,H149=0),0,IF(G149=0,"New",(H149-G149)/G149))</f>
        <v>-0.701311806256307</v>
      </c>
    </row>
    <row r="150" customFormat="false" ht="15" hidden="false" customHeight="false" outlineLevel="0" collapsed="false">
      <c r="A150" s="7" t="s">
        <v>182</v>
      </c>
      <c r="B150" s="7" t="str">
        <f aca="false">IFERROR(INDEX('Source 2026'!$C:$C,MATCH($A150,'Source 2026'!$B:$B,0)),IFERROR(INDEX('Source 2025'!$C:$C,MATCH($A150,'Source 2025'!$B:$B,0)),""))</f>
        <v>11אפורUGחגורת בטן</v>
      </c>
      <c r="C150" s="8" t="n">
        <f aca="false">SUMIFS('Source 2025'!$Q:$Q,'Source 2025'!$B:$B,$A150,'Source 2025'!$A:$A,"Quantity (units)")</f>
        <v>8</v>
      </c>
      <c r="D150" s="8" t="n">
        <f aca="false">SUMIFS('Source 2026'!$Q:$Q,'Source 2026'!$B:$B,$A150,'Source 2026'!$A:$A,"Quantity (units)")</f>
        <v>0</v>
      </c>
      <c r="E150" s="8" t="n">
        <f aca="false">D150-C150</f>
        <v>-8</v>
      </c>
      <c r="F150" s="9" t="n">
        <f aca="false">IF(AND(C150=0,D150=0),0,IF(C150=0,"New",(D150-C150)/C150))</f>
        <v>-1</v>
      </c>
      <c r="G150" s="10" t="n">
        <f aca="false">SUMIFS('Source 2025'!$Q:$Q,'Source 2025'!$B:$B,$A150,'Source 2025'!$A:$A,"Amount (NIS)")</f>
        <v>635.4</v>
      </c>
      <c r="H150" s="10" t="n">
        <f aca="false">SUMIFS('Source 2026'!$Q:$Q,'Source 2026'!$B:$B,$A150,'Source 2026'!$A:$A,"Amount (NIS)")</f>
        <v>17</v>
      </c>
      <c r="I150" s="10" t="n">
        <f aca="false">H150-G150</f>
        <v>-618.4</v>
      </c>
      <c r="J150" s="9" t="n">
        <f aca="false">IF(AND(G150=0,H150=0),0,IF(G150=0,"New",(H150-G150)/G150))</f>
        <v>-0.973245199874095</v>
      </c>
    </row>
    <row r="151" customFormat="false" ht="15" hidden="false" customHeight="false" outlineLevel="0" collapsed="false">
      <c r="A151" s="7" t="s">
        <v>183</v>
      </c>
      <c r="B151" s="7" t="str">
        <f aca="false">IFERROR(INDEX('Source 2026'!$C:$C,MATCH($A151,'Source 2026'!$B:$B,0)),IFERROR(INDEX('Source 2025'!$C:$C,MATCH($A151,'Source 2025'!$B:$B,0)),""))</f>
        <v>גרבי כסף לסכרת מידה</v>
      </c>
      <c r="C151" s="8" t="n">
        <f aca="false">SUMIFS('Source 2025'!$Q:$Q,'Source 2025'!$B:$B,$A151,'Source 2025'!$A:$A,"Quantity (units)")</f>
        <v>39</v>
      </c>
      <c r="D151" s="8" t="n">
        <f aca="false">SUMIFS('Source 2026'!$Q:$Q,'Source 2026'!$B:$B,$A151,'Source 2026'!$A:$A,"Quantity (units)")</f>
        <v>18</v>
      </c>
      <c r="E151" s="8" t="n">
        <f aca="false">D151-C151</f>
        <v>-21</v>
      </c>
      <c r="F151" s="9" t="n">
        <f aca="false">IF(AND(C151=0,D151=0),0,IF(C151=0,"New",(D151-C151)/C151))</f>
        <v>-0.538461538461538</v>
      </c>
      <c r="G151" s="10" t="n">
        <f aca="false">SUMIFS('Source 2025'!$Q:$Q,'Source 2025'!$B:$B,$A151,'Source 2025'!$A:$A,"Amount (NIS)")</f>
        <v>1147.9</v>
      </c>
      <c r="H151" s="10" t="n">
        <f aca="false">SUMIFS('Source 2026'!$Q:$Q,'Source 2026'!$B:$B,$A151,'Source 2026'!$A:$A,"Amount (NIS)")</f>
        <v>530.1</v>
      </c>
      <c r="I151" s="10" t="n">
        <f aca="false">H151-G151</f>
        <v>-617.8</v>
      </c>
      <c r="J151" s="9" t="n">
        <f aca="false">IF(AND(G151=0,H151=0),0,IF(G151=0,"New",(H151-G151)/G151))</f>
        <v>-0.538200191654325</v>
      </c>
    </row>
    <row r="152" customFormat="false" ht="15" hidden="false" customHeight="false" outlineLevel="0" collapsed="false">
      <c r="A152" s="7" t="s">
        <v>184</v>
      </c>
      <c r="B152" s="7" t="str">
        <f aca="false">IFERROR(INDEX('Source 2026'!$C:$C,MATCH($A152,'Source 2026'!$B:$B,0)),IFERROR(INDEX('Source 2025'!$C:$C,MATCH($A152,'Source 2025'!$B:$B,0)),""))</f>
        <v>37-38 מדרסי סיליק.לח.סכרת</v>
      </c>
      <c r="C152" s="8" t="n">
        <f aca="false">SUMIFS('Source 2025'!$Q:$Q,'Source 2025'!$B:$B,$A152,'Source 2025'!$A:$A,"Quantity (units)")</f>
        <v>-6</v>
      </c>
      <c r="D152" s="8" t="n">
        <f aca="false">SUMIFS('Source 2026'!$Q:$Q,'Source 2026'!$B:$B,$A152,'Source 2026'!$A:$A,"Quantity (units)")</f>
        <v>0</v>
      </c>
      <c r="E152" s="8" t="n">
        <f aca="false">D152-C152</f>
        <v>6</v>
      </c>
      <c r="F152" s="9" t="n">
        <f aca="false">IF(AND(C152=0,D152=0),0,IF(C152=0,"New",(D152-C152)/C152))</f>
        <v>-1</v>
      </c>
      <c r="G152" s="10" t="n">
        <f aca="false">SUMIFS('Source 2025'!$Q:$Q,'Source 2025'!$B:$B,$A152,'Source 2025'!$A:$A,"Amount (NIS)")</f>
        <v>-615.6</v>
      </c>
      <c r="H152" s="10" t="n">
        <f aca="false">SUMIFS('Source 2026'!$Q:$Q,'Source 2026'!$B:$B,$A152,'Source 2026'!$A:$A,"Amount (NIS)")</f>
        <v>0</v>
      </c>
      <c r="I152" s="10" t="n">
        <f aca="false">H152-G152</f>
        <v>615.6</v>
      </c>
      <c r="J152" s="9" t="n">
        <f aca="false">IF(AND(G152=0,H152=0),0,IF(G152=0,"New",(H152-G152)/G152))</f>
        <v>-1</v>
      </c>
    </row>
    <row r="153" customFormat="false" ht="15" hidden="false" customHeight="false" outlineLevel="0" collapsed="false">
      <c r="A153" s="7" t="s">
        <v>185</v>
      </c>
      <c r="B153" s="7" t="str">
        <f aca="false">IFERROR(INDEX('Source 2026'!$C:$C,MATCH($A153,'Source 2026'!$B:$B,0)),IFERROR(INDEX('Source 2025'!$C:$C,MATCH($A153,'Source 2025'!$B:$B,0)),""))</f>
        <v>S תומך זרוע וכתף</v>
      </c>
      <c r="C153" s="8" t="n">
        <f aca="false">SUMIFS('Source 2025'!$Q:$Q,'Source 2025'!$B:$B,$A153,'Source 2025'!$A:$A,"Quantity (units)")</f>
        <v>13</v>
      </c>
      <c r="D153" s="8" t="n">
        <f aca="false">SUMIFS('Source 2026'!$Q:$Q,'Source 2026'!$B:$B,$A153,'Source 2026'!$A:$A,"Quantity (units)")</f>
        <v>18</v>
      </c>
      <c r="E153" s="8" t="n">
        <f aca="false">D153-C153</f>
        <v>5</v>
      </c>
      <c r="F153" s="9" t="n">
        <f aca="false">IF(AND(C153=0,D153=0),0,IF(C153=0,"New",(D153-C153)/C153))</f>
        <v>0.384615384615385</v>
      </c>
      <c r="G153" s="10" t="n">
        <f aca="false">SUMIFS('Source 2025'!$Q:$Q,'Source 2025'!$B:$B,$A153,'Source 2025'!$A:$A,"Amount (NIS)")</f>
        <v>2138.2</v>
      </c>
      <c r="H153" s="10" t="n">
        <f aca="false">SUMIFS('Source 2026'!$Q:$Q,'Source 2026'!$B:$B,$A153,'Source 2026'!$A:$A,"Amount (NIS)")</f>
        <v>2741</v>
      </c>
      <c r="I153" s="10" t="n">
        <f aca="false">H153-G153</f>
        <v>602.8</v>
      </c>
      <c r="J153" s="9" t="n">
        <f aca="false">IF(AND(G153=0,H153=0),0,IF(G153=0,"New",(H153-G153)/G153))</f>
        <v>0.281919371433917</v>
      </c>
    </row>
    <row r="154" customFormat="false" ht="15" hidden="false" customHeight="false" outlineLevel="0" collapsed="false">
      <c r="A154" s="7" t="s">
        <v>186</v>
      </c>
      <c r="B154" s="7" t="str">
        <f aca="false">IFERROR(INDEX('Source 2026'!$C:$C,MATCH($A154,'Source 2026'!$B:$B,0)),IFERROR(INDEX('Source 2025'!$C:$C,MATCH($A154,'Source 2025'!$B:$B,0)),""))</f>
        <v>S חבק יד</v>
      </c>
      <c r="C154" s="8" t="n">
        <f aca="false">SUMIFS('Source 2025'!$Q:$Q,'Source 2025'!$B:$B,$A154,'Source 2025'!$A:$A,"Quantity (units)")</f>
        <v>34</v>
      </c>
      <c r="D154" s="8" t="n">
        <f aca="false">SUMIFS('Source 2026'!$Q:$Q,'Source 2026'!$B:$B,$A154,'Source 2026'!$A:$A,"Quantity (units)")</f>
        <v>26</v>
      </c>
      <c r="E154" s="8" t="n">
        <f aca="false">D154-C154</f>
        <v>-8</v>
      </c>
      <c r="F154" s="9" t="n">
        <f aca="false">IF(AND(C154=0,D154=0),0,IF(C154=0,"New",(D154-C154)/C154))</f>
        <v>-0.235294117647059</v>
      </c>
      <c r="G154" s="10" t="n">
        <f aca="false">SUMIFS('Source 2025'!$Q:$Q,'Source 2025'!$B:$B,$A154,'Source 2025'!$A:$A,"Amount (NIS)")</f>
        <v>2534.3</v>
      </c>
      <c r="H154" s="10" t="n">
        <f aca="false">SUMIFS('Source 2026'!$Q:$Q,'Source 2026'!$B:$B,$A154,'Source 2026'!$A:$A,"Amount (NIS)")</f>
        <v>1944.3</v>
      </c>
      <c r="I154" s="10" t="n">
        <f aca="false">H154-G154</f>
        <v>-590</v>
      </c>
      <c r="J154" s="9" t="n">
        <f aca="false">IF(AND(G154=0,H154=0),0,IF(G154=0,"New",(H154-G154)/G154))</f>
        <v>-0.232805903010693</v>
      </c>
    </row>
    <row r="155" customFormat="false" ht="15" hidden="false" customHeight="false" outlineLevel="0" collapsed="false">
      <c r="A155" s="7" t="s">
        <v>187</v>
      </c>
      <c r="B155" s="7" t="str">
        <f aca="false">IFERROR(INDEX('Source 2026'!$C:$C,MATCH($A155,'Source 2026'!$B:$B,0)),IFERROR(INDEX('Source 2025'!$C:$C,MATCH($A155,'Source 2025'!$B:$B,0)),""))</f>
        <v>M חבק יד אגודלי</v>
      </c>
      <c r="C155" s="8" t="n">
        <f aca="false">SUMIFS('Source 2025'!$Q:$Q,'Source 2025'!$B:$B,$A155,'Source 2025'!$A:$A,"Quantity (units)")</f>
        <v>-11</v>
      </c>
      <c r="D155" s="8" t="n">
        <f aca="false">SUMIFS('Source 2026'!$Q:$Q,'Source 2026'!$B:$B,$A155,'Source 2026'!$A:$A,"Quantity (units)")</f>
        <v>-2</v>
      </c>
      <c r="E155" s="8" t="n">
        <f aca="false">D155-C155</f>
        <v>9</v>
      </c>
      <c r="F155" s="9" t="n">
        <f aca="false">IF(AND(C155=0,D155=0),0,IF(C155=0,"New",(D155-C155)/C155))</f>
        <v>-0.818181818181818</v>
      </c>
      <c r="G155" s="10" t="n">
        <f aca="false">SUMIFS('Source 2025'!$Q:$Q,'Source 2025'!$B:$B,$A155,'Source 2025'!$A:$A,"Amount (NIS)")</f>
        <v>-699.8</v>
      </c>
      <c r="H155" s="10" t="n">
        <f aca="false">SUMIFS('Source 2026'!$Q:$Q,'Source 2026'!$B:$B,$A155,'Source 2026'!$A:$A,"Amount (NIS)")</f>
        <v>-124</v>
      </c>
      <c r="I155" s="10" t="n">
        <f aca="false">H155-G155</f>
        <v>575.8</v>
      </c>
      <c r="J155" s="9" t="n">
        <f aca="false">IF(AND(G155=0,H155=0),0,IF(G155=0,"New",(H155-G155)/G155))</f>
        <v>-0.822806516147471</v>
      </c>
    </row>
    <row r="156" customFormat="false" ht="15" hidden="false" customHeight="false" outlineLevel="0" collapsed="false">
      <c r="A156" s="7" t="s">
        <v>188</v>
      </c>
      <c r="B156" s="7" t="str">
        <f aca="false">IFERROR(INDEX('Source 2026'!$C:$C,MATCH($A156,'Source 2026'!$B:$B,0)),IFERROR(INDEX('Source 2025'!$C:$C,MATCH($A156,'Source 2025'!$B:$B,0)),""))</f>
        <v>Sחגורה למנותחי בטן</v>
      </c>
      <c r="C156" s="8" t="n">
        <f aca="false">SUMIFS('Source 2025'!$Q:$Q,'Source 2025'!$B:$B,$A156,'Source 2025'!$A:$A,"Quantity (units)")</f>
        <v>6</v>
      </c>
      <c r="D156" s="8" t="n">
        <f aca="false">SUMIFS('Source 2026'!$Q:$Q,'Source 2026'!$B:$B,$A156,'Source 2026'!$A:$A,"Quantity (units)")</f>
        <v>1</v>
      </c>
      <c r="E156" s="8" t="n">
        <f aca="false">D156-C156</f>
        <v>-5</v>
      </c>
      <c r="F156" s="9" t="n">
        <f aca="false">IF(AND(C156=0,D156=0),0,IF(C156=0,"New",(D156-C156)/C156))</f>
        <v>-0.833333333333333</v>
      </c>
      <c r="G156" s="10" t="n">
        <f aca="false">SUMIFS('Source 2025'!$Q:$Q,'Source 2025'!$B:$B,$A156,'Source 2025'!$A:$A,"Amount (NIS)")</f>
        <v>630.4</v>
      </c>
      <c r="H156" s="10" t="n">
        <f aca="false">SUMIFS('Source 2026'!$Q:$Q,'Source 2026'!$B:$B,$A156,'Source 2026'!$A:$A,"Amount (NIS)")</f>
        <v>99.2</v>
      </c>
      <c r="I156" s="10" t="n">
        <f aca="false">H156-G156</f>
        <v>-531.2</v>
      </c>
      <c r="J156" s="9" t="n">
        <f aca="false">IF(AND(G156=0,H156=0),0,IF(G156=0,"New",(H156-G156)/G156))</f>
        <v>-0.842639593908629</v>
      </c>
    </row>
    <row r="157" customFormat="false" ht="15" hidden="false" customHeight="false" outlineLevel="0" collapsed="false">
      <c r="A157" s="7" t="s">
        <v>189</v>
      </c>
      <c r="B157" s="7" t="str">
        <f aca="false">IFERROR(INDEX('Source 2026'!$C:$C,MATCH($A157,'Source 2026'!$B:$B,0)),IFERROR(INDEX('Source 2025'!$C:$C,MATCH($A157,'Source 2025'!$B:$B,0)),""))</f>
        <v>סד לילה לבוהן</v>
      </c>
      <c r="C157" s="8" t="n">
        <f aca="false">SUMIFS('Source 2025'!$Q:$Q,'Source 2025'!$B:$B,$A157,'Source 2025'!$A:$A,"Quantity (units)")</f>
        <v>-12</v>
      </c>
      <c r="D157" s="8" t="n">
        <f aca="false">SUMIFS('Source 2026'!$Q:$Q,'Source 2026'!$B:$B,$A157,'Source 2026'!$A:$A,"Quantity (units)")</f>
        <v>-4</v>
      </c>
      <c r="E157" s="8" t="n">
        <f aca="false">D157-C157</f>
        <v>8</v>
      </c>
      <c r="F157" s="9" t="n">
        <f aca="false">IF(AND(C157=0,D157=0),0,IF(C157=0,"New",(D157-C157)/C157))</f>
        <v>-0.666666666666667</v>
      </c>
      <c r="G157" s="10" t="n">
        <f aca="false">SUMIFS('Source 2025'!$Q:$Q,'Source 2025'!$B:$B,$A157,'Source 2025'!$A:$A,"Amount (NIS)")</f>
        <v>-769.9</v>
      </c>
      <c r="H157" s="10" t="n">
        <f aca="false">SUMIFS('Source 2026'!$Q:$Q,'Source 2026'!$B:$B,$A157,'Source 2026'!$A:$A,"Amount (NIS)")</f>
        <v>-256.6</v>
      </c>
      <c r="I157" s="10" t="n">
        <f aca="false">H157-G157</f>
        <v>513.3</v>
      </c>
      <c r="J157" s="9" t="n">
        <f aca="false">IF(AND(G157=0,H157=0),0,IF(G157=0,"New",(H157-G157)/G157))</f>
        <v>-0.666709962332771</v>
      </c>
    </row>
    <row r="158" customFormat="false" ht="15" hidden="false" customHeight="false" outlineLevel="0" collapsed="false">
      <c r="A158" s="7" t="s">
        <v>190</v>
      </c>
      <c r="B158" s="7" t="str">
        <f aca="false">IFERROR(INDEX('Source 2026'!$C:$C,MATCH($A158,'Source 2026'!$B:$B,0)),IFERROR(INDEX('Source 2025'!$C:$C,MATCH($A158,'Source 2025'!$B:$B,0)),""))</f>
        <v>M'חגורת גב+סגירה כפו בז</v>
      </c>
      <c r="C158" s="8" t="n">
        <f aca="false">SUMIFS('Source 2025'!$Q:$Q,'Source 2025'!$B:$B,$A158,'Source 2025'!$A:$A,"Quantity (units)")</f>
        <v>-12</v>
      </c>
      <c r="D158" s="8" t="n">
        <f aca="false">SUMIFS('Source 2026'!$Q:$Q,'Source 2026'!$B:$B,$A158,'Source 2026'!$A:$A,"Quantity (units)")</f>
        <v>-17</v>
      </c>
      <c r="E158" s="8" t="n">
        <f aca="false">D158-C158</f>
        <v>-5</v>
      </c>
      <c r="F158" s="9" t="n">
        <f aca="false">IF(AND(C158=0,D158=0),0,IF(C158=0,"New",(D158-C158)/C158))</f>
        <v>0.416666666666667</v>
      </c>
      <c r="G158" s="10" t="n">
        <f aca="false">SUMIFS('Source 2025'!$Q:$Q,'Source 2025'!$B:$B,$A158,'Source 2025'!$A:$A,"Amount (NIS)")</f>
        <v>-1099.2</v>
      </c>
      <c r="H158" s="10" t="n">
        <f aca="false">SUMIFS('Source 2026'!$Q:$Q,'Source 2026'!$B:$B,$A158,'Source 2026'!$A:$A,"Amount (NIS)")</f>
        <v>-1561.8</v>
      </c>
      <c r="I158" s="10" t="n">
        <f aca="false">H158-G158</f>
        <v>-462.6</v>
      </c>
      <c r="J158" s="9" t="n">
        <f aca="false">IF(AND(G158=0,H158=0),0,IF(G158=0,"New",(H158-G158)/G158))</f>
        <v>0.420851528384279</v>
      </c>
    </row>
    <row r="159" customFormat="false" ht="15" hidden="false" customHeight="false" outlineLevel="0" collapsed="false">
      <c r="A159" s="7" t="s">
        <v>191</v>
      </c>
      <c r="B159" s="7" t="str">
        <f aca="false">IFERROR(INDEX('Source 2026'!$C:$C,MATCH($A159,'Source 2026'!$B:$B,0)),IFERROR(INDEX('Source 2025'!$C:$C,MATCH($A159,'Source 2025'!$B:$B,0)),""))</f>
        <v>S מגן שוק</v>
      </c>
      <c r="C159" s="8" t="n">
        <f aca="false">SUMIFS('Source 2025'!$Q:$Q,'Source 2025'!$B:$B,$A159,'Source 2025'!$A:$A,"Quantity (units)")</f>
        <v>-5</v>
      </c>
      <c r="D159" s="8" t="n">
        <f aca="false">SUMIFS('Source 2026'!$Q:$Q,'Source 2026'!$B:$B,$A159,'Source 2026'!$A:$A,"Quantity (units)")</f>
        <v>0</v>
      </c>
      <c r="E159" s="8" t="n">
        <f aca="false">D159-C159</f>
        <v>5</v>
      </c>
      <c r="F159" s="9" t="n">
        <f aca="false">IF(AND(C159=0,D159=0),0,IF(C159=0,"New",(D159-C159)/C159))</f>
        <v>-1</v>
      </c>
      <c r="G159" s="10" t="n">
        <f aca="false">SUMIFS('Source 2025'!$Q:$Q,'Source 2025'!$B:$B,$A159,'Source 2025'!$A:$A,"Amount (NIS)")</f>
        <v>-450.5</v>
      </c>
      <c r="H159" s="10" t="n">
        <f aca="false">SUMIFS('Source 2026'!$Q:$Q,'Source 2026'!$B:$B,$A159,'Source 2026'!$A:$A,"Amount (NIS)")</f>
        <v>0</v>
      </c>
      <c r="I159" s="10" t="n">
        <f aca="false">H159-G159</f>
        <v>450.5</v>
      </c>
      <c r="J159" s="9" t="n">
        <f aca="false">IF(AND(G159=0,H159=0),0,IF(G159=0,"New",(H159-G159)/G159))</f>
        <v>-1</v>
      </c>
    </row>
    <row r="160" customFormat="false" ht="15" hidden="false" customHeight="false" outlineLevel="0" collapsed="false">
      <c r="A160" s="7" t="s">
        <v>192</v>
      </c>
      <c r="B160" s="7" t="str">
        <f aca="false">IFERROR(INDEX('Source 2026'!$C:$C,MATCH($A160,'Source 2026'!$B:$B,0)),IFERROR(INDEX('Source 2025'!$C:$C,MATCH($A160,'Source 2025'!$B:$B,0)),""))</f>
        <v>להסרת עור קשה</v>
      </c>
      <c r="C160" s="8" t="n">
        <f aca="false">SUMIFS('Source 2025'!$Q:$Q,'Source 2025'!$B:$B,$A160,'Source 2025'!$A:$A,"Quantity (units)")</f>
        <v>68</v>
      </c>
      <c r="D160" s="8" t="n">
        <f aca="false">SUMIFS('Source 2026'!$Q:$Q,'Source 2026'!$B:$B,$A160,'Source 2026'!$A:$A,"Quantity (units)")</f>
        <v>50</v>
      </c>
      <c r="E160" s="8" t="n">
        <f aca="false">D160-C160</f>
        <v>-18</v>
      </c>
      <c r="F160" s="9" t="n">
        <f aca="false">IF(AND(C160=0,D160=0),0,IF(C160=0,"New",(D160-C160)/C160))</f>
        <v>-0.264705882352941</v>
      </c>
      <c r="G160" s="10" t="n">
        <f aca="false">SUMIFS('Source 2025'!$Q:$Q,'Source 2025'!$B:$B,$A160,'Source 2025'!$A:$A,"Amount (NIS)")</f>
        <v>1686.8</v>
      </c>
      <c r="H160" s="10" t="n">
        <f aca="false">SUMIFS('Source 2026'!$Q:$Q,'Source 2026'!$B:$B,$A160,'Source 2026'!$A:$A,"Amount (NIS)")</f>
        <v>1237.6</v>
      </c>
      <c r="I160" s="10" t="n">
        <f aca="false">H160-G160</f>
        <v>-449.2</v>
      </c>
      <c r="J160" s="9" t="n">
        <f aca="false">IF(AND(G160=0,H160=0),0,IF(G160=0,"New",(H160-G160)/G160))</f>
        <v>-0.266303059046716</v>
      </c>
    </row>
    <row r="161" customFormat="false" ht="15" hidden="false" customHeight="false" outlineLevel="0" collapsed="false">
      <c r="A161" s="7" t="s">
        <v>193</v>
      </c>
      <c r="B161" s="7" t="str">
        <f aca="false">IFERROR(INDEX('Source 2026'!$C:$C,MATCH($A161,'Source 2026'!$B:$B,0)),IFERROR(INDEX('Source 2025'!$C:$C,MATCH($A161,'Source 2025'!$B:$B,0)),""))</f>
        <v>Sמ.ברך מוצלב+ספירלות בצדדים</v>
      </c>
      <c r="C161" s="8" t="n">
        <f aca="false">SUMIFS('Source 2025'!$Q:$Q,'Source 2025'!$B:$B,$A161,'Source 2025'!$A:$A,"Quantity (units)")</f>
        <v>7</v>
      </c>
      <c r="D161" s="8" t="n">
        <f aca="false">SUMIFS('Source 2026'!$Q:$Q,'Source 2026'!$B:$B,$A161,'Source 2026'!$A:$A,"Quantity (units)")</f>
        <v>3</v>
      </c>
      <c r="E161" s="8" t="n">
        <f aca="false">D161-C161</f>
        <v>-4</v>
      </c>
      <c r="F161" s="9" t="n">
        <f aca="false">IF(AND(C161=0,D161=0),0,IF(C161=0,"New",(D161-C161)/C161))</f>
        <v>-0.571428571428571</v>
      </c>
      <c r="G161" s="10" t="n">
        <f aca="false">SUMIFS('Source 2025'!$Q:$Q,'Source 2025'!$B:$B,$A161,'Source 2025'!$A:$A,"Amount (NIS)")</f>
        <v>745.3</v>
      </c>
      <c r="H161" s="10" t="n">
        <f aca="false">SUMIFS('Source 2026'!$Q:$Q,'Source 2026'!$B:$B,$A161,'Source 2026'!$A:$A,"Amount (NIS)")</f>
        <v>322.6</v>
      </c>
      <c r="I161" s="10" t="n">
        <f aca="false">H161-G161</f>
        <v>-422.7</v>
      </c>
      <c r="J161" s="9" t="n">
        <f aca="false">IF(AND(G161=0,H161=0),0,IF(G161=0,"New",(H161-G161)/G161))</f>
        <v>-0.567154166107608</v>
      </c>
    </row>
    <row r="162" customFormat="false" ht="15" hidden="false" customHeight="false" outlineLevel="0" collapsed="false">
      <c r="A162" s="7" t="s">
        <v>194</v>
      </c>
      <c r="B162" s="7" t="str">
        <f aca="false">IFERROR(INDEX('Source 2026'!$C:$C,MATCH($A162,'Source 2026'!$B:$B,0)),IFERROR(INDEX('Source 2025'!$C:$C,MATCH($A162,'Source 2025'!$B:$B,0)),""))</f>
        <v>סכינים למקצוע</v>
      </c>
      <c r="C162" s="8" t="n">
        <f aca="false">SUMIFS('Source 2025'!$Q:$Q,'Source 2025'!$B:$B,$A162,'Source 2025'!$A:$A,"Quantity (units)")</f>
        <v>97</v>
      </c>
      <c r="D162" s="8" t="n">
        <f aca="false">SUMIFS('Source 2026'!$Q:$Q,'Source 2026'!$B:$B,$A162,'Source 2026'!$A:$A,"Quantity (units)")</f>
        <v>50</v>
      </c>
      <c r="E162" s="8" t="n">
        <f aca="false">D162-C162</f>
        <v>-47</v>
      </c>
      <c r="F162" s="9" t="n">
        <f aca="false">IF(AND(C162=0,D162=0),0,IF(C162=0,"New",(D162-C162)/C162))</f>
        <v>-0.484536082474227</v>
      </c>
      <c r="G162" s="10" t="n">
        <f aca="false">SUMIFS('Source 2025'!$Q:$Q,'Source 2025'!$B:$B,$A162,'Source 2025'!$A:$A,"Amount (NIS)")</f>
        <v>791.2</v>
      </c>
      <c r="H162" s="10" t="n">
        <f aca="false">SUMIFS('Source 2026'!$Q:$Q,'Source 2026'!$B:$B,$A162,'Source 2026'!$A:$A,"Amount (NIS)")</f>
        <v>387.7</v>
      </c>
      <c r="I162" s="10" t="n">
        <f aca="false">H162-G162</f>
        <v>-403.5</v>
      </c>
      <c r="J162" s="9" t="n">
        <f aca="false">IF(AND(G162=0,H162=0),0,IF(G162=0,"New",(H162-G162)/G162))</f>
        <v>-0.509984833164813</v>
      </c>
    </row>
    <row r="163" customFormat="false" ht="15" hidden="false" customHeight="false" outlineLevel="0" collapsed="false">
      <c r="A163" s="7" t="s">
        <v>195</v>
      </c>
      <c r="B163" s="7" t="str">
        <f aca="false">IFERROR(INDEX('Source 2026'!$C:$C,MATCH($A163,'Source 2026'!$B:$B,0)),IFERROR(INDEX('Source 2025'!$C:$C,MATCH($A163,'Source 2025'!$B:$B,0)),""))</f>
        <v>כרית שינה חלומי</v>
      </c>
      <c r="C163" s="8" t="n">
        <f aca="false">SUMIFS('Source 2025'!$Q:$Q,'Source 2025'!$B:$B,$A163,'Source 2025'!$A:$A,"Quantity (units)")</f>
        <v>-3</v>
      </c>
      <c r="D163" s="8" t="n">
        <f aca="false">SUMIFS('Source 2026'!$Q:$Q,'Source 2026'!$B:$B,$A163,'Source 2026'!$A:$A,"Quantity (units)")</f>
        <v>0</v>
      </c>
      <c r="E163" s="8" t="n">
        <f aca="false">D163-C163</f>
        <v>3</v>
      </c>
      <c r="F163" s="9" t="n">
        <f aca="false">IF(AND(C163=0,D163=0),0,IF(C163=0,"New",(D163-C163)/C163))</f>
        <v>-1</v>
      </c>
      <c r="G163" s="10" t="n">
        <f aca="false">SUMIFS('Source 2025'!$Q:$Q,'Source 2025'!$B:$B,$A163,'Source 2025'!$A:$A,"Amount (NIS)")</f>
        <v>-393.2</v>
      </c>
      <c r="H163" s="10" t="n">
        <f aca="false">SUMIFS('Source 2026'!$Q:$Q,'Source 2026'!$B:$B,$A163,'Source 2026'!$A:$A,"Amount (NIS)")</f>
        <v>0</v>
      </c>
      <c r="I163" s="10" t="n">
        <f aca="false">H163-G163</f>
        <v>393.2</v>
      </c>
      <c r="J163" s="9" t="n">
        <f aca="false">IF(AND(G163=0,H163=0),0,IF(G163=0,"New",(H163-G163)/G163))</f>
        <v>-1</v>
      </c>
    </row>
    <row r="164" customFormat="false" ht="15" hidden="false" customHeight="false" outlineLevel="0" collapsed="false">
      <c r="A164" s="7" t="s">
        <v>196</v>
      </c>
      <c r="B164" s="7" t="str">
        <f aca="false">IFERROR(INDEX('Source 2026'!$C:$C,MATCH($A164,'Source 2026'!$B:$B,0)),IFERROR(INDEX('Source 2025'!$C:$C,MATCH($A164,'Source 2025'!$B:$B,0)),""))</f>
        <v>מגן זרת מסיליקון</v>
      </c>
      <c r="C164" s="8" t="n">
        <f aca="false">SUMIFS('Source 2025'!$Q:$Q,'Source 2025'!$B:$B,$A164,'Source 2025'!$A:$A,"Quantity (units)")</f>
        <v>84</v>
      </c>
      <c r="D164" s="8" t="n">
        <f aca="false">SUMIFS('Source 2026'!$Q:$Q,'Source 2026'!$B:$B,$A164,'Source 2026'!$A:$A,"Quantity (units)")</f>
        <v>69</v>
      </c>
      <c r="E164" s="8" t="n">
        <f aca="false">D164-C164</f>
        <v>-15</v>
      </c>
      <c r="F164" s="9" t="n">
        <f aca="false">IF(AND(C164=0,D164=0),0,IF(C164=0,"New",(D164-C164)/C164))</f>
        <v>-0.178571428571429</v>
      </c>
      <c r="G164" s="10" t="n">
        <f aca="false">SUMIFS('Source 2025'!$Q:$Q,'Source 2025'!$B:$B,$A164,'Source 2025'!$A:$A,"Amount (NIS)")</f>
        <v>2147.5</v>
      </c>
      <c r="H164" s="10" t="n">
        <f aca="false">SUMIFS('Source 2026'!$Q:$Q,'Source 2026'!$B:$B,$A164,'Source 2026'!$A:$A,"Amount (NIS)")</f>
        <v>1774.1</v>
      </c>
      <c r="I164" s="10" t="n">
        <f aca="false">H164-G164</f>
        <v>-373.4</v>
      </c>
      <c r="J164" s="9" t="n">
        <f aca="false">IF(AND(G164=0,H164=0),0,IF(G164=0,"New",(H164-G164)/G164))</f>
        <v>-0.173876600698487</v>
      </c>
    </row>
    <row r="165" customFormat="false" ht="15" hidden="false" customHeight="false" outlineLevel="0" collapsed="false">
      <c r="A165" s="7" t="s">
        <v>197</v>
      </c>
      <c r="B165" s="7" t="str">
        <f aca="false">IFERROR(INDEX('Source 2026'!$C:$C,MATCH($A165,'Source 2026'!$B:$B,0)),IFERROR(INDEX('Source 2025'!$C:$C,MATCH($A165,'Source 2025'!$B:$B,0)),""))</f>
        <v>S ח.בטן לאחר ניתוח</v>
      </c>
      <c r="C165" s="8" t="n">
        <f aca="false">SUMIFS('Source 2025'!$Q:$Q,'Source 2025'!$B:$B,$A165,'Source 2025'!$A:$A,"Quantity (units)")</f>
        <v>10</v>
      </c>
      <c r="D165" s="8" t="n">
        <f aca="false">SUMIFS('Source 2026'!$Q:$Q,'Source 2026'!$B:$B,$A165,'Source 2026'!$A:$A,"Quantity (units)")</f>
        <v>14</v>
      </c>
      <c r="E165" s="8" t="n">
        <f aca="false">D165-C165</f>
        <v>4</v>
      </c>
      <c r="F165" s="9" t="n">
        <f aca="false">IF(AND(C165=0,D165=0),0,IF(C165=0,"New",(D165-C165)/C165))</f>
        <v>0.4</v>
      </c>
      <c r="G165" s="10" t="n">
        <f aca="false">SUMIFS('Source 2025'!$Q:$Q,'Source 2025'!$B:$B,$A165,'Source 2025'!$A:$A,"Amount (NIS)")</f>
        <v>882.9</v>
      </c>
      <c r="H165" s="10" t="n">
        <f aca="false">SUMIFS('Source 2026'!$Q:$Q,'Source 2026'!$B:$B,$A165,'Source 2026'!$A:$A,"Amount (NIS)")</f>
        <v>1249.8</v>
      </c>
      <c r="I165" s="10" t="n">
        <f aca="false">H165-G165</f>
        <v>366.9</v>
      </c>
      <c r="J165" s="9" t="n">
        <f aca="false">IF(AND(G165=0,H165=0),0,IF(G165=0,"New",(H165-G165)/G165))</f>
        <v>0.415562351342168</v>
      </c>
    </row>
    <row r="166" customFormat="false" ht="15" hidden="false" customHeight="false" outlineLevel="0" collapsed="false">
      <c r="A166" s="7" t="s">
        <v>198</v>
      </c>
      <c r="B166" s="7" t="str">
        <f aca="false">IFERROR(INDEX('Source 2026'!$C:$C,MATCH($A166,'Source 2026'!$B:$B,0)),IFERROR(INDEX('Source 2025'!$C:$C,MATCH($A166,'Source 2025'!$B:$B,0)),""))</f>
        <v>L מגן למפרק כתף</v>
      </c>
      <c r="C166" s="8" t="n">
        <f aca="false">SUMIFS('Source 2025'!$Q:$Q,'Source 2025'!$B:$B,$A166,'Source 2025'!$A:$A,"Quantity (units)")</f>
        <v>-2</v>
      </c>
      <c r="D166" s="8" t="n">
        <f aca="false">SUMIFS('Source 2026'!$Q:$Q,'Source 2026'!$B:$B,$A166,'Source 2026'!$A:$A,"Quantity (units)")</f>
        <v>-1</v>
      </c>
      <c r="E166" s="8" t="n">
        <f aca="false">D166-C166</f>
        <v>1</v>
      </c>
      <c r="F166" s="9" t="n">
        <f aca="false">IF(AND(C166=0,D166=0),0,IF(C166=0,"New",(D166-C166)/C166))</f>
        <v>-0.5</v>
      </c>
      <c r="G166" s="10" t="n">
        <f aca="false">SUMIFS('Source 2025'!$Q:$Q,'Source 2025'!$B:$B,$A166,'Source 2025'!$A:$A,"Amount (NIS)")</f>
        <v>-570.3</v>
      </c>
      <c r="H166" s="10" t="n">
        <f aca="false">SUMIFS('Source 2026'!$Q:$Q,'Source 2026'!$B:$B,$A166,'Source 2026'!$A:$A,"Amount (NIS)")</f>
        <v>-208.4</v>
      </c>
      <c r="I166" s="10" t="n">
        <f aca="false">H166-G166</f>
        <v>361.9</v>
      </c>
      <c r="J166" s="9" t="n">
        <f aca="false">IF(AND(G166=0,H166=0),0,IF(G166=0,"New",(H166-G166)/G166))</f>
        <v>-0.634578292126951</v>
      </c>
    </row>
    <row r="167" customFormat="false" ht="15" hidden="false" customHeight="false" outlineLevel="0" collapsed="false">
      <c r="A167" s="7" t="s">
        <v>199</v>
      </c>
      <c r="B167" s="7" t="str">
        <f aca="false">IFERROR(INDEX('Source 2026'!$C:$C,MATCH($A167,'Source 2026'!$B:$B,0)),IFERROR(INDEX('Source 2025'!$C:$C,MATCH($A167,'Source 2025'!$B:$B,0)),""))</f>
        <v>רפ.אורטופדית ספורט זוג35</v>
      </c>
      <c r="C167" s="8" t="n">
        <f aca="false">SUMIFS('Source 2025'!$Q:$Q,'Source 2025'!$B:$B,$A167,'Source 2025'!$A:$A,"Quantity (units)")</f>
        <v>3</v>
      </c>
      <c r="D167" s="8" t="n">
        <f aca="false">SUMIFS('Source 2026'!$Q:$Q,'Source 2026'!$B:$B,$A167,'Source 2026'!$A:$A,"Quantity (units)")</f>
        <v>-6</v>
      </c>
      <c r="E167" s="8" t="n">
        <f aca="false">D167-C167</f>
        <v>-9</v>
      </c>
      <c r="F167" s="9" t="n">
        <f aca="false">IF(AND(C167=0,D167=0),0,IF(C167=0,"New",(D167-C167)/C167))</f>
        <v>-3</v>
      </c>
      <c r="G167" s="10" t="n">
        <f aca="false">SUMIFS('Source 2025'!$Q:$Q,'Source 2025'!$B:$B,$A167,'Source 2025'!$A:$A,"Amount (NIS)")</f>
        <v>121</v>
      </c>
      <c r="H167" s="10" t="n">
        <f aca="false">SUMIFS('Source 2026'!$Q:$Q,'Source 2026'!$B:$B,$A167,'Source 2026'!$A:$A,"Amount (NIS)")</f>
        <v>-215.2</v>
      </c>
      <c r="I167" s="10" t="n">
        <f aca="false">H167-G167</f>
        <v>-336.2</v>
      </c>
      <c r="J167" s="9" t="n">
        <f aca="false">IF(AND(G167=0,H167=0),0,IF(G167=0,"New",(H167-G167)/G167))</f>
        <v>-2.77851239669422</v>
      </c>
    </row>
    <row r="168" customFormat="false" ht="15" hidden="false" customHeight="false" outlineLevel="0" collapsed="false">
      <c r="A168" s="7" t="s">
        <v>200</v>
      </c>
      <c r="B168" s="7" t="str">
        <f aca="false">IFERROR(INDEX('Source 2026'!$C:$C,MATCH($A168,'Source 2026'!$B:$B,0)),IFERROR(INDEX('Source 2025'!$C:$C,MATCH($A168,'Source 2025'!$B:$B,0)),""))</f>
        <v>S חגורת שבר לצד ימין</v>
      </c>
      <c r="C168" s="8" t="n">
        <f aca="false">SUMIFS('Source 2025'!$Q:$Q,'Source 2025'!$B:$B,$A168,'Source 2025'!$A:$A,"Quantity (units)")</f>
        <v>-2</v>
      </c>
      <c r="D168" s="8" t="n">
        <f aca="false">SUMIFS('Source 2026'!$Q:$Q,'Source 2026'!$B:$B,$A168,'Source 2026'!$A:$A,"Quantity (units)")</f>
        <v>0</v>
      </c>
      <c r="E168" s="8" t="n">
        <f aca="false">D168-C168</f>
        <v>2</v>
      </c>
      <c r="F168" s="9" t="n">
        <f aca="false">IF(AND(C168=0,D168=0),0,IF(C168=0,"New",(D168-C168)/C168))</f>
        <v>-1</v>
      </c>
      <c r="G168" s="10" t="n">
        <f aca="false">SUMIFS('Source 2025'!$Q:$Q,'Source 2025'!$B:$B,$A168,'Source 2025'!$A:$A,"Amount (NIS)")</f>
        <v>-332.2</v>
      </c>
      <c r="H168" s="10" t="n">
        <f aca="false">SUMIFS('Source 2026'!$Q:$Q,'Source 2026'!$B:$B,$A168,'Source 2026'!$A:$A,"Amount (NIS)")</f>
        <v>0</v>
      </c>
      <c r="I168" s="10" t="n">
        <f aca="false">H168-G168</f>
        <v>332.2</v>
      </c>
      <c r="J168" s="9" t="n">
        <f aca="false">IF(AND(G168=0,H168=0),0,IF(G168=0,"New",(H168-G168)/G168))</f>
        <v>-1</v>
      </c>
    </row>
    <row r="169" customFormat="false" ht="15" hidden="false" customHeight="false" outlineLevel="0" collapsed="false">
      <c r="A169" s="7" t="s">
        <v>201</v>
      </c>
      <c r="B169" s="7" t="str">
        <f aca="false">IFERROR(INDEX('Source 2026'!$C:$C,MATCH($A169,'Source 2026'!$B:$B,0)),IFERROR(INDEX('Source 2025'!$C:$C,MATCH($A169,'Source 2025'!$B:$B,0)),""))</f>
        <v>S חגורת שבר לצד שמאל</v>
      </c>
      <c r="C169" s="8" t="n">
        <f aca="false">SUMIFS('Source 2025'!$Q:$Q,'Source 2025'!$B:$B,$A169,'Source 2025'!$A:$A,"Quantity (units)")</f>
        <v>-1</v>
      </c>
      <c r="D169" s="8" t="n">
        <f aca="false">SUMIFS('Source 2026'!$Q:$Q,'Source 2026'!$B:$B,$A169,'Source 2026'!$A:$A,"Quantity (units)")</f>
        <v>0</v>
      </c>
      <c r="E169" s="8" t="n">
        <f aca="false">D169-C169</f>
        <v>1</v>
      </c>
      <c r="F169" s="9" t="n">
        <f aca="false">IF(AND(C169=0,D169=0),0,IF(C169=0,"New",(D169-C169)/C169))</f>
        <v>-1</v>
      </c>
      <c r="G169" s="10" t="n">
        <f aca="false">SUMIFS('Source 2025'!$Q:$Q,'Source 2025'!$B:$B,$A169,'Source 2025'!$A:$A,"Amount (NIS)")</f>
        <v>-166.1</v>
      </c>
      <c r="H169" s="10" t="n">
        <f aca="false">SUMIFS('Source 2026'!$Q:$Q,'Source 2026'!$B:$B,$A169,'Source 2026'!$A:$A,"Amount (NIS)")</f>
        <v>162.5</v>
      </c>
      <c r="I169" s="10" t="n">
        <f aca="false">H169-G169</f>
        <v>328.6</v>
      </c>
      <c r="J169" s="9" t="n">
        <f aca="false">IF(AND(G169=0,H169=0),0,IF(G169=0,"New",(H169-G169)/G169))</f>
        <v>-1.97832630945214</v>
      </c>
    </row>
    <row r="170" customFormat="false" ht="15" hidden="false" customHeight="false" outlineLevel="0" collapsed="false">
      <c r="A170" s="7" t="s">
        <v>202</v>
      </c>
      <c r="B170" s="7" t="str">
        <f aca="false">IFERROR(INDEX('Source 2026'!$C:$C,MATCH($A170,'Source 2026'!$B:$B,0)),IFERROR(INDEX('Source 2025'!$C:$C,MATCH($A170,'Source 2025'!$B:$B,0)),""))</f>
        <v>S ח.הריון מכנס למניעת כאבים</v>
      </c>
      <c r="C170" s="8" t="n">
        <f aca="false">SUMIFS('Source 2025'!$Q:$Q,'Source 2025'!$B:$B,$A170,'Source 2025'!$A:$A,"Quantity (units)")</f>
        <v>0</v>
      </c>
      <c r="D170" s="8" t="n">
        <f aca="false">SUMIFS('Source 2026'!$Q:$Q,'Source 2026'!$B:$B,$A170,'Source 2026'!$A:$A,"Quantity (units)")</f>
        <v>-1</v>
      </c>
      <c r="E170" s="8" t="n">
        <f aca="false">D170-C170</f>
        <v>-1</v>
      </c>
      <c r="F170" s="9" t="str">
        <f aca="false">IF(AND(C170=0,D170=0),0,IF(C170=0,"New",(D170-C170)/C170))</f>
        <v>New</v>
      </c>
      <c r="G170" s="10" t="n">
        <f aca="false">SUMIFS('Source 2025'!$Q:$Q,'Source 2025'!$B:$B,$A170,'Source 2025'!$A:$A,"Amount (NIS)")</f>
        <v>0</v>
      </c>
      <c r="H170" s="10" t="n">
        <f aca="false">SUMIFS('Source 2026'!$Q:$Q,'Source 2026'!$B:$B,$A170,'Source 2026'!$A:$A,"Amount (NIS)")</f>
        <v>-266.2</v>
      </c>
      <c r="I170" s="10" t="n">
        <f aca="false">H170-G170</f>
        <v>-266.2</v>
      </c>
      <c r="J170" s="9" t="str">
        <f aca="false">IF(AND(G170=0,H170=0),0,IF(G170=0,"New",(H170-G170)/G170))</f>
        <v>New</v>
      </c>
    </row>
    <row r="171" customFormat="false" ht="15" hidden="false" customHeight="false" outlineLevel="0" collapsed="false">
      <c r="A171" s="7" t="s">
        <v>203</v>
      </c>
      <c r="B171" s="7" t="str">
        <f aca="false">IFERROR(INDEX('Source 2026'!$C:$C,MATCH($A171,'Source 2026'!$B:$B,0)),IFERROR(INDEX('Source 2025'!$C:$C,MATCH($A171,'Source 2025'!$B:$B,0)),""))</f>
        <v>יד לטניס כרית סילי</v>
      </c>
      <c r="C171" s="8" t="n">
        <f aca="false">SUMIFS('Source 2025'!$Q:$Q,'Source 2025'!$B:$B,$A171,'Source 2025'!$A:$A,"Quantity (units)")</f>
        <v>-2</v>
      </c>
      <c r="D171" s="8" t="n">
        <f aca="false">SUMIFS('Source 2026'!$Q:$Q,'Source 2026'!$B:$B,$A171,'Source 2026'!$A:$A,"Quantity (units)")</f>
        <v>0</v>
      </c>
      <c r="E171" s="8" t="n">
        <f aca="false">D171-C171</f>
        <v>2</v>
      </c>
      <c r="F171" s="9" t="n">
        <f aca="false">IF(AND(C171=0,D171=0),0,IF(C171=0,"New",(D171-C171)/C171))</f>
        <v>-1</v>
      </c>
      <c r="G171" s="10" t="n">
        <f aca="false">SUMIFS('Source 2025'!$Q:$Q,'Source 2025'!$B:$B,$A171,'Source 2025'!$A:$A,"Amount (NIS)")</f>
        <v>-262.1</v>
      </c>
      <c r="H171" s="10" t="n">
        <f aca="false">SUMIFS('Source 2026'!$Q:$Q,'Source 2026'!$B:$B,$A171,'Source 2026'!$A:$A,"Amount (NIS)")</f>
        <v>0</v>
      </c>
      <c r="I171" s="10" t="n">
        <f aca="false">H171-G171</f>
        <v>262.1</v>
      </c>
      <c r="J171" s="9" t="n">
        <f aca="false">IF(AND(G171=0,H171=0),0,IF(G171=0,"New",(H171-G171)/G171))</f>
        <v>-1</v>
      </c>
    </row>
    <row r="172" customFormat="false" ht="15" hidden="false" customHeight="false" outlineLevel="0" collapsed="false">
      <c r="A172" s="7" t="s">
        <v>204</v>
      </c>
      <c r="B172" s="7" t="str">
        <f aca="false">IFERROR(INDEX('Source 2026'!$C:$C,MATCH($A172,'Source 2026'!$B:$B,0)),IFERROR(INDEX('Source 2025'!$C:$C,MATCH($A172,'Source 2025'!$B:$B,0)),""))</f>
        <v>Mמתלה ליד)כיס(+רצועת חיזוק</v>
      </c>
      <c r="C172" s="8" t="n">
        <f aca="false">SUMIFS('Source 2025'!$Q:$Q,'Source 2025'!$B:$B,$A172,'Source 2025'!$A:$A,"Quantity (units)")</f>
        <v>3</v>
      </c>
      <c r="D172" s="8" t="n">
        <f aca="false">SUMIFS('Source 2026'!$Q:$Q,'Source 2026'!$B:$B,$A172,'Source 2026'!$A:$A,"Quantity (units)")</f>
        <v>0</v>
      </c>
      <c r="E172" s="8" t="n">
        <f aca="false">D172-C172</f>
        <v>-3</v>
      </c>
      <c r="F172" s="9" t="n">
        <f aca="false">IF(AND(C172=0,D172=0),0,IF(C172=0,"New",(D172-C172)/C172))</f>
        <v>-1</v>
      </c>
      <c r="G172" s="10" t="n">
        <f aca="false">SUMIFS('Source 2025'!$Q:$Q,'Source 2025'!$B:$B,$A172,'Source 2025'!$A:$A,"Amount (NIS)")</f>
        <v>248.7</v>
      </c>
      <c r="H172" s="10" t="n">
        <f aca="false">SUMIFS('Source 2026'!$Q:$Q,'Source 2026'!$B:$B,$A172,'Source 2026'!$A:$A,"Amount (NIS)")</f>
        <v>0</v>
      </c>
      <c r="I172" s="10" t="n">
        <f aca="false">H172-G172</f>
        <v>-248.7</v>
      </c>
      <c r="J172" s="9" t="n">
        <f aca="false">IF(AND(G172=0,H172=0),0,IF(G172=0,"New",(H172-G172)/G172))</f>
        <v>-1</v>
      </c>
    </row>
    <row r="173" customFormat="false" ht="15" hidden="false" customHeight="false" outlineLevel="0" collapsed="false">
      <c r="A173" s="7" t="s">
        <v>205</v>
      </c>
      <c r="B173" s="7" t="str">
        <f aca="false">IFERROR(INDEX('Source 2026'!$C:$C,MATCH($A173,'Source 2026'!$B:$B,0)),IFERROR(INDEX('Source 2025'!$C:$C,MATCH($A173,'Source 2025'!$B:$B,0)),""))</f>
        <v>S תתמוקפאעקב סיליקון+ קשת</v>
      </c>
      <c r="C173" s="8" t="n">
        <f aca="false">SUMIFS('Source 2025'!$Q:$Q,'Source 2025'!$B:$B,$A173,'Source 2025'!$A:$A,"Quantity (units)")</f>
        <v>-3</v>
      </c>
      <c r="D173" s="8" t="n">
        <f aca="false">SUMIFS('Source 2026'!$Q:$Q,'Source 2026'!$B:$B,$A173,'Source 2026'!$A:$A,"Quantity (units)")</f>
        <v>0</v>
      </c>
      <c r="E173" s="8" t="n">
        <f aca="false">D173-C173</f>
        <v>3</v>
      </c>
      <c r="F173" s="9" t="n">
        <f aca="false">IF(AND(C173=0,D173=0),0,IF(C173=0,"New",(D173-C173)/C173))</f>
        <v>-1</v>
      </c>
      <c r="G173" s="10" t="n">
        <f aca="false">SUMIFS('Source 2025'!$Q:$Q,'Source 2025'!$B:$B,$A173,'Source 2025'!$A:$A,"Amount (NIS)")</f>
        <v>-241.3</v>
      </c>
      <c r="H173" s="10" t="n">
        <f aca="false">SUMIFS('Source 2026'!$Q:$Q,'Source 2026'!$B:$B,$A173,'Source 2026'!$A:$A,"Amount (NIS)")</f>
        <v>0</v>
      </c>
      <c r="I173" s="10" t="n">
        <f aca="false">H173-G173</f>
        <v>241.3</v>
      </c>
      <c r="J173" s="9" t="n">
        <f aca="false">IF(AND(G173=0,H173=0),0,IF(G173=0,"New",(H173-G173)/G173))</f>
        <v>-1</v>
      </c>
    </row>
    <row r="174" customFormat="false" ht="15" hidden="false" customHeight="false" outlineLevel="0" collapsed="false">
      <c r="A174" s="7" t="s">
        <v>206</v>
      </c>
      <c r="B174" s="7" t="str">
        <f aca="false">IFERROR(INDEX('Source 2026'!$C:$C,MATCH($A174,'Source 2026'!$B:$B,0)),IFERROR(INDEX('Source 2025'!$C:$C,MATCH($A174,'Source 2025'!$B:$B,0)),""))</f>
        <v>קרסול עם שרוכים בז</v>
      </c>
      <c r="C174" s="8" t="n">
        <f aca="false">SUMIFS('Source 2025'!$Q:$Q,'Source 2025'!$B:$B,$A174,'Source 2025'!$A:$A,"Quantity (units)")</f>
        <v>-2</v>
      </c>
      <c r="D174" s="8" t="n">
        <f aca="false">SUMIFS('Source 2026'!$Q:$Q,'Source 2026'!$B:$B,$A174,'Source 2026'!$A:$A,"Quantity (units)")</f>
        <v>0</v>
      </c>
      <c r="E174" s="8" t="n">
        <f aca="false">D174-C174</f>
        <v>2</v>
      </c>
      <c r="F174" s="9" t="n">
        <f aca="false">IF(AND(C174=0,D174=0),0,IF(C174=0,"New",(D174-C174)/C174))</f>
        <v>-1</v>
      </c>
      <c r="G174" s="10" t="n">
        <f aca="false">SUMIFS('Source 2025'!$Q:$Q,'Source 2025'!$B:$B,$A174,'Source 2025'!$A:$A,"Amount (NIS)")</f>
        <v>-213</v>
      </c>
      <c r="H174" s="10" t="n">
        <f aca="false">SUMIFS('Source 2026'!$Q:$Q,'Source 2026'!$B:$B,$A174,'Source 2026'!$A:$A,"Amount (NIS)")</f>
        <v>0</v>
      </c>
      <c r="I174" s="10" t="n">
        <f aca="false">H174-G174</f>
        <v>213</v>
      </c>
      <c r="J174" s="9" t="n">
        <f aca="false">IF(AND(G174=0,H174=0),0,IF(G174=0,"New",(H174-G174)/G174))</f>
        <v>-1</v>
      </c>
    </row>
    <row r="175" customFormat="false" ht="15" hidden="false" customHeight="false" outlineLevel="0" collapsed="false">
      <c r="A175" s="7" t="s">
        <v>207</v>
      </c>
      <c r="B175" s="7" t="str">
        <f aca="false">IFERROR(INDEX('Source 2026'!$C:$C,MATCH($A175,'Source 2026'!$B:$B,0)),IFERROR(INDEX('Source 2025'!$C:$C,MATCH($A175,'Source 2025'!$B:$B,0)),""))</f>
        <v>L-XLחגורת הריון בכאב.חזק</v>
      </c>
      <c r="C175" s="8" t="n">
        <f aca="false">SUMIFS('Source 2025'!$Q:$Q,'Source 2025'!$B:$B,$A175,'Source 2025'!$A:$A,"Quantity (units)")</f>
        <v>0</v>
      </c>
      <c r="D175" s="8" t="n">
        <f aca="false">SUMIFS('Source 2026'!$Q:$Q,'Source 2026'!$B:$B,$A175,'Source 2026'!$A:$A,"Quantity (units)")</f>
        <v>-1</v>
      </c>
      <c r="E175" s="8" t="n">
        <f aca="false">D175-C175</f>
        <v>-1</v>
      </c>
      <c r="F175" s="9" t="str">
        <f aca="false">IF(AND(C175=0,D175=0),0,IF(C175=0,"New",(D175-C175)/C175))</f>
        <v>New</v>
      </c>
      <c r="G175" s="10" t="n">
        <f aca="false">SUMIFS('Source 2025'!$Q:$Q,'Source 2025'!$B:$B,$A175,'Source 2025'!$A:$A,"Amount (NIS)")</f>
        <v>0</v>
      </c>
      <c r="H175" s="10" t="n">
        <f aca="false">SUMIFS('Source 2026'!$Q:$Q,'Source 2026'!$B:$B,$A175,'Source 2026'!$A:$A,"Amount (NIS)")</f>
        <v>-207.2</v>
      </c>
      <c r="I175" s="10" t="n">
        <f aca="false">H175-G175</f>
        <v>-207.2</v>
      </c>
      <c r="J175" s="9" t="str">
        <f aca="false">IF(AND(G175=0,H175=0),0,IF(G175=0,"New",(H175-G175)/G175))</f>
        <v>New</v>
      </c>
    </row>
    <row r="176" customFormat="false" ht="15" hidden="false" customHeight="false" outlineLevel="0" collapsed="false">
      <c r="A176" s="7" t="s">
        <v>208</v>
      </c>
      <c r="B176" s="7" t="str">
        <f aca="false">IFERROR(INDEX('Source 2026'!$C:$C,MATCH($A176,'Source 2026'!$B:$B,0)),IFERROR(INDEX('Source 2025'!$C:$C,MATCH($A176,'Source 2025'!$B:$B,0)),""))</f>
        <v>L מגן ברך לסקי</v>
      </c>
      <c r="C176" s="8" t="n">
        <f aca="false">SUMIFS('Source 2025'!$Q:$Q,'Source 2025'!$B:$B,$A176,'Source 2025'!$A:$A,"Quantity (units)")</f>
        <v>0</v>
      </c>
      <c r="D176" s="8" t="n">
        <f aca="false">SUMIFS('Source 2026'!$Q:$Q,'Source 2026'!$B:$B,$A176,'Source 2026'!$A:$A,"Quantity (units)")</f>
        <v>-1</v>
      </c>
      <c r="E176" s="8" t="n">
        <f aca="false">D176-C176</f>
        <v>-1</v>
      </c>
      <c r="F176" s="9" t="str">
        <f aca="false">IF(AND(C176=0,D176=0),0,IF(C176=0,"New",(D176-C176)/C176))</f>
        <v>New</v>
      </c>
      <c r="G176" s="10" t="n">
        <f aca="false">SUMIFS('Source 2025'!$Q:$Q,'Source 2025'!$B:$B,$A176,'Source 2025'!$A:$A,"Amount (NIS)")</f>
        <v>0</v>
      </c>
      <c r="H176" s="10" t="n">
        <f aca="false">SUMIFS('Source 2026'!$Q:$Q,'Source 2026'!$B:$B,$A176,'Source 2026'!$A:$A,"Amount (NIS)")</f>
        <v>-204.8</v>
      </c>
      <c r="I176" s="10" t="n">
        <f aca="false">H176-G176</f>
        <v>-204.8</v>
      </c>
      <c r="J176" s="9" t="str">
        <f aca="false">IF(AND(G176=0,H176=0),0,IF(G176=0,"New",(H176-G176)/G176))</f>
        <v>New</v>
      </c>
    </row>
    <row r="177" customFormat="false" ht="15" hidden="false" customHeight="false" outlineLevel="0" collapsed="false">
      <c r="A177" s="7" t="s">
        <v>209</v>
      </c>
      <c r="B177" s="7" t="str">
        <f aca="false">IFERROR(INDEX('Source 2026'!$C:$C,MATCH($A177,'Source 2026'!$B:$B,0)),IFERROR(INDEX('Source 2025'!$C:$C,MATCH($A177,'Source 2025'!$B:$B,0)),""))</f>
        <v>S מתלה אשכים לאחר ניתוח</v>
      </c>
      <c r="C177" s="8" t="n">
        <f aca="false">SUMIFS('Source 2025'!$Q:$Q,'Source 2025'!$B:$B,$A177,'Source 2025'!$A:$A,"Quantity (units)")</f>
        <v>0</v>
      </c>
      <c r="D177" s="8" t="n">
        <f aca="false">SUMIFS('Source 2026'!$Q:$Q,'Source 2026'!$B:$B,$A177,'Source 2026'!$A:$A,"Quantity (units)")</f>
        <v>-2</v>
      </c>
      <c r="E177" s="8" t="n">
        <f aca="false">D177-C177</f>
        <v>-2</v>
      </c>
      <c r="F177" s="9" t="str">
        <f aca="false">IF(AND(C177=0,D177=0),0,IF(C177=0,"New",(D177-C177)/C177))</f>
        <v>New</v>
      </c>
      <c r="G177" s="10" t="n">
        <f aca="false">SUMIFS('Source 2025'!$Q:$Q,'Source 2025'!$B:$B,$A177,'Source 2025'!$A:$A,"Amount (NIS)")</f>
        <v>0</v>
      </c>
      <c r="H177" s="10" t="n">
        <f aca="false">SUMIFS('Source 2026'!$Q:$Q,'Source 2026'!$B:$B,$A177,'Source 2026'!$A:$A,"Amount (NIS)")</f>
        <v>-193.6</v>
      </c>
      <c r="I177" s="10" t="n">
        <f aca="false">H177-G177</f>
        <v>-193.6</v>
      </c>
      <c r="J177" s="9" t="str">
        <f aca="false">IF(AND(G177=0,H177=0),0,IF(G177=0,"New",(H177-G177)/G177))</f>
        <v>New</v>
      </c>
    </row>
    <row r="178" customFormat="false" ht="15" hidden="false" customHeight="false" outlineLevel="0" collapsed="false">
      <c r="A178" s="7" t="s">
        <v>210</v>
      </c>
      <c r="B178" s="7" t="str">
        <f aca="false">IFERROR(INDEX('Source 2026'!$C:$C,MATCH($A178,'Source 2026'!$B:$B,0)),IFERROR(INDEX('Source 2025'!$C:$C,MATCH($A178,'Source 2025'!$B:$B,0)),""))</f>
        <v>L-מדרס סיליקון לנעלי עקב</v>
      </c>
      <c r="C178" s="8" t="n">
        <f aca="false">SUMIFS('Source 2025'!$Q:$Q,'Source 2025'!$B:$B,$A178,'Source 2025'!$A:$A,"Quantity (units)")</f>
        <v>-2</v>
      </c>
      <c r="D178" s="8" t="n">
        <f aca="false">SUMIFS('Source 2026'!$Q:$Q,'Source 2026'!$B:$B,$A178,'Source 2026'!$A:$A,"Quantity (units)")</f>
        <v>3</v>
      </c>
      <c r="E178" s="8" t="n">
        <f aca="false">D178-C178</f>
        <v>5</v>
      </c>
      <c r="F178" s="9" t="n">
        <f aca="false">IF(AND(C178=0,D178=0),0,IF(C178=0,"New",(D178-C178)/C178))</f>
        <v>-2.5</v>
      </c>
      <c r="G178" s="10" t="n">
        <f aca="false">SUMIFS('Source 2025'!$Q:$Q,'Source 2025'!$B:$B,$A178,'Source 2025'!$A:$A,"Amount (NIS)")</f>
        <v>-79.1</v>
      </c>
      <c r="H178" s="10" t="n">
        <f aca="false">SUMIFS('Source 2026'!$Q:$Q,'Source 2026'!$B:$B,$A178,'Source 2026'!$A:$A,"Amount (NIS)")</f>
        <v>114.5</v>
      </c>
      <c r="I178" s="10" t="n">
        <f aca="false">H178-G178</f>
        <v>193.6</v>
      </c>
      <c r="J178" s="9" t="n">
        <f aca="false">IF(AND(G178=0,H178=0),0,IF(G178=0,"New",(H178-G178)/G178))</f>
        <v>-2.44753476611884</v>
      </c>
    </row>
    <row r="179" customFormat="false" ht="15" hidden="false" customHeight="false" outlineLevel="0" collapsed="false">
      <c r="A179" s="7" t="s">
        <v>211</v>
      </c>
      <c r="B179" s="7" t="str">
        <f aca="false">IFERROR(INDEX('Source 2026'!$C:$C,MATCH($A179,'Source 2026'!$B:$B,0)),IFERROR(INDEX('Source 2025'!$C:$C,MATCH($A179,'Source 2025'!$B:$B,0)),""))</f>
        <v>נגד פטרת הציפורן</v>
      </c>
      <c r="C179" s="8" t="n">
        <f aca="false">SUMIFS('Source 2025'!$Q:$Q,'Source 2025'!$B:$B,$A179,'Source 2025'!$A:$A,"Quantity (units)")</f>
        <v>-8</v>
      </c>
      <c r="D179" s="8" t="n">
        <f aca="false">SUMIFS('Source 2026'!$Q:$Q,'Source 2026'!$B:$B,$A179,'Source 2026'!$A:$A,"Quantity (units)")</f>
        <v>-2</v>
      </c>
      <c r="E179" s="8" t="n">
        <f aca="false">D179-C179</f>
        <v>6</v>
      </c>
      <c r="F179" s="9" t="n">
        <f aca="false">IF(AND(C179=0,D179=0),0,IF(C179=0,"New",(D179-C179)/C179))</f>
        <v>-0.75</v>
      </c>
      <c r="G179" s="10" t="n">
        <f aca="false">SUMIFS('Source 2025'!$Q:$Q,'Source 2025'!$B:$B,$A179,'Source 2025'!$A:$A,"Amount (NIS)")</f>
        <v>-235.1</v>
      </c>
      <c r="H179" s="10" t="n">
        <f aca="false">SUMIFS('Source 2026'!$Q:$Q,'Source 2026'!$B:$B,$A179,'Source 2026'!$A:$A,"Amount (NIS)")</f>
        <v>-57.8</v>
      </c>
      <c r="I179" s="10" t="n">
        <f aca="false">H179-G179</f>
        <v>177.3</v>
      </c>
      <c r="J179" s="9" t="n">
        <f aca="false">IF(AND(G179=0,H179=0),0,IF(G179=0,"New",(H179-G179)/G179))</f>
        <v>-0.754147171416419</v>
      </c>
    </row>
    <row r="180" customFormat="false" ht="15" hidden="false" customHeight="false" outlineLevel="0" collapsed="false">
      <c r="A180" s="7" t="s">
        <v>212</v>
      </c>
      <c r="B180" s="7" t="str">
        <f aca="false">IFERROR(INDEX('Source 2026'!$C:$C,MATCH($A180,'Source 2026'!$B:$B,0)),IFERROR(INDEX('Source 2025'!$C:$C,MATCH($A180,'Source 2025'!$B:$B,0)),""))</f>
        <v>כפפות אגודל לחץ</v>
      </c>
      <c r="C180" s="8" t="n">
        <f aca="false">SUMIFS('Source 2025'!$Q:$Q,'Source 2025'!$B:$B,$A180,'Source 2025'!$A:$A,"Quantity (units)")</f>
        <v>62</v>
      </c>
      <c r="D180" s="8" t="n">
        <f aca="false">SUMIFS('Source 2026'!$Q:$Q,'Source 2026'!$B:$B,$A180,'Source 2026'!$A:$A,"Quantity (units)")</f>
        <v>54</v>
      </c>
      <c r="E180" s="8" t="n">
        <f aca="false">D180-C180</f>
        <v>-8</v>
      </c>
      <c r="F180" s="9" t="n">
        <f aca="false">IF(AND(C180=0,D180=0),0,IF(C180=0,"New",(D180-C180)/C180))</f>
        <v>-0.129032258064516</v>
      </c>
      <c r="G180" s="10" t="n">
        <f aca="false">SUMIFS('Source 2025'!$Q:$Q,'Source 2025'!$B:$B,$A180,'Source 2025'!$A:$A,"Amount (NIS)")</f>
        <v>1770</v>
      </c>
      <c r="H180" s="10" t="n">
        <f aca="false">SUMIFS('Source 2026'!$Q:$Q,'Source 2026'!$B:$B,$A180,'Source 2026'!$A:$A,"Amount (NIS)")</f>
        <v>1600</v>
      </c>
      <c r="I180" s="10" t="n">
        <f aca="false">H180-G180</f>
        <v>-170</v>
      </c>
      <c r="J180" s="9" t="n">
        <f aca="false">IF(AND(G180=0,H180=0),0,IF(G180=0,"New",(H180-G180)/G180))</f>
        <v>-0.096045197740113</v>
      </c>
    </row>
    <row r="181" customFormat="false" ht="15" hidden="false" customHeight="false" outlineLevel="0" collapsed="false">
      <c r="A181" s="7" t="s">
        <v>213</v>
      </c>
      <c r="B181" s="7" t="str">
        <f aca="false">IFERROR(INDEX('Source 2026'!$C:$C,MATCH($A181,'Source 2026'!$B:$B,0)),IFERROR(INDEX('Source 2025'!$C:$C,MATCH($A181,'Source 2025'!$B:$B,0)),""))</f>
        <v>L  ""ח.גב קלה ""מיקדו</v>
      </c>
      <c r="C181" s="8" t="n">
        <f aca="false">SUMIFS('Source 2025'!$Q:$Q,'Source 2025'!$B:$B,$A181,'Source 2025'!$A:$A,"Quantity (units)")</f>
        <v>-1</v>
      </c>
      <c r="D181" s="8" t="n">
        <f aca="false">SUMIFS('Source 2026'!$Q:$Q,'Source 2026'!$B:$B,$A181,'Source 2026'!$A:$A,"Quantity (units)")</f>
        <v>0</v>
      </c>
      <c r="E181" s="8" t="n">
        <f aca="false">D181-C181</f>
        <v>1</v>
      </c>
      <c r="F181" s="9" t="n">
        <f aca="false">IF(AND(C181=0,D181=0),0,IF(C181=0,"New",(D181-C181)/C181))</f>
        <v>-1</v>
      </c>
      <c r="G181" s="10" t="n">
        <f aca="false">SUMIFS('Source 2025'!$Q:$Q,'Source 2025'!$B:$B,$A181,'Source 2025'!$A:$A,"Amount (NIS)")</f>
        <v>-147.4</v>
      </c>
      <c r="H181" s="10" t="n">
        <f aca="false">SUMIFS('Source 2026'!$Q:$Q,'Source 2026'!$B:$B,$A181,'Source 2026'!$A:$A,"Amount (NIS)")</f>
        <v>0</v>
      </c>
      <c r="I181" s="10" t="n">
        <f aca="false">H181-G181</f>
        <v>147.4</v>
      </c>
      <c r="J181" s="9" t="n">
        <f aca="false">IF(AND(G181=0,H181=0),0,IF(G181=0,"New",(H181-G181)/G181))</f>
        <v>-1</v>
      </c>
    </row>
    <row r="182" customFormat="false" ht="15" hidden="false" customHeight="false" outlineLevel="0" collapsed="false">
      <c r="A182" s="7" t="s">
        <v>214</v>
      </c>
      <c r="B182" s="7" t="str">
        <f aca="false">IFERROR(INDEX('Source 2026'!$C:$C,MATCH($A182,'Source 2026'!$B:$B,0)),IFERROR(INDEX('Source 2025'!$C:$C,MATCH($A182,'Source 2025'!$B:$B,0)),""))</f>
        <v>L-XL רצועת טניס אלבו</v>
      </c>
      <c r="C182" s="8" t="n">
        <f aca="false">SUMIFS('Source 2025'!$Q:$Q,'Source 2025'!$B:$B,$A182,'Source 2025'!$A:$A,"Quantity (units)")</f>
        <v>2</v>
      </c>
      <c r="D182" s="8" t="n">
        <f aca="false">SUMIFS('Source 2026'!$Q:$Q,'Source 2026'!$B:$B,$A182,'Source 2026'!$A:$A,"Quantity (units)")</f>
        <v>-1</v>
      </c>
      <c r="E182" s="8" t="n">
        <f aca="false">D182-C182</f>
        <v>-3</v>
      </c>
      <c r="F182" s="9" t="n">
        <f aca="false">IF(AND(C182=0,D182=0),0,IF(C182=0,"New",(D182-C182)/C182))</f>
        <v>-1.5</v>
      </c>
      <c r="G182" s="10" t="n">
        <f aca="false">SUMIFS('Source 2025'!$Q:$Q,'Source 2025'!$B:$B,$A182,'Source 2025'!$A:$A,"Amount (NIS)")</f>
        <v>98.2</v>
      </c>
      <c r="H182" s="10" t="n">
        <f aca="false">SUMIFS('Source 2026'!$Q:$Q,'Source 2026'!$B:$B,$A182,'Source 2026'!$A:$A,"Amount (NIS)")</f>
        <v>-49.1</v>
      </c>
      <c r="I182" s="10" t="n">
        <f aca="false">H182-G182</f>
        <v>-147.3</v>
      </c>
      <c r="J182" s="9" t="n">
        <f aca="false">IF(AND(G182=0,H182=0),0,IF(G182=0,"New",(H182-G182)/G182))</f>
        <v>-1.5</v>
      </c>
    </row>
    <row r="183" customFormat="false" ht="15" hidden="false" customHeight="false" outlineLevel="0" collapsed="false">
      <c r="A183" s="7" t="s">
        <v>215</v>
      </c>
      <c r="B183" s="7" t="str">
        <f aca="false">IFERROR(INDEX('Source 2026'!$C:$C,MATCH($A183,'Source 2026'!$B:$B,0)),IFERROR(INDEX('Source 2025'!$C:$C,MATCH($A183,'Source 2025'!$B:$B,0)),""))</f>
        <v>.חבישת""הלוקס ולגוס""לאחר נית</v>
      </c>
      <c r="C183" s="8" t="n">
        <f aca="false">SUMIFS('Source 2025'!$Q:$Q,'Source 2025'!$B:$B,$A183,'Source 2025'!$A:$A,"Quantity (units)")</f>
        <v>-2</v>
      </c>
      <c r="D183" s="8" t="n">
        <f aca="false">SUMIFS('Source 2026'!$Q:$Q,'Source 2026'!$B:$B,$A183,'Source 2026'!$A:$A,"Quantity (units)")</f>
        <v>0</v>
      </c>
      <c r="E183" s="8" t="n">
        <f aca="false">D183-C183</f>
        <v>2</v>
      </c>
      <c r="F183" s="9" t="n">
        <f aca="false">IF(AND(C183=0,D183=0),0,IF(C183=0,"New",(D183-C183)/C183))</f>
        <v>-1</v>
      </c>
      <c r="G183" s="10" t="n">
        <f aca="false">SUMIFS('Source 2025'!$Q:$Q,'Source 2025'!$B:$B,$A183,'Source 2025'!$A:$A,"Amount (NIS)")</f>
        <v>-136.3</v>
      </c>
      <c r="H183" s="10" t="n">
        <f aca="false">SUMIFS('Source 2026'!$Q:$Q,'Source 2026'!$B:$B,$A183,'Source 2026'!$A:$A,"Amount (NIS)")</f>
        <v>0</v>
      </c>
      <c r="I183" s="10" t="n">
        <f aca="false">H183-G183</f>
        <v>136.3</v>
      </c>
      <c r="J183" s="9" t="n">
        <f aca="false">IF(AND(G183=0,H183=0),0,IF(G183=0,"New",(H183-G183)/G183))</f>
        <v>-1</v>
      </c>
    </row>
    <row r="184" customFormat="false" ht="15" hidden="false" customHeight="false" outlineLevel="0" collapsed="false">
      <c r="A184" s="7" t="s">
        <v>216</v>
      </c>
      <c r="B184" s="7" t="str">
        <f aca="false">IFERROR(INDEX('Source 2026'!$C:$C,MATCH($A184,'Source 2026'!$B:$B,0)),IFERROR(INDEX('Source 2025'!$C:$C,MATCH($A184,'Source 2025'!$B:$B,0)),""))</f>
        <v>מגן קרסול+כרית סילקון</v>
      </c>
      <c r="C184" s="8" t="n">
        <f aca="false">SUMIFS('Source 2025'!$Q:$Q,'Source 2025'!$B:$B,$A184,'Source 2025'!$A:$A,"Quantity (units)")</f>
        <v>-1</v>
      </c>
      <c r="D184" s="8" t="n">
        <f aca="false">SUMIFS('Source 2026'!$Q:$Q,'Source 2026'!$B:$B,$A184,'Source 2026'!$A:$A,"Quantity (units)")</f>
        <v>0</v>
      </c>
      <c r="E184" s="8" t="n">
        <f aca="false">D184-C184</f>
        <v>1</v>
      </c>
      <c r="F184" s="9" t="n">
        <f aca="false">IF(AND(C184=0,D184=0),0,IF(C184=0,"New",(D184-C184)/C184))</f>
        <v>-1</v>
      </c>
      <c r="G184" s="10" t="n">
        <f aca="false">SUMIFS('Source 2025'!$Q:$Q,'Source 2025'!$B:$B,$A184,'Source 2025'!$A:$A,"Amount (NIS)")</f>
        <v>-131.1</v>
      </c>
      <c r="H184" s="10" t="n">
        <f aca="false">SUMIFS('Source 2026'!$Q:$Q,'Source 2026'!$B:$B,$A184,'Source 2026'!$A:$A,"Amount (NIS)")</f>
        <v>0</v>
      </c>
      <c r="I184" s="10" t="n">
        <f aca="false">H184-G184</f>
        <v>131.1</v>
      </c>
      <c r="J184" s="9" t="n">
        <f aca="false">IF(AND(G184=0,H184=0),0,IF(G184=0,"New",(H184-G184)/G184))</f>
        <v>-1</v>
      </c>
    </row>
    <row r="185" customFormat="false" ht="15" hidden="false" customHeight="false" outlineLevel="0" collapsed="false">
      <c r="A185" s="7" t="s">
        <v>217</v>
      </c>
      <c r="B185" s="7" t="str">
        <f aca="false">IFERROR(INDEX('Source 2026'!$C:$C,MATCH($A185,'Source 2026'!$B:$B,0)),IFERROR(INDEX('Source 2025'!$C:$C,MATCH($A185,'Source 2025'!$B:$B,0)),""))</f>
        <v>מגן קרסול+כרית סילקון</v>
      </c>
      <c r="C185" s="8" t="n">
        <f aca="false">SUMIFS('Source 2025'!$Q:$Q,'Source 2025'!$B:$B,$A185,'Source 2025'!$A:$A,"Quantity (units)")</f>
        <v>-1</v>
      </c>
      <c r="D185" s="8" t="n">
        <f aca="false">SUMIFS('Source 2026'!$Q:$Q,'Source 2026'!$B:$B,$A185,'Source 2026'!$A:$A,"Quantity (units)")</f>
        <v>0</v>
      </c>
      <c r="E185" s="8" t="n">
        <f aca="false">D185-C185</f>
        <v>1</v>
      </c>
      <c r="F185" s="9" t="n">
        <f aca="false">IF(AND(C185=0,D185=0),0,IF(C185=0,"New",(D185-C185)/C185))</f>
        <v>-1</v>
      </c>
      <c r="G185" s="10" t="n">
        <f aca="false">SUMIFS('Source 2025'!$Q:$Q,'Source 2025'!$B:$B,$A185,'Source 2025'!$A:$A,"Amount (NIS)")</f>
        <v>-131.1</v>
      </c>
      <c r="H185" s="10" t="n">
        <f aca="false">SUMIFS('Source 2026'!$Q:$Q,'Source 2026'!$B:$B,$A185,'Source 2026'!$A:$A,"Amount (NIS)")</f>
        <v>0</v>
      </c>
      <c r="I185" s="10" t="n">
        <f aca="false">H185-G185</f>
        <v>131.1</v>
      </c>
      <c r="J185" s="9" t="n">
        <f aca="false">IF(AND(G185=0,H185=0),0,IF(G185=0,"New",(H185-G185)/G185))</f>
        <v>-1</v>
      </c>
    </row>
    <row r="186" customFormat="false" ht="15" hidden="false" customHeight="false" outlineLevel="0" collapsed="false">
      <c r="A186" s="7" t="s">
        <v>218</v>
      </c>
      <c r="B186" s="7" t="str">
        <f aca="false">IFERROR(INDEX('Source 2026'!$C:$C,MATCH($A186,'Source 2026'!$B:$B,0)),IFERROR(INDEX('Source 2025'!$C:$C,MATCH($A186,'Source 2025'!$B:$B,0)),""))</f>
        <v>קרסול+כרית סילקון</v>
      </c>
      <c r="C186" s="8" t="n">
        <f aca="false">SUMIFS('Source 2025'!$Q:$Q,'Source 2025'!$B:$B,$A186,'Source 2025'!$A:$A,"Quantity (units)")</f>
        <v>0</v>
      </c>
      <c r="D186" s="8" t="n">
        <f aca="false">SUMIFS('Source 2026'!$Q:$Q,'Source 2026'!$B:$B,$A186,'Source 2026'!$A:$A,"Quantity (units)")</f>
        <v>-1</v>
      </c>
      <c r="E186" s="8" t="n">
        <f aca="false">D186-C186</f>
        <v>-1</v>
      </c>
      <c r="F186" s="9" t="str">
        <f aca="false">IF(AND(C186=0,D186=0),0,IF(C186=0,"New",(D186-C186)/C186))</f>
        <v>New</v>
      </c>
      <c r="G186" s="10" t="n">
        <f aca="false">SUMIFS('Source 2025'!$Q:$Q,'Source 2025'!$B:$B,$A186,'Source 2025'!$A:$A,"Amount (NIS)")</f>
        <v>0</v>
      </c>
      <c r="H186" s="10" t="n">
        <f aca="false">SUMIFS('Source 2026'!$Q:$Q,'Source 2026'!$B:$B,$A186,'Source 2026'!$A:$A,"Amount (NIS)")</f>
        <v>-131.1</v>
      </c>
      <c r="I186" s="10" t="n">
        <f aca="false">H186-G186</f>
        <v>-131.1</v>
      </c>
      <c r="J186" s="9" t="str">
        <f aca="false">IF(AND(G186=0,H186=0),0,IF(G186=0,"New",(H186-G186)/G186))</f>
        <v>New</v>
      </c>
    </row>
    <row r="187" customFormat="false" ht="15" hidden="false" customHeight="false" outlineLevel="0" collapsed="false">
      <c r="A187" s="7" t="s">
        <v>219</v>
      </c>
      <c r="B187" s="7" t="str">
        <f aca="false">IFERROR(INDEX('Source 2026'!$C:$C,MATCH($A187,'Source 2026'!$B:$B,0)),IFERROR(INDEX('Source 2025'!$C:$C,MATCH($A187,'Source 2025'!$B:$B,0)),""))</f>
        <v>חגורת גב +סגירה כפולה</v>
      </c>
      <c r="C187" s="8" t="n">
        <f aca="false">SUMIFS('Source 2025'!$Q:$Q,'Source 2025'!$B:$B,$A187,'Source 2025'!$A:$A,"Quantity (units)")</f>
        <v>28</v>
      </c>
      <c r="D187" s="8" t="n">
        <f aca="false">SUMIFS('Source 2026'!$Q:$Q,'Source 2026'!$B:$B,$A187,'Source 2026'!$A:$A,"Quantity (units)")</f>
        <v>26</v>
      </c>
      <c r="E187" s="8" t="n">
        <f aca="false">D187-C187</f>
        <v>-2</v>
      </c>
      <c r="F187" s="9" t="n">
        <f aca="false">IF(AND(C187=0,D187=0),0,IF(C187=0,"New",(D187-C187)/C187))</f>
        <v>-0.0714285714285714</v>
      </c>
      <c r="G187" s="10" t="n">
        <f aca="false">SUMIFS('Source 2025'!$Q:$Q,'Source 2025'!$B:$B,$A187,'Source 2025'!$A:$A,"Amount (NIS)")</f>
        <v>2640.1</v>
      </c>
      <c r="H187" s="10" t="n">
        <f aca="false">SUMIFS('Source 2026'!$Q:$Q,'Source 2026'!$B:$B,$A187,'Source 2026'!$A:$A,"Amount (NIS)")</f>
        <v>2509.6</v>
      </c>
      <c r="I187" s="10" t="n">
        <f aca="false">H187-G187</f>
        <v>-130.5</v>
      </c>
      <c r="J187" s="9" t="n">
        <f aca="false">IF(AND(G187=0,H187=0),0,IF(G187=0,"New",(H187-G187)/G187))</f>
        <v>-0.049429945835385</v>
      </c>
    </row>
    <row r="188" customFormat="false" ht="15" hidden="false" customHeight="false" outlineLevel="0" collapsed="false">
      <c r="A188" s="7" t="s">
        <v>220</v>
      </c>
      <c r="B188" s="7" t="str">
        <f aca="false">IFERROR(INDEX('Source 2026'!$C:$C,MATCH($A188,'Source 2026'!$B:$B,0)),IFERROR(INDEX('Source 2025'!$C:$C,MATCH($A188,'Source 2025'!$B:$B,0)),""))</f>
        <v>XL סד לאגודל כפפה</v>
      </c>
      <c r="C188" s="8" t="n">
        <f aca="false">SUMIFS('Source 2025'!$Q:$Q,'Source 2025'!$B:$B,$A188,'Source 2025'!$A:$A,"Quantity (units)")</f>
        <v>2</v>
      </c>
      <c r="D188" s="8" t="n">
        <f aca="false">SUMIFS('Source 2026'!$Q:$Q,'Source 2026'!$B:$B,$A188,'Source 2026'!$A:$A,"Quantity (units)")</f>
        <v>0</v>
      </c>
      <c r="E188" s="8" t="n">
        <f aca="false">D188-C188</f>
        <v>-2</v>
      </c>
      <c r="F188" s="9" t="n">
        <f aca="false">IF(AND(C188=0,D188=0),0,IF(C188=0,"New",(D188-C188)/C188))</f>
        <v>-1</v>
      </c>
      <c r="G188" s="10" t="n">
        <f aca="false">SUMIFS('Source 2025'!$Q:$Q,'Source 2025'!$B:$B,$A188,'Source 2025'!$A:$A,"Amount (NIS)")</f>
        <v>122.8</v>
      </c>
      <c r="H188" s="10" t="n">
        <f aca="false">SUMIFS('Source 2026'!$Q:$Q,'Source 2026'!$B:$B,$A188,'Source 2026'!$A:$A,"Amount (NIS)")</f>
        <v>0</v>
      </c>
      <c r="I188" s="10" t="n">
        <f aca="false">H188-G188</f>
        <v>-122.8</v>
      </c>
      <c r="J188" s="9" t="n">
        <f aca="false">IF(AND(G188=0,H188=0),0,IF(G188=0,"New",(H188-G188)/G188))</f>
        <v>-1</v>
      </c>
    </row>
    <row r="189" customFormat="false" ht="15" hidden="false" customHeight="false" outlineLevel="0" collapsed="false">
      <c r="A189" s="7" t="s">
        <v>221</v>
      </c>
      <c r="B189" s="7" t="str">
        <f aca="false">IFERROR(INDEX('Source 2026'!$C:$C,MATCH($A189,'Source 2026'!$B:$B,0)),IFERROR(INDEX('Source 2025'!$C:$C,MATCH($A189,'Source 2025'!$B:$B,0)),""))</f>
        <v>099 חגורת גב שרוכים</v>
      </c>
      <c r="C189" s="8" t="n">
        <f aca="false">SUMIFS('Source 2025'!$Q:$Q,'Source 2025'!$B:$B,$A189,'Source 2025'!$A:$A,"Quantity (units)")</f>
        <v>0</v>
      </c>
      <c r="D189" s="8" t="n">
        <f aca="false">SUMIFS('Source 2026'!$Q:$Q,'Source 2026'!$B:$B,$A189,'Source 2026'!$A:$A,"Quantity (units)")</f>
        <v>-1</v>
      </c>
      <c r="E189" s="8" t="n">
        <f aca="false">D189-C189</f>
        <v>-1</v>
      </c>
      <c r="F189" s="9" t="str">
        <f aca="false">IF(AND(C189=0,D189=0),0,IF(C189=0,"New",(D189-C189)/C189))</f>
        <v>New</v>
      </c>
      <c r="G189" s="10" t="n">
        <f aca="false">SUMIFS('Source 2025'!$Q:$Q,'Source 2025'!$B:$B,$A189,'Source 2025'!$A:$A,"Amount (NIS)")</f>
        <v>0</v>
      </c>
      <c r="H189" s="10" t="n">
        <f aca="false">SUMIFS('Source 2026'!$Q:$Q,'Source 2026'!$B:$B,$A189,'Source 2026'!$A:$A,"Amount (NIS)")</f>
        <v>-118.8</v>
      </c>
      <c r="I189" s="10" t="n">
        <f aca="false">H189-G189</f>
        <v>-118.8</v>
      </c>
      <c r="J189" s="9" t="str">
        <f aca="false">IF(AND(G189=0,H189=0),0,IF(G189=0,"New",(H189-G189)/G189))</f>
        <v>New</v>
      </c>
    </row>
    <row r="190" customFormat="false" ht="15" hidden="false" customHeight="false" outlineLevel="0" collapsed="false">
      <c r="A190" s="7" t="s">
        <v>222</v>
      </c>
      <c r="B190" s="7" t="str">
        <f aca="false">IFERROR(INDEX('Source 2026'!$C:$C,MATCH($A190,'Source 2026'!$B:$B,0)),IFERROR(INDEX('Source 2025'!$C:$C,MATCH($A190,'Source 2025'!$B:$B,0)),""))</f>
        <v>099 חגורת גב שרוכים</v>
      </c>
      <c r="C190" s="8" t="n">
        <f aca="false">SUMIFS('Source 2025'!$Q:$Q,'Source 2025'!$B:$B,$A190,'Source 2025'!$A:$A,"Quantity (units)")</f>
        <v>0</v>
      </c>
      <c r="D190" s="8" t="n">
        <f aca="false">SUMIFS('Source 2026'!$Q:$Q,'Source 2026'!$B:$B,$A190,'Source 2026'!$A:$A,"Quantity (units)")</f>
        <v>-1</v>
      </c>
      <c r="E190" s="8" t="n">
        <f aca="false">D190-C190</f>
        <v>-1</v>
      </c>
      <c r="F190" s="9" t="str">
        <f aca="false">IF(AND(C190=0,D190=0),0,IF(C190=0,"New",(D190-C190)/C190))</f>
        <v>New</v>
      </c>
      <c r="G190" s="10" t="n">
        <f aca="false">SUMIFS('Source 2025'!$Q:$Q,'Source 2025'!$B:$B,$A190,'Source 2025'!$A:$A,"Amount (NIS)")</f>
        <v>0</v>
      </c>
      <c r="H190" s="10" t="n">
        <f aca="false">SUMIFS('Source 2026'!$Q:$Q,'Source 2026'!$B:$B,$A190,'Source 2026'!$A:$A,"Amount (NIS)")</f>
        <v>-118.8</v>
      </c>
      <c r="I190" s="10" t="n">
        <f aca="false">H190-G190</f>
        <v>-118.8</v>
      </c>
      <c r="J190" s="9" t="str">
        <f aca="false">IF(AND(G190=0,H190=0),0,IF(G190=0,"New",(H190-G190)/G190))</f>
        <v>New</v>
      </c>
    </row>
    <row r="191" customFormat="false" ht="15" hidden="false" customHeight="false" outlineLevel="0" collapsed="false">
      <c r="A191" s="7" t="s">
        <v>223</v>
      </c>
      <c r="B191" s="7" t="str">
        <f aca="false">IFERROR(INDEX('Source 2026'!$C:$C,MATCH($A191,'Source 2026'!$B:$B,0)),IFERROR(INDEX('Source 2025'!$C:$C,MATCH($A191,'Source 2025'!$B:$B,0)),""))</f>
        <v>L מגן ברך מוצלב+מוט</v>
      </c>
      <c r="C191" s="8" t="n">
        <f aca="false">SUMIFS('Source 2025'!$Q:$Q,'Source 2025'!$B:$B,$A191,'Source 2025'!$A:$A,"Quantity (units)")</f>
        <v>-1</v>
      </c>
      <c r="D191" s="8" t="n">
        <f aca="false">SUMIFS('Source 2026'!$Q:$Q,'Source 2026'!$B:$B,$A191,'Source 2026'!$A:$A,"Quantity (units)")</f>
        <v>-2</v>
      </c>
      <c r="E191" s="8" t="n">
        <f aca="false">D191-C191</f>
        <v>-1</v>
      </c>
      <c r="F191" s="9" t="n">
        <f aca="false">IF(AND(C191=0,D191=0),0,IF(C191=0,"New",(D191-C191)/C191))</f>
        <v>1</v>
      </c>
      <c r="G191" s="10" t="n">
        <f aca="false">SUMIFS('Source 2025'!$Q:$Q,'Source 2025'!$B:$B,$A191,'Source 2025'!$A:$A,"Amount (NIS)")</f>
        <v>-116.7</v>
      </c>
      <c r="H191" s="10" t="n">
        <f aca="false">SUMIFS('Source 2026'!$Q:$Q,'Source 2026'!$B:$B,$A191,'Source 2026'!$A:$A,"Amount (NIS)")</f>
        <v>-233.4</v>
      </c>
      <c r="I191" s="10" t="n">
        <f aca="false">H191-G191</f>
        <v>-116.7</v>
      </c>
      <c r="J191" s="9" t="n">
        <f aca="false">IF(AND(G191=0,H191=0),0,IF(G191=0,"New",(H191-G191)/G191))</f>
        <v>1</v>
      </c>
    </row>
    <row r="192" customFormat="false" ht="15" hidden="false" customHeight="false" outlineLevel="0" collapsed="false">
      <c r="A192" s="7" t="s">
        <v>224</v>
      </c>
      <c r="B192" s="7" t="str">
        <f aca="false">IFERROR(INDEX('Source 2026'!$C:$C,MATCH($A192,'Source 2026'!$B:$B,0)),IFERROR(INDEX('Source 2025'!$C:$C,MATCH($A192,'Source 2025'!$B:$B,0)),""))</f>
        <v>סד לקרסול עם כריות אויר</v>
      </c>
      <c r="C192" s="8" t="n">
        <f aca="false">SUMIFS('Source 2025'!$Q:$Q,'Source 2025'!$B:$B,$A192,'Source 2025'!$A:$A,"Quantity (units)")</f>
        <v>1</v>
      </c>
      <c r="D192" s="8" t="n">
        <f aca="false">SUMIFS('Source 2026'!$Q:$Q,'Source 2026'!$B:$B,$A192,'Source 2026'!$A:$A,"Quantity (units)")</f>
        <v>4</v>
      </c>
      <c r="E192" s="8" t="n">
        <f aca="false">D192-C192</f>
        <v>3</v>
      </c>
      <c r="F192" s="9" t="n">
        <f aca="false">IF(AND(C192=0,D192=0),0,IF(C192=0,"New",(D192-C192)/C192))</f>
        <v>3</v>
      </c>
      <c r="G192" s="10" t="n">
        <f aca="false">SUMIFS('Source 2025'!$Q:$Q,'Source 2025'!$B:$B,$A192,'Source 2025'!$A:$A,"Amount (NIS)")</f>
        <v>143.4</v>
      </c>
      <c r="H192" s="10" t="n">
        <f aca="false">SUMIFS('Source 2026'!$Q:$Q,'Source 2026'!$B:$B,$A192,'Source 2026'!$A:$A,"Amount (NIS)")</f>
        <v>257.2</v>
      </c>
      <c r="I192" s="10" t="n">
        <f aca="false">H192-G192</f>
        <v>113.8</v>
      </c>
      <c r="J192" s="9" t="n">
        <f aca="false">IF(AND(G192=0,H192=0),0,IF(G192=0,"New",(H192-G192)/G192))</f>
        <v>0.793584379358438</v>
      </c>
    </row>
    <row r="193" customFormat="false" ht="15" hidden="false" customHeight="false" outlineLevel="0" collapsed="false">
      <c r="A193" s="7" t="s">
        <v>225</v>
      </c>
      <c r="B193" s="7" t="str">
        <f aca="false">IFERROR(INDEX('Source 2026'!$C:$C,MATCH($A193,'Source 2026'!$B:$B,0)),IFERROR(INDEX('Source 2025'!$C:$C,MATCH($A193,'Source 2025'!$B:$B,0)),""))</f>
        <v>ריפוד סיליקון לנעלי אצבע</v>
      </c>
      <c r="C193" s="8" t="n">
        <f aca="false">SUMIFS('Source 2025'!$Q:$Q,'Source 2025'!$B:$B,$A193,'Source 2025'!$A:$A,"Quantity (units)")</f>
        <v>-3</v>
      </c>
      <c r="D193" s="8" t="n">
        <f aca="false">SUMIFS('Source 2026'!$Q:$Q,'Source 2026'!$B:$B,$A193,'Source 2026'!$A:$A,"Quantity (units)")</f>
        <v>1</v>
      </c>
      <c r="E193" s="8" t="n">
        <f aca="false">D193-C193</f>
        <v>4</v>
      </c>
      <c r="F193" s="9" t="n">
        <f aca="false">IF(AND(C193=0,D193=0),0,IF(C193=0,"New",(D193-C193)/C193))</f>
        <v>-1.33333333333333</v>
      </c>
      <c r="G193" s="10" t="n">
        <f aca="false">SUMIFS('Source 2025'!$Q:$Q,'Source 2025'!$B:$B,$A193,'Source 2025'!$A:$A,"Amount (NIS)")</f>
        <v>-85.8</v>
      </c>
      <c r="H193" s="10" t="n">
        <f aca="false">SUMIFS('Source 2026'!$Q:$Q,'Source 2026'!$B:$B,$A193,'Source 2026'!$A:$A,"Amount (NIS)")</f>
        <v>24.3</v>
      </c>
      <c r="I193" s="10" t="n">
        <f aca="false">H193-G193</f>
        <v>110.1</v>
      </c>
      <c r="J193" s="9" t="n">
        <f aca="false">IF(AND(G193=0,H193=0),0,IF(G193=0,"New",(H193-G193)/G193))</f>
        <v>-1.28321678321678</v>
      </c>
    </row>
    <row r="194" customFormat="false" ht="15" hidden="false" customHeight="false" outlineLevel="0" collapsed="false">
      <c r="A194" s="7" t="s">
        <v>226</v>
      </c>
      <c r="B194" s="7" t="str">
        <f aca="false">IFERROR(INDEX('Source 2026'!$C:$C,MATCH($A194,'Source 2026'!$B:$B,0)),IFERROR(INDEX('Source 2025'!$C:$C,MATCH($A194,'Source 2025'!$B:$B,0)),""))</f>
        <v>קרסול עם שרוכים בז</v>
      </c>
      <c r="C194" s="8" t="n">
        <f aca="false">SUMIFS('Source 2025'!$Q:$Q,'Source 2025'!$B:$B,$A194,'Source 2025'!$A:$A,"Quantity (units)")</f>
        <v>-1</v>
      </c>
      <c r="D194" s="8" t="n">
        <f aca="false">SUMIFS('Source 2026'!$Q:$Q,'Source 2026'!$B:$B,$A194,'Source 2026'!$A:$A,"Quantity (units)")</f>
        <v>0</v>
      </c>
      <c r="E194" s="8" t="n">
        <f aca="false">D194-C194</f>
        <v>1</v>
      </c>
      <c r="F194" s="9" t="n">
        <f aca="false">IF(AND(C194=0,D194=0),0,IF(C194=0,"New",(D194-C194)/C194))</f>
        <v>-1</v>
      </c>
      <c r="G194" s="10" t="n">
        <f aca="false">SUMIFS('Source 2025'!$Q:$Q,'Source 2025'!$B:$B,$A194,'Source 2025'!$A:$A,"Amount (NIS)")</f>
        <v>-106.5</v>
      </c>
      <c r="H194" s="10" t="n">
        <f aca="false">SUMIFS('Source 2026'!$Q:$Q,'Source 2026'!$B:$B,$A194,'Source 2026'!$A:$A,"Amount (NIS)")</f>
        <v>0</v>
      </c>
      <c r="I194" s="10" t="n">
        <f aca="false">H194-G194</f>
        <v>106.5</v>
      </c>
      <c r="J194" s="9" t="n">
        <f aca="false">IF(AND(G194=0,H194=0),0,IF(G194=0,"New",(H194-G194)/G194))</f>
        <v>-1</v>
      </c>
    </row>
    <row r="195" customFormat="false" ht="15" hidden="false" customHeight="false" outlineLevel="0" collapsed="false">
      <c r="A195" s="7" t="s">
        <v>227</v>
      </c>
      <c r="B195" s="7" t="str">
        <f aca="false">IFERROR(INDEX('Source 2026'!$C:$C,MATCH($A195,'Source 2026'!$B:$B,0)),IFERROR(INDEX('Source 2025'!$C:$C,MATCH($A195,'Source 2025'!$B:$B,0)),""))</f>
        <v>קרסול עם שרוכים בז</v>
      </c>
      <c r="C195" s="8" t="n">
        <f aca="false">SUMIFS('Source 2025'!$Q:$Q,'Source 2025'!$B:$B,$A195,'Source 2025'!$A:$A,"Quantity (units)")</f>
        <v>-1</v>
      </c>
      <c r="D195" s="8" t="n">
        <f aca="false">SUMIFS('Source 2026'!$Q:$Q,'Source 2026'!$B:$B,$A195,'Source 2026'!$A:$A,"Quantity (units)")</f>
        <v>0</v>
      </c>
      <c r="E195" s="8" t="n">
        <f aca="false">D195-C195</f>
        <v>1</v>
      </c>
      <c r="F195" s="9" t="n">
        <f aca="false">IF(AND(C195=0,D195=0),0,IF(C195=0,"New",(D195-C195)/C195))</f>
        <v>-1</v>
      </c>
      <c r="G195" s="10" t="n">
        <f aca="false">SUMIFS('Source 2025'!$Q:$Q,'Source 2025'!$B:$B,$A195,'Source 2025'!$A:$A,"Amount (NIS)")</f>
        <v>-106.5</v>
      </c>
      <c r="H195" s="10" t="n">
        <f aca="false">SUMIFS('Source 2026'!$Q:$Q,'Source 2026'!$B:$B,$A195,'Source 2026'!$A:$A,"Amount (NIS)")</f>
        <v>0</v>
      </c>
      <c r="I195" s="10" t="n">
        <f aca="false">H195-G195</f>
        <v>106.5</v>
      </c>
      <c r="J195" s="9" t="n">
        <f aca="false">IF(AND(G195=0,H195=0),0,IF(G195=0,"New",(H195-G195)/G195))</f>
        <v>-1</v>
      </c>
    </row>
    <row r="196" customFormat="false" ht="15" hidden="false" customHeight="false" outlineLevel="0" collapsed="false">
      <c r="A196" s="7" t="s">
        <v>228</v>
      </c>
      <c r="B196" s="7" t="str">
        <f aca="false">IFERROR(INDEX('Source 2026'!$C:$C,MATCH($A196,'Source 2026'!$B:$B,0)),IFERROR(INDEX('Source 2025'!$C:$C,MATCH($A196,'Source 2025'!$B:$B,0)),""))</f>
        <v>קרסול עם שרוכים בז</v>
      </c>
      <c r="C196" s="8" t="n">
        <f aca="false">SUMIFS('Source 2025'!$Q:$Q,'Source 2025'!$B:$B,$A196,'Source 2025'!$A:$A,"Quantity (units)")</f>
        <v>-1</v>
      </c>
      <c r="D196" s="8" t="n">
        <f aca="false">SUMIFS('Source 2026'!$Q:$Q,'Source 2026'!$B:$B,$A196,'Source 2026'!$A:$A,"Quantity (units)")</f>
        <v>0</v>
      </c>
      <c r="E196" s="8" t="n">
        <f aca="false">D196-C196</f>
        <v>1</v>
      </c>
      <c r="F196" s="9" t="n">
        <f aca="false">IF(AND(C196=0,D196=0),0,IF(C196=0,"New",(D196-C196)/C196))</f>
        <v>-1</v>
      </c>
      <c r="G196" s="10" t="n">
        <f aca="false">SUMIFS('Source 2025'!$Q:$Q,'Source 2025'!$B:$B,$A196,'Source 2025'!$A:$A,"Amount (NIS)")</f>
        <v>-106.5</v>
      </c>
      <c r="H196" s="10" t="n">
        <f aca="false">SUMIFS('Source 2026'!$Q:$Q,'Source 2026'!$B:$B,$A196,'Source 2026'!$A:$A,"Amount (NIS)")</f>
        <v>0</v>
      </c>
      <c r="I196" s="10" t="n">
        <f aca="false">H196-G196</f>
        <v>106.5</v>
      </c>
      <c r="J196" s="9" t="n">
        <f aca="false">IF(AND(G196=0,H196=0),0,IF(G196=0,"New",(H196-G196)/G196))</f>
        <v>-1</v>
      </c>
    </row>
    <row r="197" customFormat="false" ht="15" hidden="false" customHeight="false" outlineLevel="0" collapsed="false">
      <c r="A197" s="7" t="s">
        <v>229</v>
      </c>
      <c r="B197" s="7" t="str">
        <f aca="false">IFERROR(INDEX('Source 2026'!$C:$C,MATCH($A197,'Source 2026'!$B:$B,0)),IFERROR(INDEX('Source 2025'!$C:$C,MATCH($A197,'Source 2025'!$B:$B,0)),""))</f>
        <v>Lעקבים סיליקון כחול לדורבן</v>
      </c>
      <c r="C197" s="8" t="n">
        <f aca="false">SUMIFS('Source 2025'!$Q:$Q,'Source 2025'!$B:$B,$A197,'Source 2025'!$A:$A,"Quantity (units)")</f>
        <v>-5</v>
      </c>
      <c r="D197" s="8" t="n">
        <f aca="false">SUMIFS('Source 2026'!$Q:$Q,'Source 2026'!$B:$B,$A197,'Source 2026'!$A:$A,"Quantity (units)")</f>
        <v>-3</v>
      </c>
      <c r="E197" s="8" t="n">
        <f aca="false">D197-C197</f>
        <v>2</v>
      </c>
      <c r="F197" s="9" t="n">
        <f aca="false">IF(AND(C197=0,D197=0),0,IF(C197=0,"New",(D197-C197)/C197))</f>
        <v>-0.4</v>
      </c>
      <c r="G197" s="10" t="n">
        <f aca="false">SUMIFS('Source 2025'!$Q:$Q,'Source 2025'!$B:$B,$A197,'Source 2025'!$A:$A,"Amount (NIS)")</f>
        <v>-245.6</v>
      </c>
      <c r="H197" s="10" t="n">
        <f aca="false">SUMIFS('Source 2026'!$Q:$Q,'Source 2026'!$B:$B,$A197,'Source 2026'!$A:$A,"Amount (NIS)")</f>
        <v>-149.4</v>
      </c>
      <c r="I197" s="10" t="n">
        <f aca="false">H197-G197</f>
        <v>96.2</v>
      </c>
      <c r="J197" s="9" t="n">
        <f aca="false">IF(AND(G197=0,H197=0),0,IF(G197=0,"New",(H197-G197)/G197))</f>
        <v>-0.391693811074919</v>
      </c>
    </row>
    <row r="198" customFormat="false" ht="15" hidden="false" customHeight="false" outlineLevel="0" collapsed="false">
      <c r="A198" s="7" t="s">
        <v>230</v>
      </c>
      <c r="B198" s="7" t="str">
        <f aca="false">IFERROR(INDEX('Source 2026'!$C:$C,MATCH($A198,'Source 2026'!$B:$B,0)),IFERROR(INDEX('Source 2025'!$C:$C,MATCH($A198,'Source 2025'!$B:$B,0)),""))</f>
        <v>S מגן ברך רגיל</v>
      </c>
      <c r="C198" s="8" t="n">
        <f aca="false">SUMIFS('Source 2025'!$Q:$Q,'Source 2025'!$B:$B,$A198,'Source 2025'!$A:$A,"Quantity (units)")</f>
        <v>25</v>
      </c>
      <c r="D198" s="8" t="n">
        <f aca="false">SUMIFS('Source 2026'!$Q:$Q,'Source 2026'!$B:$B,$A198,'Source 2026'!$A:$A,"Quantity (units)")</f>
        <v>24</v>
      </c>
      <c r="E198" s="8" t="n">
        <f aca="false">D198-C198</f>
        <v>-1</v>
      </c>
      <c r="F198" s="9" t="n">
        <f aca="false">IF(AND(C198=0,D198=0),0,IF(C198=0,"New",(D198-C198)/C198))</f>
        <v>-0.04</v>
      </c>
      <c r="G198" s="10" t="n">
        <f aca="false">SUMIFS('Source 2025'!$Q:$Q,'Source 2025'!$B:$B,$A198,'Source 2025'!$A:$A,"Amount (NIS)")</f>
        <v>2254.3</v>
      </c>
      <c r="H198" s="10" t="n">
        <f aca="false">SUMIFS('Source 2026'!$Q:$Q,'Source 2026'!$B:$B,$A198,'Source 2026'!$A:$A,"Amount (NIS)")</f>
        <v>2159.2</v>
      </c>
      <c r="I198" s="10" t="n">
        <f aca="false">H198-G198</f>
        <v>-95.0999999999999</v>
      </c>
      <c r="J198" s="9" t="n">
        <f aca="false">IF(AND(G198=0,H198=0),0,IF(G198=0,"New",(H198-G198)/G198))</f>
        <v>-0.0421860444483875</v>
      </c>
    </row>
    <row r="199" customFormat="false" ht="15" hidden="false" customHeight="false" outlineLevel="0" collapsed="false">
      <c r="A199" s="7" t="s">
        <v>231</v>
      </c>
      <c r="B199" s="7" t="str">
        <f aca="false">IFERROR(INDEX('Source 2026'!$C:$C,MATCH($A199,'Source 2026'!$B:$B,0)),IFERROR(INDEX('Source 2025'!$C:$C,MATCH($A199,'Source 2025'!$B:$B,0)),""))</f>
        <v>L-XL 'סד יד שמאל בז</v>
      </c>
      <c r="C199" s="8" t="n">
        <f aca="false">SUMIFS('Source 2025'!$Q:$Q,'Source 2025'!$B:$B,$A199,'Source 2025'!$A:$A,"Quantity (units)")</f>
        <v>-2</v>
      </c>
      <c r="D199" s="8" t="n">
        <f aca="false">SUMIFS('Source 2026'!$Q:$Q,'Source 2026'!$B:$B,$A199,'Source 2026'!$A:$A,"Quantity (units)")</f>
        <v>-1</v>
      </c>
      <c r="E199" s="8" t="n">
        <f aca="false">D199-C199</f>
        <v>1</v>
      </c>
      <c r="F199" s="9" t="n">
        <f aca="false">IF(AND(C199=0,D199=0),0,IF(C199=0,"New",(D199-C199)/C199))</f>
        <v>-0.5</v>
      </c>
      <c r="G199" s="10" t="n">
        <f aca="false">SUMIFS('Source 2025'!$Q:$Q,'Source 2025'!$B:$B,$A199,'Source 2025'!$A:$A,"Amount (NIS)")</f>
        <v>-188.4</v>
      </c>
      <c r="H199" s="10" t="n">
        <f aca="false">SUMIFS('Source 2026'!$Q:$Q,'Source 2026'!$B:$B,$A199,'Source 2026'!$A:$A,"Amount (NIS)")</f>
        <v>-94.2</v>
      </c>
      <c r="I199" s="10" t="n">
        <f aca="false">H199-G199</f>
        <v>94.2</v>
      </c>
      <c r="J199" s="9" t="n">
        <f aca="false">IF(AND(G199=0,H199=0),0,IF(G199=0,"New",(H199-G199)/G199))</f>
        <v>-0.5</v>
      </c>
    </row>
    <row r="200" customFormat="false" ht="15" hidden="false" customHeight="false" outlineLevel="0" collapsed="false">
      <c r="A200" s="7" t="s">
        <v>232</v>
      </c>
      <c r="B200" s="7" t="str">
        <f aca="false">IFERROR(INDEX('Source 2026'!$C:$C,MATCH($A200,'Source 2026'!$B:$B,0)),IFERROR(INDEX('Source 2025'!$C:$C,MATCH($A200,'Source 2025'!$B:$B,0)),""))</f>
        <v>R-M סד ליד ימין</v>
      </c>
      <c r="C200" s="8" t="n">
        <f aca="false">SUMIFS('Source 2025'!$Q:$Q,'Source 2025'!$B:$B,$A200,'Source 2025'!$A:$A,"Quantity (units)")</f>
        <v>0</v>
      </c>
      <c r="D200" s="8" t="n">
        <f aca="false">SUMIFS('Source 2026'!$Q:$Q,'Source 2026'!$B:$B,$A200,'Source 2026'!$A:$A,"Quantity (units)")</f>
        <v>-1</v>
      </c>
      <c r="E200" s="8" t="n">
        <f aca="false">D200-C200</f>
        <v>-1</v>
      </c>
      <c r="F200" s="9" t="str">
        <f aca="false">IF(AND(C200=0,D200=0),0,IF(C200=0,"New",(D200-C200)/C200))</f>
        <v>New</v>
      </c>
      <c r="G200" s="10" t="n">
        <f aca="false">SUMIFS('Source 2025'!$Q:$Q,'Source 2025'!$B:$B,$A200,'Source 2025'!$A:$A,"Amount (NIS)")</f>
        <v>0</v>
      </c>
      <c r="H200" s="10" t="n">
        <f aca="false">SUMIFS('Source 2026'!$Q:$Q,'Source 2026'!$B:$B,$A200,'Source 2026'!$A:$A,"Amount (NIS)")</f>
        <v>-90.1</v>
      </c>
      <c r="I200" s="10" t="n">
        <f aca="false">H200-G200</f>
        <v>-90.1</v>
      </c>
      <c r="J200" s="9" t="str">
        <f aca="false">IF(AND(G200=0,H200=0),0,IF(G200=0,"New",(H200-G200)/G200))</f>
        <v>New</v>
      </c>
    </row>
    <row r="201" customFormat="false" ht="15" hidden="false" customHeight="false" outlineLevel="0" collapsed="false">
      <c r="A201" s="7" t="s">
        <v>233</v>
      </c>
      <c r="B201" s="7" t="str">
        <f aca="false">IFERROR(INDEX('Source 2026'!$C:$C,MATCH($A201,'Source 2026'!$B:$B,0)),IFERROR(INDEX('Source 2025'!$C:$C,MATCH($A201,'Source 2025'!$B:$B,0)),""))</f>
        <v>צוארון ספוגי</v>
      </c>
      <c r="C201" s="8" t="n">
        <f aca="false">SUMIFS('Source 2025'!$Q:$Q,'Source 2025'!$B:$B,$A201,'Source 2025'!$A:$A,"Quantity (units)")</f>
        <v>-3</v>
      </c>
      <c r="D201" s="8" t="n">
        <f aca="false">SUMIFS('Source 2026'!$Q:$Q,'Source 2026'!$B:$B,$A201,'Source 2026'!$A:$A,"Quantity (units)")</f>
        <v>0</v>
      </c>
      <c r="E201" s="8" t="n">
        <f aca="false">D201-C201</f>
        <v>3</v>
      </c>
      <c r="F201" s="9" t="n">
        <f aca="false">IF(AND(C201=0,D201=0),0,IF(C201=0,"New",(D201-C201)/C201))</f>
        <v>-1</v>
      </c>
      <c r="G201" s="10" t="n">
        <f aca="false">SUMIFS('Source 2025'!$Q:$Q,'Source 2025'!$B:$B,$A201,'Source 2025'!$A:$A,"Amount (NIS)")</f>
        <v>-90</v>
      </c>
      <c r="H201" s="10" t="n">
        <f aca="false">SUMIFS('Source 2026'!$Q:$Q,'Source 2026'!$B:$B,$A201,'Source 2026'!$A:$A,"Amount (NIS)")</f>
        <v>0</v>
      </c>
      <c r="I201" s="10" t="n">
        <f aca="false">H201-G201</f>
        <v>90</v>
      </c>
      <c r="J201" s="9" t="n">
        <f aca="false">IF(AND(G201=0,H201=0),0,IF(G201=0,"New",(H201-G201)/G201))</f>
        <v>-1</v>
      </c>
    </row>
    <row r="202" customFormat="false" ht="15" hidden="false" customHeight="false" outlineLevel="0" collapsed="false">
      <c r="A202" s="7" t="s">
        <v>234</v>
      </c>
      <c r="B202" s="7" t="str">
        <f aca="false">IFERROR(INDEX('Source 2026'!$C:$C,MATCH($A202,'Source 2026'!$B:$B,0)),IFERROR(INDEX('Source 2025'!$C:$C,MATCH($A202,'Source 2025'!$B:$B,0)),""))</f>
        <v>להסרת עור קשה</v>
      </c>
      <c r="C202" s="8" t="n">
        <f aca="false">SUMIFS('Source 2025'!$Q:$Q,'Source 2025'!$B:$B,$A202,'Source 2025'!$A:$A,"Quantity (units)")</f>
        <v>0</v>
      </c>
      <c r="D202" s="8" t="n">
        <f aca="false">SUMIFS('Source 2026'!$Q:$Q,'Source 2026'!$B:$B,$A202,'Source 2026'!$A:$A,"Quantity (units)")</f>
        <v>-4</v>
      </c>
      <c r="E202" s="8" t="n">
        <f aca="false">D202-C202</f>
        <v>-4</v>
      </c>
      <c r="F202" s="9" t="str">
        <f aca="false">IF(AND(C202=0,D202=0),0,IF(C202=0,"New",(D202-C202)/C202))</f>
        <v>New</v>
      </c>
      <c r="G202" s="10" t="n">
        <f aca="false">SUMIFS('Source 2025'!$Q:$Q,'Source 2025'!$B:$B,$A202,'Source 2025'!$A:$A,"Amount (NIS)")</f>
        <v>0</v>
      </c>
      <c r="H202" s="10" t="n">
        <f aca="false">SUMIFS('Source 2026'!$Q:$Q,'Source 2026'!$B:$B,$A202,'Source 2026'!$A:$A,"Amount (NIS)")</f>
        <v>-81.2</v>
      </c>
      <c r="I202" s="10" t="n">
        <f aca="false">H202-G202</f>
        <v>-81.2</v>
      </c>
      <c r="J202" s="9" t="str">
        <f aca="false">IF(AND(G202=0,H202=0),0,IF(G202=0,"New",(H202-G202)/G202))</f>
        <v>New</v>
      </c>
    </row>
    <row r="203" customFormat="false" ht="15" hidden="false" customHeight="false" outlineLevel="0" collapsed="false">
      <c r="A203" s="7" t="s">
        <v>235</v>
      </c>
      <c r="B203" s="7" t="str">
        <f aca="false">IFERROR(INDEX('Source 2026'!$C:$C,MATCH($A203,'Source 2026'!$B:$B,0)),IFERROR(INDEX('Source 2025'!$C:$C,MATCH($A203,'Source 2025'!$B:$B,0)),""))</f>
        <v>S'תתחגורת בטן עממית בז</v>
      </c>
      <c r="C203" s="8" t="n">
        <f aca="false">SUMIFS('Source 2025'!$Q:$Q,'Source 2025'!$B:$B,$A203,'Source 2025'!$A:$A,"Quantity (units)")</f>
        <v>0</v>
      </c>
      <c r="D203" s="8" t="n">
        <f aca="false">SUMIFS('Source 2026'!$Q:$Q,'Source 2026'!$B:$B,$A203,'Source 2026'!$A:$A,"Quantity (units)")</f>
        <v>-1</v>
      </c>
      <c r="E203" s="8" t="n">
        <f aca="false">D203-C203</f>
        <v>-1</v>
      </c>
      <c r="F203" s="9" t="str">
        <f aca="false">IF(AND(C203=0,D203=0),0,IF(C203=0,"New",(D203-C203)/C203))</f>
        <v>New</v>
      </c>
      <c r="G203" s="10" t="n">
        <f aca="false">SUMIFS('Source 2025'!$Q:$Q,'Source 2025'!$B:$B,$A203,'Source 2025'!$A:$A,"Amount (NIS)")</f>
        <v>0</v>
      </c>
      <c r="H203" s="10" t="n">
        <f aca="false">SUMIFS('Source 2026'!$Q:$Q,'Source 2026'!$B:$B,$A203,'Source 2026'!$A:$A,"Amount (NIS)")</f>
        <v>-77.8</v>
      </c>
      <c r="I203" s="10" t="n">
        <f aca="false">H203-G203</f>
        <v>-77.8</v>
      </c>
      <c r="J203" s="9" t="str">
        <f aca="false">IF(AND(G203=0,H203=0),0,IF(G203=0,"New",(H203-G203)/G203))</f>
        <v>New</v>
      </c>
    </row>
    <row r="204" customFormat="false" ht="15" hidden="false" customHeight="false" outlineLevel="0" collapsed="false">
      <c r="A204" s="7" t="s">
        <v>236</v>
      </c>
      <c r="B204" s="7" t="str">
        <f aca="false">IFERROR(INDEX('Source 2026'!$C:$C,MATCH($A204,'Source 2026'!$B:$B,0)),IFERROR(INDEX('Source 2025'!$C:$C,MATCH($A204,'Source 2025'!$B:$B,0)),""))</f>
        <v>רצועת פיקה לברך</v>
      </c>
      <c r="C204" s="8" t="n">
        <f aca="false">SUMIFS('Source 2025'!$Q:$Q,'Source 2025'!$B:$B,$A204,'Source 2025'!$A:$A,"Quantity (units)")</f>
        <v>-1</v>
      </c>
      <c r="D204" s="8" t="n">
        <f aca="false">SUMIFS('Source 2026'!$Q:$Q,'Source 2026'!$B:$B,$A204,'Source 2026'!$A:$A,"Quantity (units)")</f>
        <v>-2</v>
      </c>
      <c r="E204" s="8" t="n">
        <f aca="false">D204-C204</f>
        <v>-1</v>
      </c>
      <c r="F204" s="9" t="n">
        <f aca="false">IF(AND(C204=0,D204=0),0,IF(C204=0,"New",(D204-C204)/C204))</f>
        <v>1</v>
      </c>
      <c r="G204" s="10" t="n">
        <f aca="false">SUMIFS('Source 2025'!$Q:$Q,'Source 2025'!$B:$B,$A204,'Source 2025'!$A:$A,"Amount (NIS)")</f>
        <v>-73.9</v>
      </c>
      <c r="H204" s="10" t="n">
        <f aca="false">SUMIFS('Source 2026'!$Q:$Q,'Source 2026'!$B:$B,$A204,'Source 2026'!$A:$A,"Amount (NIS)")</f>
        <v>-147.8</v>
      </c>
      <c r="I204" s="10" t="n">
        <f aca="false">H204-G204</f>
        <v>-73.9</v>
      </c>
      <c r="J204" s="9" t="n">
        <f aca="false">IF(AND(G204=0,H204=0),0,IF(G204=0,"New",(H204-G204)/G204))</f>
        <v>1</v>
      </c>
    </row>
    <row r="205" customFormat="false" ht="15" hidden="false" customHeight="false" outlineLevel="0" collapsed="false">
      <c r="A205" s="7" t="s">
        <v>237</v>
      </c>
      <c r="B205" s="7" t="str">
        <f aca="false">IFERROR(INDEX('Source 2026'!$C:$C,MATCH($A205,'Source 2026'!$B:$B,0)),IFERROR(INDEX('Source 2025'!$C:$C,MATCH($A205,'Source 2025'!$B:$B,0)),""))</f>
        <v>L מתלה אשכים לספורטאים</v>
      </c>
      <c r="C205" s="8" t="n">
        <f aca="false">SUMIFS('Source 2025'!$Q:$Q,'Source 2025'!$B:$B,$A205,'Source 2025'!$A:$A,"Quantity (units)")</f>
        <v>-1</v>
      </c>
      <c r="D205" s="8" t="n">
        <f aca="false">SUMIFS('Source 2026'!$Q:$Q,'Source 2026'!$B:$B,$A205,'Source 2026'!$A:$A,"Quantity (units)")</f>
        <v>0</v>
      </c>
      <c r="E205" s="8" t="n">
        <f aca="false">D205-C205</f>
        <v>1</v>
      </c>
      <c r="F205" s="9" t="n">
        <f aca="false">IF(AND(C205=0,D205=0),0,IF(C205=0,"New",(D205-C205)/C205))</f>
        <v>-1</v>
      </c>
      <c r="G205" s="10" t="n">
        <f aca="false">SUMIFS('Source 2025'!$Q:$Q,'Source 2025'!$B:$B,$A205,'Source 2025'!$A:$A,"Amount (NIS)")</f>
        <v>-71.3</v>
      </c>
      <c r="H205" s="10" t="n">
        <f aca="false">SUMIFS('Source 2026'!$Q:$Q,'Source 2026'!$B:$B,$A205,'Source 2026'!$A:$A,"Amount (NIS)")</f>
        <v>0</v>
      </c>
      <c r="I205" s="10" t="n">
        <f aca="false">H205-G205</f>
        <v>71.3</v>
      </c>
      <c r="J205" s="9" t="n">
        <f aca="false">IF(AND(G205=0,H205=0),0,IF(G205=0,"New",(H205-G205)/G205))</f>
        <v>-1</v>
      </c>
    </row>
    <row r="206" customFormat="false" ht="15" hidden="false" customHeight="false" outlineLevel="0" collapsed="false">
      <c r="A206" s="7" t="s">
        <v>238</v>
      </c>
      <c r="B206" s="7" t="str">
        <f aca="false">IFERROR(INDEX('Source 2026'!$C:$C,MATCH($A206,'Source 2026'!$B:$B,0)),IFERROR(INDEX('Source 2025'!$C:$C,MATCH($A206,'Source 2025'!$B:$B,0)),""))</f>
        <v>120 תתתרסיס מרענן לרגל</v>
      </c>
      <c r="C206" s="8" t="n">
        <f aca="false">SUMIFS('Source 2025'!$Q:$Q,'Source 2025'!$B:$B,$A206,'Source 2025'!$A:$A,"Quantity (units)")</f>
        <v>-3</v>
      </c>
      <c r="D206" s="8" t="n">
        <f aca="false">SUMIFS('Source 2026'!$Q:$Q,'Source 2026'!$B:$B,$A206,'Source 2026'!$A:$A,"Quantity (units)")</f>
        <v>0</v>
      </c>
      <c r="E206" s="8" t="n">
        <f aca="false">D206-C206</f>
        <v>3</v>
      </c>
      <c r="F206" s="9" t="n">
        <f aca="false">IF(AND(C206=0,D206=0),0,IF(C206=0,"New",(D206-C206)/C206))</f>
        <v>-1</v>
      </c>
      <c r="G206" s="10" t="n">
        <f aca="false">SUMIFS('Source 2025'!$Q:$Q,'Source 2025'!$B:$B,$A206,'Source 2025'!$A:$A,"Amount (NIS)")</f>
        <v>-70.7</v>
      </c>
      <c r="H206" s="10" t="n">
        <f aca="false">SUMIFS('Source 2026'!$Q:$Q,'Source 2026'!$B:$B,$A206,'Source 2026'!$A:$A,"Amount (NIS)")</f>
        <v>0</v>
      </c>
      <c r="I206" s="10" t="n">
        <f aca="false">H206-G206</f>
        <v>70.7</v>
      </c>
      <c r="J206" s="9" t="n">
        <f aca="false">IF(AND(G206=0,H206=0),0,IF(G206=0,"New",(H206-G206)/G206))</f>
        <v>-1</v>
      </c>
    </row>
    <row r="207" customFormat="false" ht="15" hidden="false" customHeight="false" outlineLevel="0" collapsed="false">
      <c r="A207" s="7" t="s">
        <v>239</v>
      </c>
      <c r="B207" s="7" t="str">
        <f aca="false">IFERROR(INDEX('Source 2026'!$C:$C,MATCH($A207,'Source 2026'!$B:$B,0)),IFERROR(INDEX('Source 2025'!$C:$C,MATCH($A207,'Source 2025'!$B:$B,0)),""))</f>
        <v>L סד לאגודל כפפה</v>
      </c>
      <c r="C207" s="8" t="n">
        <f aca="false">SUMIFS('Source 2025'!$Q:$Q,'Source 2025'!$B:$B,$A207,'Source 2025'!$A:$A,"Quantity (units)")</f>
        <v>0</v>
      </c>
      <c r="D207" s="8" t="n">
        <f aca="false">SUMIFS('Source 2026'!$Q:$Q,'Source 2026'!$B:$B,$A207,'Source 2026'!$A:$A,"Quantity (units)")</f>
        <v>-1</v>
      </c>
      <c r="E207" s="8" t="n">
        <f aca="false">D207-C207</f>
        <v>-1</v>
      </c>
      <c r="F207" s="9" t="str">
        <f aca="false">IF(AND(C207=0,D207=0),0,IF(C207=0,"New",(D207-C207)/C207))</f>
        <v>New</v>
      </c>
      <c r="G207" s="10" t="n">
        <f aca="false">SUMIFS('Source 2025'!$Q:$Q,'Source 2025'!$B:$B,$A207,'Source 2025'!$A:$A,"Amount (NIS)")</f>
        <v>0</v>
      </c>
      <c r="H207" s="10" t="n">
        <f aca="false">SUMIFS('Source 2026'!$Q:$Q,'Source 2026'!$B:$B,$A207,'Source 2026'!$A:$A,"Amount (NIS)")</f>
        <v>-58.3</v>
      </c>
      <c r="I207" s="10" t="n">
        <f aca="false">H207-G207</f>
        <v>-58.3</v>
      </c>
      <c r="J207" s="9" t="str">
        <f aca="false">IF(AND(G207=0,H207=0),0,IF(G207=0,"New",(H207-G207)/G207))</f>
        <v>New</v>
      </c>
    </row>
    <row r="208" customFormat="false" ht="15" hidden="false" customHeight="false" outlineLevel="0" collapsed="false">
      <c r="A208" s="7" t="s">
        <v>240</v>
      </c>
      <c r="B208" s="7" t="str">
        <f aca="false">IFERROR(INDEX('Source 2026'!$C:$C,MATCH($A208,'Source 2026'!$B:$B,0)),IFERROR(INDEX('Source 2025'!$C:$C,MATCH($A208,'Source 2025'!$B:$B,0)),""))</f>
        <v>סט פלסטרים נגד שפשופים</v>
      </c>
      <c r="C208" s="8" t="n">
        <f aca="false">SUMIFS('Source 2025'!$Q:$Q,'Source 2025'!$B:$B,$A208,'Source 2025'!$A:$A,"Quantity (units)")</f>
        <v>0</v>
      </c>
      <c r="D208" s="8" t="n">
        <f aca="false">SUMIFS('Source 2026'!$Q:$Q,'Source 2026'!$B:$B,$A208,'Source 2026'!$A:$A,"Quantity (units)")</f>
        <v>-3</v>
      </c>
      <c r="E208" s="8" t="n">
        <f aca="false">D208-C208</f>
        <v>-3</v>
      </c>
      <c r="F208" s="9" t="str">
        <f aca="false">IF(AND(C208=0,D208=0),0,IF(C208=0,"New",(D208-C208)/C208))</f>
        <v>New</v>
      </c>
      <c r="G208" s="10" t="n">
        <f aca="false">SUMIFS('Source 2025'!$Q:$Q,'Source 2025'!$B:$B,$A208,'Source 2025'!$A:$A,"Amount (NIS)")</f>
        <v>0</v>
      </c>
      <c r="H208" s="10" t="n">
        <f aca="false">SUMIFS('Source 2026'!$Q:$Q,'Source 2026'!$B:$B,$A208,'Source 2026'!$A:$A,"Amount (NIS)")</f>
        <v>-58.3</v>
      </c>
      <c r="I208" s="10" t="n">
        <f aca="false">H208-G208</f>
        <v>-58.3</v>
      </c>
      <c r="J208" s="9" t="str">
        <f aca="false">IF(AND(G208=0,H208=0),0,IF(G208=0,"New",(H208-G208)/G208))</f>
        <v>New</v>
      </c>
    </row>
    <row r="209" customFormat="false" ht="15" hidden="false" customHeight="false" outlineLevel="0" collapsed="false">
      <c r="A209" s="7" t="s">
        <v>241</v>
      </c>
      <c r="B209" s="7" t="str">
        <f aca="false">IFERROR(INDEX('Source 2026'!$C:$C,MATCH($A209,'Source 2026'!$B:$B,0)),IFERROR(INDEX('Source 2025'!$C:$C,MATCH($A209,'Source 2025'!$B:$B,0)),""))</f>
        <v>רפידת מגבת כותנה-זוג</v>
      </c>
      <c r="C209" s="8" t="n">
        <f aca="false">SUMIFS('Source 2025'!$Q:$Q,'Source 2025'!$B:$B,$A209,'Source 2025'!$A:$A,"Quantity (units)")</f>
        <v>34</v>
      </c>
      <c r="D209" s="8" t="n">
        <f aca="false">SUMIFS('Source 2026'!$Q:$Q,'Source 2026'!$B:$B,$A209,'Source 2026'!$A:$A,"Quantity (units)")</f>
        <v>28</v>
      </c>
      <c r="E209" s="8" t="n">
        <f aca="false">D209-C209</f>
        <v>-6</v>
      </c>
      <c r="F209" s="9" t="n">
        <f aca="false">IF(AND(C209=0,D209=0),0,IF(C209=0,"New",(D209-C209)/C209))</f>
        <v>-0.176470588235294</v>
      </c>
      <c r="G209" s="10" t="n">
        <f aca="false">SUMIFS('Source 2025'!$Q:$Q,'Source 2025'!$B:$B,$A209,'Source 2025'!$A:$A,"Amount (NIS)")</f>
        <v>336.9</v>
      </c>
      <c r="H209" s="10" t="n">
        <f aca="false">SUMIFS('Source 2026'!$Q:$Q,'Source 2026'!$B:$B,$A209,'Source 2026'!$A:$A,"Amount (NIS)")</f>
        <v>279.9</v>
      </c>
      <c r="I209" s="10" t="n">
        <f aca="false">H209-G209</f>
        <v>-57</v>
      </c>
      <c r="J209" s="9" t="n">
        <f aca="false">IF(AND(G209=0,H209=0),0,IF(G209=0,"New",(H209-G209)/G209))</f>
        <v>-0.169189670525378</v>
      </c>
    </row>
    <row r="210" customFormat="false" ht="15" hidden="false" customHeight="false" outlineLevel="0" collapsed="false">
      <c r="A210" s="7" t="s">
        <v>242</v>
      </c>
      <c r="B210" s="7" t="str">
        <f aca="false">IFERROR(INDEX('Source 2026'!$C:$C,MATCH($A210,'Source 2026'!$B:$B,0)),IFERROR(INDEX('Source 2025'!$C:$C,MATCH($A210,'Source 2025'!$B:$B,0)),""))</f>
        <v>Lמפר.אצבע סיליק. ליבל.זוג</v>
      </c>
      <c r="C210" s="8" t="n">
        <f aca="false">SUMIFS('Source 2025'!$Q:$Q,'Source 2025'!$B:$B,$A210,'Source 2025'!$A:$A,"Quantity (units)")</f>
        <v>-4</v>
      </c>
      <c r="D210" s="8" t="n">
        <f aca="false">SUMIFS('Source 2026'!$Q:$Q,'Source 2026'!$B:$B,$A210,'Source 2026'!$A:$A,"Quantity (units)")</f>
        <v>0</v>
      </c>
      <c r="E210" s="8" t="n">
        <f aca="false">D210-C210</f>
        <v>4</v>
      </c>
      <c r="F210" s="9" t="n">
        <f aca="false">IF(AND(C210=0,D210=0),0,IF(C210=0,"New",(D210-C210)/C210))</f>
        <v>-1</v>
      </c>
      <c r="G210" s="10" t="n">
        <f aca="false">SUMIFS('Source 2025'!$Q:$Q,'Source 2025'!$B:$B,$A210,'Source 2025'!$A:$A,"Amount (NIS)")</f>
        <v>-47.7</v>
      </c>
      <c r="H210" s="10" t="n">
        <f aca="false">SUMIFS('Source 2026'!$Q:$Q,'Source 2026'!$B:$B,$A210,'Source 2026'!$A:$A,"Amount (NIS)")</f>
        <v>0</v>
      </c>
      <c r="I210" s="10" t="n">
        <f aca="false">H210-G210</f>
        <v>47.7</v>
      </c>
      <c r="J210" s="9" t="n">
        <f aca="false">IF(AND(G210=0,H210=0),0,IF(G210=0,"New",(H210-G210)/G210))</f>
        <v>-1</v>
      </c>
    </row>
    <row r="211" customFormat="false" ht="15" hidden="false" customHeight="false" outlineLevel="0" collapsed="false">
      <c r="A211" s="7" t="s">
        <v>243</v>
      </c>
      <c r="B211" s="7" t="str">
        <f aca="false">IFERROR(INDEX('Source 2026'!$C:$C,MATCH($A211,'Source 2026'!$B:$B,0)),IFERROR(INDEX('Source 2025'!$C:$C,MATCH($A211,'Source 2025'!$B:$B,0)),""))</f>
        <v>בקט.לנעל120</v>
      </c>
      <c r="C211" s="8" t="n">
        <f aca="false">SUMIFS('Source 2025'!$Q:$Q,'Source 2025'!$B:$B,$A211,'Source 2025'!$A:$A,"Quantity (units)")</f>
        <v>-2</v>
      </c>
      <c r="D211" s="8" t="n">
        <f aca="false">SUMIFS('Source 2026'!$Q:$Q,'Source 2026'!$B:$B,$A211,'Source 2026'!$A:$A,"Quantity (units)")</f>
        <v>0</v>
      </c>
      <c r="E211" s="8" t="n">
        <f aca="false">D211-C211</f>
        <v>2</v>
      </c>
      <c r="F211" s="9" t="n">
        <f aca="false">IF(AND(C211=0,D211=0),0,IF(C211=0,"New",(D211-C211)/C211))</f>
        <v>-1</v>
      </c>
      <c r="G211" s="10" t="n">
        <f aca="false">SUMIFS('Source 2025'!$Q:$Q,'Source 2025'!$B:$B,$A211,'Source 2025'!$A:$A,"Amount (NIS)")</f>
        <v>-47.1</v>
      </c>
      <c r="H211" s="10" t="n">
        <f aca="false">SUMIFS('Source 2026'!$Q:$Q,'Source 2026'!$B:$B,$A211,'Source 2026'!$A:$A,"Amount (NIS)")</f>
        <v>0</v>
      </c>
      <c r="I211" s="10" t="n">
        <f aca="false">H211-G211</f>
        <v>47.1</v>
      </c>
      <c r="J211" s="9" t="n">
        <f aca="false">IF(AND(G211=0,H211=0),0,IF(G211=0,"New",(H211-G211)/G211))</f>
        <v>-1</v>
      </c>
    </row>
    <row r="212" customFormat="false" ht="15" hidden="false" customHeight="false" outlineLevel="0" collapsed="false">
      <c r="A212" s="7" t="s">
        <v>244</v>
      </c>
      <c r="B212" s="7" t="str">
        <f aca="false">IFERROR(INDEX('Source 2026'!$C:$C,MATCH($A212,'Source 2026'!$B:$B,0)),IFERROR(INDEX('Source 2025'!$C:$C,MATCH($A212,'Source 2025'!$B:$B,0)),""))</f>
        <v>S תתמתלה ליד רצועה</v>
      </c>
      <c r="C212" s="8" t="n">
        <f aca="false">SUMIFS('Source 2025'!$Q:$Q,'Source 2025'!$B:$B,$A212,'Source 2025'!$A:$A,"Quantity (units)")</f>
        <v>-1</v>
      </c>
      <c r="D212" s="8" t="n">
        <f aca="false">SUMIFS('Source 2026'!$Q:$Q,'Source 2026'!$B:$B,$A212,'Source 2026'!$A:$A,"Quantity (units)")</f>
        <v>0</v>
      </c>
      <c r="E212" s="8" t="n">
        <f aca="false">D212-C212</f>
        <v>1</v>
      </c>
      <c r="F212" s="9" t="n">
        <f aca="false">IF(AND(C212=0,D212=0),0,IF(C212=0,"New",(D212-C212)/C212))</f>
        <v>-1</v>
      </c>
      <c r="G212" s="10" t="n">
        <f aca="false">SUMIFS('Source 2025'!$Q:$Q,'Source 2025'!$B:$B,$A212,'Source 2025'!$A:$A,"Amount (NIS)")</f>
        <v>-32.3</v>
      </c>
      <c r="H212" s="10" t="n">
        <f aca="false">SUMIFS('Source 2026'!$Q:$Q,'Source 2026'!$B:$B,$A212,'Source 2026'!$A:$A,"Amount (NIS)")</f>
        <v>0</v>
      </c>
      <c r="I212" s="10" t="n">
        <f aca="false">H212-G212</f>
        <v>32.3</v>
      </c>
      <c r="J212" s="9" t="n">
        <f aca="false">IF(AND(G212=0,H212=0),0,IF(G212=0,"New",(H212-G212)/G212))</f>
        <v>-1</v>
      </c>
    </row>
    <row r="213" customFormat="false" ht="15" hidden="false" customHeight="false" outlineLevel="0" collapsed="false">
      <c r="A213" s="7" t="s">
        <v>245</v>
      </c>
      <c r="B213" s="7" t="str">
        <f aca="false">IFERROR(INDEX('Source 2026'!$C:$C,MATCH($A213,'Source 2026'!$B:$B,0)),IFERROR(INDEX('Source 2025'!$C:$C,MATCH($A213,'Source 2025'!$B:$B,0)),""))</f>
        <v>XLמפריד אצבע סיליקון ליבלת</v>
      </c>
      <c r="C213" s="8" t="n">
        <f aca="false">SUMIFS('Source 2025'!$Q:$Q,'Source 2025'!$B:$B,$A213,'Source 2025'!$A:$A,"Quantity (units)")</f>
        <v>0</v>
      </c>
      <c r="D213" s="8" t="n">
        <f aca="false">SUMIFS('Source 2026'!$Q:$Q,'Source 2026'!$B:$B,$A213,'Source 2026'!$A:$A,"Quantity (units)")</f>
        <v>-2</v>
      </c>
      <c r="E213" s="8" t="n">
        <f aca="false">D213-C213</f>
        <v>-2</v>
      </c>
      <c r="F213" s="9" t="str">
        <f aca="false">IF(AND(C213=0,D213=0),0,IF(C213=0,"New",(D213-C213)/C213))</f>
        <v>New</v>
      </c>
      <c r="G213" s="10" t="n">
        <f aca="false">SUMIFS('Source 2025'!$Q:$Q,'Source 2025'!$B:$B,$A213,'Source 2025'!$A:$A,"Amount (NIS)")</f>
        <v>0</v>
      </c>
      <c r="H213" s="10" t="n">
        <f aca="false">SUMIFS('Source 2026'!$Q:$Q,'Source 2026'!$B:$B,$A213,'Source 2026'!$A:$A,"Amount (NIS)")</f>
        <v>-25.1</v>
      </c>
      <c r="I213" s="10" t="n">
        <f aca="false">H213-G213</f>
        <v>-25.1</v>
      </c>
      <c r="J213" s="9" t="str">
        <f aca="false">IF(AND(G213=0,H213=0),0,IF(G213=0,"New",(H213-G213)/G213))</f>
        <v>New</v>
      </c>
    </row>
    <row r="214" customFormat="false" ht="15" hidden="false" customHeight="false" outlineLevel="0" collapsed="false">
      <c r="A214" s="7" t="s">
        <v>246</v>
      </c>
      <c r="B214" s="7" t="str">
        <f aca="false">IFERROR(INDEX('Source 2026'!$C:$C,MATCH($A214,'Source 2026'!$B:$B,0)),IFERROR(INDEX('Source 2025'!$C:$C,MATCH($A214,'Source 2025'!$B:$B,0)),""))</f>
        <v>ציפורניים</v>
      </c>
      <c r="C214" s="8" t="n">
        <f aca="false">SUMIFS('Source 2025'!$Q:$Q,'Source 2025'!$B:$B,$A214,'Source 2025'!$A:$A,"Quantity (units)")</f>
        <v>0</v>
      </c>
      <c r="D214" s="8" t="n">
        <f aca="false">SUMIFS('Source 2026'!$Q:$Q,'Source 2026'!$B:$B,$A214,'Source 2026'!$A:$A,"Quantity (units)")</f>
        <v>-2</v>
      </c>
      <c r="E214" s="8" t="n">
        <f aca="false">D214-C214</f>
        <v>-2</v>
      </c>
      <c r="F214" s="9" t="str">
        <f aca="false">IF(AND(C214=0,D214=0),0,IF(C214=0,"New",(D214-C214)/C214))</f>
        <v>New</v>
      </c>
      <c r="G214" s="10" t="n">
        <f aca="false">SUMIFS('Source 2025'!$Q:$Q,'Source 2025'!$B:$B,$A214,'Source 2025'!$A:$A,"Amount (NIS)")</f>
        <v>0</v>
      </c>
      <c r="H214" s="10" t="n">
        <f aca="false">SUMIFS('Source 2026'!$Q:$Q,'Source 2026'!$B:$B,$A214,'Source 2026'!$A:$A,"Amount (NIS)")</f>
        <v>-24.4</v>
      </c>
      <c r="I214" s="10" t="n">
        <f aca="false">H214-G214</f>
        <v>-24.4</v>
      </c>
      <c r="J214" s="9" t="str">
        <f aca="false">IF(AND(G214=0,H214=0),0,IF(G214=0,"New",(H214-G214)/G214))</f>
        <v>New</v>
      </c>
    </row>
    <row r="215" customFormat="false" ht="15" hidden="false" customHeight="false" outlineLevel="0" collapsed="false">
      <c r="A215" s="7" t="s">
        <v>247</v>
      </c>
      <c r="B215" s="7" t="str">
        <f aca="false">IFERROR(INDEX('Source 2026'!$C:$C,MATCH($A215,'Source 2026'!$B:$B,0)),IFERROR(INDEX('Source 2025'!$C:$C,MATCH($A215,'Source 2025'!$B:$B,0)),""))</f>
        <v>ריפוד סיליק.לעקב תחתון</v>
      </c>
      <c r="C215" s="8" t="n">
        <f aca="false">SUMIFS('Source 2025'!$Q:$Q,'Source 2025'!$B:$B,$A215,'Source 2025'!$A:$A,"Quantity (units)")</f>
        <v>-2</v>
      </c>
      <c r="D215" s="8" t="n">
        <f aca="false">SUMIFS('Source 2026'!$Q:$Q,'Source 2026'!$B:$B,$A215,'Source 2026'!$A:$A,"Quantity (units)")</f>
        <v>-3</v>
      </c>
      <c r="E215" s="8" t="n">
        <f aca="false">D215-C215</f>
        <v>-1</v>
      </c>
      <c r="F215" s="9" t="n">
        <f aca="false">IF(AND(C215=0,D215=0),0,IF(C215=0,"New",(D215-C215)/C215))</f>
        <v>0.5</v>
      </c>
      <c r="G215" s="10" t="n">
        <f aca="false">SUMIFS('Source 2025'!$Q:$Q,'Source 2025'!$B:$B,$A215,'Source 2025'!$A:$A,"Amount (NIS)")</f>
        <v>-40.5</v>
      </c>
      <c r="H215" s="10" t="n">
        <f aca="false">SUMIFS('Source 2026'!$Q:$Q,'Source 2026'!$B:$B,$A215,'Source 2026'!$A:$A,"Amount (NIS)")</f>
        <v>-60.8</v>
      </c>
      <c r="I215" s="10" t="n">
        <f aca="false">H215-G215</f>
        <v>-20.3</v>
      </c>
      <c r="J215" s="9" t="n">
        <f aca="false">IF(AND(G215=0,H215=0),0,IF(G215=0,"New",(H215-G215)/G215))</f>
        <v>0.501234567901235</v>
      </c>
    </row>
    <row r="216" customFormat="false" ht="15" hidden="false" customHeight="false" outlineLevel="0" collapsed="false">
      <c r="A216" s="7" t="s">
        <v>248</v>
      </c>
      <c r="B216" s="7" t="str">
        <f aca="false">IFERROR(INDEX('Source 2026'!$C:$C,MATCH($A216,'Source 2026'!$B:$B,0)),IFERROR(INDEX('Source 2025'!$C:$C,MATCH($A216,'Source 2025'!$B:$B,0)),""))</f>
        <v>0   גרביים+סיליקון</v>
      </c>
      <c r="C216" s="8" t="n">
        <f aca="false">SUMIFS('Source 2025'!$Q:$Q,'Source 2025'!$B:$B,$A216,'Source 2025'!$A:$A,"Quantity (units)")</f>
        <v>-1</v>
      </c>
      <c r="D216" s="8" t="n">
        <f aca="false">SUMIFS('Source 2026'!$Q:$Q,'Source 2026'!$B:$B,$A216,'Source 2026'!$A:$A,"Quantity (units)")</f>
        <v>-1</v>
      </c>
      <c r="E216" s="8" t="n">
        <f aca="false">D216-C216</f>
        <v>0</v>
      </c>
      <c r="F216" s="9" t="n">
        <f aca="false">IF(AND(C216=0,D216=0),0,IF(C216=0,"New",(D216-C216)/C216))</f>
        <v>-0</v>
      </c>
      <c r="G216" s="10" t="n">
        <f aca="false">SUMIFS('Source 2025'!$Q:$Q,'Source 2025'!$B:$B,$A216,'Source 2025'!$A:$A,"Amount (NIS)")</f>
        <v>-28.4</v>
      </c>
      <c r="H216" s="10" t="n">
        <f aca="false">SUMIFS('Source 2026'!$Q:$Q,'Source 2026'!$B:$B,$A216,'Source 2026'!$A:$A,"Amount (NIS)")</f>
        <v>-31.9</v>
      </c>
      <c r="I216" s="10" t="n">
        <f aca="false">H216-G216</f>
        <v>-3.5</v>
      </c>
      <c r="J216" s="9" t="n">
        <f aca="false">IF(AND(G216=0,H216=0),0,IF(G216=0,"New",(H216-G216)/G216))</f>
        <v>0.123239436619718</v>
      </c>
    </row>
    <row r="217" customFormat="false" ht="15" hidden="false" customHeight="false" outlineLevel="0" collapsed="false">
      <c r="A217" s="7" t="s">
        <v>249</v>
      </c>
      <c r="B217" s="7" t="str">
        <f aca="false">IFERROR(INDEX('Source 2026'!$C:$C,MATCH($A217,'Source 2026'!$B:$B,0)),IFERROR(INDEX('Source 2025'!$C:$C,MATCH($A217,'Source 2025'!$B:$B,0)),""))</f>
        <v>S ח.גב ""איטלקית"" אורירית</v>
      </c>
      <c r="C217" s="8" t="n">
        <f aca="false">SUMIFS('Source 2025'!$Q:$Q,'Source 2025'!$B:$B,$A217,'Source 2025'!$A:$A,"Quantity (units)")</f>
        <v>-1</v>
      </c>
      <c r="D217" s="8" t="n">
        <f aca="false">SUMIFS('Source 2026'!$Q:$Q,'Source 2026'!$B:$B,$A217,'Source 2026'!$A:$A,"Quantity (units)")</f>
        <v>-1</v>
      </c>
      <c r="E217" s="8" t="n">
        <f aca="false">D217-C217</f>
        <v>0</v>
      </c>
      <c r="F217" s="9" t="n">
        <f aca="false">IF(AND(C217=0,D217=0),0,IF(C217=0,"New",(D217-C217)/C217))</f>
        <v>-0</v>
      </c>
      <c r="G217" s="10" t="n">
        <f aca="false">SUMIFS('Source 2025'!$Q:$Q,'Source 2025'!$B:$B,$A217,'Source 2025'!$A:$A,"Amount (NIS)")</f>
        <v>-215.4</v>
      </c>
      <c r="H217" s="10" t="n">
        <f aca="false">SUMIFS('Source 2026'!$Q:$Q,'Source 2026'!$B:$B,$A217,'Source 2026'!$A:$A,"Amount (NIS)")</f>
        <v>-215.4</v>
      </c>
      <c r="I217" s="10" t="n">
        <f aca="false">H217-G217</f>
        <v>0</v>
      </c>
      <c r="J217" s="9" t="n">
        <f aca="false">IF(AND(G217=0,H217=0),0,IF(G217=0,"New",(H217-G217)/G217))</f>
        <v>-0</v>
      </c>
    </row>
    <row r="218" customFormat="false" ht="15" hidden="false" customHeight="false" outlineLevel="0" collapsed="false">
      <c r="A218" s="7" t="s">
        <v>250</v>
      </c>
      <c r="B218" s="7" t="str">
        <f aca="false">IFERROR(INDEX('Source 2026'!$C:$C,MATCH($A218,'Source 2026'!$B:$B,0)),IFERROR(INDEX('Source 2025'!$C:$C,MATCH($A218,'Source 2025'!$B:$B,0)),""))</f>
        <v>יד לטניס כרית סיליק</v>
      </c>
      <c r="C218" s="8" t="n">
        <f aca="false">SUMIFS('Source 2025'!$Q:$Q,'Source 2025'!$B:$B,$A218,'Source 2025'!$A:$A,"Quantity (units)")</f>
        <v>-1</v>
      </c>
      <c r="D218" s="8" t="n">
        <f aca="false">SUMIFS('Source 2026'!$Q:$Q,'Source 2026'!$B:$B,$A218,'Source 2026'!$A:$A,"Quantity (units)")</f>
        <v>-1</v>
      </c>
      <c r="E218" s="8" t="n">
        <f aca="false">D218-C218</f>
        <v>0</v>
      </c>
      <c r="F218" s="9" t="n">
        <f aca="false">IF(AND(C218=0,D218=0),0,IF(C218=0,"New",(D218-C218)/C218))</f>
        <v>-0</v>
      </c>
      <c r="G218" s="10" t="n">
        <f aca="false">SUMIFS('Source 2025'!$Q:$Q,'Source 2025'!$B:$B,$A218,'Source 2025'!$A:$A,"Amount (NIS)")</f>
        <v>0</v>
      </c>
      <c r="H218" s="10" t="n">
        <f aca="false">SUMIFS('Source 2026'!$Q:$Q,'Source 2026'!$B:$B,$A218,'Source 2026'!$A:$A,"Amount (NIS)")</f>
        <v>0</v>
      </c>
      <c r="I218" s="10" t="n">
        <f aca="false">H218-G218</f>
        <v>0</v>
      </c>
      <c r="J218" s="9" t="n">
        <f aca="false">IF(AND(G218=0,H218=0),0,IF(G218=0,"New",(H218-G218)/G218))</f>
        <v>0</v>
      </c>
    </row>
    <row r="219" customFormat="false" ht="15" hidden="false" customHeight="false" outlineLevel="0" collapsed="false">
      <c r="A219" s="7" t="s">
        <v>251</v>
      </c>
      <c r="B219" s="7" t="str">
        <f aca="false">IFERROR(INDEX('Source 2026'!$C:$C,MATCH($A219,'Source 2026'!$B:$B,0)),IFERROR(INDEX('Source 2025'!$C:$C,MATCH($A219,'Source 2025'!$B:$B,0)),""))</f>
        <v>L חגורה לשבר טבור</v>
      </c>
      <c r="C219" s="8" t="n">
        <f aca="false">SUMIFS('Source 2025'!$Q:$Q,'Source 2025'!$B:$B,$A219,'Source 2025'!$A:$A,"Quantity (units)")</f>
        <v>-1</v>
      </c>
      <c r="D219" s="8" t="n">
        <f aca="false">SUMIFS('Source 2026'!$Q:$Q,'Source 2026'!$B:$B,$A219,'Source 2026'!$A:$A,"Quantity (units)")</f>
        <v>-1</v>
      </c>
      <c r="E219" s="8" t="n">
        <f aca="false">D219-C219</f>
        <v>0</v>
      </c>
      <c r="F219" s="9" t="n">
        <f aca="false">IF(AND(C219=0,D219=0),0,IF(C219=0,"New",(D219-C219)/C219))</f>
        <v>-0</v>
      </c>
      <c r="G219" s="10" t="n">
        <f aca="false">SUMIFS('Source 2025'!$Q:$Q,'Source 2025'!$B:$B,$A219,'Source 2025'!$A:$A,"Amount (NIS)")</f>
        <v>-135</v>
      </c>
      <c r="H219" s="10" t="n">
        <f aca="false">SUMIFS('Source 2026'!$Q:$Q,'Source 2026'!$B:$B,$A219,'Source 2026'!$A:$A,"Amount (NIS)")</f>
        <v>-135</v>
      </c>
      <c r="I219" s="10" t="n">
        <f aca="false">H219-G219</f>
        <v>0</v>
      </c>
      <c r="J219" s="9" t="n">
        <f aca="false">IF(AND(G219=0,H219=0),0,IF(G219=0,"New",(H219-G219)/G219))</f>
        <v>-0</v>
      </c>
    </row>
    <row r="220" customFormat="false" ht="15" hidden="false" customHeight="false" outlineLevel="0" collapsed="false">
      <c r="A220" s="7" t="s">
        <v>252</v>
      </c>
      <c r="B220" s="7" t="str">
        <f aca="false">IFERROR(INDEX('Source 2026'!$C:$C,MATCH($A220,'Source 2026'!$B:$B,0)),IFERROR(INDEX('Source 2025'!$C:$C,MATCH($A220,'Source 2025'!$B:$B,0)),""))</f>
        <v>XLסד ליד ימין</v>
      </c>
      <c r="C220" s="8" t="n">
        <f aca="false">SUMIFS('Source 2025'!$Q:$Q,'Source 2025'!$B:$B,$A220,'Source 2025'!$A:$A,"Quantity (units)")</f>
        <v>0</v>
      </c>
      <c r="D220" s="8" t="n">
        <f aca="false">SUMIFS('Source 2026'!$Q:$Q,'Source 2026'!$B:$B,$A220,'Source 2026'!$A:$A,"Quantity (units)")</f>
        <v>-1</v>
      </c>
      <c r="E220" s="8" t="n">
        <f aca="false">D220-C220</f>
        <v>-1</v>
      </c>
      <c r="F220" s="9" t="str">
        <f aca="false">IF(AND(C220=0,D220=0),0,IF(C220=0,"New",(D220-C220)/C220))</f>
        <v>New</v>
      </c>
      <c r="G220" s="10" t="n">
        <f aca="false">SUMIFS('Source 2025'!$Q:$Q,'Source 2025'!$B:$B,$A220,'Source 2025'!$A:$A,"Amount (NIS)")</f>
        <v>0</v>
      </c>
      <c r="H220" s="10" t="n">
        <f aca="false">SUMIFS('Source 2026'!$Q:$Q,'Source 2026'!$B:$B,$A220,'Source 2026'!$A:$A,"Amount (NIS)")</f>
        <v>0</v>
      </c>
      <c r="I220" s="10" t="n">
        <f aca="false">H220-G220</f>
        <v>0</v>
      </c>
      <c r="J220" s="9" t="n">
        <f aca="false">IF(AND(G220=0,H220=0),0,IF(G220=0,"New",(H220-G220)/G220))</f>
        <v>0</v>
      </c>
    </row>
    <row r="221" customFormat="false" ht="15" hidden="false" customHeight="false" outlineLevel="0" collapsed="false">
      <c r="A221" s="7" t="s">
        <v>253</v>
      </c>
      <c r="B221" s="7" t="str">
        <f aca="false">IFERROR(INDEX('Source 2026'!$C:$C,MATCH($A221,'Source 2026'!$B:$B,0)),IFERROR(INDEX('Source 2025'!$C:$C,MATCH($A221,'Source 2025'!$B:$B,0)),""))</f>
        <v>XLסד ליד שמאל</v>
      </c>
      <c r="C221" s="8" t="n">
        <f aca="false">SUMIFS('Source 2025'!$Q:$Q,'Source 2025'!$B:$B,$A221,'Source 2025'!$A:$A,"Quantity (units)")</f>
        <v>0</v>
      </c>
      <c r="D221" s="8" t="n">
        <f aca="false">SUMIFS('Source 2026'!$Q:$Q,'Source 2026'!$B:$B,$A221,'Source 2026'!$A:$A,"Quantity (units)")</f>
        <v>-1</v>
      </c>
      <c r="E221" s="8" t="n">
        <f aca="false">D221-C221</f>
        <v>-1</v>
      </c>
      <c r="F221" s="9" t="str">
        <f aca="false">IF(AND(C221=0,D221=0),0,IF(C221=0,"New",(D221-C221)/C221))</f>
        <v>New</v>
      </c>
      <c r="G221" s="10" t="n">
        <f aca="false">SUMIFS('Source 2025'!$Q:$Q,'Source 2025'!$B:$B,$A221,'Source 2025'!$A:$A,"Amount (NIS)")</f>
        <v>0</v>
      </c>
      <c r="H221" s="10" t="n">
        <f aca="false">SUMIFS('Source 2026'!$Q:$Q,'Source 2026'!$B:$B,$A221,'Source 2026'!$A:$A,"Amount (NIS)")</f>
        <v>0</v>
      </c>
      <c r="I221" s="10" t="n">
        <f aca="false">H221-G221</f>
        <v>0</v>
      </c>
      <c r="J221" s="9" t="n">
        <f aca="false">IF(AND(G221=0,H221=0),0,IF(G221=0,"New",(H221-G221)/G221))</f>
        <v>0</v>
      </c>
    </row>
    <row r="222" customFormat="false" ht="15" hidden="false" customHeight="false" outlineLevel="0" collapsed="false">
      <c r="A222" s="7" t="s">
        <v>254</v>
      </c>
      <c r="B222" s="7" t="str">
        <f aca="false">IFERROR(INDEX('Source 2026'!$C:$C,MATCH($A222,'Source 2026'!$B:$B,0)),IFERROR(INDEX('Source 2025'!$C:$C,MATCH($A222,'Source 2025'!$B:$B,0)),""))</f>
        <v>L מיצב פיקה</v>
      </c>
      <c r="C222" s="8" t="n">
        <f aca="false">SUMIFS('Source 2025'!$Q:$Q,'Source 2025'!$B:$B,$A222,'Source 2025'!$A:$A,"Quantity (units)")</f>
        <v>-1</v>
      </c>
      <c r="D222" s="8" t="n">
        <f aca="false">SUMIFS('Source 2026'!$Q:$Q,'Source 2026'!$B:$B,$A222,'Source 2026'!$A:$A,"Quantity (units)")</f>
        <v>-1</v>
      </c>
      <c r="E222" s="8" t="n">
        <f aca="false">D222-C222</f>
        <v>0</v>
      </c>
      <c r="F222" s="9" t="n">
        <f aca="false">IF(AND(C222=0,D222=0),0,IF(C222=0,"New",(D222-C222)/C222))</f>
        <v>-0</v>
      </c>
      <c r="G222" s="10" t="n">
        <f aca="false">SUMIFS('Source 2025'!$Q:$Q,'Source 2025'!$B:$B,$A222,'Source 2025'!$A:$A,"Amount (NIS)")</f>
        <v>-81.9</v>
      </c>
      <c r="H222" s="10" t="n">
        <f aca="false">SUMIFS('Source 2026'!$Q:$Q,'Source 2026'!$B:$B,$A222,'Source 2026'!$A:$A,"Amount (NIS)")</f>
        <v>-81.9</v>
      </c>
      <c r="I222" s="10" t="n">
        <f aca="false">H222-G222</f>
        <v>0</v>
      </c>
      <c r="J222" s="9" t="n">
        <f aca="false">IF(AND(G222=0,H222=0),0,IF(G222=0,"New",(H222-G222)/G222))</f>
        <v>-0</v>
      </c>
    </row>
    <row r="223" customFormat="false" ht="15" hidden="false" customHeight="false" outlineLevel="0" collapsed="false">
      <c r="A223" s="7" t="s">
        <v>255</v>
      </c>
      <c r="B223" s="7" t="str">
        <f aca="false">IFERROR(INDEX('Source 2026'!$C:$C,MATCH($A223,'Source 2026'!$B:$B,0)),IFERROR(INDEX('Source 2025'!$C:$C,MATCH($A223,'Source 2025'!$B:$B,0)),""))</f>
        <v>M מגן מרפק+רצועה לטניס</v>
      </c>
      <c r="C223" s="8" t="n">
        <f aca="false">SUMIFS('Source 2025'!$Q:$Q,'Source 2025'!$B:$B,$A223,'Source 2025'!$A:$A,"Quantity (units)")</f>
        <v>-1</v>
      </c>
      <c r="D223" s="8" t="n">
        <f aca="false">SUMIFS('Source 2026'!$Q:$Q,'Source 2026'!$B:$B,$A223,'Source 2026'!$A:$A,"Quantity (units)")</f>
        <v>-1</v>
      </c>
      <c r="E223" s="8" t="n">
        <f aca="false">D223-C223</f>
        <v>0</v>
      </c>
      <c r="F223" s="9" t="n">
        <f aca="false">IF(AND(C223=0,D223=0),0,IF(C223=0,"New",(D223-C223)/C223))</f>
        <v>-0</v>
      </c>
      <c r="G223" s="10" t="n">
        <f aca="false">SUMIFS('Source 2025'!$Q:$Q,'Source 2025'!$B:$B,$A223,'Source 2025'!$A:$A,"Amount (NIS)")</f>
        <v>0</v>
      </c>
      <c r="H223" s="10" t="n">
        <f aca="false">SUMIFS('Source 2026'!$Q:$Q,'Source 2026'!$B:$B,$A223,'Source 2026'!$A:$A,"Amount (NIS)")</f>
        <v>0</v>
      </c>
      <c r="I223" s="10" t="n">
        <f aca="false">H223-G223</f>
        <v>0</v>
      </c>
      <c r="J223" s="9" t="n">
        <f aca="false">IF(AND(G223=0,H223=0),0,IF(G223=0,"New",(H223-G223)/G223))</f>
        <v>0</v>
      </c>
    </row>
    <row r="224" customFormat="false" ht="15" hidden="false" customHeight="false" outlineLevel="0" collapsed="false">
      <c r="A224" s="7" t="s">
        <v>256</v>
      </c>
      <c r="B224" s="7" t="str">
        <f aca="false">IFERROR(INDEX('Source 2026'!$C:$C,MATCH($A224,'Source 2026'!$B:$B,0)),IFERROR(INDEX('Source 2025'!$C:$C,MATCH($A224,'Source 2025'!$B:$B,0)),""))</f>
        <v>XL ח.גב מגנטית+מוטות תמיכה</v>
      </c>
      <c r="C224" s="8" t="n">
        <f aca="false">SUMIFS('Source 2025'!$Q:$Q,'Source 2025'!$B:$B,$A224,'Source 2025'!$A:$A,"Quantity (units)")</f>
        <v>-1</v>
      </c>
      <c r="D224" s="8" t="n">
        <f aca="false">SUMIFS('Source 2026'!$Q:$Q,'Source 2026'!$B:$B,$A224,'Source 2026'!$A:$A,"Quantity (units)")</f>
        <v>-1</v>
      </c>
      <c r="E224" s="8" t="n">
        <f aca="false">D224-C224</f>
        <v>0</v>
      </c>
      <c r="F224" s="9" t="n">
        <f aca="false">IF(AND(C224=0,D224=0),0,IF(C224=0,"New",(D224-C224)/C224))</f>
        <v>-0</v>
      </c>
      <c r="G224" s="10" t="n">
        <f aca="false">SUMIFS('Source 2025'!$Q:$Q,'Source 2025'!$B:$B,$A224,'Source 2025'!$A:$A,"Amount (NIS)")</f>
        <v>-178.6</v>
      </c>
      <c r="H224" s="10" t="n">
        <f aca="false">SUMIFS('Source 2026'!$Q:$Q,'Source 2026'!$B:$B,$A224,'Source 2026'!$A:$A,"Amount (NIS)")</f>
        <v>-178.6</v>
      </c>
      <c r="I224" s="10" t="n">
        <f aca="false">H224-G224</f>
        <v>0</v>
      </c>
      <c r="J224" s="9" t="n">
        <f aca="false">IF(AND(G224=0,H224=0),0,IF(G224=0,"New",(H224-G224)/G224))</f>
        <v>-0</v>
      </c>
    </row>
    <row r="226" customFormat="false" ht="15" hidden="false" customHeight="false" outlineLevel="0" collapsed="false">
      <c r="A226" s="11"/>
      <c r="B226" s="12" t="s">
        <v>257</v>
      </c>
      <c r="C226" s="13" t="n">
        <f aca="false">SUM(C6:C224)</f>
        <v>176505</v>
      </c>
      <c r="D226" s="13" t="n">
        <f aca="false">SUM(D6:D224)</f>
        <v>118307</v>
      </c>
      <c r="E226" s="13" t="n">
        <f aca="false">SUM(E6:E224)</f>
        <v>-58198</v>
      </c>
      <c r="F226" s="14" t="n">
        <f aca="false">IF(C226=0,"N/A",E226/C226)</f>
        <v>-0.329724370414436</v>
      </c>
      <c r="G226" s="15" t="n">
        <f aca="false">SUM(G6:G224)</f>
        <v>6689220.5</v>
      </c>
      <c r="H226" s="15" t="n">
        <f aca="false">SUM(H6:H224)</f>
        <v>4476515.3</v>
      </c>
      <c r="I226" s="15" t="n">
        <f aca="false">SUM(I6:I224)</f>
        <v>-2212705.2</v>
      </c>
      <c r="J226" s="14" t="n">
        <f aca="false">IF(G226=0,"N/A",I226/G226)</f>
        <v>-0.330786703772136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259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224</v>
      </c>
      <c r="B6" s="7" t="str">
        <f aca="false">IFERROR(INDEX('Source 2026'!$C:$C,MATCH($A6,'Source 2026'!$B:$B,0)),IFERROR(INDEX('Source 2025'!$C:$C,MATCH($A6,'Source 2025'!$B:$B,0)),""))</f>
        <v>סד לקרסול עם כריות אויר</v>
      </c>
      <c r="C6" s="8" t="n">
        <f aca="false">SUMIFS('Source 2025'!$D:$D,'Source 2025'!$B:$B,$A6,'Source 2025'!$A:$A,"Quantity (units)")</f>
        <v>0</v>
      </c>
      <c r="D6" s="8" t="n">
        <f aca="false">SUMIFS('Source 2026'!$D:$D,'Source 2026'!$B:$B,$A6,'Source 2026'!$A:$A,"Quantity (units)")</f>
        <v>2</v>
      </c>
      <c r="E6" s="8" t="n">
        <f aca="false">D6-C6</f>
        <v>2</v>
      </c>
      <c r="F6" s="9" t="str">
        <f aca="false">IF(AND(C6=0,D6=0),0,IF(C6=0,"New",(D6-C6)/C6))</f>
        <v>New</v>
      </c>
      <c r="G6" s="10" t="n">
        <f aca="false">SUMIFS('Source 2025'!$D:$D,'Source 2025'!$B:$B,$A6,'Source 2025'!$A:$A,"Amount (NIS)")</f>
        <v>0</v>
      </c>
      <c r="H6" s="10" t="n">
        <f aca="false">SUMIFS('Source 2026'!$D:$D,'Source 2026'!$B:$B,$A6,'Source 2026'!$A:$A,"Amount (NIS)")</f>
        <v>120</v>
      </c>
      <c r="I6" s="10" t="n">
        <f aca="false">H6-G6</f>
        <v>120</v>
      </c>
      <c r="J6" s="9" t="str">
        <f aca="false">IF(AND(G6=0,H6=0),0,IF(G6=0,"New",(H6-G6)/G6))</f>
        <v>New</v>
      </c>
    </row>
    <row r="8" customFormat="false" ht="15" hidden="false" customHeight="false" outlineLevel="0" collapsed="false">
      <c r="A8" s="11"/>
      <c r="B8" s="12" t="s">
        <v>257</v>
      </c>
      <c r="C8" s="13" t="n">
        <f aca="false">SUM(C6:C6)</f>
        <v>0</v>
      </c>
      <c r="D8" s="13" t="n">
        <f aca="false">SUM(D6:D6)</f>
        <v>2</v>
      </c>
      <c r="E8" s="13" t="n">
        <f aca="false">SUM(E6:E6)</f>
        <v>2</v>
      </c>
      <c r="F8" s="14" t="str">
        <f aca="false">IF(C8=0,"N/A",E8/C8)</f>
        <v>N/A</v>
      </c>
      <c r="G8" s="15" t="n">
        <f aca="false">SUM(G6:G6)</f>
        <v>0</v>
      </c>
      <c r="H8" s="15" t="n">
        <f aca="false">SUM(H6:H6)</f>
        <v>120</v>
      </c>
      <c r="I8" s="15" t="n">
        <f aca="false">SUM(I6:I6)</f>
        <v>120</v>
      </c>
      <c r="J8" s="14" t="str">
        <f aca="false">IF(G8=0,"N/A",I8/G8)</f>
        <v>N/A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261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16" t="s">
        <v>262</v>
      </c>
    </row>
    <row r="7" customFormat="false" ht="15" hidden="false" customHeight="false" outlineLevel="0" collapsed="false">
      <c r="A7" s="11"/>
      <c r="B7" s="12" t="s">
        <v>257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264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44</v>
      </c>
      <c r="B6" s="7" t="str">
        <f aca="false">IFERROR(INDEX('Source 2026'!$C:$C,MATCH($A6,'Source 2026'!$B:$B,0)),IFERROR(INDEX('Source 2025'!$C:$C,MATCH($A6,'Source 2025'!$B:$B,0)),""))</f>
        <v>S  חבק יד ארוך</v>
      </c>
      <c r="C6" s="8" t="n">
        <f aca="false">SUMIFS('Source 2025'!$F:$F,'Source 2025'!$B:$B,$A6,'Source 2025'!$A:$A,"Quantity (units)")</f>
        <v>1860</v>
      </c>
      <c r="D6" s="8" t="n">
        <f aca="false">SUMIFS('Source 2026'!$F:$F,'Source 2026'!$B:$B,$A6,'Source 2026'!$A:$A,"Quantity (units)")</f>
        <v>943</v>
      </c>
      <c r="E6" s="8" t="n">
        <f aca="false">D6-C6</f>
        <v>-917</v>
      </c>
      <c r="F6" s="9" t="n">
        <f aca="false">IF(AND(C6=0,D6=0),0,IF(C6=0,"New",(D6-C6)/C6))</f>
        <v>-0.493010752688172</v>
      </c>
      <c r="G6" s="10" t="n">
        <f aca="false">SUMIFS('Source 2025'!$F:$F,'Source 2025'!$B:$B,$A6,'Source 2025'!$A:$A,"Amount (NIS)")</f>
        <v>72114.1</v>
      </c>
      <c r="H6" s="10" t="n">
        <f aca="false">SUMIFS('Source 2026'!$F:$F,'Source 2026'!$B:$B,$A6,'Source 2026'!$A:$A,"Amount (NIS)")</f>
        <v>36879</v>
      </c>
      <c r="I6" s="10" t="n">
        <f aca="false">H6-G6</f>
        <v>-35235.1</v>
      </c>
      <c r="J6" s="9" t="n">
        <f aca="false">IF(AND(G6=0,H6=0),0,IF(G6=0,"New",(H6-G6)/G6))</f>
        <v>-0.488602090298569</v>
      </c>
    </row>
    <row r="7" customFormat="false" ht="15" hidden="false" customHeight="false" outlineLevel="0" collapsed="false">
      <c r="A7" s="7" t="s">
        <v>46</v>
      </c>
      <c r="B7" s="7" t="str">
        <f aca="false">IFERROR(INDEX('Source 2026'!$C:$C,MATCH($A7,'Source 2026'!$B:$B,0)),IFERROR(INDEX('Source 2025'!$C:$C,MATCH($A7,'Source 2025'!$B:$B,0)),""))</f>
        <v>35-38 גרבי טיסה מידה</v>
      </c>
      <c r="C7" s="8" t="n">
        <f aca="false">SUMIFS('Source 2025'!$F:$F,'Source 2025'!$B:$B,$A7,'Source 2025'!$A:$A,"Quantity (units)")</f>
        <v>518</v>
      </c>
      <c r="D7" s="8" t="n">
        <f aca="false">SUMIFS('Source 2026'!$F:$F,'Source 2026'!$B:$B,$A7,'Source 2026'!$A:$A,"Quantity (units)")</f>
        <v>-2</v>
      </c>
      <c r="E7" s="8" t="n">
        <f aca="false">D7-C7</f>
        <v>-520</v>
      </c>
      <c r="F7" s="9" t="n">
        <f aca="false">IF(AND(C7=0,D7=0),0,IF(C7=0,"New",(D7-C7)/C7))</f>
        <v>-1.003861003861</v>
      </c>
      <c r="G7" s="10" t="n">
        <f aca="false">SUMIFS('Source 2025'!$F:$F,'Source 2025'!$B:$B,$A7,'Source 2025'!$A:$A,"Amount (NIS)")</f>
        <v>30622.4</v>
      </c>
      <c r="H7" s="10" t="n">
        <f aca="false">SUMIFS('Source 2026'!$F:$F,'Source 2026'!$B:$B,$A7,'Source 2026'!$A:$A,"Amount (NIS)")</f>
        <v>-82.3</v>
      </c>
      <c r="I7" s="10" t="n">
        <f aca="false">H7-G7</f>
        <v>-30704.7</v>
      </c>
      <c r="J7" s="9" t="n">
        <f aca="false">IF(AND(G7=0,H7=0),0,IF(G7=0,"New",(H7-G7)/G7))</f>
        <v>-1.00268757510842</v>
      </c>
    </row>
    <row r="8" customFormat="false" ht="15" hidden="false" customHeight="false" outlineLevel="0" collapsed="false">
      <c r="A8" s="7" t="s">
        <v>45</v>
      </c>
      <c r="B8" s="7" t="str">
        <f aca="false">IFERROR(INDEX('Source 2026'!$C:$C,MATCH($A8,'Source 2026'!$B:$B,0)),IFERROR(INDEX('Source 2025'!$C:$C,MATCH($A8,'Source 2025'!$B:$B,0)),""))</f>
        <v>טיסה אנטי בקטרי35-38</v>
      </c>
      <c r="C8" s="8" t="n">
        <f aca="false">SUMIFS('Source 2025'!$F:$F,'Source 2025'!$B:$B,$A8,'Source 2025'!$A:$A,"Quantity (units)")</f>
        <v>0</v>
      </c>
      <c r="D8" s="8" t="n">
        <f aca="false">SUMIFS('Source 2026'!$F:$F,'Source 2026'!$B:$B,$A8,'Source 2026'!$A:$A,"Quantity (units)")</f>
        <v>456</v>
      </c>
      <c r="E8" s="8" t="n">
        <f aca="false">D8-C8</f>
        <v>456</v>
      </c>
      <c r="F8" s="9" t="str">
        <f aca="false">IF(AND(C8=0,D8=0),0,IF(C8=0,"New",(D8-C8)/C8))</f>
        <v>New</v>
      </c>
      <c r="G8" s="10" t="n">
        <f aca="false">SUMIFS('Source 2025'!$F:$F,'Source 2025'!$B:$B,$A8,'Source 2025'!$A:$A,"Amount (NIS)")</f>
        <v>0</v>
      </c>
      <c r="H8" s="10" t="n">
        <f aca="false">SUMIFS('Source 2026'!$F:$F,'Source 2026'!$B:$B,$A8,'Source 2026'!$A:$A,"Amount (NIS)")</f>
        <v>27020.5</v>
      </c>
      <c r="I8" s="10" t="n">
        <f aca="false">H8-G8</f>
        <v>27020.5</v>
      </c>
      <c r="J8" s="9" t="str">
        <f aca="false">IF(AND(G8=0,H8=0),0,IF(G8=0,"New",(H8-G8)/G8))</f>
        <v>New</v>
      </c>
    </row>
    <row r="9" customFormat="false" ht="15" hidden="false" customHeight="false" outlineLevel="0" collapsed="false">
      <c r="A9" s="7" t="s">
        <v>265</v>
      </c>
      <c r="B9" s="7" t="str">
        <f aca="false">IFERROR(INDEX('Source 2026'!$C:$C,MATCH($A9,'Source 2026'!$B:$B,0)),IFERROR(INDEX('Source 2025'!$C:$C,MATCH($A9,'Source 2025'!$B:$B,0)),""))</f>
        <v>מדרס ג'ל לגבר</v>
      </c>
      <c r="C9" s="8" t="n">
        <f aca="false">SUMIFS('Source 2025'!$F:$F,'Source 2025'!$B:$B,$A9,'Source 2025'!$A:$A,"Quantity (units)")</f>
        <v>837</v>
      </c>
      <c r="D9" s="8" t="n">
        <f aca="false">SUMIFS('Source 2026'!$F:$F,'Source 2026'!$B:$B,$A9,'Source 2026'!$A:$A,"Quantity (units)")</f>
        <v>383</v>
      </c>
      <c r="E9" s="8" t="n">
        <f aca="false">D9-C9</f>
        <v>-454</v>
      </c>
      <c r="F9" s="9" t="n">
        <f aca="false">IF(AND(C9=0,D9=0),0,IF(C9=0,"New",(D9-C9)/C9))</f>
        <v>-0.542413381123059</v>
      </c>
      <c r="G9" s="10" t="n">
        <f aca="false">SUMIFS('Source 2025'!$F:$F,'Source 2025'!$B:$B,$A9,'Source 2025'!$A:$A,"Amount (NIS)")</f>
        <v>49868.9</v>
      </c>
      <c r="H9" s="10" t="n">
        <f aca="false">SUMIFS('Source 2026'!$F:$F,'Source 2026'!$B:$B,$A9,'Source 2026'!$A:$A,"Amount (NIS)")</f>
        <v>24597.7</v>
      </c>
      <c r="I9" s="10" t="n">
        <f aca="false">H9-G9</f>
        <v>-25271.2</v>
      </c>
      <c r="J9" s="9" t="n">
        <f aca="false">IF(AND(G9=0,H9=0),0,IF(G9=0,"New",(H9-G9)/G9))</f>
        <v>-0.506752705594068</v>
      </c>
    </row>
    <row r="10" customFormat="false" ht="15" hidden="false" customHeight="false" outlineLevel="0" collapsed="false">
      <c r="A10" s="7" t="s">
        <v>266</v>
      </c>
      <c r="B10" s="7" t="str">
        <f aca="false">IFERROR(INDEX('Source 2026'!$C:$C,MATCH($A10,'Source 2026'!$B:$B,0)),IFERROR(INDEX('Source 2025'!$C:$C,MATCH($A10,'Source 2025'!$B:$B,0)),""))</f>
        <v>חגורת גב עם תמיכות</v>
      </c>
      <c r="C10" s="8" t="n">
        <f aca="false">SUMIFS('Source 2025'!$F:$F,'Source 2025'!$B:$B,$A10,'Source 2025'!$A:$A,"Quantity (units)")</f>
        <v>1098</v>
      </c>
      <c r="D10" s="8" t="n">
        <f aca="false">SUMIFS('Source 2026'!$F:$F,'Source 2026'!$B:$B,$A10,'Source 2026'!$A:$A,"Quantity (units)")</f>
        <v>797</v>
      </c>
      <c r="E10" s="8" t="n">
        <f aca="false">D10-C10</f>
        <v>-301</v>
      </c>
      <c r="F10" s="9" t="n">
        <f aca="false">IF(AND(C10=0,D10=0),0,IF(C10=0,"New",(D10-C10)/C10))</f>
        <v>-0.274134790528233</v>
      </c>
      <c r="G10" s="10" t="n">
        <f aca="false">SUMIFS('Source 2025'!$F:$F,'Source 2025'!$B:$B,$A10,'Source 2025'!$A:$A,"Amount (NIS)")</f>
        <v>93491.9</v>
      </c>
      <c r="H10" s="10" t="n">
        <f aca="false">SUMIFS('Source 2026'!$F:$F,'Source 2026'!$B:$B,$A10,'Source 2026'!$A:$A,"Amount (NIS)")</f>
        <v>68622.4</v>
      </c>
      <c r="I10" s="10" t="n">
        <f aca="false">H10-G10</f>
        <v>-24869.5</v>
      </c>
      <c r="J10" s="9" t="n">
        <f aca="false">IF(AND(G10=0,H10=0),0,IF(G10=0,"New",(H10-G10)/G10))</f>
        <v>-0.266007001676081</v>
      </c>
    </row>
    <row r="11" customFormat="false" ht="15" hidden="false" customHeight="false" outlineLevel="0" collapsed="false">
      <c r="A11" s="7" t="s">
        <v>64</v>
      </c>
      <c r="B11" s="7" t="str">
        <f aca="false">IFERROR(INDEX('Source 2026'!$C:$C,MATCH($A11,'Source 2026'!$B:$B,0)),IFERROR(INDEX('Source 2025'!$C:$C,MATCH($A11,'Source 2025'!$B:$B,0)),""))</f>
        <v>1 תומך ברך גנושילד</v>
      </c>
      <c r="C11" s="8" t="n">
        <f aca="false">SUMIFS('Source 2025'!$F:$F,'Source 2025'!$B:$B,$A11,'Source 2025'!$A:$A,"Quantity (units)")</f>
        <v>19</v>
      </c>
      <c r="D11" s="8" t="n">
        <f aca="false">SUMIFS('Source 2026'!$F:$F,'Source 2026'!$B:$B,$A11,'Source 2026'!$A:$A,"Quantity (units)")</f>
        <v>114</v>
      </c>
      <c r="E11" s="8" t="n">
        <f aca="false">D11-C11</f>
        <v>95</v>
      </c>
      <c r="F11" s="9" t="n">
        <f aca="false">IF(AND(C11=0,D11=0),0,IF(C11=0,"New",(D11-C11)/C11))</f>
        <v>5</v>
      </c>
      <c r="G11" s="10" t="n">
        <f aca="false">SUMIFS('Source 2025'!$F:$F,'Source 2025'!$B:$B,$A11,'Source 2025'!$A:$A,"Amount (NIS)")</f>
        <v>4034.6</v>
      </c>
      <c r="H11" s="10" t="n">
        <f aca="false">SUMIFS('Source 2026'!$F:$F,'Source 2026'!$B:$B,$A11,'Source 2026'!$A:$A,"Amount (NIS)")</f>
        <v>23279.6</v>
      </c>
      <c r="I11" s="10" t="n">
        <f aca="false">H11-G11</f>
        <v>19245</v>
      </c>
      <c r="J11" s="9" t="n">
        <f aca="false">IF(AND(G11=0,H11=0),0,IF(G11=0,"New",(H11-G11)/G11))</f>
        <v>4.7699895900461</v>
      </c>
    </row>
    <row r="12" customFormat="false" ht="15" hidden="false" customHeight="false" outlineLevel="0" collapsed="false">
      <c r="A12" s="7" t="s">
        <v>63</v>
      </c>
      <c r="B12" s="7" t="str">
        <f aca="false">IFERROR(INDEX('Source 2026'!$C:$C,MATCH($A12,'Source 2026'!$B:$B,0)),IFERROR(INDEX('Source 2025'!$C:$C,MATCH($A12,'Source 2025'!$B:$B,0)),""))</f>
        <v>L עקבים לדורבן-זוג כריות</v>
      </c>
      <c r="C12" s="8" t="n">
        <f aca="false">SUMIFS('Source 2025'!$F:$F,'Source 2025'!$B:$B,$A12,'Source 2025'!$A:$A,"Quantity (units)")</f>
        <v>445</v>
      </c>
      <c r="D12" s="8" t="n">
        <f aca="false">SUMIFS('Source 2026'!$F:$F,'Source 2026'!$B:$B,$A12,'Source 2026'!$A:$A,"Quantity (units)")</f>
        <v>230</v>
      </c>
      <c r="E12" s="8" t="n">
        <f aca="false">D12-C12</f>
        <v>-215</v>
      </c>
      <c r="F12" s="9" t="n">
        <f aca="false">IF(AND(C12=0,D12=0),0,IF(C12=0,"New",(D12-C12)/C12))</f>
        <v>-0.48314606741573</v>
      </c>
      <c r="G12" s="10" t="n">
        <f aca="false">SUMIFS('Source 2025'!$F:$F,'Source 2025'!$B:$B,$A12,'Source 2025'!$A:$A,"Amount (NIS)")</f>
        <v>35993.7</v>
      </c>
      <c r="H12" s="10" t="n">
        <f aca="false">SUMIFS('Source 2026'!$F:$F,'Source 2026'!$B:$B,$A12,'Source 2026'!$A:$A,"Amount (NIS)")</f>
        <v>19504.3</v>
      </c>
      <c r="I12" s="10" t="n">
        <f aca="false">H12-G12</f>
        <v>-16489.4</v>
      </c>
      <c r="J12" s="9" t="n">
        <f aca="false">IF(AND(G12=0,H12=0),0,IF(G12=0,"New",(H12-G12)/G12))</f>
        <v>-0.458119059724341</v>
      </c>
    </row>
    <row r="13" customFormat="false" ht="15" hidden="false" customHeight="false" outlineLevel="0" collapsed="false">
      <c r="A13" s="7" t="s">
        <v>42</v>
      </c>
      <c r="B13" s="7" t="str">
        <f aca="false">IFERROR(INDEX('Source 2026'!$C:$C,MATCH($A13,'Source 2026'!$B:$B,0)),IFERROR(INDEX('Source 2025'!$C:$C,MATCH($A13,'Source 2025'!$B:$B,0)),""))</f>
        <v>L סד ליד דו צדדי לאחר שבר</v>
      </c>
      <c r="C13" s="8" t="n">
        <f aca="false">SUMIFS('Source 2025'!$F:$F,'Source 2025'!$B:$B,$A13,'Source 2025'!$A:$A,"Quantity (units)")</f>
        <v>322</v>
      </c>
      <c r="D13" s="8" t="n">
        <f aca="false">SUMIFS('Source 2026'!$F:$F,'Source 2026'!$B:$B,$A13,'Source 2026'!$A:$A,"Quantity (units)")</f>
        <v>161</v>
      </c>
      <c r="E13" s="8" t="n">
        <f aca="false">D13-C13</f>
        <v>-161</v>
      </c>
      <c r="F13" s="9" t="n">
        <f aca="false">IF(AND(C13=0,D13=0),0,IF(C13=0,"New",(D13-C13)/C13))</f>
        <v>-0.5</v>
      </c>
      <c r="G13" s="10" t="n">
        <f aca="false">SUMIFS('Source 2025'!$F:$F,'Source 2025'!$B:$B,$A13,'Source 2025'!$A:$A,"Amount (NIS)")</f>
        <v>31583.1</v>
      </c>
      <c r="H13" s="10" t="n">
        <f aca="false">SUMIFS('Source 2026'!$F:$F,'Source 2026'!$B:$B,$A13,'Source 2026'!$A:$A,"Amount (NIS)")</f>
        <v>16060.1</v>
      </c>
      <c r="I13" s="10" t="n">
        <f aca="false">H13-G13</f>
        <v>-15523</v>
      </c>
      <c r="J13" s="9" t="n">
        <f aca="false">IF(AND(G13=0,H13=0),0,IF(G13=0,"New",(H13-G13)/G13))</f>
        <v>-0.49149703480659</v>
      </c>
    </row>
    <row r="14" customFormat="false" ht="15" hidden="false" customHeight="false" outlineLevel="0" collapsed="false">
      <c r="A14" s="7" t="s">
        <v>73</v>
      </c>
      <c r="B14" s="7" t="str">
        <f aca="false">IFERROR(INDEX('Source 2026'!$C:$C,MATCH($A14,'Source 2026'!$B:$B,0)),IFERROR(INDEX('Source 2025'!$C:$C,MATCH($A14,'Source 2025'!$B:$B,0)),""))</f>
        <v>L צוארון ספוגי</v>
      </c>
      <c r="C14" s="8" t="n">
        <f aca="false">SUMIFS('Source 2025'!$F:$F,'Source 2025'!$B:$B,$A14,'Source 2025'!$A:$A,"Quantity (units)")</f>
        <v>532</v>
      </c>
      <c r="D14" s="8" t="n">
        <f aca="false">SUMIFS('Source 2026'!$F:$F,'Source 2026'!$B:$B,$A14,'Source 2026'!$A:$A,"Quantity (units)")</f>
        <v>227</v>
      </c>
      <c r="E14" s="8" t="n">
        <f aca="false">D14-C14</f>
        <v>-305</v>
      </c>
      <c r="F14" s="9" t="n">
        <f aca="false">IF(AND(C14=0,D14=0),0,IF(C14=0,"New",(D14-C14)/C14))</f>
        <v>-0.573308270676692</v>
      </c>
      <c r="G14" s="10" t="n">
        <f aca="false">SUMIFS('Source 2025'!$F:$F,'Source 2025'!$B:$B,$A14,'Source 2025'!$A:$A,"Amount (NIS)")</f>
        <v>25724</v>
      </c>
      <c r="H14" s="10" t="n">
        <f aca="false">SUMIFS('Source 2026'!$F:$F,'Source 2026'!$B:$B,$A14,'Source 2026'!$A:$A,"Amount (NIS)")</f>
        <v>11000.8</v>
      </c>
      <c r="I14" s="10" t="n">
        <f aca="false">H14-G14</f>
        <v>-14723.2</v>
      </c>
      <c r="J14" s="9" t="n">
        <f aca="false">IF(AND(G14=0,H14=0),0,IF(G14=0,"New",(H14-G14)/G14))</f>
        <v>-0.572352666770331</v>
      </c>
    </row>
    <row r="15" customFormat="false" ht="15" hidden="false" customHeight="false" outlineLevel="0" collapsed="false">
      <c r="A15" s="7" t="s">
        <v>49</v>
      </c>
      <c r="B15" s="7" t="str">
        <f aca="false">IFERROR(INDEX('Source 2026'!$C:$C,MATCH($A15,'Source 2026'!$B:$B,0)),IFERROR(INDEX('Source 2025'!$C:$C,MATCH($A15,'Source 2025'!$B:$B,0)),""))</f>
        <v>S מגן ברך חום</v>
      </c>
      <c r="C15" s="8" t="n">
        <f aca="false">SUMIFS('Source 2025'!$F:$F,'Source 2025'!$B:$B,$A15,'Source 2025'!$A:$A,"Quantity (units)")</f>
        <v>1320</v>
      </c>
      <c r="D15" s="8" t="n">
        <f aca="false">SUMIFS('Source 2026'!$F:$F,'Source 2026'!$B:$B,$A15,'Source 2026'!$A:$A,"Quantity (units)")</f>
        <v>876</v>
      </c>
      <c r="E15" s="8" t="n">
        <f aca="false">D15-C15</f>
        <v>-444</v>
      </c>
      <c r="F15" s="9" t="n">
        <f aca="false">IF(AND(C15=0,D15=0),0,IF(C15=0,"New",(D15-C15)/C15))</f>
        <v>-0.336363636363636</v>
      </c>
      <c r="G15" s="10" t="n">
        <f aca="false">SUMIFS('Source 2025'!$F:$F,'Source 2025'!$B:$B,$A15,'Source 2025'!$A:$A,"Amount (NIS)")</f>
        <v>39604.4</v>
      </c>
      <c r="H15" s="10" t="n">
        <f aca="false">SUMIFS('Source 2026'!$F:$F,'Source 2026'!$B:$B,$A15,'Source 2026'!$A:$A,"Amount (NIS)")</f>
        <v>26476.8</v>
      </c>
      <c r="I15" s="10" t="n">
        <f aca="false">H15-G15</f>
        <v>-13127.6</v>
      </c>
      <c r="J15" s="9" t="n">
        <f aca="false">IF(AND(G15=0,H15=0),0,IF(G15=0,"New",(H15-G15)/G15))</f>
        <v>-0.33146822070275</v>
      </c>
    </row>
    <row r="16" customFormat="false" ht="15" hidden="false" customHeight="false" outlineLevel="0" collapsed="false">
      <c r="A16" s="7" t="s">
        <v>267</v>
      </c>
      <c r="B16" s="7" t="str">
        <f aca="false">IFERROR(INDEX('Source 2026'!$C:$C,MATCH($A16,'Source 2026'!$B:$B,0)),IFERROR(INDEX('Source 2025'!$C:$C,MATCH($A16,'Source 2025'!$B:$B,0)),""))</f>
        <v>L מגן ברך שחור</v>
      </c>
      <c r="C16" s="8" t="n">
        <f aca="false">SUMIFS('Source 2025'!$F:$F,'Source 2025'!$B:$B,$A16,'Source 2025'!$A:$A,"Quantity (units)")</f>
        <v>1144</v>
      </c>
      <c r="D16" s="8" t="n">
        <f aca="false">SUMIFS('Source 2026'!$F:$F,'Source 2026'!$B:$B,$A16,'Source 2026'!$A:$A,"Quantity (units)")</f>
        <v>685</v>
      </c>
      <c r="E16" s="8" t="n">
        <f aca="false">D16-C16</f>
        <v>-459</v>
      </c>
      <c r="F16" s="9" t="n">
        <f aca="false">IF(AND(C16=0,D16=0),0,IF(C16=0,"New",(D16-C16)/C16))</f>
        <v>-0.401223776223776</v>
      </c>
      <c r="G16" s="10" t="n">
        <f aca="false">SUMIFS('Source 2025'!$F:$F,'Source 2025'!$B:$B,$A16,'Source 2025'!$A:$A,"Amount (NIS)")</f>
        <v>33625.5</v>
      </c>
      <c r="H16" s="10" t="n">
        <f aca="false">SUMIFS('Source 2026'!$F:$F,'Source 2026'!$B:$B,$A16,'Source 2026'!$A:$A,"Amount (NIS)")</f>
        <v>20801.5</v>
      </c>
      <c r="I16" s="10" t="n">
        <f aca="false">H16-G16</f>
        <v>-12824</v>
      </c>
      <c r="J16" s="9" t="n">
        <f aca="false">IF(AND(G16=0,H16=0),0,IF(G16=0,"New",(H16-G16)/G16))</f>
        <v>-0.381377228591396</v>
      </c>
    </row>
    <row r="17" customFormat="false" ht="15" hidden="false" customHeight="false" outlineLevel="0" collapsed="false">
      <c r="A17" s="7" t="s">
        <v>52</v>
      </c>
      <c r="B17" s="7" t="str">
        <f aca="false">IFERROR(INDEX('Source 2026'!$C:$C,MATCH($A17,'Source 2026'!$B:$B,0)),IFERROR(INDEX('Source 2025'!$C:$C,MATCH($A17,'Source 2025'!$B:$B,0)),""))</f>
        <v>L סד לאגודל לאחר שבר</v>
      </c>
      <c r="C17" s="8" t="n">
        <f aca="false">SUMIFS('Source 2025'!$F:$F,'Source 2025'!$B:$B,$A17,'Source 2025'!$A:$A,"Quantity (units)")</f>
        <v>237</v>
      </c>
      <c r="D17" s="8" t="n">
        <f aca="false">SUMIFS('Source 2026'!$F:$F,'Source 2026'!$B:$B,$A17,'Source 2026'!$A:$A,"Quantity (units)")</f>
        <v>108</v>
      </c>
      <c r="E17" s="8" t="n">
        <f aca="false">D17-C17</f>
        <v>-129</v>
      </c>
      <c r="F17" s="9" t="n">
        <f aca="false">IF(AND(C17=0,D17=0),0,IF(C17=0,"New",(D17-C17)/C17))</f>
        <v>-0.544303797468354</v>
      </c>
      <c r="G17" s="10" t="n">
        <f aca="false">SUMIFS('Source 2025'!$F:$F,'Source 2025'!$B:$B,$A17,'Source 2025'!$A:$A,"Amount (NIS)")</f>
        <v>23347.4</v>
      </c>
      <c r="H17" s="10" t="n">
        <f aca="false">SUMIFS('Source 2026'!$F:$F,'Source 2026'!$B:$B,$A17,'Source 2026'!$A:$A,"Amount (NIS)")</f>
        <v>10645.5</v>
      </c>
      <c r="I17" s="10" t="n">
        <f aca="false">H17-G17</f>
        <v>-12701.9</v>
      </c>
      <c r="J17" s="9" t="n">
        <f aca="false">IF(AND(G17=0,H17=0),0,IF(G17=0,"New",(H17-G17)/G17))</f>
        <v>-0.544039164960552</v>
      </c>
    </row>
    <row r="18" customFormat="false" ht="15" hidden="false" customHeight="false" outlineLevel="0" collapsed="false">
      <c r="A18" s="7" t="s">
        <v>53</v>
      </c>
      <c r="B18" s="7" t="str">
        <f aca="false">IFERROR(INDEX('Source 2026'!$C:$C,MATCH($A18,'Source 2026'!$B:$B,0)),IFERROR(INDEX('Source 2025'!$C:$C,MATCH($A18,'Source 2025'!$B:$B,0)),""))</f>
        <v>סד ליד דו צדדי</v>
      </c>
      <c r="C18" s="8" t="n">
        <f aca="false">SUMIFS('Source 2025'!$F:$F,'Source 2025'!$B:$B,$A18,'Source 2025'!$A:$A,"Quantity (units)")</f>
        <v>501</v>
      </c>
      <c r="D18" s="8" t="n">
        <f aca="false">SUMIFS('Source 2026'!$F:$F,'Source 2026'!$B:$B,$A18,'Source 2026'!$A:$A,"Quantity (units)")</f>
        <v>337</v>
      </c>
      <c r="E18" s="8" t="n">
        <f aca="false">D18-C18</f>
        <v>-164</v>
      </c>
      <c r="F18" s="9" t="n">
        <f aca="false">IF(AND(C18=0,D18=0),0,IF(C18=0,"New",(D18-C18)/C18))</f>
        <v>-0.327345309381238</v>
      </c>
      <c r="G18" s="10" t="n">
        <f aca="false">SUMIFS('Source 2025'!$F:$F,'Source 2025'!$B:$B,$A18,'Source 2025'!$A:$A,"Amount (NIS)")</f>
        <v>38817.9</v>
      </c>
      <c r="H18" s="10" t="n">
        <f aca="false">SUMIFS('Source 2026'!$F:$F,'Source 2026'!$B:$B,$A18,'Source 2026'!$A:$A,"Amount (NIS)")</f>
        <v>26307.6</v>
      </c>
      <c r="I18" s="10" t="n">
        <f aca="false">H18-G18</f>
        <v>-12510.3</v>
      </c>
      <c r="J18" s="9" t="n">
        <f aca="false">IF(AND(G18=0,H18=0),0,IF(G18=0,"New",(H18-G18)/G18))</f>
        <v>-0.322281730850973</v>
      </c>
    </row>
    <row r="19" customFormat="false" ht="15" hidden="false" customHeight="false" outlineLevel="0" collapsed="false">
      <c r="A19" s="7" t="s">
        <v>268</v>
      </c>
      <c r="B19" s="7" t="str">
        <f aca="false">IFERROR(INDEX('Source 2026'!$C:$C,MATCH($A19,'Source 2026'!$B:$B,0)),IFERROR(INDEX('Source 2025'!$C:$C,MATCH($A19,'Source 2025'!$B:$B,0)),""))</f>
        <v>L מגן קרסול שחור</v>
      </c>
      <c r="C19" s="8" t="n">
        <f aca="false">SUMIFS('Source 2025'!$F:$F,'Source 2025'!$B:$B,$A19,'Source 2025'!$A:$A,"Quantity (units)")</f>
        <v>920</v>
      </c>
      <c r="D19" s="8" t="n">
        <f aca="false">SUMIFS('Source 2026'!$F:$F,'Source 2026'!$B:$B,$A19,'Source 2026'!$A:$A,"Quantity (units)")</f>
        <v>526</v>
      </c>
      <c r="E19" s="8" t="n">
        <f aca="false">D19-C19</f>
        <v>-394</v>
      </c>
      <c r="F19" s="9" t="n">
        <f aca="false">IF(AND(C19=0,D19=0),0,IF(C19=0,"New",(D19-C19)/C19))</f>
        <v>-0.428260869565217</v>
      </c>
      <c r="G19" s="10" t="n">
        <f aca="false">SUMIFS('Source 2025'!$F:$F,'Source 2025'!$B:$B,$A19,'Source 2025'!$A:$A,"Amount (NIS)")</f>
        <v>27179.3</v>
      </c>
      <c r="H19" s="10" t="n">
        <f aca="false">SUMIFS('Source 2026'!$F:$F,'Source 2026'!$B:$B,$A19,'Source 2026'!$A:$A,"Amount (NIS)")</f>
        <v>16112.3</v>
      </c>
      <c r="I19" s="10" t="n">
        <f aca="false">H19-G19</f>
        <v>-11067</v>
      </c>
      <c r="J19" s="9" t="n">
        <f aca="false">IF(AND(G19=0,H19=0),0,IF(G19=0,"New",(H19-G19)/G19))</f>
        <v>-0.407184879669454</v>
      </c>
    </row>
    <row r="20" customFormat="false" ht="15" hidden="false" customHeight="false" outlineLevel="0" collapsed="false">
      <c r="A20" s="7" t="s">
        <v>62</v>
      </c>
      <c r="B20" s="7" t="str">
        <f aca="false">IFERROR(INDEX('Source 2026'!$C:$C,MATCH($A20,'Source 2026'!$B:$B,0)),IFERROR(INDEX('Source 2025'!$C:$C,MATCH($A20,'Source 2025'!$B:$B,0)),""))</f>
        <v>L (מתלה ליד )כיס</v>
      </c>
      <c r="C20" s="8" t="n">
        <f aca="false">SUMIFS('Source 2025'!$F:$F,'Source 2025'!$B:$B,$A20,'Source 2025'!$A:$A,"Quantity (units)")</f>
        <v>550</v>
      </c>
      <c r="D20" s="8" t="n">
        <f aca="false">SUMIFS('Source 2026'!$F:$F,'Source 2026'!$B:$B,$A20,'Source 2026'!$A:$A,"Quantity (units)")</f>
        <v>345</v>
      </c>
      <c r="E20" s="8" t="n">
        <f aca="false">D20-C20</f>
        <v>-205</v>
      </c>
      <c r="F20" s="9" t="n">
        <f aca="false">IF(AND(C20=0,D20=0),0,IF(C20=0,"New",(D20-C20)/C20))</f>
        <v>-0.372727272727273</v>
      </c>
      <c r="G20" s="10" t="n">
        <f aca="false">SUMIFS('Source 2025'!$F:$F,'Source 2025'!$B:$B,$A20,'Source 2025'!$A:$A,"Amount (NIS)")</f>
        <v>29936.8</v>
      </c>
      <c r="H20" s="10" t="n">
        <f aca="false">SUMIFS('Source 2026'!$F:$F,'Source 2026'!$B:$B,$A20,'Source 2026'!$A:$A,"Amount (NIS)")</f>
        <v>18906.2</v>
      </c>
      <c r="I20" s="10" t="n">
        <f aca="false">H20-G20</f>
        <v>-11030.6</v>
      </c>
      <c r="J20" s="9" t="n">
        <f aca="false">IF(AND(G20=0,H20=0),0,IF(G20=0,"New",(H20-G20)/G20))</f>
        <v>-0.368462895165816</v>
      </c>
    </row>
    <row r="21" customFormat="false" ht="15" hidden="false" customHeight="false" outlineLevel="0" collapsed="false">
      <c r="A21" s="7" t="s">
        <v>43</v>
      </c>
      <c r="B21" s="7" t="str">
        <f aca="false">IFERROR(INDEX('Source 2026'!$C:$C,MATCH($A21,'Source 2026'!$B:$B,0)),IFERROR(INDEX('Source 2025'!$C:$C,MATCH($A21,'Source 2025'!$B:$B,0)),""))</f>
        <v>S מגן קרסול חום</v>
      </c>
      <c r="C21" s="8" t="n">
        <f aca="false">SUMIFS('Source 2025'!$F:$F,'Source 2025'!$B:$B,$A21,'Source 2025'!$A:$A,"Quantity (units)")</f>
        <v>1247</v>
      </c>
      <c r="D21" s="8" t="n">
        <f aca="false">SUMIFS('Source 2026'!$F:$F,'Source 2026'!$B:$B,$A21,'Source 2026'!$A:$A,"Quantity (units)")</f>
        <v>873</v>
      </c>
      <c r="E21" s="8" t="n">
        <f aca="false">D21-C21</f>
        <v>-374</v>
      </c>
      <c r="F21" s="9" t="n">
        <f aca="false">IF(AND(C21=0,D21=0),0,IF(C21=0,"New",(D21-C21)/C21))</f>
        <v>-0.299919807538091</v>
      </c>
      <c r="G21" s="10" t="n">
        <f aca="false">SUMIFS('Source 2025'!$F:$F,'Source 2025'!$B:$B,$A21,'Source 2025'!$A:$A,"Amount (NIS)")</f>
        <v>37236.8</v>
      </c>
      <c r="H21" s="10" t="n">
        <f aca="false">SUMIFS('Source 2026'!$F:$F,'Source 2026'!$B:$B,$A21,'Source 2026'!$A:$A,"Amount (NIS)")</f>
        <v>26217.8</v>
      </c>
      <c r="I21" s="10" t="n">
        <f aca="false">H21-G21</f>
        <v>-11019</v>
      </c>
      <c r="J21" s="9" t="n">
        <f aca="false">IF(AND(G21=0,H21=0),0,IF(G21=0,"New",(H21-G21)/G21))</f>
        <v>-0.295916942379582</v>
      </c>
    </row>
    <row r="22" customFormat="false" ht="15" hidden="false" customHeight="false" outlineLevel="0" collapsed="false">
      <c r="A22" s="7" t="s">
        <v>98</v>
      </c>
      <c r="B22" s="7" t="str">
        <f aca="false">IFERROR(INDEX('Source 2026'!$C:$C,MATCH($A22,'Source 2026'!$B:$B,0)),IFERROR(INDEX('Source 2025'!$C:$C,MATCH($A22,'Source 2025'!$B:$B,0)),""))</f>
        <v>דאודורנט אנטיבק.נעל333</v>
      </c>
      <c r="C22" s="8" t="n">
        <f aca="false">SUMIFS('Source 2025'!$F:$F,'Source 2025'!$B:$B,$A22,'Source 2025'!$A:$A,"Quantity (units)")</f>
        <v>938</v>
      </c>
      <c r="D22" s="8" t="n">
        <f aca="false">SUMIFS('Source 2026'!$F:$F,'Source 2026'!$B:$B,$A22,'Source 2026'!$A:$A,"Quantity (units)")</f>
        <v>341</v>
      </c>
      <c r="E22" s="8" t="n">
        <f aca="false">D22-C22</f>
        <v>-597</v>
      </c>
      <c r="F22" s="9" t="n">
        <f aca="false">IF(AND(C22=0,D22=0),0,IF(C22=0,"New",(D22-C22)/C22))</f>
        <v>-0.636460554371002</v>
      </c>
      <c r="G22" s="10" t="n">
        <f aca="false">SUMIFS('Source 2025'!$F:$F,'Source 2025'!$B:$B,$A22,'Source 2025'!$A:$A,"Amount (NIS)")</f>
        <v>17465.6</v>
      </c>
      <c r="H22" s="10" t="n">
        <f aca="false">SUMIFS('Source 2026'!$F:$F,'Source 2026'!$B:$B,$A22,'Source 2026'!$A:$A,"Amount (NIS)")</f>
        <v>6493.3</v>
      </c>
      <c r="I22" s="10" t="n">
        <f aca="false">H22-G22</f>
        <v>-10972.3</v>
      </c>
      <c r="J22" s="9" t="n">
        <f aca="false">IF(AND(G22=0,H22=0),0,IF(G22=0,"New",(H22-G22)/G22))</f>
        <v>-0.628223479296446</v>
      </c>
    </row>
    <row r="23" customFormat="false" ht="15" hidden="false" customHeight="false" outlineLevel="0" collapsed="false">
      <c r="A23" s="7" t="s">
        <v>47</v>
      </c>
      <c r="B23" s="7" t="str">
        <f aca="false">IFERROR(INDEX('Source 2026'!$C:$C,MATCH($A23,'Source 2026'!$B:$B,0)),IFERROR(INDEX('Source 2025'!$C:$C,MATCH($A23,'Source 2025'!$B:$B,0)),""))</f>
        <v>M מגן קרסול עקב סגור</v>
      </c>
      <c r="C23" s="8" t="n">
        <f aca="false">SUMIFS('Source 2025'!$F:$F,'Source 2025'!$B:$B,$A23,'Source 2025'!$A:$A,"Quantity (units)")</f>
        <v>592</v>
      </c>
      <c r="D23" s="8" t="n">
        <f aca="false">SUMIFS('Source 2026'!$F:$F,'Source 2026'!$B:$B,$A23,'Source 2026'!$A:$A,"Quantity (units)")</f>
        <v>345</v>
      </c>
      <c r="E23" s="8" t="n">
        <f aca="false">D23-C23</f>
        <v>-247</v>
      </c>
      <c r="F23" s="9" t="n">
        <f aca="false">IF(AND(C23=0,D23=0),0,IF(C23=0,"New",(D23-C23)/C23))</f>
        <v>-0.41722972972973</v>
      </c>
      <c r="G23" s="10" t="n">
        <f aca="false">SUMIFS('Source 2025'!$F:$F,'Source 2025'!$B:$B,$A23,'Source 2025'!$A:$A,"Amount (NIS)")</f>
        <v>26468.7</v>
      </c>
      <c r="H23" s="10" t="n">
        <f aca="false">SUMIFS('Source 2026'!$F:$F,'Source 2026'!$B:$B,$A23,'Source 2026'!$A:$A,"Amount (NIS)")</f>
        <v>15677.6</v>
      </c>
      <c r="I23" s="10" t="n">
        <f aca="false">H23-G23</f>
        <v>-10791.1</v>
      </c>
      <c r="J23" s="9" t="n">
        <f aca="false">IF(AND(G23=0,H23=0),0,IF(G23=0,"New",(H23-G23)/G23))</f>
        <v>-0.407692859868448</v>
      </c>
    </row>
    <row r="24" customFormat="false" ht="15" hidden="false" customHeight="false" outlineLevel="0" collapsed="false">
      <c r="A24" s="7" t="s">
        <v>60</v>
      </c>
      <c r="B24" s="7" t="str">
        <f aca="false">IFERROR(INDEX('Source 2026'!$C:$C,MATCH($A24,'Source 2026'!$B:$B,0)),IFERROR(INDEX('Source 2025'!$C:$C,MATCH($A24,'Source 2025'!$B:$B,0)),""))</f>
        <v>יד אגודלי</v>
      </c>
      <c r="C24" s="8" t="n">
        <f aca="false">SUMIFS('Source 2025'!$F:$F,'Source 2025'!$B:$B,$A24,'Source 2025'!$A:$A,"Quantity (units)")</f>
        <v>542</v>
      </c>
      <c r="D24" s="8" t="n">
        <f aca="false">SUMIFS('Source 2026'!$F:$F,'Source 2026'!$B:$B,$A24,'Source 2026'!$A:$A,"Quantity (units)")</f>
        <v>295</v>
      </c>
      <c r="E24" s="8" t="n">
        <f aca="false">D24-C24</f>
        <v>-247</v>
      </c>
      <c r="F24" s="9" t="n">
        <f aca="false">IF(AND(C24=0,D24=0),0,IF(C24=0,"New",(D24-C24)/C24))</f>
        <v>-0.455719557195572</v>
      </c>
      <c r="G24" s="10" t="n">
        <f aca="false">SUMIFS('Source 2025'!$F:$F,'Source 2025'!$B:$B,$A24,'Source 2025'!$A:$A,"Amount (NIS)")</f>
        <v>24107.4</v>
      </c>
      <c r="H24" s="10" t="n">
        <f aca="false">SUMIFS('Source 2026'!$F:$F,'Source 2026'!$B:$B,$A24,'Source 2026'!$A:$A,"Amount (NIS)")</f>
        <v>13506.1</v>
      </c>
      <c r="I24" s="10" t="n">
        <f aca="false">H24-G24</f>
        <v>-10601.3</v>
      </c>
      <c r="J24" s="9" t="n">
        <f aca="false">IF(AND(G24=0,H24=0),0,IF(G24=0,"New",(H24-G24)/G24))</f>
        <v>-0.439752938931614</v>
      </c>
    </row>
    <row r="25" customFormat="false" ht="15" hidden="false" customHeight="false" outlineLevel="0" collapsed="false">
      <c r="A25" s="7" t="s">
        <v>269</v>
      </c>
      <c r="B25" s="7" t="str">
        <f aca="false">IFERROR(INDEX('Source 2026'!$C:$C,MATCH($A25,'Source 2026'!$B:$B,0)),IFERROR(INDEX('Source 2025'!$C:$C,MATCH($A25,'Source 2025'!$B:$B,0)),""))</f>
        <v>שרוול מסיליקון לאצבע</v>
      </c>
      <c r="C25" s="8" t="n">
        <f aca="false">SUMIFS('Source 2025'!$F:$F,'Source 2025'!$B:$B,$A25,'Source 2025'!$A:$A,"Quantity (units)")</f>
        <v>1647</v>
      </c>
      <c r="D25" s="8" t="n">
        <f aca="false">SUMIFS('Source 2026'!$F:$F,'Source 2026'!$B:$B,$A25,'Source 2026'!$A:$A,"Quantity (units)")</f>
        <v>1054</v>
      </c>
      <c r="E25" s="8" t="n">
        <f aca="false">D25-C25</f>
        <v>-593</v>
      </c>
      <c r="F25" s="9" t="n">
        <f aca="false">IF(AND(C25=0,D25=0),0,IF(C25=0,"New",(D25-C25)/C25))</f>
        <v>-0.360048573163327</v>
      </c>
      <c r="G25" s="10" t="n">
        <f aca="false">SUMIFS('Source 2025'!$F:$F,'Source 2025'!$B:$B,$A25,'Source 2025'!$A:$A,"Amount (NIS)")</f>
        <v>29211.2</v>
      </c>
      <c r="H25" s="10" t="n">
        <f aca="false">SUMIFS('Source 2026'!$F:$F,'Source 2026'!$B:$B,$A25,'Source 2026'!$A:$A,"Amount (NIS)")</f>
        <v>18697.4</v>
      </c>
      <c r="I25" s="10" t="n">
        <f aca="false">H25-G25</f>
        <v>-10513.8</v>
      </c>
      <c r="J25" s="9" t="n">
        <f aca="false">IF(AND(G25=0,H25=0),0,IF(G25=0,"New",(H25-G25)/G25))</f>
        <v>-0.359923590951416</v>
      </c>
    </row>
    <row r="26" customFormat="false" ht="15" hidden="false" customHeight="false" outlineLevel="0" collapsed="false">
      <c r="A26" s="7" t="s">
        <v>48</v>
      </c>
      <c r="B26" s="7" t="str">
        <f aca="false">IFERROR(INDEX('Source 2026'!$C:$C,MATCH($A26,'Source 2026'!$B:$B,0)),IFERROR(INDEX('Source 2025'!$C:$C,MATCH($A26,'Source 2025'!$B:$B,0)),""))</f>
        <v>מישר כתפיים אקטיב</v>
      </c>
      <c r="C26" s="8" t="n">
        <f aca="false">SUMIFS('Source 2025'!$F:$F,'Source 2025'!$B:$B,$A26,'Source 2025'!$A:$A,"Quantity (units)")</f>
        <v>1033</v>
      </c>
      <c r="D26" s="8" t="n">
        <f aca="false">SUMIFS('Source 2026'!$F:$F,'Source 2026'!$B:$B,$A26,'Source 2026'!$A:$A,"Quantity (units)")</f>
        <v>784</v>
      </c>
      <c r="E26" s="8" t="n">
        <f aca="false">D26-C26</f>
        <v>-249</v>
      </c>
      <c r="F26" s="9" t="n">
        <f aca="false">IF(AND(C26=0,D26=0),0,IF(C26=0,"New",(D26-C26)/C26))</f>
        <v>-0.241045498547919</v>
      </c>
      <c r="G26" s="10" t="n">
        <f aca="false">SUMIFS('Source 2025'!$F:$F,'Source 2025'!$B:$B,$A26,'Source 2025'!$A:$A,"Amount (NIS)")</f>
        <v>71677.8</v>
      </c>
      <c r="H26" s="10" t="n">
        <f aca="false">SUMIFS('Source 2026'!$F:$F,'Source 2026'!$B:$B,$A26,'Source 2026'!$A:$A,"Amount (NIS)")</f>
        <v>61530.6</v>
      </c>
      <c r="I26" s="10" t="n">
        <f aca="false">H26-G26</f>
        <v>-10147.2</v>
      </c>
      <c r="J26" s="9" t="n">
        <f aca="false">IF(AND(G26=0,H26=0),0,IF(G26=0,"New",(H26-G26)/G26))</f>
        <v>-0.14156684496455</v>
      </c>
    </row>
    <row r="27" customFormat="false" ht="15" hidden="false" customHeight="false" outlineLevel="0" collapsed="false">
      <c r="A27" s="7" t="s">
        <v>56</v>
      </c>
      <c r="B27" s="7" t="str">
        <f aca="false">IFERROR(INDEX('Source 2026'!$C:$C,MATCH($A27,'Source 2026'!$B:$B,0)),IFERROR(INDEX('Source 2025'!$C:$C,MATCH($A27,'Source 2025'!$B:$B,0)),""))</f>
        <v>S מגן קרסול לבן</v>
      </c>
      <c r="C27" s="8" t="n">
        <f aca="false">SUMIFS('Source 2025'!$F:$F,'Source 2025'!$B:$B,$A27,'Source 2025'!$A:$A,"Quantity (units)")</f>
        <v>779</v>
      </c>
      <c r="D27" s="8" t="n">
        <f aca="false">SUMIFS('Source 2026'!$F:$F,'Source 2026'!$B:$B,$A27,'Source 2026'!$A:$A,"Quantity (units)")</f>
        <v>438</v>
      </c>
      <c r="E27" s="8" t="n">
        <f aca="false">D27-C27</f>
        <v>-341</v>
      </c>
      <c r="F27" s="9" t="n">
        <f aca="false">IF(AND(C27=0,D27=0),0,IF(C27=0,"New",(D27-C27)/C27))</f>
        <v>-0.437740693196406</v>
      </c>
      <c r="G27" s="10" t="n">
        <f aca="false">SUMIFS('Source 2025'!$F:$F,'Source 2025'!$B:$B,$A27,'Source 2025'!$A:$A,"Amount (NIS)")</f>
        <v>23015.1</v>
      </c>
      <c r="H27" s="10" t="n">
        <f aca="false">SUMIFS('Source 2026'!$F:$F,'Source 2026'!$B:$B,$A27,'Source 2026'!$A:$A,"Amount (NIS)")</f>
        <v>13057.6</v>
      </c>
      <c r="I27" s="10" t="n">
        <f aca="false">H27-G27</f>
        <v>-9957.5</v>
      </c>
      <c r="J27" s="9" t="n">
        <f aca="false">IF(AND(G27=0,H27=0),0,IF(G27=0,"New",(H27-G27)/G27))</f>
        <v>-0.432650737993752</v>
      </c>
    </row>
    <row r="28" customFormat="false" ht="15" hidden="false" customHeight="false" outlineLevel="0" collapsed="false">
      <c r="A28" s="7" t="s">
        <v>58</v>
      </c>
      <c r="B28" s="7" t="str">
        <f aca="false">IFERROR(INDEX('Source 2026'!$C:$C,MATCH($A28,'Source 2026'!$B:$B,0)),IFERROR(INDEX('Source 2025'!$C:$C,MATCH($A28,'Source 2025'!$B:$B,0)),""))</f>
        <v>L מגן ברך לבן</v>
      </c>
      <c r="C28" s="8" t="n">
        <f aca="false">SUMIFS('Source 2025'!$F:$F,'Source 2025'!$B:$B,$A28,'Source 2025'!$A:$A,"Quantity (units)")</f>
        <v>1081</v>
      </c>
      <c r="D28" s="8" t="n">
        <f aca="false">SUMIFS('Source 2026'!$F:$F,'Source 2026'!$B:$B,$A28,'Source 2026'!$A:$A,"Quantity (units)")</f>
        <v>745</v>
      </c>
      <c r="E28" s="8" t="n">
        <f aca="false">D28-C28</f>
        <v>-336</v>
      </c>
      <c r="F28" s="9" t="n">
        <f aca="false">IF(AND(C28=0,D28=0),0,IF(C28=0,"New",(D28-C28)/C28))</f>
        <v>-0.310823311748381</v>
      </c>
      <c r="G28" s="10" t="n">
        <f aca="false">SUMIFS('Source 2025'!$F:$F,'Source 2025'!$B:$B,$A28,'Source 2025'!$A:$A,"Amount (NIS)")</f>
        <v>32147.8</v>
      </c>
      <c r="H28" s="10" t="n">
        <f aca="false">SUMIFS('Source 2026'!$F:$F,'Source 2026'!$B:$B,$A28,'Source 2026'!$A:$A,"Amount (NIS)")</f>
        <v>22215.4</v>
      </c>
      <c r="I28" s="10" t="n">
        <f aca="false">H28-G28</f>
        <v>-9932.4</v>
      </c>
      <c r="J28" s="9" t="n">
        <f aca="false">IF(AND(G28=0,H28=0),0,IF(G28=0,"New",(H28-G28)/G28))</f>
        <v>-0.30896048874262</v>
      </c>
    </row>
    <row r="29" customFormat="false" ht="15" hidden="false" customHeight="false" outlineLevel="0" collapsed="false">
      <c r="A29" s="7" t="s">
        <v>144</v>
      </c>
      <c r="B29" s="7" t="str">
        <f aca="false">IFERROR(INDEX('Source 2026'!$C:$C,MATCH($A29,'Source 2026'!$B:$B,0)),IFERROR(INDEX('Source 2025'!$C:$C,MATCH($A29,'Source 2025'!$B:$B,0)),""))</f>
        <v>תרסיס דאודורנט לכף הרגל</v>
      </c>
      <c r="C29" s="8" t="n">
        <f aca="false">SUMIFS('Source 2025'!$F:$F,'Source 2025'!$B:$B,$A29,'Source 2025'!$A:$A,"Quantity (units)")</f>
        <v>1000</v>
      </c>
      <c r="D29" s="8" t="n">
        <f aca="false">SUMIFS('Source 2026'!$F:$F,'Source 2026'!$B:$B,$A29,'Source 2026'!$A:$A,"Quantity (units)")</f>
        <v>468</v>
      </c>
      <c r="E29" s="8" t="n">
        <f aca="false">D29-C29</f>
        <v>-532</v>
      </c>
      <c r="F29" s="9" t="n">
        <f aca="false">IF(AND(C29=0,D29=0),0,IF(C29=0,"New",(D29-C29)/C29))</f>
        <v>-0.532</v>
      </c>
      <c r="G29" s="10" t="n">
        <f aca="false">SUMIFS('Source 2025'!$F:$F,'Source 2025'!$B:$B,$A29,'Source 2025'!$A:$A,"Amount (NIS)")</f>
        <v>19629.5</v>
      </c>
      <c r="H29" s="10" t="n">
        <f aca="false">SUMIFS('Source 2026'!$F:$F,'Source 2026'!$B:$B,$A29,'Source 2026'!$A:$A,"Amount (NIS)")</f>
        <v>9873.9</v>
      </c>
      <c r="I29" s="10" t="n">
        <f aca="false">H29-G29</f>
        <v>-9755.6</v>
      </c>
      <c r="J29" s="9" t="n">
        <f aca="false">IF(AND(G29=0,H29=0),0,IF(G29=0,"New",(H29-G29)/G29))</f>
        <v>-0.496986678213913</v>
      </c>
    </row>
    <row r="30" customFormat="false" ht="15" hidden="false" customHeight="false" outlineLevel="0" collapsed="false">
      <c r="A30" s="7" t="s">
        <v>270</v>
      </c>
      <c r="B30" s="7" t="str">
        <f aca="false">IFERROR(INDEX('Source 2026'!$C:$C,MATCH($A30,'Source 2026'!$B:$B,0)),IFERROR(INDEX('Source 2025'!$C:$C,MATCH($A30,'Source 2025'!$B:$B,0)),""))</f>
        <v>חבק לשורש כף היד</v>
      </c>
      <c r="C30" s="8" t="n">
        <f aca="false">SUMIFS('Source 2025'!$F:$F,'Source 2025'!$B:$B,$A30,'Source 2025'!$A:$A,"Quantity (units)")</f>
        <v>1130</v>
      </c>
      <c r="D30" s="8" t="n">
        <f aca="false">SUMIFS('Source 2026'!$F:$F,'Source 2026'!$B:$B,$A30,'Source 2026'!$A:$A,"Quantity (units)")</f>
        <v>792</v>
      </c>
      <c r="E30" s="8" t="n">
        <f aca="false">D30-C30</f>
        <v>-338</v>
      </c>
      <c r="F30" s="9" t="n">
        <f aca="false">IF(AND(C30=0,D30=0),0,IF(C30=0,"New",(D30-C30)/C30))</f>
        <v>-0.299115044247788</v>
      </c>
      <c r="G30" s="10" t="n">
        <f aca="false">SUMIFS('Source 2025'!$F:$F,'Source 2025'!$B:$B,$A30,'Source 2025'!$A:$A,"Amount (NIS)")</f>
        <v>36118.4</v>
      </c>
      <c r="H30" s="10" t="n">
        <f aca="false">SUMIFS('Source 2026'!$F:$F,'Source 2026'!$B:$B,$A30,'Source 2026'!$A:$A,"Amount (NIS)")</f>
        <v>26554.8</v>
      </c>
      <c r="I30" s="10" t="n">
        <f aca="false">H30-G30</f>
        <v>-9563.6</v>
      </c>
      <c r="J30" s="9" t="n">
        <f aca="false">IF(AND(G30=0,H30=0),0,IF(G30=0,"New",(H30-G30)/G30))</f>
        <v>-0.264784708071232</v>
      </c>
    </row>
    <row r="31" customFormat="false" ht="15" hidden="false" customHeight="false" outlineLevel="0" collapsed="false">
      <c r="A31" s="7" t="s">
        <v>128</v>
      </c>
      <c r="B31" s="7" t="str">
        <f aca="false">IFERROR(INDEX('Source 2026'!$C:$C,MATCH($A31,'Source 2026'!$B:$B,0)),IFERROR(INDEX('Source 2025'!$C:$C,MATCH($A31,'Source 2025'!$B:$B,0)),""))</f>
        <v>L מתלה רשת לזרוע שחור</v>
      </c>
      <c r="C31" s="8" t="n">
        <f aca="false">SUMIFS('Source 2025'!$F:$F,'Source 2025'!$B:$B,$A31,'Source 2025'!$A:$A,"Quantity (units)")</f>
        <v>600</v>
      </c>
      <c r="D31" s="8" t="n">
        <f aca="false">SUMIFS('Source 2026'!$F:$F,'Source 2026'!$B:$B,$A31,'Source 2026'!$A:$A,"Quantity (units)")</f>
        <v>411</v>
      </c>
      <c r="E31" s="8" t="n">
        <f aca="false">D31-C31</f>
        <v>-189</v>
      </c>
      <c r="F31" s="9" t="n">
        <f aca="false">IF(AND(C31=0,D31=0),0,IF(C31=0,"New",(D31-C31)/C31))</f>
        <v>-0.315</v>
      </c>
      <c r="G31" s="10" t="n">
        <f aca="false">SUMIFS('Source 2025'!$F:$F,'Source 2025'!$B:$B,$A31,'Source 2025'!$A:$A,"Amount (NIS)")</f>
        <v>32372.9</v>
      </c>
      <c r="H31" s="10" t="n">
        <f aca="false">SUMIFS('Source 2026'!$F:$F,'Source 2026'!$B:$B,$A31,'Source 2026'!$A:$A,"Amount (NIS)")</f>
        <v>22858</v>
      </c>
      <c r="I31" s="10" t="n">
        <f aca="false">H31-G31</f>
        <v>-9514.9</v>
      </c>
      <c r="J31" s="9" t="n">
        <f aca="false">IF(AND(G31=0,H31=0),0,IF(G31=0,"New",(H31-G31)/G31))</f>
        <v>-0.293915589891545</v>
      </c>
    </row>
    <row r="32" customFormat="false" ht="15" hidden="false" customHeight="false" outlineLevel="0" collapsed="false">
      <c r="A32" s="7" t="s">
        <v>100</v>
      </c>
      <c r="B32" s="7" t="str">
        <f aca="false">IFERROR(INDEX('Source 2026'!$C:$C,MATCH($A32,'Source 2026'!$B:$B,0)),IFERROR(INDEX('Source 2025'!$C:$C,MATCH($A32,'Source 2025'!$B:$B,0)),""))</f>
        <v>L חבק יד מתכוון עם צמדן</v>
      </c>
      <c r="C32" s="8" t="n">
        <f aca="false">SUMIFS('Source 2025'!$F:$F,'Source 2025'!$B:$B,$A32,'Source 2025'!$A:$A,"Quantity (units)")</f>
        <v>567</v>
      </c>
      <c r="D32" s="8" t="n">
        <f aca="false">SUMIFS('Source 2026'!$F:$F,'Source 2026'!$B:$B,$A32,'Source 2026'!$A:$A,"Quantity (units)")</f>
        <v>277</v>
      </c>
      <c r="E32" s="8" t="n">
        <f aca="false">D32-C32</f>
        <v>-290</v>
      </c>
      <c r="F32" s="9" t="n">
        <f aca="false">IF(AND(C32=0,D32=0),0,IF(C32=0,"New",(D32-C32)/C32))</f>
        <v>-0.511463844797178</v>
      </c>
      <c r="G32" s="10" t="n">
        <f aca="false">SUMIFS('Source 2025'!$F:$F,'Source 2025'!$B:$B,$A32,'Source 2025'!$A:$A,"Amount (NIS)")</f>
        <v>18491.5</v>
      </c>
      <c r="H32" s="10" t="n">
        <f aca="false">SUMIFS('Source 2026'!$F:$F,'Source 2026'!$B:$B,$A32,'Source 2026'!$A:$A,"Amount (NIS)")</f>
        <v>9019.1</v>
      </c>
      <c r="I32" s="10" t="n">
        <f aca="false">H32-G32</f>
        <v>-9472.4</v>
      </c>
      <c r="J32" s="9" t="n">
        <f aca="false">IF(AND(G32=0,H32=0),0,IF(G32=0,"New",(H32-G32)/G32))</f>
        <v>-0.512256982938107</v>
      </c>
    </row>
    <row r="33" customFormat="false" ht="15" hidden="false" customHeight="false" outlineLevel="0" collapsed="false">
      <c r="A33" s="7" t="s">
        <v>103</v>
      </c>
      <c r="B33" s="7" t="str">
        <f aca="false">IFERROR(INDEX('Source 2026'!$C:$C,MATCH($A33,'Source 2026'!$B:$B,0)),IFERROR(INDEX('Source 2025'!$C:$C,MATCH($A33,'Source 2025'!$B:$B,0)),""))</f>
        <v>L חגורת גב +סגירה</v>
      </c>
      <c r="C33" s="8" t="n">
        <f aca="false">SUMIFS('Source 2025'!$F:$F,'Source 2025'!$B:$B,$A33,'Source 2025'!$A:$A,"Quantity (units)")</f>
        <v>139</v>
      </c>
      <c r="D33" s="8" t="n">
        <f aca="false">SUMIFS('Source 2026'!$F:$F,'Source 2026'!$B:$B,$A33,'Source 2026'!$A:$A,"Quantity (units)")</f>
        <v>55</v>
      </c>
      <c r="E33" s="8" t="n">
        <f aca="false">D33-C33</f>
        <v>-84</v>
      </c>
      <c r="F33" s="9" t="n">
        <f aca="false">IF(AND(C33=0,D33=0),0,IF(C33=0,"New",(D33-C33)/C33))</f>
        <v>-0.60431654676259</v>
      </c>
      <c r="G33" s="10" t="n">
        <f aca="false">SUMIFS('Source 2025'!$F:$F,'Source 2025'!$B:$B,$A33,'Source 2025'!$A:$A,"Amount (NIS)")</f>
        <v>15439</v>
      </c>
      <c r="H33" s="10" t="n">
        <f aca="false">SUMIFS('Source 2026'!$F:$F,'Source 2026'!$B:$B,$A33,'Source 2026'!$A:$A,"Amount (NIS)")</f>
        <v>6254.8</v>
      </c>
      <c r="I33" s="10" t="n">
        <f aca="false">H33-G33</f>
        <v>-9184.2</v>
      </c>
      <c r="J33" s="9" t="n">
        <f aca="false">IF(AND(G33=0,H33=0),0,IF(G33=0,"New",(H33-G33)/G33))</f>
        <v>-0.594870134076041</v>
      </c>
    </row>
    <row r="34" customFormat="false" ht="15" hidden="false" customHeight="false" outlineLevel="0" collapsed="false">
      <c r="A34" s="7" t="s">
        <v>71</v>
      </c>
      <c r="B34" s="7" t="str">
        <f aca="false">IFERROR(INDEX('Source 2026'!$C:$C,MATCH($A34,'Source 2026'!$B:$B,0)),IFERROR(INDEX('Source 2025'!$C:$C,MATCH($A34,'Source 2025'!$B:$B,0)),""))</f>
        <v>טייפ קינזיולוגי</v>
      </c>
      <c r="C34" s="8" t="n">
        <f aca="false">SUMIFS('Source 2025'!$F:$F,'Source 2025'!$B:$B,$A34,'Source 2025'!$A:$A,"Quantity (units)")</f>
        <v>411</v>
      </c>
      <c r="D34" s="8" t="n">
        <f aca="false">SUMIFS('Source 2026'!$F:$F,'Source 2026'!$B:$B,$A34,'Source 2026'!$A:$A,"Quantity (units)")</f>
        <v>117</v>
      </c>
      <c r="E34" s="8" t="n">
        <f aca="false">D34-C34</f>
        <v>-294</v>
      </c>
      <c r="F34" s="9" t="n">
        <f aca="false">IF(AND(C34=0,D34=0),0,IF(C34=0,"New",(D34-C34)/C34))</f>
        <v>-0.715328467153285</v>
      </c>
      <c r="G34" s="10" t="n">
        <f aca="false">SUMIFS('Source 2025'!$F:$F,'Source 2025'!$B:$B,$A34,'Source 2025'!$A:$A,"Amount (NIS)")</f>
        <v>13057</v>
      </c>
      <c r="H34" s="10" t="n">
        <f aca="false">SUMIFS('Source 2026'!$F:$F,'Source 2026'!$B:$B,$A34,'Source 2026'!$A:$A,"Amount (NIS)")</f>
        <v>4205</v>
      </c>
      <c r="I34" s="10" t="n">
        <f aca="false">H34-G34</f>
        <v>-8852</v>
      </c>
      <c r="J34" s="9" t="n">
        <f aca="false">IF(AND(G34=0,H34=0),0,IF(G34=0,"New",(H34-G34)/G34))</f>
        <v>-0.677950524622808</v>
      </c>
    </row>
    <row r="35" customFormat="false" ht="15" hidden="false" customHeight="false" outlineLevel="0" collapsed="false">
      <c r="A35" s="7" t="s">
        <v>57</v>
      </c>
      <c r="B35" s="7" t="str">
        <f aca="false">IFERROR(INDEX('Source 2026'!$C:$C,MATCH($A35,'Source 2026'!$B:$B,0)),IFERROR(INDEX('Source 2025'!$C:$C,MATCH($A35,'Source 2025'!$B:$B,0)),""))</f>
        <v>S""חגורת בטן""אורירית</v>
      </c>
      <c r="C35" s="8" t="n">
        <f aca="false">SUMIFS('Source 2025'!$F:$F,'Source 2025'!$B:$B,$A35,'Source 2025'!$A:$A,"Quantity (units)")</f>
        <v>174</v>
      </c>
      <c r="D35" s="8" t="n">
        <f aca="false">SUMIFS('Source 2026'!$F:$F,'Source 2026'!$B:$B,$A35,'Source 2026'!$A:$A,"Quantity (units)")</f>
        <v>92</v>
      </c>
      <c r="E35" s="8" t="n">
        <f aca="false">D35-C35</f>
        <v>-82</v>
      </c>
      <c r="F35" s="9" t="n">
        <f aca="false">IF(AND(C35=0,D35=0),0,IF(C35=0,"New",(D35-C35)/C35))</f>
        <v>-0.471264367816092</v>
      </c>
      <c r="G35" s="10" t="n">
        <f aca="false">SUMIFS('Source 2025'!$F:$F,'Source 2025'!$B:$B,$A35,'Source 2025'!$A:$A,"Amount (NIS)")</f>
        <v>18234.2</v>
      </c>
      <c r="H35" s="10" t="n">
        <f aca="false">SUMIFS('Source 2026'!$F:$F,'Source 2026'!$B:$B,$A35,'Source 2026'!$A:$A,"Amount (NIS)")</f>
        <v>9786</v>
      </c>
      <c r="I35" s="10" t="n">
        <f aca="false">H35-G35</f>
        <v>-8448.2</v>
      </c>
      <c r="J35" s="9" t="n">
        <f aca="false">IF(AND(G35=0,H35=0),0,IF(G35=0,"New",(H35-G35)/G35))</f>
        <v>-0.463316186067938</v>
      </c>
    </row>
    <row r="36" customFormat="false" ht="15" hidden="false" customHeight="false" outlineLevel="0" collapsed="false">
      <c r="A36" s="7" t="s">
        <v>89</v>
      </c>
      <c r="B36" s="7" t="str">
        <f aca="false">IFERROR(INDEX('Source 2026'!$C:$C,MATCH($A36,'Source 2026'!$B:$B,0)),IFERROR(INDEX('Source 2025'!$C:$C,MATCH($A36,'Source 2025'!$B:$B,0)),""))</f>
        <v>מדרס אורטופ.מתכוון35-36</v>
      </c>
      <c r="C36" s="8" t="n">
        <f aca="false">SUMIFS('Source 2025'!$F:$F,'Source 2025'!$B:$B,$A36,'Source 2025'!$A:$A,"Quantity (units)")</f>
        <v>157</v>
      </c>
      <c r="D36" s="8" t="n">
        <f aca="false">SUMIFS('Source 2026'!$F:$F,'Source 2026'!$B:$B,$A36,'Source 2026'!$A:$A,"Quantity (units)")</f>
        <v>56</v>
      </c>
      <c r="E36" s="8" t="n">
        <f aca="false">D36-C36</f>
        <v>-101</v>
      </c>
      <c r="F36" s="9" t="n">
        <f aca="false">IF(AND(C36=0,D36=0),0,IF(C36=0,"New",(D36-C36)/C36))</f>
        <v>-0.643312101910828</v>
      </c>
      <c r="G36" s="10" t="n">
        <f aca="false">SUMIFS('Source 2025'!$F:$F,'Source 2025'!$B:$B,$A36,'Source 2025'!$A:$A,"Amount (NIS)")</f>
        <v>13581.3</v>
      </c>
      <c r="H36" s="10" t="n">
        <f aca="false">SUMIFS('Source 2026'!$F:$F,'Source 2026'!$B:$B,$A36,'Source 2026'!$A:$A,"Amount (NIS)")</f>
        <v>5369.6</v>
      </c>
      <c r="I36" s="10" t="n">
        <f aca="false">H36-G36</f>
        <v>-8211.7</v>
      </c>
      <c r="J36" s="9" t="n">
        <f aca="false">IF(AND(G36=0,H36=0),0,IF(G36=0,"New",(H36-G36)/G36))</f>
        <v>-0.604632840744259</v>
      </c>
    </row>
    <row r="37" customFormat="false" ht="15" hidden="false" customHeight="false" outlineLevel="0" collapsed="false">
      <c r="A37" s="7" t="s">
        <v>87</v>
      </c>
      <c r="B37" s="7" t="str">
        <f aca="false">IFERROR(INDEX('Source 2026'!$C:$C,MATCH($A37,'Source 2026'!$B:$B,0)),IFERROR(INDEX('Source 2025'!$C:$C,MATCH($A37,'Source 2025'!$B:$B,0)),""))</f>
        <v>טלק מעושר באלוורה</v>
      </c>
      <c r="C37" s="8" t="n">
        <f aca="false">SUMIFS('Source 2025'!$F:$F,'Source 2025'!$B:$B,$A37,'Source 2025'!$A:$A,"Quantity (units)")</f>
        <v>625</v>
      </c>
      <c r="D37" s="8" t="n">
        <f aca="false">SUMIFS('Source 2026'!$F:$F,'Source 2026'!$B:$B,$A37,'Source 2026'!$A:$A,"Quantity (units)")</f>
        <v>261</v>
      </c>
      <c r="E37" s="8" t="n">
        <f aca="false">D37-C37</f>
        <v>-364</v>
      </c>
      <c r="F37" s="9" t="n">
        <f aca="false">IF(AND(C37=0,D37=0),0,IF(C37=0,"New",(D37-C37)/C37))</f>
        <v>-0.5824</v>
      </c>
      <c r="G37" s="10" t="n">
        <f aca="false">SUMIFS('Source 2025'!$F:$F,'Source 2025'!$B:$B,$A37,'Source 2025'!$A:$A,"Amount (NIS)")</f>
        <v>14188.7</v>
      </c>
      <c r="H37" s="10" t="n">
        <f aca="false">SUMIFS('Source 2026'!$F:$F,'Source 2026'!$B:$B,$A37,'Source 2026'!$A:$A,"Amount (NIS)")</f>
        <v>6005.5</v>
      </c>
      <c r="I37" s="10" t="n">
        <f aca="false">H37-G37</f>
        <v>-8183.2</v>
      </c>
      <c r="J37" s="9" t="n">
        <f aca="false">IF(AND(G37=0,H37=0),0,IF(G37=0,"New",(H37-G37)/G37))</f>
        <v>-0.576740645725119</v>
      </c>
    </row>
    <row r="38" customFormat="false" ht="15" hidden="false" customHeight="false" outlineLevel="0" collapsed="false">
      <c r="A38" s="7" t="s">
        <v>69</v>
      </c>
      <c r="B38" s="7" t="str">
        <f aca="false">IFERROR(INDEX('Source 2026'!$C:$C,MATCH($A38,'Source 2026'!$B:$B,0)),IFERROR(INDEX('Source 2025'!$C:$C,MATCH($A38,'Source 2025'!$B:$B,0)),""))</f>
        <v>לציפורן חודרנית</v>
      </c>
      <c r="C38" s="8" t="n">
        <f aca="false">SUMIFS('Source 2025'!$F:$F,'Source 2025'!$B:$B,$A38,'Source 2025'!$A:$A,"Quantity (units)")</f>
        <v>699</v>
      </c>
      <c r="D38" s="8" t="n">
        <f aca="false">SUMIFS('Source 2026'!$F:$F,'Source 2026'!$B:$B,$A38,'Source 2026'!$A:$A,"Quantity (units)")</f>
        <v>419</v>
      </c>
      <c r="E38" s="8" t="n">
        <f aca="false">D38-C38</f>
        <v>-280</v>
      </c>
      <c r="F38" s="9" t="n">
        <f aca="false">IF(AND(C38=0,D38=0),0,IF(C38=0,"New",(D38-C38)/C38))</f>
        <v>-0.400572246065808</v>
      </c>
      <c r="G38" s="10" t="n">
        <f aca="false">SUMIFS('Source 2025'!$F:$F,'Source 2025'!$B:$B,$A38,'Source 2025'!$A:$A,"Amount (NIS)")</f>
        <v>22916.1</v>
      </c>
      <c r="H38" s="10" t="n">
        <f aca="false">SUMIFS('Source 2026'!$F:$F,'Source 2026'!$B:$B,$A38,'Source 2026'!$A:$A,"Amount (NIS)")</f>
        <v>14900.5</v>
      </c>
      <c r="I38" s="10" t="n">
        <f aca="false">H38-G38</f>
        <v>-8015.6</v>
      </c>
      <c r="J38" s="9" t="n">
        <f aca="false">IF(AND(G38=0,H38=0),0,IF(G38=0,"New",(H38-G38)/G38))</f>
        <v>-0.34978028547615</v>
      </c>
    </row>
    <row r="39" customFormat="false" ht="15" hidden="false" customHeight="false" outlineLevel="0" collapsed="false">
      <c r="A39" s="7" t="s">
        <v>271</v>
      </c>
      <c r="B39" s="7" t="str">
        <f aca="false">IFERROR(INDEX('Source 2026'!$C:$C,MATCH($A39,'Source 2026'!$B:$B,0)),IFERROR(INDEX('Source 2025'!$C:$C,MATCH($A39,'Source 2025'!$B:$B,0)),""))</f>
        <v>חבק יד אגודלי</v>
      </c>
      <c r="C39" s="8" t="n">
        <f aca="false">SUMIFS('Source 2025'!$F:$F,'Source 2025'!$B:$B,$A39,'Source 2025'!$A:$A,"Quantity (units)")</f>
        <v>382</v>
      </c>
      <c r="D39" s="8" t="n">
        <f aca="false">SUMIFS('Source 2026'!$F:$F,'Source 2026'!$B:$B,$A39,'Source 2026'!$A:$A,"Quantity (units)")</f>
        <v>177</v>
      </c>
      <c r="E39" s="8" t="n">
        <f aca="false">D39-C39</f>
        <v>-205</v>
      </c>
      <c r="F39" s="9" t="n">
        <f aca="false">IF(AND(C39=0,D39=0),0,IF(C39=0,"New",(D39-C39)/C39))</f>
        <v>-0.536649214659686</v>
      </c>
      <c r="G39" s="10" t="n">
        <f aca="false">SUMIFS('Source 2025'!$F:$F,'Source 2025'!$B:$B,$A39,'Source 2025'!$A:$A,"Amount (NIS)")</f>
        <v>15998.7</v>
      </c>
      <c r="H39" s="10" t="n">
        <f aca="false">SUMIFS('Source 2026'!$F:$F,'Source 2026'!$B:$B,$A39,'Source 2026'!$A:$A,"Amount (NIS)")</f>
        <v>8071.8</v>
      </c>
      <c r="I39" s="10" t="n">
        <f aca="false">H39-G39</f>
        <v>-7926.9</v>
      </c>
      <c r="J39" s="9" t="n">
        <f aca="false">IF(AND(G39=0,H39=0),0,IF(G39=0,"New",(H39-G39)/G39))</f>
        <v>-0.495471507059949</v>
      </c>
    </row>
    <row r="40" customFormat="false" ht="15" hidden="false" customHeight="false" outlineLevel="0" collapsed="false">
      <c r="A40" s="7" t="s">
        <v>99</v>
      </c>
      <c r="B40" s="7" t="str">
        <f aca="false">IFERROR(INDEX('Source 2026'!$C:$C,MATCH($A40,'Source 2026'!$B:$B,0)),IFERROR(INDEX('Source 2025'!$C:$C,MATCH($A40,'Source 2025'!$B:$B,0)),""))</f>
        <v>חגורת גב +סגירה כפולה</v>
      </c>
      <c r="C40" s="8" t="n">
        <f aca="false">SUMIFS('Source 2025'!$F:$F,'Source 2025'!$B:$B,$A40,'Source 2025'!$A:$A,"Quantity (units)")</f>
        <v>121</v>
      </c>
      <c r="D40" s="8" t="n">
        <f aca="false">SUMIFS('Source 2026'!$F:$F,'Source 2026'!$B:$B,$A40,'Source 2026'!$A:$A,"Quantity (units)")</f>
        <v>52</v>
      </c>
      <c r="E40" s="8" t="n">
        <f aca="false">D40-C40</f>
        <v>-69</v>
      </c>
      <c r="F40" s="9" t="n">
        <f aca="false">IF(AND(C40=0,D40=0),0,IF(C40=0,"New",(D40-C40)/C40))</f>
        <v>-0.570247933884298</v>
      </c>
      <c r="G40" s="10" t="n">
        <f aca="false">SUMIFS('Source 2025'!$F:$F,'Source 2025'!$B:$B,$A40,'Source 2025'!$A:$A,"Amount (NIS)")</f>
        <v>13380.2</v>
      </c>
      <c r="H40" s="10" t="n">
        <f aca="false">SUMIFS('Source 2026'!$F:$F,'Source 2026'!$B:$B,$A40,'Source 2026'!$A:$A,"Amount (NIS)")</f>
        <v>5965.9</v>
      </c>
      <c r="I40" s="10" t="n">
        <f aca="false">H40-G40</f>
        <v>-7414.3</v>
      </c>
      <c r="J40" s="9" t="n">
        <f aca="false">IF(AND(G40=0,H40=0),0,IF(G40=0,"New",(H40-G40)/G40))</f>
        <v>-0.554124751498483</v>
      </c>
    </row>
    <row r="41" customFormat="false" ht="15" hidden="false" customHeight="false" outlineLevel="0" collapsed="false">
      <c r="A41" s="7" t="s">
        <v>246</v>
      </c>
      <c r="B41" s="7" t="str">
        <f aca="false">IFERROR(INDEX('Source 2026'!$C:$C,MATCH($A41,'Source 2026'!$B:$B,0)),IFERROR(INDEX('Source 2025'!$C:$C,MATCH($A41,'Source 2025'!$B:$B,0)),""))</f>
        <v>ציפורניים</v>
      </c>
      <c r="C41" s="8" t="n">
        <f aca="false">SUMIFS('Source 2025'!$F:$F,'Source 2025'!$B:$B,$A41,'Source 2025'!$A:$A,"Quantity (units)")</f>
        <v>1054</v>
      </c>
      <c r="D41" s="8" t="n">
        <f aca="false">SUMIFS('Source 2026'!$F:$F,'Source 2026'!$B:$B,$A41,'Source 2026'!$A:$A,"Quantity (units)")</f>
        <v>531</v>
      </c>
      <c r="E41" s="8" t="n">
        <f aca="false">D41-C41</f>
        <v>-523</v>
      </c>
      <c r="F41" s="9" t="n">
        <f aca="false">IF(AND(C41=0,D41=0),0,IF(C41=0,"New",(D41-C41)/C41))</f>
        <v>-0.496204933586338</v>
      </c>
      <c r="G41" s="10" t="n">
        <f aca="false">SUMIFS('Source 2025'!$F:$F,'Source 2025'!$B:$B,$A41,'Source 2025'!$A:$A,"Amount (NIS)")</f>
        <v>14444.1</v>
      </c>
      <c r="H41" s="10" t="n">
        <f aca="false">SUMIFS('Source 2026'!$F:$F,'Source 2026'!$B:$B,$A41,'Source 2026'!$A:$A,"Amount (NIS)")</f>
        <v>7441.6</v>
      </c>
      <c r="I41" s="10" t="n">
        <f aca="false">H41-G41</f>
        <v>-7002.5</v>
      </c>
      <c r="J41" s="9" t="n">
        <f aca="false">IF(AND(G41=0,H41=0),0,IF(G41=0,"New",(H41-G41)/G41))</f>
        <v>-0.484800022154374</v>
      </c>
    </row>
    <row r="42" customFormat="false" ht="15" hidden="false" customHeight="false" outlineLevel="0" collapsed="false">
      <c r="A42" s="7" t="s">
        <v>272</v>
      </c>
      <c r="B42" s="7" t="str">
        <f aca="false">IFERROR(INDEX('Source 2026'!$C:$C,MATCH($A42,'Source 2026'!$B:$B,0)),IFERROR(INDEX('Source 2025'!$C:$C,MATCH($A42,'Source 2025'!$B:$B,0)),""))</f>
        <v>סד לש.כף יד שמאל</v>
      </c>
      <c r="C42" s="8" t="n">
        <f aca="false">SUMIFS('Source 2025'!$F:$F,'Source 2025'!$B:$B,$A42,'Source 2025'!$A:$A,"Quantity (units)")</f>
        <v>362</v>
      </c>
      <c r="D42" s="8" t="n">
        <f aca="false">SUMIFS('Source 2026'!$F:$F,'Source 2026'!$B:$B,$A42,'Source 2026'!$A:$A,"Quantity (units)")</f>
        <v>197</v>
      </c>
      <c r="E42" s="8" t="n">
        <f aca="false">D42-C42</f>
        <v>-165</v>
      </c>
      <c r="F42" s="9" t="n">
        <f aca="false">IF(AND(C42=0,D42=0),0,IF(C42=0,"New",(D42-C42)/C42))</f>
        <v>-0.455801104972376</v>
      </c>
      <c r="G42" s="10" t="n">
        <f aca="false">SUMIFS('Source 2025'!$F:$F,'Source 2025'!$B:$B,$A42,'Source 2025'!$A:$A,"Amount (NIS)")</f>
        <v>14941.3</v>
      </c>
      <c r="H42" s="10" t="n">
        <f aca="false">SUMIFS('Source 2026'!$F:$F,'Source 2026'!$B:$B,$A42,'Source 2026'!$A:$A,"Amount (NIS)")</f>
        <v>7971.4</v>
      </c>
      <c r="I42" s="10" t="n">
        <f aca="false">H42-G42</f>
        <v>-6969.9</v>
      </c>
      <c r="J42" s="9" t="n">
        <f aca="false">IF(AND(G42=0,H42=0),0,IF(G42=0,"New",(H42-G42)/G42))</f>
        <v>-0.466485513308748</v>
      </c>
    </row>
    <row r="43" customFormat="false" ht="15" hidden="false" customHeight="false" outlineLevel="0" collapsed="false">
      <c r="A43" s="7" t="s">
        <v>65</v>
      </c>
      <c r="B43" s="7" t="str">
        <f aca="false">IFERROR(INDEX('Source 2026'!$C:$C,MATCH($A43,'Source 2026'!$B:$B,0)),IFERROR(INDEX('Source 2025'!$C:$C,MATCH($A43,'Source 2025'!$B:$B,0)),""))</f>
        <v>M 'מגן מרפק בז</v>
      </c>
      <c r="C43" s="8" t="n">
        <f aca="false">SUMIFS('Source 2025'!$F:$F,'Source 2025'!$B:$B,$A43,'Source 2025'!$A:$A,"Quantity (units)")</f>
        <v>584</v>
      </c>
      <c r="D43" s="8" t="n">
        <f aca="false">SUMIFS('Source 2026'!$F:$F,'Source 2026'!$B:$B,$A43,'Source 2026'!$A:$A,"Quantity (units)")</f>
        <v>355</v>
      </c>
      <c r="E43" s="8" t="n">
        <f aca="false">D43-C43</f>
        <v>-229</v>
      </c>
      <c r="F43" s="9" t="n">
        <f aca="false">IF(AND(C43=0,D43=0),0,IF(C43=0,"New",(D43-C43)/C43))</f>
        <v>-0.392123287671233</v>
      </c>
      <c r="G43" s="10" t="n">
        <f aca="false">SUMIFS('Source 2025'!$F:$F,'Source 2025'!$B:$B,$A43,'Source 2025'!$A:$A,"Amount (NIS)")</f>
        <v>17419.4</v>
      </c>
      <c r="H43" s="10" t="n">
        <f aca="false">SUMIFS('Source 2026'!$F:$F,'Source 2026'!$B:$B,$A43,'Source 2026'!$A:$A,"Amount (NIS)")</f>
        <v>10653.5</v>
      </c>
      <c r="I43" s="10" t="n">
        <f aca="false">H43-G43</f>
        <v>-6765.9</v>
      </c>
      <c r="J43" s="9" t="n">
        <f aca="false">IF(AND(G43=0,H43=0),0,IF(G43=0,"New",(H43-G43)/G43))</f>
        <v>-0.388411770784298</v>
      </c>
    </row>
    <row r="44" customFormat="false" ht="15" hidden="false" customHeight="false" outlineLevel="0" collapsed="false">
      <c r="A44" s="7" t="s">
        <v>78</v>
      </c>
      <c r="B44" s="7" t="str">
        <f aca="false">IFERROR(INDEX('Source 2026'!$C:$C,MATCH($A44,'Source 2026'!$B:$B,0)),IFERROR(INDEX('Source 2025'!$C:$C,MATCH($A44,'Source 2025'!$B:$B,0)),""))</f>
        <v>טייפ קינזיולוגי</v>
      </c>
      <c r="C44" s="8" t="n">
        <f aca="false">SUMIFS('Source 2025'!$F:$F,'Source 2025'!$B:$B,$A44,'Source 2025'!$A:$A,"Quantity (units)")</f>
        <v>295</v>
      </c>
      <c r="D44" s="8" t="n">
        <f aca="false">SUMIFS('Source 2026'!$F:$F,'Source 2026'!$B:$B,$A44,'Source 2026'!$A:$A,"Quantity (units)")</f>
        <v>60</v>
      </c>
      <c r="E44" s="8" t="n">
        <f aca="false">D44-C44</f>
        <v>-235</v>
      </c>
      <c r="F44" s="9" t="n">
        <f aca="false">IF(AND(C44=0,D44=0),0,IF(C44=0,"New",(D44-C44)/C44))</f>
        <v>-0.796610169491525</v>
      </c>
      <c r="G44" s="10" t="n">
        <f aca="false">SUMIFS('Source 2025'!$F:$F,'Source 2025'!$B:$B,$A44,'Source 2025'!$A:$A,"Amount (NIS)")</f>
        <v>8838</v>
      </c>
      <c r="H44" s="10" t="n">
        <f aca="false">SUMIFS('Source 2026'!$F:$F,'Source 2026'!$B:$B,$A44,'Source 2026'!$A:$A,"Amount (NIS)")</f>
        <v>2259.1</v>
      </c>
      <c r="I44" s="10" t="n">
        <f aca="false">H44-G44</f>
        <v>-6578.9</v>
      </c>
      <c r="J44" s="9" t="n">
        <f aca="false">IF(AND(G44=0,H44=0),0,IF(G44=0,"New",(H44-G44)/G44))</f>
        <v>-0.74438787055895</v>
      </c>
    </row>
    <row r="45" customFormat="false" ht="15" hidden="false" customHeight="false" outlineLevel="0" collapsed="false">
      <c r="A45" s="7" t="s">
        <v>51</v>
      </c>
      <c r="B45" s="7" t="str">
        <f aca="false">IFERROR(INDEX('Source 2026'!$C:$C,MATCH($A45,'Source 2026'!$B:$B,0)),IFERROR(INDEX('Source 2025'!$C:$C,MATCH($A45,'Source 2025'!$B:$B,0)),""))</f>
        <v>Sמגן ברך ארוך לבן</v>
      </c>
      <c r="C45" s="8" t="n">
        <f aca="false">SUMIFS('Source 2025'!$F:$F,'Source 2025'!$B:$B,$A45,'Source 2025'!$A:$A,"Quantity (units)")</f>
        <v>457</v>
      </c>
      <c r="D45" s="8" t="n">
        <f aca="false">SUMIFS('Source 2026'!$F:$F,'Source 2026'!$B:$B,$A45,'Source 2026'!$A:$A,"Quantity (units)")</f>
        <v>275</v>
      </c>
      <c r="E45" s="8" t="n">
        <f aca="false">D45-C45</f>
        <v>-182</v>
      </c>
      <c r="F45" s="9" t="n">
        <f aca="false">IF(AND(C45=0,D45=0),0,IF(C45=0,"New",(D45-C45)/C45))</f>
        <v>-0.398249452954048</v>
      </c>
      <c r="G45" s="10" t="n">
        <f aca="false">SUMIFS('Source 2025'!$F:$F,'Source 2025'!$B:$B,$A45,'Source 2025'!$A:$A,"Amount (NIS)")</f>
        <v>16505.3</v>
      </c>
      <c r="H45" s="10" t="n">
        <f aca="false">SUMIFS('Source 2026'!$F:$F,'Source 2026'!$B:$B,$A45,'Source 2026'!$A:$A,"Amount (NIS)")</f>
        <v>9981.2</v>
      </c>
      <c r="I45" s="10" t="n">
        <f aca="false">H45-G45</f>
        <v>-6524.1</v>
      </c>
      <c r="J45" s="9" t="n">
        <f aca="false">IF(AND(G45=0,H45=0),0,IF(G45=0,"New",(H45-G45)/G45))</f>
        <v>-0.395273033510448</v>
      </c>
    </row>
    <row r="46" customFormat="false" ht="15" hidden="false" customHeight="false" outlineLevel="0" collapsed="false">
      <c r="A46" s="7" t="s">
        <v>72</v>
      </c>
      <c r="B46" s="7" t="str">
        <f aca="false">IFERROR(INDEX('Source 2026'!$C:$C,MATCH($A46,'Source 2026'!$B:$B,0)),IFERROR(INDEX('Source 2025'!$C:$C,MATCH($A46,'Source 2025'!$B:$B,0)),""))</f>
        <v>טייפ קינזיולוגי</v>
      </c>
      <c r="C46" s="8" t="n">
        <f aca="false">SUMIFS('Source 2025'!$F:$F,'Source 2025'!$B:$B,$A46,'Source 2025'!$A:$A,"Quantity (units)")</f>
        <v>517</v>
      </c>
      <c r="D46" s="8" t="n">
        <f aca="false">SUMIFS('Source 2026'!$F:$F,'Source 2026'!$B:$B,$A46,'Source 2026'!$A:$A,"Quantity (units)")</f>
        <v>278</v>
      </c>
      <c r="E46" s="8" t="n">
        <f aca="false">D46-C46</f>
        <v>-239</v>
      </c>
      <c r="F46" s="9" t="n">
        <f aca="false">IF(AND(C46=0,D46=0),0,IF(C46=0,"New",(D46-C46)/C46))</f>
        <v>-0.462282398452611</v>
      </c>
      <c r="G46" s="10" t="n">
        <f aca="false">SUMIFS('Source 2025'!$F:$F,'Source 2025'!$B:$B,$A46,'Source 2025'!$A:$A,"Amount (NIS)")</f>
        <v>15602.6</v>
      </c>
      <c r="H46" s="10" t="n">
        <f aca="false">SUMIFS('Source 2026'!$F:$F,'Source 2026'!$B:$B,$A46,'Source 2026'!$A:$A,"Amount (NIS)")</f>
        <v>9297.7</v>
      </c>
      <c r="I46" s="10" t="n">
        <f aca="false">H46-G46</f>
        <v>-6304.9</v>
      </c>
      <c r="J46" s="9" t="n">
        <f aca="false">IF(AND(G46=0,H46=0),0,IF(G46=0,"New",(H46-G46)/G46))</f>
        <v>-0.404092907592324</v>
      </c>
    </row>
    <row r="47" customFormat="false" ht="15" hidden="false" customHeight="false" outlineLevel="0" collapsed="false">
      <c r="A47" s="7" t="s">
        <v>133</v>
      </c>
      <c r="B47" s="7" t="str">
        <f aca="false">IFERROR(INDEX('Source 2026'!$C:$C,MATCH($A47,'Source 2026'!$B:$B,0)),IFERROR(INDEX('Source 2025'!$C:$C,MATCH($A47,'Source 2025'!$B:$B,0)),""))</f>
        <v>חגורת גב +סגירה כפולה</v>
      </c>
      <c r="C47" s="8" t="n">
        <f aca="false">SUMIFS('Source 2025'!$F:$F,'Source 2025'!$B:$B,$A47,'Source 2025'!$A:$A,"Quantity (units)")</f>
        <v>86</v>
      </c>
      <c r="D47" s="8" t="n">
        <f aca="false">SUMIFS('Source 2026'!$F:$F,'Source 2026'!$B:$B,$A47,'Source 2026'!$A:$A,"Quantity (units)")</f>
        <v>32</v>
      </c>
      <c r="E47" s="8" t="n">
        <f aca="false">D47-C47</f>
        <v>-54</v>
      </c>
      <c r="F47" s="9" t="n">
        <f aca="false">IF(AND(C47=0,D47=0),0,IF(C47=0,"New",(D47-C47)/C47))</f>
        <v>-0.627906976744186</v>
      </c>
      <c r="G47" s="10" t="n">
        <f aca="false">SUMIFS('Source 2025'!$F:$F,'Source 2025'!$B:$B,$A47,'Source 2025'!$A:$A,"Amount (NIS)")</f>
        <v>9536.7</v>
      </c>
      <c r="H47" s="10" t="n">
        <f aca="false">SUMIFS('Source 2026'!$F:$F,'Source 2026'!$B:$B,$A47,'Source 2026'!$A:$A,"Amount (NIS)")</f>
        <v>3634.2</v>
      </c>
      <c r="I47" s="10" t="n">
        <f aca="false">H47-G47</f>
        <v>-5902.5</v>
      </c>
      <c r="J47" s="9" t="n">
        <f aca="false">IF(AND(G47=0,H47=0),0,IF(G47=0,"New",(H47-G47)/G47))</f>
        <v>-0.618924785303092</v>
      </c>
    </row>
    <row r="48" customFormat="false" ht="15" hidden="false" customHeight="false" outlineLevel="0" collapsed="false">
      <c r="A48" s="7" t="s">
        <v>84</v>
      </c>
      <c r="B48" s="7" t="str">
        <f aca="false">IFERROR(INDEX('Source 2026'!$C:$C,MATCH($A48,'Source 2026'!$B:$B,0)),IFERROR(INDEX('Source 2025'!$C:$C,MATCH($A48,'Source 2025'!$B:$B,0)),""))</f>
        <v>Sמיישר כתף יציב יישור גב צר</v>
      </c>
      <c r="C48" s="8" t="n">
        <f aca="false">SUMIFS('Source 2025'!$F:$F,'Source 2025'!$B:$B,$A48,'Source 2025'!$A:$A,"Quantity (units)")</f>
        <v>68</v>
      </c>
      <c r="D48" s="8" t="n">
        <f aca="false">SUMIFS('Source 2026'!$F:$F,'Source 2026'!$B:$B,$A48,'Source 2026'!$A:$A,"Quantity (units)")</f>
        <v>32</v>
      </c>
      <c r="E48" s="8" t="n">
        <f aca="false">D48-C48</f>
        <v>-36</v>
      </c>
      <c r="F48" s="9" t="n">
        <f aca="false">IF(AND(C48=0,D48=0),0,IF(C48=0,"New",(D48-C48)/C48))</f>
        <v>-0.529411764705882</v>
      </c>
      <c r="G48" s="10" t="n">
        <f aca="false">SUMIFS('Source 2025'!$F:$F,'Source 2025'!$B:$B,$A48,'Source 2025'!$A:$A,"Amount (NIS)")</f>
        <v>10956.1</v>
      </c>
      <c r="H48" s="10" t="n">
        <f aca="false">SUMIFS('Source 2026'!$F:$F,'Source 2026'!$B:$B,$A48,'Source 2026'!$A:$A,"Amount (NIS)")</f>
        <v>5197.4</v>
      </c>
      <c r="I48" s="10" t="n">
        <f aca="false">H48-G48</f>
        <v>-5758.7</v>
      </c>
      <c r="J48" s="9" t="n">
        <f aca="false">IF(AND(G48=0,H48=0),0,IF(G48=0,"New",(H48-G48)/G48))</f>
        <v>-0.525615866959958</v>
      </c>
    </row>
    <row r="49" customFormat="false" ht="15" hidden="false" customHeight="false" outlineLevel="0" collapsed="false">
      <c r="A49" s="7" t="s">
        <v>229</v>
      </c>
      <c r="B49" s="7" t="str">
        <f aca="false">IFERROR(INDEX('Source 2026'!$C:$C,MATCH($A49,'Source 2026'!$B:$B,0)),IFERROR(INDEX('Source 2025'!$C:$C,MATCH($A49,'Source 2025'!$B:$B,0)),""))</f>
        <v>Lעקבים סיליקון כחול לדורבן</v>
      </c>
      <c r="C49" s="8" t="n">
        <f aca="false">SUMIFS('Source 2025'!$F:$F,'Source 2025'!$B:$B,$A49,'Source 2025'!$A:$A,"Quantity (units)")</f>
        <v>252</v>
      </c>
      <c r="D49" s="8" t="n">
        <f aca="false">SUMIFS('Source 2026'!$F:$F,'Source 2026'!$B:$B,$A49,'Source 2026'!$A:$A,"Quantity (units)")</f>
        <v>144</v>
      </c>
      <c r="E49" s="8" t="n">
        <f aca="false">D49-C49</f>
        <v>-108</v>
      </c>
      <c r="F49" s="9" t="n">
        <f aca="false">IF(AND(C49=0,D49=0),0,IF(C49=0,"New",(D49-C49)/C49))</f>
        <v>-0.428571428571429</v>
      </c>
      <c r="G49" s="10" t="n">
        <f aca="false">SUMIFS('Source 2025'!$F:$F,'Source 2025'!$B:$B,$A49,'Source 2025'!$A:$A,"Amount (NIS)")</f>
        <v>13944.7</v>
      </c>
      <c r="H49" s="10" t="n">
        <f aca="false">SUMIFS('Source 2026'!$F:$F,'Source 2026'!$B:$B,$A49,'Source 2026'!$A:$A,"Amount (NIS)")</f>
        <v>8196.2</v>
      </c>
      <c r="I49" s="10" t="n">
        <f aca="false">H49-G49</f>
        <v>-5748.5</v>
      </c>
      <c r="J49" s="9" t="n">
        <f aca="false">IF(AND(G49=0,H49=0),0,IF(G49=0,"New",(H49-G49)/G49))</f>
        <v>-0.412235472975396</v>
      </c>
    </row>
    <row r="50" customFormat="false" ht="15" hidden="false" customHeight="false" outlineLevel="0" collapsed="false">
      <c r="A50" s="7" t="s">
        <v>164</v>
      </c>
      <c r="B50" s="7" t="str">
        <f aca="false">IFERROR(INDEX('Source 2026'!$C:$C,MATCH($A50,'Source 2026'!$B:$B,0)),IFERROR(INDEX('Source 2025'!$C:$C,MATCH($A50,'Source 2025'!$B:$B,0)),""))</f>
        <v>Sמיישר כתף יציב יישור ג.רחב</v>
      </c>
      <c r="C50" s="8" t="n">
        <f aca="false">SUMIFS('Source 2025'!$F:$F,'Source 2025'!$B:$B,$A50,'Source 2025'!$A:$A,"Quantity (units)")</f>
        <v>90</v>
      </c>
      <c r="D50" s="8" t="n">
        <f aca="false">SUMIFS('Source 2026'!$F:$F,'Source 2026'!$B:$B,$A50,'Source 2026'!$A:$A,"Quantity (units)")</f>
        <v>60</v>
      </c>
      <c r="E50" s="8" t="n">
        <f aca="false">D50-C50</f>
        <v>-30</v>
      </c>
      <c r="F50" s="9" t="n">
        <f aca="false">IF(AND(C50=0,D50=0),0,IF(C50=0,"New",(D50-C50)/C50))</f>
        <v>-0.333333333333333</v>
      </c>
      <c r="G50" s="10" t="n">
        <f aca="false">SUMIFS('Source 2025'!$F:$F,'Source 2025'!$B:$B,$A50,'Source 2025'!$A:$A,"Amount (NIS)")</f>
        <v>18142.9</v>
      </c>
      <c r="H50" s="10" t="n">
        <f aca="false">SUMIFS('Source 2026'!$F:$F,'Source 2026'!$B:$B,$A50,'Source 2026'!$A:$A,"Amount (NIS)")</f>
        <v>12440.6</v>
      </c>
      <c r="I50" s="10" t="n">
        <f aca="false">H50-G50</f>
        <v>-5702.3</v>
      </c>
      <c r="J50" s="9" t="n">
        <f aca="false">IF(AND(G50=0,H50=0),0,IF(G50=0,"New",(H50-G50)/G50))</f>
        <v>-0.314299257560809</v>
      </c>
    </row>
    <row r="51" customFormat="false" ht="15" hidden="false" customHeight="false" outlineLevel="0" collapsed="false">
      <c r="A51" s="7" t="s">
        <v>76</v>
      </c>
      <c r="B51" s="7" t="str">
        <f aca="false">IFERROR(INDEX('Source 2026'!$C:$C,MATCH($A51,'Source 2026'!$B:$B,0)),IFERROR(INDEX('Source 2025'!$C:$C,MATCH($A51,'Source 2025'!$B:$B,0)),""))</f>
        <v>טייפ קינזיולוגי</v>
      </c>
      <c r="C51" s="8" t="n">
        <f aca="false">SUMIFS('Source 2025'!$F:$F,'Source 2025'!$B:$B,$A51,'Source 2025'!$A:$A,"Quantity (units)")</f>
        <v>391</v>
      </c>
      <c r="D51" s="8" t="n">
        <f aca="false">SUMIFS('Source 2026'!$F:$F,'Source 2026'!$B:$B,$A51,'Source 2026'!$A:$A,"Quantity (units)")</f>
        <v>180</v>
      </c>
      <c r="E51" s="8" t="n">
        <f aca="false">D51-C51</f>
        <v>-211</v>
      </c>
      <c r="F51" s="9" t="n">
        <f aca="false">IF(AND(C51=0,D51=0),0,IF(C51=0,"New",(D51-C51)/C51))</f>
        <v>-0.539641943734015</v>
      </c>
      <c r="G51" s="10" t="n">
        <f aca="false">SUMIFS('Source 2025'!$F:$F,'Source 2025'!$B:$B,$A51,'Source 2025'!$A:$A,"Amount (NIS)")</f>
        <v>12113.8</v>
      </c>
      <c r="H51" s="10" t="n">
        <f aca="false">SUMIFS('Source 2026'!$F:$F,'Source 2026'!$B:$B,$A51,'Source 2026'!$A:$A,"Amount (NIS)")</f>
        <v>6434.5</v>
      </c>
      <c r="I51" s="10" t="n">
        <f aca="false">H51-G51</f>
        <v>-5679.3</v>
      </c>
      <c r="J51" s="9" t="n">
        <f aca="false">IF(AND(G51=0,H51=0),0,IF(G51=0,"New",(H51-G51)/G51))</f>
        <v>-0.468828938896135</v>
      </c>
    </row>
    <row r="52" customFormat="false" ht="15" hidden="false" customHeight="false" outlineLevel="0" collapsed="false">
      <c r="A52" s="7" t="s">
        <v>176</v>
      </c>
      <c r="B52" s="7" t="str">
        <f aca="false">IFERROR(INDEX('Source 2026'!$C:$C,MATCH($A52,'Source 2026'!$B:$B,0)),IFERROR(INDEX('Source 2025'!$C:$C,MATCH($A52,'Source 2025'!$B:$B,0)),""))</f>
        <v>סד לאגודל</v>
      </c>
      <c r="C52" s="8" t="n">
        <f aca="false">SUMIFS('Source 2025'!$F:$F,'Source 2025'!$B:$B,$A52,'Source 2025'!$A:$A,"Quantity (units)")</f>
        <v>637</v>
      </c>
      <c r="D52" s="8" t="n">
        <f aca="false">SUMIFS('Source 2026'!$F:$F,'Source 2026'!$B:$B,$A52,'Source 2026'!$A:$A,"Quantity (units)")</f>
        <v>446</v>
      </c>
      <c r="E52" s="8" t="n">
        <f aca="false">D52-C52</f>
        <v>-191</v>
      </c>
      <c r="F52" s="9" t="n">
        <f aca="false">IF(AND(C52=0,D52=0),0,IF(C52=0,"New",(D52-C52)/C52))</f>
        <v>-0.299843014128728</v>
      </c>
      <c r="G52" s="10" t="n">
        <f aca="false">SUMIFS('Source 2025'!$F:$F,'Source 2025'!$B:$B,$A52,'Source 2025'!$A:$A,"Amount (NIS)")</f>
        <v>22998.8</v>
      </c>
      <c r="H52" s="10" t="n">
        <f aca="false">SUMIFS('Source 2026'!$F:$F,'Source 2026'!$B:$B,$A52,'Source 2026'!$A:$A,"Amount (NIS)")</f>
        <v>17324</v>
      </c>
      <c r="I52" s="10" t="n">
        <f aca="false">H52-G52</f>
        <v>-5674.8</v>
      </c>
      <c r="J52" s="9" t="n">
        <f aca="false">IF(AND(G52=0,H52=0),0,IF(G52=0,"New",(H52-G52)/G52))</f>
        <v>-0.246743308346522</v>
      </c>
    </row>
    <row r="53" customFormat="false" ht="15" hidden="false" customHeight="false" outlineLevel="0" collapsed="false">
      <c r="A53" s="7" t="s">
        <v>59</v>
      </c>
      <c r="B53" s="7" t="str">
        <f aca="false">IFERROR(INDEX('Source 2026'!$C:$C,MATCH($A53,'Source 2026'!$B:$B,0)),IFERROR(INDEX('Source 2025'!$C:$C,MATCH($A53,'Source 2025'!$B:$B,0)),""))</f>
        <v>יד אגודלי</v>
      </c>
      <c r="C53" s="8" t="n">
        <f aca="false">SUMIFS('Source 2025'!$F:$F,'Source 2025'!$B:$B,$A53,'Source 2025'!$A:$A,"Quantity (units)")</f>
        <v>469</v>
      </c>
      <c r="D53" s="8" t="n">
        <f aca="false">SUMIFS('Source 2026'!$F:$F,'Source 2026'!$B:$B,$A53,'Source 2026'!$A:$A,"Quantity (units)")</f>
        <v>338</v>
      </c>
      <c r="E53" s="8" t="n">
        <f aca="false">D53-C53</f>
        <v>-131</v>
      </c>
      <c r="F53" s="9" t="n">
        <f aca="false">IF(AND(C53=0,D53=0),0,IF(C53=0,"New",(D53-C53)/C53))</f>
        <v>-0.279317697228145</v>
      </c>
      <c r="G53" s="10" t="n">
        <f aca="false">SUMIFS('Source 2025'!$F:$F,'Source 2025'!$B:$B,$A53,'Source 2025'!$A:$A,"Amount (NIS)")</f>
        <v>20889.7</v>
      </c>
      <c r="H53" s="10" t="n">
        <f aca="false">SUMIFS('Source 2026'!$F:$F,'Source 2026'!$B:$B,$A53,'Source 2026'!$A:$A,"Amount (NIS)")</f>
        <v>15231.4</v>
      </c>
      <c r="I53" s="10" t="n">
        <f aca="false">H53-G53</f>
        <v>-5658.3</v>
      </c>
      <c r="J53" s="9" t="n">
        <f aca="false">IF(AND(G53=0,H53=0),0,IF(G53=0,"New",(H53-G53)/G53))</f>
        <v>-0.27086554617826</v>
      </c>
    </row>
    <row r="54" customFormat="false" ht="15" hidden="false" customHeight="false" outlineLevel="0" collapsed="false">
      <c r="A54" s="7" t="s">
        <v>185</v>
      </c>
      <c r="B54" s="7" t="str">
        <f aca="false">IFERROR(INDEX('Source 2026'!$C:$C,MATCH($A54,'Source 2026'!$B:$B,0)),IFERROR(INDEX('Source 2025'!$C:$C,MATCH($A54,'Source 2025'!$B:$B,0)),""))</f>
        <v>S תומך זרוע וכתף</v>
      </c>
      <c r="C54" s="8" t="n">
        <f aca="false">SUMIFS('Source 2025'!$F:$F,'Source 2025'!$B:$B,$A54,'Source 2025'!$A:$A,"Quantity (units)")</f>
        <v>96</v>
      </c>
      <c r="D54" s="8" t="n">
        <f aca="false">SUMIFS('Source 2026'!$F:$F,'Source 2026'!$B:$B,$A54,'Source 2026'!$A:$A,"Quantity (units)")</f>
        <v>67</v>
      </c>
      <c r="E54" s="8" t="n">
        <f aca="false">D54-C54</f>
        <v>-29</v>
      </c>
      <c r="F54" s="9" t="n">
        <f aca="false">IF(AND(C54=0,D54=0),0,IF(C54=0,"New",(D54-C54)/C54))</f>
        <v>-0.302083333333333</v>
      </c>
      <c r="G54" s="10" t="n">
        <f aca="false">SUMIFS('Source 2025'!$F:$F,'Source 2025'!$B:$B,$A54,'Source 2025'!$A:$A,"Amount (NIS)")</f>
        <v>17955</v>
      </c>
      <c r="H54" s="10" t="n">
        <f aca="false">SUMIFS('Source 2026'!$F:$F,'Source 2026'!$B:$B,$A54,'Source 2026'!$A:$A,"Amount (NIS)")</f>
        <v>12432.2</v>
      </c>
      <c r="I54" s="10" t="n">
        <f aca="false">H54-G54</f>
        <v>-5522.8</v>
      </c>
      <c r="J54" s="9" t="n">
        <f aca="false">IF(AND(G54=0,H54=0),0,IF(G54=0,"New",(H54-G54)/G54))</f>
        <v>-0.307591200222779</v>
      </c>
    </row>
    <row r="55" customFormat="false" ht="15" hidden="false" customHeight="false" outlineLevel="0" collapsed="false">
      <c r="A55" s="7" t="s">
        <v>81</v>
      </c>
      <c r="B55" s="7" t="str">
        <f aca="false">IFERROR(INDEX('Source 2026'!$C:$C,MATCH($A55,'Source 2026'!$B:$B,0)),IFERROR(INDEX('Source 2025'!$C:$C,MATCH($A55,'Source 2025'!$B:$B,0)),""))</f>
        <v>0 מ.בוניון+מפריד אצבע</v>
      </c>
      <c r="C55" s="8" t="n">
        <f aca="false">SUMIFS('Source 2025'!$F:$F,'Source 2025'!$B:$B,$A55,'Source 2025'!$A:$A,"Quantity (units)")</f>
        <v>324</v>
      </c>
      <c r="D55" s="8" t="n">
        <f aca="false">SUMIFS('Source 2026'!$F:$F,'Source 2026'!$B:$B,$A55,'Source 2026'!$A:$A,"Quantity (units)")</f>
        <v>177</v>
      </c>
      <c r="E55" s="8" t="n">
        <f aca="false">D55-C55</f>
        <v>-147</v>
      </c>
      <c r="F55" s="9" t="n">
        <f aca="false">IF(AND(C55=0,D55=0),0,IF(C55=0,"New",(D55-C55)/C55))</f>
        <v>-0.453703703703704</v>
      </c>
      <c r="G55" s="10" t="n">
        <f aca="false">SUMIFS('Source 2025'!$F:$F,'Source 2025'!$B:$B,$A55,'Source 2025'!$A:$A,"Amount (NIS)")</f>
        <v>12298.4</v>
      </c>
      <c r="H55" s="10" t="n">
        <f aca="false">SUMIFS('Source 2026'!$F:$F,'Source 2026'!$B:$B,$A55,'Source 2026'!$A:$A,"Amount (NIS)")</f>
        <v>6811.3</v>
      </c>
      <c r="I55" s="10" t="n">
        <f aca="false">H55-G55</f>
        <v>-5487.1</v>
      </c>
      <c r="J55" s="9" t="n">
        <f aca="false">IF(AND(G55=0,H55=0),0,IF(G55=0,"New",(H55-G55)/G55))</f>
        <v>-0.446163728615104</v>
      </c>
    </row>
    <row r="56" customFormat="false" ht="15" hidden="false" customHeight="false" outlineLevel="0" collapsed="false">
      <c r="A56" s="7" t="s">
        <v>82</v>
      </c>
      <c r="B56" s="7" t="str">
        <f aca="false">IFERROR(INDEX('Source 2026'!$C:$C,MATCH($A56,'Source 2026'!$B:$B,0)),IFERROR(INDEX('Source 2025'!$C:$C,MATCH($A56,'Source 2025'!$B:$B,0)),""))</f>
        <v>S-L אצבעון מסיליקון יחידה</v>
      </c>
      <c r="C56" s="8" t="n">
        <f aca="false">SUMIFS('Source 2025'!$F:$F,'Source 2025'!$B:$B,$A56,'Source 2025'!$A:$A,"Quantity (units)")</f>
        <v>743</v>
      </c>
      <c r="D56" s="8" t="n">
        <f aca="false">SUMIFS('Source 2026'!$F:$F,'Source 2026'!$B:$B,$A56,'Source 2026'!$A:$A,"Quantity (units)")</f>
        <v>516</v>
      </c>
      <c r="E56" s="8" t="n">
        <f aca="false">D56-C56</f>
        <v>-227</v>
      </c>
      <c r="F56" s="9" t="n">
        <f aca="false">IF(AND(C56=0,D56=0),0,IF(C56=0,"New",(D56-C56)/C56))</f>
        <v>-0.305518169582773</v>
      </c>
      <c r="G56" s="10" t="n">
        <f aca="false">SUMIFS('Source 2025'!$F:$F,'Source 2025'!$B:$B,$A56,'Source 2025'!$A:$A,"Amount (NIS)")</f>
        <v>17772.7</v>
      </c>
      <c r="H56" s="10" t="n">
        <f aca="false">SUMIFS('Source 2026'!$F:$F,'Source 2026'!$B:$B,$A56,'Source 2026'!$A:$A,"Amount (NIS)")</f>
        <v>12379.2</v>
      </c>
      <c r="I56" s="10" t="n">
        <f aca="false">H56-G56</f>
        <v>-5393.5</v>
      </c>
      <c r="J56" s="9" t="n">
        <f aca="false">IF(AND(G56=0,H56=0),0,IF(G56=0,"New",(H56-G56)/G56))</f>
        <v>-0.303471053919776</v>
      </c>
    </row>
    <row r="57" customFormat="false" ht="15" hidden="false" customHeight="false" outlineLevel="0" collapsed="false">
      <c r="A57" s="7" t="s">
        <v>70</v>
      </c>
      <c r="B57" s="7" t="str">
        <f aca="false">IFERROR(INDEX('Source 2026'!$C:$C,MATCH($A57,'Source 2026'!$B:$B,0)),IFERROR(INDEX('Source 2025'!$C:$C,MATCH($A57,'Source 2025'!$B:$B,0)),""))</f>
        <v>תחבושת א.נצמ</v>
      </c>
      <c r="C57" s="8" t="n">
        <f aca="false">SUMIFS('Source 2025'!$F:$F,'Source 2025'!$B:$B,$A57,'Source 2025'!$A:$A,"Quantity (units)")</f>
        <v>1500</v>
      </c>
      <c r="D57" s="8" t="n">
        <f aca="false">SUMIFS('Source 2026'!$F:$F,'Source 2026'!$B:$B,$A57,'Source 2026'!$A:$A,"Quantity (units)")</f>
        <v>851</v>
      </c>
      <c r="E57" s="8" t="n">
        <f aca="false">D57-C57</f>
        <v>-649</v>
      </c>
      <c r="F57" s="9" t="n">
        <f aca="false">IF(AND(C57=0,D57=0),0,IF(C57=0,"New",(D57-C57)/C57))</f>
        <v>-0.432666666666667</v>
      </c>
      <c r="G57" s="10" t="n">
        <f aca="false">SUMIFS('Source 2025'!$F:$F,'Source 2025'!$B:$B,$A57,'Source 2025'!$A:$A,"Amount (NIS)")</f>
        <v>14703.8</v>
      </c>
      <c r="H57" s="10" t="n">
        <f aca="false">SUMIFS('Source 2026'!$F:$F,'Source 2026'!$B:$B,$A57,'Source 2026'!$A:$A,"Amount (NIS)")</f>
        <v>9467.1</v>
      </c>
      <c r="I57" s="10" t="n">
        <f aca="false">H57-G57</f>
        <v>-5236.7</v>
      </c>
      <c r="J57" s="9" t="n">
        <f aca="false">IF(AND(G57=0,H57=0),0,IF(G57=0,"New",(H57-G57)/G57))</f>
        <v>-0.356146030277887</v>
      </c>
    </row>
    <row r="58" customFormat="false" ht="15" hidden="false" customHeight="false" outlineLevel="0" collapsed="false">
      <c r="A58" s="7" t="s">
        <v>242</v>
      </c>
      <c r="B58" s="7" t="str">
        <f aca="false">IFERROR(INDEX('Source 2026'!$C:$C,MATCH($A58,'Source 2026'!$B:$B,0)),IFERROR(INDEX('Source 2025'!$C:$C,MATCH($A58,'Source 2025'!$B:$B,0)),""))</f>
        <v>Lמפר.אצבע סיליק. ליבל.זוג</v>
      </c>
      <c r="C58" s="8" t="n">
        <f aca="false">SUMIFS('Source 2025'!$F:$F,'Source 2025'!$B:$B,$A58,'Source 2025'!$A:$A,"Quantity (units)")</f>
        <v>997</v>
      </c>
      <c r="D58" s="8" t="n">
        <f aca="false">SUMIFS('Source 2026'!$F:$F,'Source 2026'!$B:$B,$A58,'Source 2026'!$A:$A,"Quantity (units)")</f>
        <v>623</v>
      </c>
      <c r="E58" s="8" t="n">
        <f aca="false">D58-C58</f>
        <v>-374</v>
      </c>
      <c r="F58" s="9" t="n">
        <f aca="false">IF(AND(C58=0,D58=0),0,IF(C58=0,"New",(D58-C58)/C58))</f>
        <v>-0.375125376128385</v>
      </c>
      <c r="G58" s="10" t="n">
        <f aca="false">SUMIFS('Source 2025'!$F:$F,'Source 2025'!$B:$B,$A58,'Source 2025'!$A:$A,"Amount (NIS)")</f>
        <v>13644.9</v>
      </c>
      <c r="H58" s="10" t="n">
        <f aca="false">SUMIFS('Source 2026'!$F:$F,'Source 2026'!$B:$B,$A58,'Source 2026'!$A:$A,"Amount (NIS)")</f>
        <v>8539.8</v>
      </c>
      <c r="I58" s="10" t="n">
        <f aca="false">H58-G58</f>
        <v>-5105.1</v>
      </c>
      <c r="J58" s="9" t="n">
        <f aca="false">IF(AND(G58=0,H58=0),0,IF(G58=0,"New",(H58-G58)/G58))</f>
        <v>-0.374139788492404</v>
      </c>
    </row>
    <row r="59" customFormat="false" ht="15" hidden="false" customHeight="false" outlineLevel="0" collapsed="false">
      <c r="A59" s="7" t="s">
        <v>88</v>
      </c>
      <c r="B59" s="7" t="str">
        <f aca="false">IFERROR(INDEX('Source 2026'!$C:$C,MATCH($A59,'Source 2026'!$B:$B,0)),IFERROR(INDEX('Source 2025'!$C:$C,MATCH($A59,'Source 2025'!$B:$B,0)),""))</f>
        <v>למניעת שפשוף 5 יח</v>
      </c>
      <c r="C59" s="8" t="n">
        <f aca="false">SUMIFS('Source 2025'!$F:$F,'Source 2025'!$B:$B,$A59,'Source 2025'!$A:$A,"Quantity (units)")</f>
        <v>736</v>
      </c>
      <c r="D59" s="8" t="n">
        <f aca="false">SUMIFS('Source 2026'!$F:$F,'Source 2026'!$B:$B,$A59,'Source 2026'!$A:$A,"Quantity (units)")</f>
        <v>433</v>
      </c>
      <c r="E59" s="8" t="n">
        <f aca="false">D59-C59</f>
        <v>-303</v>
      </c>
      <c r="F59" s="9" t="n">
        <f aca="false">IF(AND(C59=0,D59=0),0,IF(C59=0,"New",(D59-C59)/C59))</f>
        <v>-0.411684782608696</v>
      </c>
      <c r="G59" s="10" t="n">
        <f aca="false">SUMIFS('Source 2025'!$F:$F,'Source 2025'!$B:$B,$A59,'Source 2025'!$A:$A,"Amount (NIS)")</f>
        <v>12472.5</v>
      </c>
      <c r="H59" s="10" t="n">
        <f aca="false">SUMIFS('Source 2026'!$F:$F,'Source 2026'!$B:$B,$A59,'Source 2026'!$A:$A,"Amount (NIS)")</f>
        <v>7594.1</v>
      </c>
      <c r="I59" s="10" t="n">
        <f aca="false">H59-G59</f>
        <v>-4878.4</v>
      </c>
      <c r="J59" s="9" t="n">
        <f aca="false">IF(AND(G59=0,H59=0),0,IF(G59=0,"New",(H59-G59)/G59))</f>
        <v>-0.391132491481259</v>
      </c>
    </row>
    <row r="60" customFormat="false" ht="15" hidden="false" customHeight="false" outlineLevel="0" collapsed="false">
      <c r="A60" s="7" t="s">
        <v>240</v>
      </c>
      <c r="B60" s="7" t="str">
        <f aca="false">IFERROR(INDEX('Source 2026'!$C:$C,MATCH($A60,'Source 2026'!$B:$B,0)),IFERROR(INDEX('Source 2025'!$C:$C,MATCH($A60,'Source 2025'!$B:$B,0)),""))</f>
        <v>סט פלסטרים נגד שפשופים</v>
      </c>
      <c r="C60" s="8" t="n">
        <f aca="false">SUMIFS('Source 2025'!$F:$F,'Source 2025'!$B:$B,$A60,'Source 2025'!$A:$A,"Quantity (units)")</f>
        <v>316</v>
      </c>
      <c r="D60" s="8" t="n">
        <f aca="false">SUMIFS('Source 2026'!$F:$F,'Source 2026'!$B:$B,$A60,'Source 2026'!$A:$A,"Quantity (units)")</f>
        <v>107</v>
      </c>
      <c r="E60" s="8" t="n">
        <f aca="false">D60-C60</f>
        <v>-209</v>
      </c>
      <c r="F60" s="9" t="n">
        <f aca="false">IF(AND(C60=0,D60=0),0,IF(C60=0,"New",(D60-C60)/C60))</f>
        <v>-0.661392405063291</v>
      </c>
      <c r="G60" s="10" t="n">
        <f aca="false">SUMIFS('Source 2025'!$F:$F,'Source 2025'!$B:$B,$A60,'Source 2025'!$A:$A,"Amount (NIS)")</f>
        <v>7117.5</v>
      </c>
      <c r="H60" s="10" t="n">
        <f aca="false">SUMIFS('Source 2026'!$F:$F,'Source 2026'!$B:$B,$A60,'Source 2026'!$A:$A,"Amount (NIS)")</f>
        <v>2367.8</v>
      </c>
      <c r="I60" s="10" t="n">
        <f aca="false">H60-G60</f>
        <v>-4749.7</v>
      </c>
      <c r="J60" s="9" t="n">
        <f aca="false">IF(AND(G60=0,H60=0),0,IF(G60=0,"New",(H60-G60)/G60))</f>
        <v>-0.667327010888655</v>
      </c>
    </row>
    <row r="61" customFormat="false" ht="15" hidden="false" customHeight="false" outlineLevel="0" collapsed="false">
      <c r="A61" s="7" t="s">
        <v>132</v>
      </c>
      <c r="B61" s="7" t="str">
        <f aca="false">IFERROR(INDEX('Source 2026'!$C:$C,MATCH($A61,'Source 2026'!$B:$B,0)),IFERROR(INDEX('Source 2025'!$C:$C,MATCH($A61,'Source 2025'!$B:$B,0)),""))</f>
        <v>L סד לילה שחור לבוהן שמאל</v>
      </c>
      <c r="C61" s="8" t="n">
        <f aca="false">SUMIFS('Source 2025'!$F:$F,'Source 2025'!$B:$B,$A61,'Source 2025'!$A:$A,"Quantity (units)")</f>
        <v>98</v>
      </c>
      <c r="D61" s="8" t="n">
        <f aca="false">SUMIFS('Source 2026'!$F:$F,'Source 2026'!$B:$B,$A61,'Source 2026'!$A:$A,"Quantity (units)")</f>
        <v>33</v>
      </c>
      <c r="E61" s="8" t="n">
        <f aca="false">D61-C61</f>
        <v>-65</v>
      </c>
      <c r="F61" s="9" t="n">
        <f aca="false">IF(AND(C61=0,D61=0),0,IF(C61=0,"New",(D61-C61)/C61))</f>
        <v>-0.663265306122449</v>
      </c>
      <c r="G61" s="10" t="n">
        <f aca="false">SUMIFS('Source 2025'!$F:$F,'Source 2025'!$B:$B,$A61,'Source 2025'!$A:$A,"Amount (NIS)")</f>
        <v>6815.6</v>
      </c>
      <c r="H61" s="10" t="n">
        <f aca="false">SUMIFS('Source 2026'!$F:$F,'Source 2026'!$B:$B,$A61,'Source 2026'!$A:$A,"Amount (NIS)")</f>
        <v>2279.7</v>
      </c>
      <c r="I61" s="10" t="n">
        <f aca="false">H61-G61</f>
        <v>-4535.9</v>
      </c>
      <c r="J61" s="9" t="n">
        <f aca="false">IF(AND(G61=0,H61=0),0,IF(G61=0,"New",(H61-G61)/G61))</f>
        <v>-0.665517342567052</v>
      </c>
    </row>
    <row r="62" customFormat="false" ht="15" hidden="false" customHeight="false" outlineLevel="0" collapsed="false">
      <c r="A62" s="7" t="s">
        <v>109</v>
      </c>
      <c r="B62" s="7" t="str">
        <f aca="false">IFERROR(INDEX('Source 2026'!$C:$C,MATCH($A62,'Source 2026'!$B:$B,0)),IFERROR(INDEX('Source 2025'!$C:$C,MATCH($A62,'Source 2025'!$B:$B,0)),""))</f>
        <v>גרב.כסף לסכרתים שחור35-38</v>
      </c>
      <c r="C62" s="8" t="n">
        <f aca="false">SUMIFS('Source 2025'!$F:$F,'Source 2025'!$B:$B,$A62,'Source 2025'!$A:$A,"Quantity (units)")</f>
        <v>288</v>
      </c>
      <c r="D62" s="8" t="n">
        <f aca="false">SUMIFS('Source 2026'!$F:$F,'Source 2026'!$B:$B,$A62,'Source 2026'!$A:$A,"Quantity (units)")</f>
        <v>104</v>
      </c>
      <c r="E62" s="8" t="n">
        <f aca="false">D62-C62</f>
        <v>-184</v>
      </c>
      <c r="F62" s="9" t="n">
        <f aca="false">IF(AND(C62=0,D62=0),0,IF(C62=0,"New",(D62-C62)/C62))</f>
        <v>-0.638888888888889</v>
      </c>
      <c r="G62" s="10" t="n">
        <f aca="false">SUMIFS('Source 2025'!$F:$F,'Source 2025'!$B:$B,$A62,'Source 2025'!$A:$A,"Amount (NIS)")</f>
        <v>7383.9</v>
      </c>
      <c r="H62" s="10" t="n">
        <f aca="false">SUMIFS('Source 2026'!$F:$F,'Source 2026'!$B:$B,$A62,'Source 2026'!$A:$A,"Amount (NIS)")</f>
        <v>2858.5</v>
      </c>
      <c r="I62" s="10" t="n">
        <f aca="false">H62-G62</f>
        <v>-4525.4</v>
      </c>
      <c r="J62" s="9" t="n">
        <f aca="false">IF(AND(G62=0,H62=0),0,IF(G62=0,"New",(H62-G62)/G62))</f>
        <v>-0.612873955497772</v>
      </c>
    </row>
    <row r="63" customFormat="false" ht="15" hidden="false" customHeight="false" outlineLevel="0" collapsed="false">
      <c r="A63" s="7" t="s">
        <v>273</v>
      </c>
      <c r="B63" s="7" t="str">
        <f aca="false">IFERROR(INDEX('Source 2026'!$C:$C,MATCH($A63,'Source 2026'!$B:$B,0)),IFERROR(INDEX('Source 2025'!$C:$C,MATCH($A63,'Source 2025'!$B:$B,0)),""))</f>
        <v>סד לש.כף יד ימין</v>
      </c>
      <c r="C63" s="8" t="n">
        <f aca="false">SUMIFS('Source 2025'!$F:$F,'Source 2025'!$B:$B,$A63,'Source 2025'!$A:$A,"Quantity (units)")</f>
        <v>408</v>
      </c>
      <c r="D63" s="8" t="n">
        <f aca="false">SUMIFS('Source 2026'!$F:$F,'Source 2026'!$B:$B,$A63,'Source 2026'!$A:$A,"Quantity (units)")</f>
        <v>278</v>
      </c>
      <c r="E63" s="8" t="n">
        <f aca="false">D63-C63</f>
        <v>-130</v>
      </c>
      <c r="F63" s="9" t="n">
        <f aca="false">IF(AND(C63=0,D63=0),0,IF(C63=0,"New",(D63-C63)/C63))</f>
        <v>-0.318627450980392</v>
      </c>
      <c r="G63" s="10" t="n">
        <f aca="false">SUMIFS('Source 2025'!$F:$F,'Source 2025'!$B:$B,$A63,'Source 2025'!$A:$A,"Amount (NIS)")</f>
        <v>16341.4</v>
      </c>
      <c r="H63" s="10" t="n">
        <f aca="false">SUMIFS('Source 2026'!$F:$F,'Source 2026'!$B:$B,$A63,'Source 2026'!$A:$A,"Amount (NIS)")</f>
        <v>11827</v>
      </c>
      <c r="I63" s="10" t="n">
        <f aca="false">H63-G63</f>
        <v>-4514.4</v>
      </c>
      <c r="J63" s="9" t="n">
        <f aca="false">IF(AND(G63=0,H63=0),0,IF(G63=0,"New",(H63-G63)/G63))</f>
        <v>-0.276255400394091</v>
      </c>
    </row>
    <row r="64" customFormat="false" ht="15" hidden="false" customHeight="false" outlineLevel="0" collapsed="false">
      <c r="A64" s="7" t="s">
        <v>197</v>
      </c>
      <c r="B64" s="7" t="str">
        <f aca="false">IFERROR(INDEX('Source 2026'!$C:$C,MATCH($A64,'Source 2026'!$B:$B,0)),IFERROR(INDEX('Source 2025'!$C:$C,MATCH($A64,'Source 2025'!$B:$B,0)),""))</f>
        <v>S ח.בטן לאחר ניתוח</v>
      </c>
      <c r="C64" s="8" t="n">
        <f aca="false">SUMIFS('Source 2025'!$F:$F,'Source 2025'!$B:$B,$A64,'Source 2025'!$A:$A,"Quantity (units)")</f>
        <v>88</v>
      </c>
      <c r="D64" s="8" t="n">
        <f aca="false">SUMIFS('Source 2026'!$F:$F,'Source 2026'!$B:$B,$A64,'Source 2026'!$A:$A,"Quantity (units)")</f>
        <v>44</v>
      </c>
      <c r="E64" s="8" t="n">
        <f aca="false">D64-C64</f>
        <v>-44</v>
      </c>
      <c r="F64" s="9" t="n">
        <f aca="false">IF(AND(C64=0,D64=0),0,IF(C64=0,"New",(D64-C64)/C64))</f>
        <v>-0.5</v>
      </c>
      <c r="G64" s="10" t="n">
        <f aca="false">SUMIFS('Source 2025'!$F:$F,'Source 2025'!$B:$B,$A64,'Source 2025'!$A:$A,"Amount (NIS)")</f>
        <v>9183.1</v>
      </c>
      <c r="H64" s="10" t="n">
        <f aca="false">SUMIFS('Source 2026'!$F:$F,'Source 2026'!$B:$B,$A64,'Source 2026'!$A:$A,"Amount (NIS)")</f>
        <v>4844.5</v>
      </c>
      <c r="I64" s="10" t="n">
        <f aca="false">H64-G64</f>
        <v>-4338.6</v>
      </c>
      <c r="J64" s="9" t="n">
        <f aca="false">IF(AND(G64=0,H64=0),0,IF(G64=0,"New",(H64-G64)/G64))</f>
        <v>-0.472454835513062</v>
      </c>
    </row>
    <row r="65" customFormat="false" ht="15" hidden="false" customHeight="false" outlineLevel="0" collapsed="false">
      <c r="A65" s="7" t="s">
        <v>274</v>
      </c>
      <c r="B65" s="7" t="str">
        <f aca="false">IFERROR(INDEX('Source 2026'!$C:$C,MATCH($A65,'Source 2026'!$B:$B,0)),IFERROR(INDEX('Source 2025'!$C:$C,MATCH($A65,'Source 2025'!$B:$B,0)),""))</f>
        <v>L מגן מרפק שחור</v>
      </c>
      <c r="C65" s="8" t="n">
        <f aca="false">SUMIFS('Source 2025'!$F:$F,'Source 2025'!$B:$B,$A65,'Source 2025'!$A:$A,"Quantity (units)")</f>
        <v>471</v>
      </c>
      <c r="D65" s="8" t="n">
        <f aca="false">SUMIFS('Source 2026'!$F:$F,'Source 2026'!$B:$B,$A65,'Source 2026'!$A:$A,"Quantity (units)")</f>
        <v>318</v>
      </c>
      <c r="E65" s="8" t="n">
        <f aca="false">D65-C65</f>
        <v>-153</v>
      </c>
      <c r="F65" s="9" t="n">
        <f aca="false">IF(AND(C65=0,D65=0),0,IF(C65=0,"New",(D65-C65)/C65))</f>
        <v>-0.32484076433121</v>
      </c>
      <c r="G65" s="10" t="n">
        <f aca="false">SUMIFS('Source 2025'!$F:$F,'Source 2025'!$B:$B,$A65,'Source 2025'!$A:$A,"Amount (NIS)")</f>
        <v>13853.1</v>
      </c>
      <c r="H65" s="10" t="n">
        <f aca="false">SUMIFS('Source 2026'!$F:$F,'Source 2026'!$B:$B,$A65,'Source 2026'!$A:$A,"Amount (NIS)")</f>
        <v>9691.2</v>
      </c>
      <c r="I65" s="10" t="n">
        <f aca="false">H65-G65</f>
        <v>-4161.9</v>
      </c>
      <c r="J65" s="9" t="n">
        <f aca="false">IF(AND(G65=0,H65=0),0,IF(G65=0,"New",(H65-G65)/G65))</f>
        <v>-0.300430950473179</v>
      </c>
    </row>
    <row r="66" customFormat="false" ht="15" hidden="false" customHeight="false" outlineLevel="0" collapsed="false">
      <c r="A66" s="7" t="s">
        <v>113</v>
      </c>
      <c r="B66" s="7" t="str">
        <f aca="false">IFERROR(INDEX('Source 2026'!$C:$C,MATCH($A66,'Source 2026'!$B:$B,0)),IFERROR(INDEX('Source 2025'!$C:$C,MATCH($A66,'Source 2025'!$B:$B,0)),""))</f>
        <v>S מגן קרסול עקב סגור+רצוע</v>
      </c>
      <c r="C66" s="8" t="n">
        <f aca="false">SUMIFS('Source 2025'!$F:$F,'Source 2025'!$B:$B,$A66,'Source 2025'!$A:$A,"Quantity (units)")</f>
        <v>161</v>
      </c>
      <c r="D66" s="8" t="n">
        <f aca="false">SUMIFS('Source 2026'!$F:$F,'Source 2026'!$B:$B,$A66,'Source 2026'!$A:$A,"Quantity (units)")</f>
        <v>99</v>
      </c>
      <c r="E66" s="8" t="n">
        <f aca="false">D66-C66</f>
        <v>-62</v>
      </c>
      <c r="F66" s="9" t="n">
        <f aca="false">IF(AND(C66=0,D66=0),0,IF(C66=0,"New",(D66-C66)/C66))</f>
        <v>-0.385093167701863</v>
      </c>
      <c r="G66" s="10" t="n">
        <f aca="false">SUMIFS('Source 2025'!$F:$F,'Source 2025'!$B:$B,$A66,'Source 2025'!$A:$A,"Amount (NIS)")</f>
        <v>10616.6</v>
      </c>
      <c r="H66" s="10" t="n">
        <f aca="false">SUMIFS('Source 2026'!$F:$F,'Source 2026'!$B:$B,$A66,'Source 2026'!$A:$A,"Amount (NIS)")</f>
        <v>6552.7</v>
      </c>
      <c r="I66" s="10" t="n">
        <f aca="false">H66-G66</f>
        <v>-4063.9</v>
      </c>
      <c r="J66" s="9" t="n">
        <f aca="false">IF(AND(G66=0,H66=0),0,IF(G66=0,"New",(H66-G66)/G66))</f>
        <v>-0.382787333044478</v>
      </c>
    </row>
    <row r="67" customFormat="false" ht="15" hidden="false" customHeight="false" outlineLevel="0" collapsed="false">
      <c r="A67" s="7" t="s">
        <v>67</v>
      </c>
      <c r="B67" s="7" t="str">
        <f aca="false">IFERROR(INDEX('Source 2026'!$C:$C,MATCH($A67,'Source 2026'!$B:$B,0)),IFERROR(INDEX('Source 2025'!$C:$C,MATCH($A67,'Source 2025'!$B:$B,0)),""))</f>
        <v>שרוול מטטרזלי מסיליקון</v>
      </c>
      <c r="C67" s="8" t="n">
        <f aca="false">SUMIFS('Source 2025'!$F:$F,'Source 2025'!$B:$B,$A67,'Source 2025'!$A:$A,"Quantity (units)")</f>
        <v>160</v>
      </c>
      <c r="D67" s="8" t="n">
        <f aca="false">SUMIFS('Source 2026'!$F:$F,'Source 2026'!$B:$B,$A67,'Source 2026'!$A:$A,"Quantity (units)")</f>
        <v>90</v>
      </c>
      <c r="E67" s="8" t="n">
        <f aca="false">D67-C67</f>
        <v>-70</v>
      </c>
      <c r="F67" s="9" t="n">
        <f aca="false">IF(AND(C67=0,D67=0),0,IF(C67=0,"New",(D67-C67)/C67))</f>
        <v>-0.4375</v>
      </c>
      <c r="G67" s="10" t="n">
        <f aca="false">SUMIFS('Source 2025'!$F:$F,'Source 2025'!$B:$B,$A67,'Source 2025'!$A:$A,"Amount (NIS)")</f>
        <v>9236.9</v>
      </c>
      <c r="H67" s="10" t="n">
        <f aca="false">SUMIFS('Source 2026'!$F:$F,'Source 2026'!$B:$B,$A67,'Source 2026'!$A:$A,"Amount (NIS)")</f>
        <v>5284.9</v>
      </c>
      <c r="I67" s="10" t="n">
        <f aca="false">H67-G67</f>
        <v>-3952</v>
      </c>
      <c r="J67" s="9" t="n">
        <f aca="false">IF(AND(G67=0,H67=0),0,IF(G67=0,"New",(H67-G67)/G67))</f>
        <v>-0.427849170176141</v>
      </c>
    </row>
    <row r="68" customFormat="false" ht="15" hidden="false" customHeight="false" outlineLevel="0" collapsed="false">
      <c r="A68" s="7" t="s">
        <v>275</v>
      </c>
      <c r="B68" s="7" t="str">
        <f aca="false">IFERROR(INDEX('Source 2026'!$C:$C,MATCH($A68,'Source 2026'!$B:$B,0)),IFERROR(INDEX('Source 2025'!$C:$C,MATCH($A68,'Source 2025'!$B:$B,0)),""))</f>
        <v>חגורת בטן קלה</v>
      </c>
      <c r="C68" s="8" t="n">
        <f aca="false">SUMIFS('Source 2025'!$F:$F,'Source 2025'!$B:$B,$A68,'Source 2025'!$A:$A,"Quantity (units)")</f>
        <v>219</v>
      </c>
      <c r="D68" s="8" t="n">
        <f aca="false">SUMIFS('Source 2026'!$F:$F,'Source 2026'!$B:$B,$A68,'Source 2026'!$A:$A,"Quantity (units)")</f>
        <v>161</v>
      </c>
      <c r="E68" s="8" t="n">
        <f aca="false">D68-C68</f>
        <v>-58</v>
      </c>
      <c r="F68" s="9" t="n">
        <f aca="false">IF(AND(C68=0,D68=0),0,IF(C68=0,"New",(D68-C68)/C68))</f>
        <v>-0.264840182648402</v>
      </c>
      <c r="G68" s="10" t="n">
        <f aca="false">SUMIFS('Source 2025'!$F:$F,'Source 2025'!$B:$B,$A68,'Source 2025'!$A:$A,"Amount (NIS)")</f>
        <v>14612</v>
      </c>
      <c r="H68" s="10" t="n">
        <f aca="false">SUMIFS('Source 2026'!$F:$F,'Source 2026'!$B:$B,$A68,'Source 2026'!$A:$A,"Amount (NIS)")</f>
        <v>10810.9</v>
      </c>
      <c r="I68" s="10" t="n">
        <f aca="false">H68-G68</f>
        <v>-3801.1</v>
      </c>
      <c r="J68" s="9" t="n">
        <f aca="false">IF(AND(G68=0,H68=0),0,IF(G68=0,"New",(H68-G68)/G68))</f>
        <v>-0.260135505064331</v>
      </c>
    </row>
    <row r="69" customFormat="false" ht="15" hidden="false" customHeight="false" outlineLevel="0" collapsed="false">
      <c r="A69" s="7" t="s">
        <v>112</v>
      </c>
      <c r="B69" s="7" t="str">
        <f aca="false">IFERROR(INDEX('Source 2026'!$C:$C,MATCH($A69,'Source 2026'!$B:$B,0)),IFERROR(INDEX('Source 2025'!$C:$C,MATCH($A69,'Source 2025'!$B:$B,0)),""))</f>
        <v>אמבט לכף הרגל</v>
      </c>
      <c r="C69" s="8" t="n">
        <f aca="false">SUMIFS('Source 2025'!$F:$F,'Source 2025'!$B:$B,$A69,'Source 2025'!$A:$A,"Quantity (units)")</f>
        <v>377</v>
      </c>
      <c r="D69" s="8" t="n">
        <f aca="false">SUMIFS('Source 2026'!$F:$F,'Source 2026'!$B:$B,$A69,'Source 2026'!$A:$A,"Quantity (units)")</f>
        <v>95</v>
      </c>
      <c r="E69" s="8" t="n">
        <f aca="false">D69-C69</f>
        <v>-282</v>
      </c>
      <c r="F69" s="9" t="n">
        <f aca="false">IF(AND(C69=0,D69=0),0,IF(C69=0,"New",(D69-C69)/C69))</f>
        <v>-0.748010610079576</v>
      </c>
      <c r="G69" s="10" t="n">
        <f aca="false">SUMIFS('Source 2025'!$F:$F,'Source 2025'!$B:$B,$A69,'Source 2025'!$A:$A,"Amount (NIS)")</f>
        <v>4997.1</v>
      </c>
      <c r="H69" s="10" t="n">
        <f aca="false">SUMIFS('Source 2026'!$F:$F,'Source 2026'!$B:$B,$A69,'Source 2026'!$A:$A,"Amount (NIS)")</f>
        <v>1292.3</v>
      </c>
      <c r="I69" s="10" t="n">
        <f aca="false">H69-G69</f>
        <v>-3704.8</v>
      </c>
      <c r="J69" s="9" t="n">
        <f aca="false">IF(AND(G69=0,H69=0),0,IF(G69=0,"New",(H69-G69)/G69))</f>
        <v>-0.741390006203598</v>
      </c>
    </row>
    <row r="70" customFormat="false" ht="15" hidden="false" customHeight="false" outlineLevel="0" collapsed="false">
      <c r="A70" s="7" t="s">
        <v>74</v>
      </c>
      <c r="B70" s="7" t="str">
        <f aca="false">IFERROR(INDEX('Source 2026'!$C:$C,MATCH($A70,'Source 2026'!$B:$B,0)),IFERROR(INDEX('Source 2025'!$C:$C,MATCH($A70,'Source 2025'!$B:$B,0)),""))</f>
        <v>L מגן מרפק רגיל לבן</v>
      </c>
      <c r="C70" s="8" t="n">
        <f aca="false">SUMIFS('Source 2025'!$F:$F,'Source 2025'!$B:$B,$A70,'Source 2025'!$A:$A,"Quantity (units)")</f>
        <v>464</v>
      </c>
      <c r="D70" s="8" t="n">
        <f aca="false">SUMIFS('Source 2026'!$F:$F,'Source 2026'!$B:$B,$A70,'Source 2026'!$A:$A,"Quantity (units)")</f>
        <v>337</v>
      </c>
      <c r="E70" s="8" t="n">
        <f aca="false">D70-C70</f>
        <v>-127</v>
      </c>
      <c r="F70" s="9" t="n">
        <f aca="false">IF(AND(C70=0,D70=0),0,IF(C70=0,"New",(D70-C70)/C70))</f>
        <v>-0.273706896551724</v>
      </c>
      <c r="G70" s="10" t="n">
        <f aca="false">SUMIFS('Source 2025'!$F:$F,'Source 2025'!$B:$B,$A70,'Source 2025'!$A:$A,"Amount (NIS)")</f>
        <v>13772.5</v>
      </c>
      <c r="H70" s="10" t="n">
        <f aca="false">SUMIFS('Source 2026'!$F:$F,'Source 2026'!$B:$B,$A70,'Source 2026'!$A:$A,"Amount (NIS)")</f>
        <v>10094.4</v>
      </c>
      <c r="I70" s="10" t="n">
        <f aca="false">H70-G70</f>
        <v>-3678.1</v>
      </c>
      <c r="J70" s="9" t="n">
        <f aca="false">IF(AND(G70=0,H70=0),0,IF(G70=0,"New",(H70-G70)/G70))</f>
        <v>-0.267061172626611</v>
      </c>
    </row>
    <row r="71" customFormat="false" ht="15" hidden="false" customHeight="false" outlineLevel="0" collapsed="false">
      <c r="A71" s="7" t="s">
        <v>90</v>
      </c>
      <c r="B71" s="7" t="str">
        <f aca="false">IFERROR(INDEX('Source 2026'!$C:$C,MATCH($A71,'Source 2026'!$B:$B,0)),IFERROR(INDEX('Source 2025'!$C:$C,MATCH($A71,'Source 2025'!$B:$B,0)),""))</f>
        <v>מטטרזלי סיליקון362</v>
      </c>
      <c r="C71" s="8" t="n">
        <f aca="false">SUMIFS('Source 2025'!$F:$F,'Source 2025'!$B:$B,$A71,'Source 2025'!$A:$A,"Quantity (units)")</f>
        <v>296</v>
      </c>
      <c r="D71" s="8" t="n">
        <f aca="false">SUMIFS('Source 2026'!$F:$F,'Source 2026'!$B:$B,$A71,'Source 2026'!$A:$A,"Quantity (units)")</f>
        <v>164</v>
      </c>
      <c r="E71" s="8" t="n">
        <f aca="false">D71-C71</f>
        <v>-132</v>
      </c>
      <c r="F71" s="9" t="n">
        <f aca="false">IF(AND(C71=0,D71=0),0,IF(C71=0,"New",(D71-C71)/C71))</f>
        <v>-0.445945945945946</v>
      </c>
      <c r="G71" s="10" t="n">
        <f aca="false">SUMIFS('Source 2025'!$F:$F,'Source 2025'!$B:$B,$A71,'Source 2025'!$A:$A,"Amount (NIS)")</f>
        <v>8347.3</v>
      </c>
      <c r="H71" s="10" t="n">
        <f aca="false">SUMIFS('Source 2026'!$F:$F,'Source 2026'!$B:$B,$A71,'Source 2026'!$A:$A,"Amount (NIS)")</f>
        <v>4670.1</v>
      </c>
      <c r="I71" s="10" t="n">
        <f aca="false">H71-G71</f>
        <v>-3677.2</v>
      </c>
      <c r="J71" s="9" t="n">
        <f aca="false">IF(AND(G71=0,H71=0),0,IF(G71=0,"New",(H71-G71)/G71))</f>
        <v>-0.44052567896206</v>
      </c>
    </row>
    <row r="72" customFormat="false" ht="15" hidden="false" customHeight="false" outlineLevel="0" collapsed="false">
      <c r="A72" s="7" t="s">
        <v>93</v>
      </c>
      <c r="B72" s="7" t="str">
        <f aca="false">IFERROR(INDEX('Source 2026'!$C:$C,MATCH($A72,'Source 2026'!$B:$B,0)),IFERROR(INDEX('Source 2025'!$C:$C,MATCH($A72,'Source 2025'!$B:$B,0)),""))</f>
        <v>תחבושת א.נצמ</v>
      </c>
      <c r="C72" s="8" t="n">
        <f aca="false">SUMIFS('Source 2025'!$F:$F,'Source 2025'!$B:$B,$A72,'Source 2025'!$A:$A,"Quantity (units)")</f>
        <v>931</v>
      </c>
      <c r="D72" s="8" t="n">
        <f aca="false">SUMIFS('Source 2026'!$F:$F,'Source 2026'!$B:$B,$A72,'Source 2026'!$A:$A,"Quantity (units)")</f>
        <v>513</v>
      </c>
      <c r="E72" s="8" t="n">
        <f aca="false">D72-C72</f>
        <v>-418</v>
      </c>
      <c r="F72" s="9" t="n">
        <f aca="false">IF(AND(C72=0,D72=0),0,IF(C72=0,"New",(D72-C72)/C72))</f>
        <v>-0.448979591836735</v>
      </c>
      <c r="G72" s="10" t="n">
        <f aca="false">SUMIFS('Source 2025'!$F:$F,'Source 2025'!$B:$B,$A72,'Source 2025'!$A:$A,"Amount (NIS)")</f>
        <v>9335.6</v>
      </c>
      <c r="H72" s="10" t="n">
        <f aca="false">SUMIFS('Source 2026'!$F:$F,'Source 2026'!$B:$B,$A72,'Source 2026'!$A:$A,"Amount (NIS)")</f>
        <v>5672.9</v>
      </c>
      <c r="I72" s="10" t="n">
        <f aca="false">H72-G72</f>
        <v>-3662.7</v>
      </c>
      <c r="J72" s="9" t="n">
        <f aca="false">IF(AND(G72=0,H72=0),0,IF(G72=0,"New",(H72-G72)/G72))</f>
        <v>-0.392336861048031</v>
      </c>
    </row>
    <row r="73" customFormat="false" ht="15" hidden="false" customHeight="false" outlineLevel="0" collapsed="false">
      <c r="A73" s="7" t="s">
        <v>66</v>
      </c>
      <c r="B73" s="7" t="str">
        <f aca="false">IFERROR(INDEX('Source 2026'!$C:$C,MATCH($A73,'Source 2026'!$B:$B,0)),IFERROR(INDEX('Source 2025'!$C:$C,MATCH($A73,'Source 2025'!$B:$B,0)),""))</f>
        <v>מגן ברך עם תמיכות</v>
      </c>
      <c r="C73" s="8" t="n">
        <f aca="false">SUMIFS('Source 2025'!$F:$F,'Source 2025'!$B:$B,$A73,'Source 2025'!$A:$A,"Quantity (units)")</f>
        <v>541</v>
      </c>
      <c r="D73" s="8" t="n">
        <f aca="false">SUMIFS('Source 2026'!$F:$F,'Source 2026'!$B:$B,$A73,'Source 2026'!$A:$A,"Quantity (units)")</f>
        <v>480</v>
      </c>
      <c r="E73" s="8" t="n">
        <f aca="false">D73-C73</f>
        <v>-61</v>
      </c>
      <c r="F73" s="9" t="n">
        <f aca="false">IF(AND(C73=0,D73=0),0,IF(C73=0,"New",(D73-C73)/C73))</f>
        <v>-0.11275415896488</v>
      </c>
      <c r="G73" s="10" t="n">
        <f aca="false">SUMIFS('Source 2025'!$F:$F,'Source 2025'!$B:$B,$A73,'Source 2025'!$A:$A,"Amount (NIS)")</f>
        <v>35979.5</v>
      </c>
      <c r="H73" s="10" t="n">
        <f aca="false">SUMIFS('Source 2026'!$F:$F,'Source 2026'!$B:$B,$A73,'Source 2026'!$A:$A,"Amount (NIS)")</f>
        <v>32321.3</v>
      </c>
      <c r="I73" s="10" t="n">
        <f aca="false">H73-G73</f>
        <v>-3658.2</v>
      </c>
      <c r="J73" s="9" t="n">
        <f aca="false">IF(AND(G73=0,H73=0),0,IF(G73=0,"New",(H73-G73)/G73))</f>
        <v>-0.101674564682667</v>
      </c>
    </row>
    <row r="74" customFormat="false" ht="15" hidden="false" customHeight="false" outlineLevel="0" collapsed="false">
      <c r="A74" s="7" t="s">
        <v>124</v>
      </c>
      <c r="B74" s="7" t="str">
        <f aca="false">IFERROR(INDEX('Source 2026'!$C:$C,MATCH($A74,'Source 2026'!$B:$B,0)),IFERROR(INDEX('Source 2025'!$C:$C,MATCH($A74,'Source 2025'!$B:$B,0)),""))</f>
        <v>S-M חבק יד עם צמדןחום</v>
      </c>
      <c r="C74" s="8" t="n">
        <f aca="false">SUMIFS('Source 2025'!$F:$F,'Source 2025'!$B:$B,$A74,'Source 2025'!$A:$A,"Quantity (units)")</f>
        <v>185</v>
      </c>
      <c r="D74" s="8" t="n">
        <f aca="false">SUMIFS('Source 2026'!$F:$F,'Source 2026'!$B:$B,$A74,'Source 2026'!$A:$A,"Quantity (units)")</f>
        <v>89</v>
      </c>
      <c r="E74" s="8" t="n">
        <f aca="false">D74-C74</f>
        <v>-96</v>
      </c>
      <c r="F74" s="9" t="n">
        <f aca="false">IF(AND(C74=0,D74=0),0,IF(C74=0,"New",(D74-C74)/C74))</f>
        <v>-0.518918918918919</v>
      </c>
      <c r="G74" s="10" t="n">
        <f aca="false">SUMIFS('Source 2025'!$F:$F,'Source 2025'!$B:$B,$A74,'Source 2025'!$A:$A,"Amount (NIS)")</f>
        <v>6463.6</v>
      </c>
      <c r="H74" s="10" t="n">
        <f aca="false">SUMIFS('Source 2026'!$F:$F,'Source 2026'!$B:$B,$A74,'Source 2026'!$A:$A,"Amount (NIS)")</f>
        <v>3093</v>
      </c>
      <c r="I74" s="10" t="n">
        <f aca="false">H74-G74</f>
        <v>-3370.6</v>
      </c>
      <c r="J74" s="9" t="n">
        <f aca="false">IF(AND(G74=0,H74=0),0,IF(G74=0,"New",(H74-G74)/G74))</f>
        <v>-0.521474101120119</v>
      </c>
    </row>
    <row r="75" customFormat="false" ht="15" hidden="false" customHeight="false" outlineLevel="0" collapsed="false">
      <c r="A75" s="7" t="s">
        <v>219</v>
      </c>
      <c r="B75" s="7" t="str">
        <f aca="false">IFERROR(INDEX('Source 2026'!$C:$C,MATCH($A75,'Source 2026'!$B:$B,0)),IFERROR(INDEX('Source 2025'!$C:$C,MATCH($A75,'Source 2025'!$B:$B,0)),""))</f>
        <v>חגורת גב +סגירה כפולה</v>
      </c>
      <c r="C75" s="8" t="n">
        <f aca="false">SUMIFS('Source 2025'!$F:$F,'Source 2025'!$B:$B,$A75,'Source 2025'!$A:$A,"Quantity (units)")</f>
        <v>64</v>
      </c>
      <c r="D75" s="8" t="n">
        <f aca="false">SUMIFS('Source 2026'!$F:$F,'Source 2026'!$B:$B,$A75,'Source 2026'!$A:$A,"Quantity (units)")</f>
        <v>32</v>
      </c>
      <c r="E75" s="8" t="n">
        <f aca="false">D75-C75</f>
        <v>-32</v>
      </c>
      <c r="F75" s="9" t="n">
        <f aca="false">IF(AND(C75=0,D75=0),0,IF(C75=0,"New",(D75-C75)/C75))</f>
        <v>-0.5</v>
      </c>
      <c r="G75" s="10" t="n">
        <f aca="false">SUMIFS('Source 2025'!$F:$F,'Source 2025'!$B:$B,$A75,'Source 2025'!$A:$A,"Amount (NIS)")</f>
        <v>6752.6</v>
      </c>
      <c r="H75" s="10" t="n">
        <f aca="false">SUMIFS('Source 2026'!$F:$F,'Source 2026'!$B:$B,$A75,'Source 2026'!$A:$A,"Amount (NIS)")</f>
        <v>3393.7</v>
      </c>
      <c r="I75" s="10" t="n">
        <f aca="false">H75-G75</f>
        <v>-3358.9</v>
      </c>
      <c r="J75" s="9" t="n">
        <f aca="false">IF(AND(G75=0,H75=0),0,IF(G75=0,"New",(H75-G75)/G75))</f>
        <v>-0.497423214761721</v>
      </c>
    </row>
    <row r="76" customFormat="false" ht="15" hidden="false" customHeight="false" outlineLevel="0" collapsed="false">
      <c r="A76" s="7" t="s">
        <v>157</v>
      </c>
      <c r="B76" s="7" t="str">
        <f aca="false">IFERROR(INDEX('Source 2026'!$C:$C,MATCH($A76,'Source 2026'!$B:$B,0)),IFERROR(INDEX('Source 2025'!$C:$C,MATCH($A76,'Source 2025'!$B:$B,0)),""))</f>
        <v>גרבי ג'ל לריכוך עור העקב</v>
      </c>
      <c r="C76" s="8" t="n">
        <f aca="false">SUMIFS('Source 2025'!$F:$F,'Source 2025'!$B:$B,$A76,'Source 2025'!$A:$A,"Quantity (units)")</f>
        <v>110</v>
      </c>
      <c r="D76" s="8" t="n">
        <f aca="false">SUMIFS('Source 2026'!$F:$F,'Source 2026'!$B:$B,$A76,'Source 2026'!$A:$A,"Quantity (units)")</f>
        <v>20</v>
      </c>
      <c r="E76" s="8" t="n">
        <f aca="false">D76-C76</f>
        <v>-90</v>
      </c>
      <c r="F76" s="9" t="n">
        <f aca="false">IF(AND(C76=0,D76=0),0,IF(C76=0,"New",(D76-C76)/C76))</f>
        <v>-0.818181818181818</v>
      </c>
      <c r="G76" s="10" t="n">
        <f aca="false">SUMIFS('Source 2025'!$F:$F,'Source 2025'!$B:$B,$A76,'Source 2025'!$A:$A,"Amount (NIS)")</f>
        <v>4004.4</v>
      </c>
      <c r="H76" s="10" t="n">
        <f aca="false">SUMIFS('Source 2026'!$F:$F,'Source 2026'!$B:$B,$A76,'Source 2026'!$A:$A,"Amount (NIS)")</f>
        <v>693.6</v>
      </c>
      <c r="I76" s="10" t="n">
        <f aca="false">H76-G76</f>
        <v>-3310.8</v>
      </c>
      <c r="J76" s="9" t="n">
        <f aca="false">IF(AND(G76=0,H76=0),0,IF(G76=0,"New",(H76-G76)/G76))</f>
        <v>-0.826790530416542</v>
      </c>
    </row>
    <row r="77" customFormat="false" ht="15" hidden="false" customHeight="false" outlineLevel="0" collapsed="false">
      <c r="A77" s="7" t="s">
        <v>180</v>
      </c>
      <c r="B77" s="7" t="str">
        <f aca="false">IFERROR(INDEX('Source 2026'!$C:$C,MATCH($A77,'Source 2026'!$B:$B,0)),IFERROR(INDEX('Source 2025'!$C:$C,MATCH($A77,'Source 2025'!$B:$B,0)),""))</f>
        <v>S מגן ברך</v>
      </c>
      <c r="C77" s="8" t="n">
        <f aca="false">SUMIFS('Source 2025'!$F:$F,'Source 2025'!$B:$B,$A77,'Source 2025'!$A:$A,"Quantity (units)")</f>
        <v>48</v>
      </c>
      <c r="D77" s="8" t="n">
        <f aca="false">SUMIFS('Source 2026'!$F:$F,'Source 2026'!$B:$B,$A77,'Source 2026'!$A:$A,"Quantity (units)")</f>
        <v>69</v>
      </c>
      <c r="E77" s="8" t="n">
        <f aca="false">D77-C77</f>
        <v>21</v>
      </c>
      <c r="F77" s="9" t="n">
        <f aca="false">IF(AND(C77=0,D77=0),0,IF(C77=0,"New",(D77-C77)/C77))</f>
        <v>0.4375</v>
      </c>
      <c r="G77" s="10" t="n">
        <f aca="false">SUMIFS('Source 2025'!$F:$F,'Source 2025'!$B:$B,$A77,'Source 2025'!$A:$A,"Amount (NIS)")</f>
        <v>6443.2</v>
      </c>
      <c r="H77" s="10" t="n">
        <f aca="false">SUMIFS('Source 2026'!$F:$F,'Source 2026'!$B:$B,$A77,'Source 2026'!$A:$A,"Amount (NIS)")</f>
        <v>9427.7</v>
      </c>
      <c r="I77" s="10" t="n">
        <f aca="false">H77-G77</f>
        <v>2984.5</v>
      </c>
      <c r="J77" s="9" t="n">
        <f aca="false">IF(AND(G77=0,H77=0),0,IF(G77=0,"New",(H77-G77)/G77))</f>
        <v>0.463201514775267</v>
      </c>
    </row>
    <row r="78" customFormat="false" ht="15" hidden="false" customHeight="false" outlineLevel="0" collapsed="false">
      <c r="A78" s="7" t="s">
        <v>38</v>
      </c>
      <c r="B78" s="7" t="str">
        <f aca="false">IFERROR(INDEX('Source 2026'!$C:$C,MATCH($A78,'Source 2026'!$B:$B,0)),IFERROR(INDEX('Source 2025'!$C:$C,MATCH($A78,'Source 2025'!$B:$B,0)),""))</f>
        <v>אפיק ג'ל מולט.ספורט35-38</v>
      </c>
      <c r="C78" s="8" t="n">
        <f aca="false">SUMIFS('Source 2025'!$F:$F,'Source 2025'!$B:$B,$A78,'Source 2025'!$A:$A,"Quantity (units)")</f>
        <v>55</v>
      </c>
      <c r="D78" s="8" t="n">
        <f aca="false">SUMIFS('Source 2026'!$F:$F,'Source 2026'!$B:$B,$A78,'Source 2026'!$A:$A,"Quantity (units)")</f>
        <v>26</v>
      </c>
      <c r="E78" s="8" t="n">
        <f aca="false">D78-C78</f>
        <v>-29</v>
      </c>
      <c r="F78" s="9" t="n">
        <f aca="false">IF(AND(C78=0,D78=0),0,IF(C78=0,"New",(D78-C78)/C78))</f>
        <v>-0.527272727272727</v>
      </c>
      <c r="G78" s="10" t="n">
        <f aca="false">SUMIFS('Source 2025'!$F:$F,'Source 2025'!$B:$B,$A78,'Source 2025'!$A:$A,"Amount (NIS)")</f>
        <v>5662.1</v>
      </c>
      <c r="H78" s="10" t="n">
        <f aca="false">SUMIFS('Source 2026'!$F:$F,'Source 2026'!$B:$B,$A78,'Source 2026'!$A:$A,"Amount (NIS)")</f>
        <v>2731.8</v>
      </c>
      <c r="I78" s="10" t="n">
        <f aca="false">H78-G78</f>
        <v>-2930.3</v>
      </c>
      <c r="J78" s="9" t="n">
        <f aca="false">IF(AND(G78=0,H78=0),0,IF(G78=0,"New",(H78-G78)/G78))</f>
        <v>-0.517528832058777</v>
      </c>
    </row>
    <row r="79" customFormat="false" ht="15" hidden="false" customHeight="false" outlineLevel="0" collapsed="false">
      <c r="A79" s="7" t="s">
        <v>172</v>
      </c>
      <c r="B79" s="7" t="str">
        <f aca="false">IFERROR(INDEX('Source 2026'!$C:$C,MATCH($A79,'Source 2026'!$B:$B,0)),IFERROR(INDEX('Source 2025'!$C:$C,MATCH($A79,'Source 2025'!$B:$B,0)),""))</f>
        <v>Lמ.ברך+כרית סיל.סביב לפיקה</v>
      </c>
      <c r="C79" s="8" t="n">
        <f aca="false">SUMIFS('Source 2025'!$F:$F,'Source 2025'!$B:$B,$A79,'Source 2025'!$A:$A,"Quantity (units)")</f>
        <v>17</v>
      </c>
      <c r="D79" s="8" t="n">
        <f aca="false">SUMIFS('Source 2026'!$F:$F,'Source 2026'!$B:$B,$A79,'Source 2026'!$A:$A,"Quantity (units)")</f>
        <v>2</v>
      </c>
      <c r="E79" s="8" t="n">
        <f aca="false">D79-C79</f>
        <v>-15</v>
      </c>
      <c r="F79" s="9" t="n">
        <f aca="false">IF(AND(C79=0,D79=0),0,IF(C79=0,"New",(D79-C79)/C79))</f>
        <v>-0.882352941176471</v>
      </c>
      <c r="G79" s="10" t="n">
        <f aca="false">SUMIFS('Source 2025'!$F:$F,'Source 2025'!$B:$B,$A79,'Source 2025'!$A:$A,"Amount (NIS)")</f>
        <v>3073.3</v>
      </c>
      <c r="H79" s="10" t="n">
        <f aca="false">SUMIFS('Source 2026'!$F:$F,'Source 2026'!$B:$B,$A79,'Source 2026'!$A:$A,"Amount (NIS)")</f>
        <v>349.9</v>
      </c>
      <c r="I79" s="10" t="n">
        <f aca="false">H79-G79</f>
        <v>-2723.4</v>
      </c>
      <c r="J79" s="9" t="n">
        <f aca="false">IF(AND(G79=0,H79=0),0,IF(G79=0,"New",(H79-G79)/G79))</f>
        <v>-0.88614843978785</v>
      </c>
    </row>
    <row r="80" customFormat="false" ht="15" hidden="false" customHeight="false" outlineLevel="0" collapsed="false">
      <c r="A80" s="7" t="s">
        <v>249</v>
      </c>
      <c r="B80" s="7" t="str">
        <f aca="false">IFERROR(INDEX('Source 2026'!$C:$C,MATCH($A80,'Source 2026'!$B:$B,0)),IFERROR(INDEX('Source 2025'!$C:$C,MATCH($A80,'Source 2025'!$B:$B,0)),""))</f>
        <v>S ח.גב ""איטלקית"" אורירית</v>
      </c>
      <c r="C80" s="8" t="n">
        <f aca="false">SUMIFS('Source 2025'!$F:$F,'Source 2025'!$B:$B,$A80,'Source 2025'!$A:$A,"Quantity (units)")</f>
        <v>9</v>
      </c>
      <c r="D80" s="8" t="n">
        <f aca="false">SUMIFS('Source 2026'!$F:$F,'Source 2026'!$B:$B,$A80,'Source 2026'!$A:$A,"Quantity (units)")</f>
        <v>-2</v>
      </c>
      <c r="E80" s="8" t="n">
        <f aca="false">D80-C80</f>
        <v>-11</v>
      </c>
      <c r="F80" s="9" t="n">
        <f aca="false">IF(AND(C80=0,D80=0),0,IF(C80=0,"New",(D80-C80)/C80))</f>
        <v>-1.22222222222222</v>
      </c>
      <c r="G80" s="10" t="n">
        <f aca="false">SUMIFS('Source 2025'!$F:$F,'Source 2025'!$B:$B,$A80,'Source 2025'!$A:$A,"Amount (NIS)")</f>
        <v>2234.9</v>
      </c>
      <c r="H80" s="10" t="n">
        <f aca="false">SUMIFS('Source 2026'!$F:$F,'Source 2026'!$B:$B,$A80,'Source 2026'!$A:$A,"Amount (NIS)")</f>
        <v>-478.4</v>
      </c>
      <c r="I80" s="10" t="n">
        <f aca="false">H80-G80</f>
        <v>-2713.3</v>
      </c>
      <c r="J80" s="9" t="n">
        <f aca="false">IF(AND(G80=0,H80=0),0,IF(G80=0,"New",(H80-G80)/G80))</f>
        <v>-1.21405879457694</v>
      </c>
    </row>
    <row r="81" customFormat="false" ht="15" hidden="false" customHeight="false" outlineLevel="0" collapsed="false">
      <c r="A81" s="7" t="s">
        <v>276</v>
      </c>
      <c r="B81" s="7" t="str">
        <f aca="false">IFERROR(INDEX('Source 2026'!$C:$C,MATCH($A81,'Source 2026'!$B:$B,0)),IFERROR(INDEX('Source 2025'!$C:$C,MATCH($A81,'Source 2025'!$B:$B,0)),""))</f>
        <v>מגן ברך + צירים</v>
      </c>
      <c r="C81" s="8" t="n">
        <f aca="false">SUMIFS('Source 2025'!$F:$F,'Source 2025'!$B:$B,$A81,'Source 2025'!$A:$A,"Quantity (units)")</f>
        <v>103</v>
      </c>
      <c r="D81" s="8" t="n">
        <f aca="false">SUMIFS('Source 2026'!$F:$F,'Source 2026'!$B:$B,$A81,'Source 2026'!$A:$A,"Quantity (units)")</f>
        <v>73</v>
      </c>
      <c r="E81" s="8" t="n">
        <f aca="false">D81-C81</f>
        <v>-30</v>
      </c>
      <c r="F81" s="9" t="n">
        <f aca="false">IF(AND(C81=0,D81=0),0,IF(C81=0,"New",(D81-C81)/C81))</f>
        <v>-0.29126213592233</v>
      </c>
      <c r="G81" s="10" t="n">
        <f aca="false">SUMIFS('Source 2025'!$F:$F,'Source 2025'!$B:$B,$A81,'Source 2025'!$A:$A,"Amount (NIS)")</f>
        <v>9674.1</v>
      </c>
      <c r="H81" s="10" t="n">
        <f aca="false">SUMIFS('Source 2026'!$F:$F,'Source 2026'!$B:$B,$A81,'Source 2026'!$A:$A,"Amount (NIS)")</f>
        <v>7022.6</v>
      </c>
      <c r="I81" s="10" t="n">
        <f aca="false">H81-G81</f>
        <v>-2651.5</v>
      </c>
      <c r="J81" s="9" t="n">
        <f aca="false">IF(AND(G81=0,H81=0),0,IF(G81=0,"New",(H81-G81)/G81))</f>
        <v>-0.27408234357718</v>
      </c>
    </row>
    <row r="82" customFormat="false" ht="15" hidden="false" customHeight="false" outlineLevel="0" collapsed="false">
      <c r="A82" s="7" t="s">
        <v>129</v>
      </c>
      <c r="B82" s="7" t="str">
        <f aca="false">IFERROR(INDEX('Source 2026'!$C:$C,MATCH($A82,'Source 2026'!$B:$B,0)),IFERROR(INDEX('Source 2025'!$C:$C,MATCH($A82,'Source 2025'!$B:$B,0)),""))</f>
        <v>תחבושת א.נצמ</v>
      </c>
      <c r="C82" s="8" t="n">
        <f aca="false">SUMIFS('Source 2025'!$F:$F,'Source 2025'!$B:$B,$A82,'Source 2025'!$A:$A,"Quantity (units)")</f>
        <v>471</v>
      </c>
      <c r="D82" s="8" t="n">
        <f aca="false">SUMIFS('Source 2026'!$F:$F,'Source 2026'!$B:$B,$A82,'Source 2026'!$A:$A,"Quantity (units)")</f>
        <v>186</v>
      </c>
      <c r="E82" s="8" t="n">
        <f aca="false">D82-C82</f>
        <v>-285</v>
      </c>
      <c r="F82" s="9" t="n">
        <f aca="false">IF(AND(C82=0,D82=0),0,IF(C82=0,"New",(D82-C82)/C82))</f>
        <v>-0.605095541401274</v>
      </c>
      <c r="G82" s="10" t="n">
        <f aca="false">SUMIFS('Source 2025'!$F:$F,'Source 2025'!$B:$B,$A82,'Source 2025'!$A:$A,"Amount (NIS)")</f>
        <v>4693.4</v>
      </c>
      <c r="H82" s="10" t="n">
        <f aca="false">SUMIFS('Source 2026'!$F:$F,'Source 2026'!$B:$B,$A82,'Source 2026'!$A:$A,"Amount (NIS)")</f>
        <v>2062.9</v>
      </c>
      <c r="I82" s="10" t="n">
        <f aca="false">H82-G82</f>
        <v>-2630.5</v>
      </c>
      <c r="J82" s="9" t="n">
        <f aca="false">IF(AND(G82=0,H82=0),0,IF(G82=0,"New",(H82-G82)/G82))</f>
        <v>-0.560467891081093</v>
      </c>
    </row>
    <row r="83" customFormat="false" ht="15" hidden="false" customHeight="false" outlineLevel="0" collapsed="false">
      <c r="A83" s="7" t="s">
        <v>277</v>
      </c>
      <c r="B83" s="7" t="str">
        <f aca="false">IFERROR(INDEX('Source 2026'!$C:$C,MATCH($A83,'Source 2026'!$B:$B,0)),IFERROR(INDEX('Source 2025'!$C:$C,MATCH($A83,'Source 2025'!$B:$B,0)),""))</f>
        <v>רפידת אנטי ריח -זוג</v>
      </c>
      <c r="C83" s="8" t="n">
        <f aca="false">SUMIFS('Source 2025'!$F:$F,'Source 2025'!$B:$B,$A83,'Source 2025'!$A:$A,"Quantity (units)")</f>
        <v>547</v>
      </c>
      <c r="D83" s="8" t="n">
        <f aca="false">SUMIFS('Source 2026'!$F:$F,'Source 2026'!$B:$B,$A83,'Source 2026'!$A:$A,"Quantity (units)")</f>
        <v>360</v>
      </c>
      <c r="E83" s="8" t="n">
        <f aca="false">D83-C83</f>
        <v>-187</v>
      </c>
      <c r="F83" s="9" t="n">
        <f aca="false">IF(AND(C83=0,D83=0),0,IF(C83=0,"New",(D83-C83)/C83))</f>
        <v>-0.341864716636197</v>
      </c>
      <c r="G83" s="10" t="n">
        <f aca="false">SUMIFS('Source 2025'!$F:$F,'Source 2025'!$B:$B,$A83,'Source 2025'!$A:$A,"Amount (NIS)")</f>
        <v>7908</v>
      </c>
      <c r="H83" s="10" t="n">
        <f aca="false">SUMIFS('Source 2026'!$F:$F,'Source 2026'!$B:$B,$A83,'Source 2026'!$A:$A,"Amount (NIS)")</f>
        <v>5288.7</v>
      </c>
      <c r="I83" s="10" t="n">
        <f aca="false">H83-G83</f>
        <v>-2619.3</v>
      </c>
      <c r="J83" s="9" t="n">
        <f aca="false">IF(AND(G83=0,H83=0),0,IF(G83=0,"New",(H83-G83)/G83))</f>
        <v>-0.331221547799697</v>
      </c>
    </row>
    <row r="84" customFormat="false" ht="15" hidden="false" customHeight="false" outlineLevel="0" collapsed="false">
      <c r="A84" s="7" t="s">
        <v>119</v>
      </c>
      <c r="B84" s="7" t="str">
        <f aca="false">IFERROR(INDEX('Source 2026'!$C:$C,MATCH($A84,'Source 2026'!$B:$B,0)),IFERROR(INDEX('Source 2025'!$C:$C,MATCH($A84,'Source 2025'!$B:$B,0)),""))</f>
        <v>גרב.כסף לסכרתים שחור35-38</v>
      </c>
      <c r="C84" s="8" t="n">
        <f aca="false">SUMIFS('Source 2025'!$F:$F,'Source 2025'!$B:$B,$A84,'Source 2025'!$A:$A,"Quantity (units)")</f>
        <v>136</v>
      </c>
      <c r="D84" s="8" t="n">
        <f aca="false">SUMIFS('Source 2026'!$F:$F,'Source 2026'!$B:$B,$A84,'Source 2026'!$A:$A,"Quantity (units)")</f>
        <v>49</v>
      </c>
      <c r="E84" s="8" t="n">
        <f aca="false">D84-C84</f>
        <v>-87</v>
      </c>
      <c r="F84" s="9" t="n">
        <f aca="false">IF(AND(C84=0,D84=0),0,IF(C84=0,"New",(D84-C84)/C84))</f>
        <v>-0.639705882352941</v>
      </c>
      <c r="G84" s="10" t="n">
        <f aca="false">SUMIFS('Source 2025'!$F:$F,'Source 2025'!$B:$B,$A84,'Source 2025'!$A:$A,"Amount (NIS)")</f>
        <v>4187.5</v>
      </c>
      <c r="H84" s="10" t="n">
        <f aca="false">SUMIFS('Source 2026'!$F:$F,'Source 2026'!$B:$B,$A84,'Source 2026'!$A:$A,"Amount (NIS)")</f>
        <v>1631.3</v>
      </c>
      <c r="I84" s="10" t="n">
        <f aca="false">H84-G84</f>
        <v>-2556.2</v>
      </c>
      <c r="J84" s="9" t="n">
        <f aca="false">IF(AND(G84=0,H84=0),0,IF(G84=0,"New",(H84-G84)/G84))</f>
        <v>-0.610435820895522</v>
      </c>
    </row>
    <row r="85" customFormat="false" ht="15" hidden="false" customHeight="false" outlineLevel="0" collapsed="false">
      <c r="A85" s="7" t="s">
        <v>101</v>
      </c>
      <c r="B85" s="7" t="str">
        <f aca="false">IFERROR(INDEX('Source 2026'!$C:$C,MATCH($A85,'Source 2026'!$B:$B,0)),IFERROR(INDEX('Source 2025'!$C:$C,MATCH($A85,'Source 2025'!$B:$B,0)),""))</f>
        <v>S מגן קרסול מתכוון עם סקוטש</v>
      </c>
      <c r="C85" s="8" t="n">
        <f aca="false">SUMIFS('Source 2025'!$F:$F,'Source 2025'!$B:$B,$A85,'Source 2025'!$A:$A,"Quantity (units)")</f>
        <v>39</v>
      </c>
      <c r="D85" s="8" t="n">
        <f aca="false">SUMIFS('Source 2026'!$F:$F,'Source 2026'!$B:$B,$A85,'Source 2026'!$A:$A,"Quantity (units)")</f>
        <v>0</v>
      </c>
      <c r="E85" s="8" t="n">
        <f aca="false">D85-C85</f>
        <v>-39</v>
      </c>
      <c r="F85" s="9" t="n">
        <f aca="false">IF(AND(C85=0,D85=0),0,IF(C85=0,"New",(D85-C85)/C85))</f>
        <v>-1</v>
      </c>
      <c r="G85" s="10" t="n">
        <f aca="false">SUMIFS('Source 2025'!$F:$F,'Source 2025'!$B:$B,$A85,'Source 2025'!$A:$A,"Amount (NIS)")</f>
        <v>2520.7</v>
      </c>
      <c r="H85" s="10" t="n">
        <f aca="false">SUMIFS('Source 2026'!$F:$F,'Source 2026'!$B:$B,$A85,'Source 2026'!$A:$A,"Amount (NIS)")</f>
        <v>0</v>
      </c>
      <c r="I85" s="10" t="n">
        <f aca="false">H85-G85</f>
        <v>-2520.7</v>
      </c>
      <c r="J85" s="9" t="n">
        <f aca="false">IF(AND(G85=0,H85=0),0,IF(G85=0,"New",(H85-G85)/G85))</f>
        <v>-1</v>
      </c>
    </row>
    <row r="86" customFormat="false" ht="15" hidden="false" customHeight="false" outlineLevel="0" collapsed="false">
      <c r="A86" s="7" t="s">
        <v>278</v>
      </c>
      <c r="B86" s="7" t="str">
        <f aca="false">IFERROR(INDEX('Source 2026'!$C:$C,MATCH($A86,'Source 2026'!$B:$B,0)),IFERROR(INDEX('Source 2025'!$C:$C,MATCH($A86,'Source 2025'!$B:$B,0)),""))</f>
        <v>מגן מרפק</v>
      </c>
      <c r="C86" s="8" t="n">
        <f aca="false">SUMIFS('Source 2025'!$F:$F,'Source 2025'!$B:$B,$A86,'Source 2025'!$A:$A,"Quantity (units)")</f>
        <v>228</v>
      </c>
      <c r="D86" s="8" t="n">
        <f aca="false">SUMIFS('Source 2026'!$F:$F,'Source 2026'!$B:$B,$A86,'Source 2026'!$A:$A,"Quantity (units)")</f>
        <v>155</v>
      </c>
      <c r="E86" s="8" t="n">
        <f aca="false">D86-C86</f>
        <v>-73</v>
      </c>
      <c r="F86" s="9" t="n">
        <f aca="false">IF(AND(C86=0,D86=0),0,IF(C86=0,"New",(D86-C86)/C86))</f>
        <v>-0.320175438596491</v>
      </c>
      <c r="G86" s="10" t="n">
        <f aca="false">SUMIFS('Source 2025'!$F:$F,'Source 2025'!$B:$B,$A86,'Source 2025'!$A:$A,"Amount (NIS)")</f>
        <v>8293.3</v>
      </c>
      <c r="H86" s="10" t="n">
        <f aca="false">SUMIFS('Source 2026'!$F:$F,'Source 2026'!$B:$B,$A86,'Source 2026'!$A:$A,"Amount (NIS)")</f>
        <v>5845.3</v>
      </c>
      <c r="I86" s="10" t="n">
        <f aca="false">H86-G86</f>
        <v>-2448</v>
      </c>
      <c r="J86" s="9" t="n">
        <f aca="false">IF(AND(G86=0,H86=0),0,IF(G86=0,"New",(H86-G86)/G86))</f>
        <v>-0.295178035281492</v>
      </c>
    </row>
    <row r="87" customFormat="false" ht="15" hidden="false" customHeight="false" outlineLevel="0" collapsed="false">
      <c r="A87" s="7" t="s">
        <v>92</v>
      </c>
      <c r="B87" s="7" t="str">
        <f aca="false">IFERROR(INDEX('Source 2026'!$C:$C,MATCH($A87,'Source 2026'!$B:$B,0)),IFERROR(INDEX('Source 2025'!$C:$C,MATCH($A87,'Source 2025'!$B:$B,0)),""))</f>
        <v>תחבושת א.נצמ</v>
      </c>
      <c r="C87" s="8" t="n">
        <f aca="false">SUMIFS('Source 2025'!$F:$F,'Source 2025'!$B:$B,$A87,'Source 2025'!$A:$A,"Quantity (units)")</f>
        <v>462</v>
      </c>
      <c r="D87" s="8" t="n">
        <f aca="false">SUMIFS('Source 2026'!$F:$F,'Source 2026'!$B:$B,$A87,'Source 2026'!$A:$A,"Quantity (units)")</f>
        <v>180</v>
      </c>
      <c r="E87" s="8" t="n">
        <f aca="false">D87-C87</f>
        <v>-282</v>
      </c>
      <c r="F87" s="9" t="n">
        <f aca="false">IF(AND(C87=0,D87=0),0,IF(C87=0,"New",(D87-C87)/C87))</f>
        <v>-0.61038961038961</v>
      </c>
      <c r="G87" s="10" t="n">
        <f aca="false">SUMIFS('Source 2025'!$F:$F,'Source 2025'!$B:$B,$A87,'Source 2025'!$A:$A,"Amount (NIS)")</f>
        <v>4364.1</v>
      </c>
      <c r="H87" s="10" t="n">
        <f aca="false">SUMIFS('Source 2026'!$F:$F,'Source 2026'!$B:$B,$A87,'Source 2026'!$A:$A,"Amount (NIS)")</f>
        <v>2001.6</v>
      </c>
      <c r="I87" s="10" t="n">
        <f aca="false">H87-G87</f>
        <v>-2362.5</v>
      </c>
      <c r="J87" s="9" t="n">
        <f aca="false">IF(AND(G87=0,H87=0),0,IF(G87=0,"New",(H87-G87)/G87))</f>
        <v>-0.541348731697257</v>
      </c>
    </row>
    <row r="88" customFormat="false" ht="15" hidden="false" customHeight="false" outlineLevel="0" collapsed="false">
      <c r="A88" s="7" t="s">
        <v>86</v>
      </c>
      <c r="B88" s="7" t="str">
        <f aca="false">IFERROR(INDEX('Source 2026'!$C:$C,MATCH($A88,'Source 2026'!$B:$B,0)),IFERROR(INDEX('Source 2025'!$C:$C,MATCH($A88,'Source 2025'!$B:$B,0)),""))</f>
        <v>נצמדת כחול20מ""מ</v>
      </c>
      <c r="C88" s="8" t="n">
        <f aca="false">SUMIFS('Source 2025'!$F:$F,'Source 2025'!$B:$B,$A88,'Source 2025'!$A:$A,"Quantity (units)")</f>
        <v>400</v>
      </c>
      <c r="D88" s="8" t="n">
        <f aca="false">SUMIFS('Source 2026'!$F:$F,'Source 2026'!$B:$B,$A88,'Source 2026'!$A:$A,"Quantity (units)")</f>
        <v>124</v>
      </c>
      <c r="E88" s="8" t="n">
        <f aca="false">D88-C88</f>
        <v>-276</v>
      </c>
      <c r="F88" s="9" t="n">
        <f aca="false">IF(AND(C88=0,D88=0),0,IF(C88=0,"New",(D88-C88)/C88))</f>
        <v>-0.69</v>
      </c>
      <c r="G88" s="10" t="n">
        <f aca="false">SUMIFS('Source 2025'!$F:$F,'Source 2025'!$B:$B,$A88,'Source 2025'!$A:$A,"Amount (NIS)")</f>
        <v>3741.1</v>
      </c>
      <c r="H88" s="10" t="n">
        <f aca="false">SUMIFS('Source 2026'!$F:$F,'Source 2026'!$B:$B,$A88,'Source 2026'!$A:$A,"Amount (NIS)")</f>
        <v>1388.3</v>
      </c>
      <c r="I88" s="10" t="n">
        <f aca="false">H88-G88</f>
        <v>-2352.8</v>
      </c>
      <c r="J88" s="9" t="n">
        <f aca="false">IF(AND(G88=0,H88=0),0,IF(G88=0,"New",(H88-G88)/G88))</f>
        <v>-0.628905936756569</v>
      </c>
    </row>
    <row r="89" customFormat="false" ht="15" hidden="false" customHeight="false" outlineLevel="0" collapsed="false">
      <c r="A89" s="7" t="s">
        <v>169</v>
      </c>
      <c r="B89" s="7" t="str">
        <f aca="false">IFERROR(INDEX('Source 2026'!$C:$C,MATCH($A89,'Source 2026'!$B:$B,0)),IFERROR(INDEX('Source 2025'!$C:$C,MATCH($A89,'Source 2025'!$B:$B,0)),""))</f>
        <v>S-Lטבעת אלסטית מסיליקון</v>
      </c>
      <c r="C89" s="8" t="n">
        <f aca="false">SUMIFS('Source 2025'!$F:$F,'Source 2025'!$B:$B,$A89,'Source 2025'!$A:$A,"Quantity (units)")</f>
        <v>631</v>
      </c>
      <c r="D89" s="8" t="n">
        <f aca="false">SUMIFS('Source 2026'!$F:$F,'Source 2026'!$B:$B,$A89,'Source 2026'!$A:$A,"Quantity (units)")</f>
        <v>459</v>
      </c>
      <c r="E89" s="8" t="n">
        <f aca="false">D89-C89</f>
        <v>-172</v>
      </c>
      <c r="F89" s="9" t="n">
        <f aca="false">IF(AND(C89=0,D89=0),0,IF(C89=0,"New",(D89-C89)/C89))</f>
        <v>-0.272583201267829</v>
      </c>
      <c r="G89" s="10" t="n">
        <f aca="false">SUMIFS('Source 2025'!$F:$F,'Source 2025'!$B:$B,$A89,'Source 2025'!$A:$A,"Amount (NIS)")</f>
        <v>8442.5</v>
      </c>
      <c r="H89" s="10" t="n">
        <f aca="false">SUMIFS('Source 2026'!$F:$F,'Source 2026'!$B:$B,$A89,'Source 2026'!$A:$A,"Amount (NIS)")</f>
        <v>6127.5</v>
      </c>
      <c r="I89" s="10" t="n">
        <f aca="false">H89-G89</f>
        <v>-2315</v>
      </c>
      <c r="J89" s="9" t="n">
        <f aca="false">IF(AND(G89=0,H89=0),0,IF(G89=0,"New",(H89-G89)/G89))</f>
        <v>-0.27420787681374</v>
      </c>
    </row>
    <row r="90" customFormat="false" ht="15" hidden="false" customHeight="false" outlineLevel="0" collapsed="false">
      <c r="A90" s="7" t="s">
        <v>156</v>
      </c>
      <c r="B90" s="7" t="str">
        <f aca="false">IFERROR(INDEX('Source 2026'!$C:$C,MATCH($A90,'Source 2026'!$B:$B,0)),IFERROR(INDEX('Source 2025'!$C:$C,MATCH($A90,'Source 2025'!$B:$B,0)),""))</f>
        <v>כרית ליישור אצבע פטיש</v>
      </c>
      <c r="C90" s="8" t="n">
        <f aca="false">SUMIFS('Source 2025'!$F:$F,'Source 2025'!$B:$B,$A90,'Source 2025'!$A:$A,"Quantity (units)")</f>
        <v>222</v>
      </c>
      <c r="D90" s="8" t="n">
        <f aca="false">SUMIFS('Source 2026'!$F:$F,'Source 2026'!$B:$B,$A90,'Source 2026'!$A:$A,"Quantity (units)")</f>
        <v>133</v>
      </c>
      <c r="E90" s="8" t="n">
        <f aca="false">D90-C90</f>
        <v>-89</v>
      </c>
      <c r="F90" s="9" t="n">
        <f aca="false">IF(AND(C90=0,D90=0),0,IF(C90=0,"New",(D90-C90)/C90))</f>
        <v>-0.400900900900901</v>
      </c>
      <c r="G90" s="10" t="n">
        <f aca="false">SUMIFS('Source 2025'!$F:$F,'Source 2025'!$B:$B,$A90,'Source 2025'!$A:$A,"Amount (NIS)")</f>
        <v>5823</v>
      </c>
      <c r="H90" s="10" t="n">
        <f aca="false">SUMIFS('Source 2026'!$F:$F,'Source 2026'!$B:$B,$A90,'Source 2026'!$A:$A,"Amount (NIS)")</f>
        <v>3553.3</v>
      </c>
      <c r="I90" s="10" t="n">
        <f aca="false">H90-G90</f>
        <v>-2269.7</v>
      </c>
      <c r="J90" s="9" t="n">
        <f aca="false">IF(AND(G90=0,H90=0),0,IF(G90=0,"New",(H90-G90)/G90))</f>
        <v>-0.389781899364589</v>
      </c>
    </row>
    <row r="91" customFormat="false" ht="15" hidden="false" customHeight="false" outlineLevel="0" collapsed="false">
      <c r="A91" s="7" t="s">
        <v>279</v>
      </c>
      <c r="B91" s="7" t="str">
        <f aca="false">IFERROR(INDEX('Source 2026'!$C:$C,MATCH($A91,'Source 2026'!$B:$B,0)),IFERROR(INDEX('Source 2025'!$C:$C,MATCH($A91,'Source 2025'!$B:$B,0)),""))</f>
        <v>בוהן סיליקון קשיח</v>
      </c>
      <c r="C91" s="8" t="n">
        <f aca="false">SUMIFS('Source 2025'!$F:$F,'Source 2025'!$B:$B,$A91,'Source 2025'!$A:$A,"Quantity (units)")</f>
        <v>160</v>
      </c>
      <c r="D91" s="8" t="n">
        <f aca="false">SUMIFS('Source 2026'!$F:$F,'Source 2026'!$B:$B,$A91,'Source 2026'!$A:$A,"Quantity (units)")</f>
        <v>46</v>
      </c>
      <c r="E91" s="8" t="n">
        <f aca="false">D91-C91</f>
        <v>-114</v>
      </c>
      <c r="F91" s="9" t="n">
        <f aca="false">IF(AND(C91=0,D91=0),0,IF(C91=0,"New",(D91-C91)/C91))</f>
        <v>-0.7125</v>
      </c>
      <c r="G91" s="10" t="n">
        <f aca="false">SUMIFS('Source 2025'!$F:$F,'Source 2025'!$B:$B,$A91,'Source 2025'!$A:$A,"Amount (NIS)")</f>
        <v>3169.2</v>
      </c>
      <c r="H91" s="10" t="n">
        <f aca="false">SUMIFS('Source 2026'!$F:$F,'Source 2026'!$B:$B,$A91,'Source 2026'!$A:$A,"Amount (NIS)")</f>
        <v>913.3</v>
      </c>
      <c r="I91" s="10" t="n">
        <f aca="false">H91-G91</f>
        <v>-2255.9</v>
      </c>
      <c r="J91" s="9" t="n">
        <f aca="false">IF(AND(G91=0,H91=0),0,IF(G91=0,"New",(H91-G91)/G91))</f>
        <v>-0.711820017670074</v>
      </c>
    </row>
    <row r="92" customFormat="false" ht="15" hidden="false" customHeight="false" outlineLevel="0" collapsed="false">
      <c r="A92" s="7" t="s">
        <v>105</v>
      </c>
      <c r="B92" s="7" t="str">
        <f aca="false">IFERROR(INDEX('Source 2026'!$C:$C,MATCH($A92,'Source 2026'!$B:$B,0)),IFERROR(INDEX('Source 2025'!$C:$C,MATCH($A92,'Source 2025'!$B:$B,0)),""))</f>
        <v>S-M סד לאגודל</v>
      </c>
      <c r="C92" s="8" t="n">
        <f aca="false">SUMIFS('Source 2025'!$F:$F,'Source 2025'!$B:$B,$A92,'Source 2025'!$A:$A,"Quantity (units)")</f>
        <v>134</v>
      </c>
      <c r="D92" s="8" t="n">
        <f aca="false">SUMIFS('Source 2026'!$F:$F,'Source 2026'!$B:$B,$A92,'Source 2026'!$A:$A,"Quantity (units)")</f>
        <v>101</v>
      </c>
      <c r="E92" s="8" t="n">
        <f aca="false">D92-C92</f>
        <v>-33</v>
      </c>
      <c r="F92" s="9" t="n">
        <f aca="false">IF(AND(C92=0,D92=0),0,IF(C92=0,"New",(D92-C92)/C92))</f>
        <v>-0.246268656716418</v>
      </c>
      <c r="G92" s="10" t="n">
        <f aca="false">SUMIFS('Source 2025'!$F:$F,'Source 2025'!$B:$B,$A92,'Source 2025'!$A:$A,"Amount (NIS)")</f>
        <v>9037</v>
      </c>
      <c r="H92" s="10" t="n">
        <f aca="false">SUMIFS('Source 2026'!$F:$F,'Source 2026'!$B:$B,$A92,'Source 2026'!$A:$A,"Amount (NIS)")</f>
        <v>6859.8</v>
      </c>
      <c r="I92" s="10" t="n">
        <f aca="false">H92-G92</f>
        <v>-2177.2</v>
      </c>
      <c r="J92" s="9" t="n">
        <f aca="false">IF(AND(G92=0,H92=0),0,IF(G92=0,"New",(H92-G92)/G92))</f>
        <v>-0.2409206595109</v>
      </c>
    </row>
    <row r="93" customFormat="false" ht="15" hidden="false" customHeight="false" outlineLevel="0" collapsed="false">
      <c r="A93" s="7" t="s">
        <v>40</v>
      </c>
      <c r="B93" s="7" t="str">
        <f aca="false">IFERROR(INDEX('Source 2026'!$C:$C,MATCH($A93,'Source 2026'!$B:$B,0)),IFERROR(INDEX('Source 2025'!$C:$C,MATCH($A93,'Source 2025'!$B:$B,0)),""))</f>
        <v>מדרסי אפיק ג'ל נוחות</v>
      </c>
      <c r="C93" s="8" t="n">
        <f aca="false">SUMIFS('Source 2025'!$F:$F,'Source 2025'!$B:$B,$A93,'Source 2025'!$A:$A,"Quantity (units)")</f>
        <v>46</v>
      </c>
      <c r="D93" s="8" t="n">
        <f aca="false">SUMIFS('Source 2026'!$F:$F,'Source 2026'!$B:$B,$A93,'Source 2026'!$A:$A,"Quantity (units)")</f>
        <v>25</v>
      </c>
      <c r="E93" s="8" t="n">
        <f aca="false">D93-C93</f>
        <v>-21</v>
      </c>
      <c r="F93" s="9" t="n">
        <f aca="false">IF(AND(C93=0,D93=0),0,IF(C93=0,"New",(D93-C93)/C93))</f>
        <v>-0.456521739130435</v>
      </c>
      <c r="G93" s="10" t="n">
        <f aca="false">SUMIFS('Source 2025'!$F:$F,'Source 2025'!$B:$B,$A93,'Source 2025'!$A:$A,"Amount (NIS)")</f>
        <v>4743.4</v>
      </c>
      <c r="H93" s="10" t="n">
        <f aca="false">SUMIFS('Source 2026'!$F:$F,'Source 2026'!$B:$B,$A93,'Source 2026'!$A:$A,"Amount (NIS)")</f>
        <v>2619.6</v>
      </c>
      <c r="I93" s="10" t="n">
        <f aca="false">H93-G93</f>
        <v>-2123.8</v>
      </c>
      <c r="J93" s="9" t="n">
        <f aca="false">IF(AND(G93=0,H93=0),0,IF(G93=0,"New",(H93-G93)/G93))</f>
        <v>-0.447737909516381</v>
      </c>
    </row>
    <row r="94" customFormat="false" ht="15" hidden="false" customHeight="false" outlineLevel="0" collapsed="false">
      <c r="A94" s="7" t="s">
        <v>280</v>
      </c>
      <c r="B94" s="7" t="str">
        <f aca="false">IFERROR(INDEX('Source 2026'!$C:$C,MATCH($A94,'Source 2026'!$B:$B,0)),IFERROR(INDEX('Source 2025'!$C:$C,MATCH($A94,'Source 2025'!$B:$B,0)),""))</f>
        <v>S-M חגורת גב</v>
      </c>
      <c r="C94" s="8" t="n">
        <f aca="false">SUMIFS('Source 2025'!$F:$F,'Source 2025'!$B:$B,$A94,'Source 2025'!$A:$A,"Quantity (units)")</f>
        <v>34</v>
      </c>
      <c r="D94" s="8" t="n">
        <f aca="false">SUMIFS('Source 2026'!$F:$F,'Source 2026'!$B:$B,$A94,'Source 2026'!$A:$A,"Quantity (units)")</f>
        <v>19</v>
      </c>
      <c r="E94" s="8" t="n">
        <f aca="false">D94-C94</f>
        <v>-15</v>
      </c>
      <c r="F94" s="9" t="n">
        <f aca="false">IF(AND(C94=0,D94=0),0,IF(C94=0,"New",(D94-C94)/C94))</f>
        <v>-0.441176470588235</v>
      </c>
      <c r="G94" s="10" t="n">
        <f aca="false">SUMIFS('Source 2025'!$F:$F,'Source 2025'!$B:$B,$A94,'Source 2025'!$A:$A,"Amount (NIS)")</f>
        <v>4847.2</v>
      </c>
      <c r="H94" s="10" t="n">
        <f aca="false">SUMIFS('Source 2026'!$F:$F,'Source 2026'!$B:$B,$A94,'Source 2026'!$A:$A,"Amount (NIS)")</f>
        <v>2726.7</v>
      </c>
      <c r="I94" s="10" t="n">
        <f aca="false">H94-G94</f>
        <v>-2120.5</v>
      </c>
      <c r="J94" s="9" t="n">
        <f aca="false">IF(AND(G94=0,H94=0),0,IF(G94=0,"New",(H94-G94)/G94))</f>
        <v>-0.43746905429939</v>
      </c>
    </row>
    <row r="95" customFormat="false" ht="15" hidden="false" customHeight="false" outlineLevel="0" collapsed="false">
      <c r="A95" s="7" t="s">
        <v>85</v>
      </c>
      <c r="B95" s="7" t="str">
        <f aca="false">IFERROR(INDEX('Source 2026'!$C:$C,MATCH($A95,'Source 2026'!$B:$B,0)),IFERROR(INDEX('Source 2025'!$C:$C,MATCH($A95,'Source 2025'!$B:$B,0)),""))</f>
        <v>נצמדת שחור 20 מ""מ</v>
      </c>
      <c r="C95" s="8" t="n">
        <f aca="false">SUMIFS('Source 2025'!$F:$F,'Source 2025'!$B:$B,$A95,'Source 2025'!$A:$A,"Quantity (units)")</f>
        <v>482</v>
      </c>
      <c r="D95" s="8" t="n">
        <f aca="false">SUMIFS('Source 2026'!$F:$F,'Source 2026'!$B:$B,$A95,'Source 2026'!$A:$A,"Quantity (units)")</f>
        <v>212</v>
      </c>
      <c r="E95" s="8" t="n">
        <f aca="false">D95-C95</f>
        <v>-270</v>
      </c>
      <c r="F95" s="9" t="n">
        <f aca="false">IF(AND(C95=0,D95=0),0,IF(C95=0,"New",(D95-C95)/C95))</f>
        <v>-0.560165975103734</v>
      </c>
      <c r="G95" s="10" t="n">
        <f aca="false">SUMIFS('Source 2025'!$F:$F,'Source 2025'!$B:$B,$A95,'Source 2025'!$A:$A,"Amount (NIS)")</f>
        <v>4463.1</v>
      </c>
      <c r="H95" s="10" t="n">
        <f aca="false">SUMIFS('Source 2026'!$F:$F,'Source 2026'!$B:$B,$A95,'Source 2026'!$A:$A,"Amount (NIS)")</f>
        <v>2361.9</v>
      </c>
      <c r="I95" s="10" t="n">
        <f aca="false">H95-G95</f>
        <v>-2101.2</v>
      </c>
      <c r="J95" s="9" t="n">
        <f aca="false">IF(AND(G95=0,H95=0),0,IF(G95=0,"New",(H95-G95)/G95))</f>
        <v>-0.47079384284466</v>
      </c>
    </row>
    <row r="96" customFormat="false" ht="15" hidden="false" customHeight="false" outlineLevel="0" collapsed="false">
      <c r="A96" s="7" t="s">
        <v>186</v>
      </c>
      <c r="B96" s="7" t="str">
        <f aca="false">IFERROR(INDEX('Source 2026'!$C:$C,MATCH($A96,'Source 2026'!$B:$B,0)),IFERROR(INDEX('Source 2025'!$C:$C,MATCH($A96,'Source 2025'!$B:$B,0)),""))</f>
        <v>S חבק יד</v>
      </c>
      <c r="C96" s="8" t="n">
        <f aca="false">SUMIFS('Source 2025'!$F:$F,'Source 2025'!$B:$B,$A96,'Source 2025'!$A:$A,"Quantity (units)")</f>
        <v>35</v>
      </c>
      <c r="D96" s="8" t="n">
        <f aca="false">SUMIFS('Source 2026'!$F:$F,'Source 2026'!$B:$B,$A96,'Source 2026'!$A:$A,"Quantity (units)")</f>
        <v>55</v>
      </c>
      <c r="E96" s="8" t="n">
        <f aca="false">D96-C96</f>
        <v>20</v>
      </c>
      <c r="F96" s="9" t="n">
        <f aca="false">IF(AND(C96=0,D96=0),0,IF(C96=0,"New",(D96-C96)/C96))</f>
        <v>0.571428571428571</v>
      </c>
      <c r="G96" s="10" t="n">
        <f aca="false">SUMIFS('Source 2025'!$F:$F,'Source 2025'!$B:$B,$A96,'Source 2025'!$A:$A,"Amount (NIS)")</f>
        <v>2874.7</v>
      </c>
      <c r="H96" s="10" t="n">
        <f aca="false">SUMIFS('Source 2026'!$F:$F,'Source 2026'!$B:$B,$A96,'Source 2026'!$A:$A,"Amount (NIS)")</f>
        <v>4974.8</v>
      </c>
      <c r="I96" s="10" t="n">
        <f aca="false">H96-G96</f>
        <v>2100.1</v>
      </c>
      <c r="J96" s="9" t="n">
        <f aca="false">IF(AND(G96=0,H96=0),0,IF(G96=0,"New",(H96-G96)/G96))</f>
        <v>0.73054579608307</v>
      </c>
    </row>
    <row r="97" customFormat="false" ht="15" hidden="false" customHeight="false" outlineLevel="0" collapsed="false">
      <c r="A97" s="7" t="s">
        <v>110</v>
      </c>
      <c r="B97" s="7" t="str">
        <f aca="false">IFERROR(INDEX('Source 2026'!$C:$C,MATCH($A97,'Source 2026'!$B:$B,0)),IFERROR(INDEX('Source 2025'!$C:$C,MATCH($A97,'Source 2025'!$B:$B,0)),""))</f>
        <v>חבק טניס</v>
      </c>
      <c r="C97" s="8" t="n">
        <f aca="false">SUMIFS('Source 2025'!$F:$F,'Source 2025'!$B:$B,$A97,'Source 2025'!$A:$A,"Quantity (units)")</f>
        <v>388</v>
      </c>
      <c r="D97" s="8" t="n">
        <f aca="false">SUMIFS('Source 2026'!$F:$F,'Source 2026'!$B:$B,$A97,'Source 2026'!$A:$A,"Quantity (units)")</f>
        <v>316</v>
      </c>
      <c r="E97" s="8" t="n">
        <f aca="false">D97-C97</f>
        <v>-72</v>
      </c>
      <c r="F97" s="9" t="n">
        <f aca="false">IF(AND(C97=0,D97=0),0,IF(C97=0,"New",(D97-C97)/C97))</f>
        <v>-0.185567010309278</v>
      </c>
      <c r="G97" s="10" t="n">
        <f aca="false">SUMIFS('Source 2025'!$F:$F,'Source 2025'!$B:$B,$A97,'Source 2025'!$A:$A,"Amount (NIS)")</f>
        <v>14002.9</v>
      </c>
      <c r="H97" s="10" t="n">
        <f aca="false">SUMIFS('Source 2026'!$F:$F,'Source 2026'!$B:$B,$A97,'Source 2026'!$A:$A,"Amount (NIS)")</f>
        <v>11905.6</v>
      </c>
      <c r="I97" s="10" t="n">
        <f aca="false">H97-G97</f>
        <v>-2097.3</v>
      </c>
      <c r="J97" s="9" t="n">
        <f aca="false">IF(AND(G97=0,H97=0),0,IF(G97=0,"New",(H97-G97)/G97))</f>
        <v>-0.149776117804169</v>
      </c>
    </row>
    <row r="98" customFormat="false" ht="15" hidden="false" customHeight="false" outlineLevel="0" collapsed="false">
      <c r="A98" s="7" t="s">
        <v>281</v>
      </c>
      <c r="B98" s="7" t="str">
        <f aca="false">IFERROR(INDEX('Source 2026'!$C:$C,MATCH($A98,'Source 2026'!$B:$B,0)),IFERROR(INDEX('Source 2025'!$C:$C,MATCH($A98,'Source 2025'!$B:$B,0)),""))</f>
        <v>M מדרס ג'ל ספורט לגבר</v>
      </c>
      <c r="C98" s="8" t="n">
        <f aca="false">SUMIFS('Source 2025'!$F:$F,'Source 2025'!$B:$B,$A98,'Source 2025'!$A:$A,"Quantity (units)")</f>
        <v>1</v>
      </c>
      <c r="D98" s="8" t="n">
        <f aca="false">SUMIFS('Source 2026'!$F:$F,'Source 2026'!$B:$B,$A98,'Source 2026'!$A:$A,"Quantity (units)")</f>
        <v>39</v>
      </c>
      <c r="E98" s="8" t="n">
        <f aca="false">D98-C98</f>
        <v>38</v>
      </c>
      <c r="F98" s="9" t="n">
        <f aca="false">IF(AND(C98=0,D98=0),0,IF(C98=0,"New",(D98-C98)/C98))</f>
        <v>38</v>
      </c>
      <c r="G98" s="10" t="n">
        <f aca="false">SUMIFS('Source 2025'!$F:$F,'Source 2025'!$B:$B,$A98,'Source 2025'!$A:$A,"Amount (NIS)")</f>
        <v>100.9</v>
      </c>
      <c r="H98" s="10" t="n">
        <f aca="false">SUMIFS('Source 2026'!$F:$F,'Source 2026'!$B:$B,$A98,'Source 2026'!$A:$A,"Amount (NIS)")</f>
        <v>2191.9</v>
      </c>
      <c r="I98" s="10" t="n">
        <f aca="false">H98-G98</f>
        <v>2091</v>
      </c>
      <c r="J98" s="9" t="n">
        <f aca="false">IF(AND(G98=0,H98=0),0,IF(G98=0,"New",(H98-G98)/G98))</f>
        <v>20.7234886025768</v>
      </c>
    </row>
    <row r="99" customFormat="false" ht="15" hidden="false" customHeight="false" outlineLevel="0" collapsed="false">
      <c r="A99" s="7" t="s">
        <v>173</v>
      </c>
      <c r="B99" s="7" t="str">
        <f aca="false">IFERROR(INDEX('Source 2026'!$C:$C,MATCH($A99,'Source 2026'!$B:$B,0)),IFERROR(INDEX('Source 2025'!$C:$C,MATCH($A99,'Source 2025'!$B:$B,0)),""))</f>
        <v>S ח.גב סג. כפולה שחור+אדום</v>
      </c>
      <c r="C99" s="8" t="n">
        <f aca="false">SUMIFS('Source 2025'!$F:$F,'Source 2025'!$B:$B,$A99,'Source 2025'!$A:$A,"Quantity (units)")</f>
        <v>22</v>
      </c>
      <c r="D99" s="8" t="n">
        <f aca="false">SUMIFS('Source 2026'!$F:$F,'Source 2026'!$B:$B,$A99,'Source 2026'!$A:$A,"Quantity (units)")</f>
        <v>2</v>
      </c>
      <c r="E99" s="8" t="n">
        <f aca="false">D99-C99</f>
        <v>-20</v>
      </c>
      <c r="F99" s="9" t="n">
        <f aca="false">IF(AND(C99=0,D99=0),0,IF(C99=0,"New",(D99-C99)/C99))</f>
        <v>-0.909090909090909</v>
      </c>
      <c r="G99" s="10" t="n">
        <f aca="false">SUMIFS('Source 2025'!$F:$F,'Source 2025'!$B:$B,$A99,'Source 2025'!$A:$A,"Amount (NIS)")</f>
        <v>2241.9</v>
      </c>
      <c r="H99" s="10" t="n">
        <f aca="false">SUMIFS('Source 2026'!$F:$F,'Source 2026'!$B:$B,$A99,'Source 2026'!$A:$A,"Amount (NIS)")</f>
        <v>217.4</v>
      </c>
      <c r="I99" s="10" t="n">
        <f aca="false">H99-G99</f>
        <v>-2024.5</v>
      </c>
      <c r="J99" s="9" t="n">
        <f aca="false">IF(AND(G99=0,H99=0),0,IF(G99=0,"New",(H99-G99)/G99))</f>
        <v>-0.903028681029484</v>
      </c>
    </row>
    <row r="100" customFormat="false" ht="15" hidden="false" customHeight="false" outlineLevel="0" collapsed="false">
      <c r="A100" s="7" t="s">
        <v>108</v>
      </c>
      <c r="B100" s="7" t="str">
        <f aca="false">IFERROR(INDEX('Source 2026'!$C:$C,MATCH($A100,'Source 2026'!$B:$B,0)),IFERROR(INDEX('Source 2025'!$C:$C,MATCH($A100,'Source 2025'!$B:$B,0)),""))</f>
        <v>גב אפורה</v>
      </c>
      <c r="C100" s="8" t="n">
        <f aca="false">SUMIFS('Source 2025'!$F:$F,'Source 2025'!$B:$B,$A100,'Source 2025'!$A:$A,"Quantity (units)")</f>
        <v>41</v>
      </c>
      <c r="D100" s="8" t="n">
        <f aca="false">SUMIFS('Source 2026'!$F:$F,'Source 2026'!$B:$B,$A100,'Source 2026'!$A:$A,"Quantity (units)")</f>
        <v>22</v>
      </c>
      <c r="E100" s="8" t="n">
        <f aca="false">D100-C100</f>
        <v>-19</v>
      </c>
      <c r="F100" s="9" t="n">
        <f aca="false">IF(AND(C100=0,D100=0),0,IF(C100=0,"New",(D100-C100)/C100))</f>
        <v>-0.463414634146342</v>
      </c>
      <c r="G100" s="10" t="n">
        <f aca="false">SUMIFS('Source 2025'!$F:$F,'Source 2025'!$B:$B,$A100,'Source 2025'!$A:$A,"Amount (NIS)")</f>
        <v>4499.2</v>
      </c>
      <c r="H100" s="10" t="n">
        <f aca="false">SUMIFS('Source 2026'!$F:$F,'Source 2026'!$B:$B,$A100,'Source 2026'!$A:$A,"Amount (NIS)")</f>
        <v>2494.1</v>
      </c>
      <c r="I100" s="10" t="n">
        <f aca="false">H100-G100</f>
        <v>-2005.1</v>
      </c>
      <c r="J100" s="9" t="n">
        <f aca="false">IF(AND(G100=0,H100=0),0,IF(G100=0,"New",(H100-G100)/G100))</f>
        <v>-0.4456570056899</v>
      </c>
    </row>
    <row r="101" customFormat="false" ht="15" hidden="false" customHeight="false" outlineLevel="0" collapsed="false">
      <c r="A101" s="7" t="s">
        <v>102</v>
      </c>
      <c r="B101" s="7" t="str">
        <f aca="false">IFERROR(INDEX('Source 2026'!$C:$C,MATCH($A101,'Source 2026'!$B:$B,0)),IFERROR(INDEX('Source 2025'!$C:$C,MATCH($A101,'Source 2025'!$B:$B,0)),""))</f>
        <v>3667 מגן בוניון</v>
      </c>
      <c r="C101" s="8" t="n">
        <f aca="false">SUMIFS('Source 2025'!$F:$F,'Source 2025'!$B:$B,$A101,'Source 2025'!$A:$A,"Quantity (units)")</f>
        <v>139</v>
      </c>
      <c r="D101" s="8" t="n">
        <f aca="false">SUMIFS('Source 2026'!$F:$F,'Source 2026'!$B:$B,$A101,'Source 2026'!$A:$A,"Quantity (units)")</f>
        <v>74</v>
      </c>
      <c r="E101" s="8" t="n">
        <f aca="false">D101-C101</f>
        <v>-65</v>
      </c>
      <c r="F101" s="9" t="n">
        <f aca="false">IF(AND(C101=0,D101=0),0,IF(C101=0,"New",(D101-C101)/C101))</f>
        <v>-0.467625899280576</v>
      </c>
      <c r="G101" s="10" t="n">
        <f aca="false">SUMIFS('Source 2025'!$F:$F,'Source 2025'!$B:$B,$A101,'Source 2025'!$A:$A,"Amount (NIS)")</f>
        <v>4291.2</v>
      </c>
      <c r="H101" s="10" t="n">
        <f aca="false">SUMIFS('Source 2026'!$F:$F,'Source 2026'!$B:$B,$A101,'Source 2026'!$A:$A,"Amount (NIS)")</f>
        <v>2293.5</v>
      </c>
      <c r="I101" s="10" t="n">
        <f aca="false">H101-G101</f>
        <v>-1997.7</v>
      </c>
      <c r="J101" s="9" t="n">
        <f aca="false">IF(AND(G101=0,H101=0),0,IF(G101=0,"New",(H101-G101)/G101))</f>
        <v>-0.465534116331096</v>
      </c>
    </row>
    <row r="102" customFormat="false" ht="15" hidden="false" customHeight="false" outlineLevel="0" collapsed="false">
      <c r="A102" s="7" t="s">
        <v>125</v>
      </c>
      <c r="B102" s="7" t="str">
        <f aca="false">IFERROR(INDEX('Source 2026'!$C:$C,MATCH($A102,'Source 2026'!$B:$B,0)),IFERROR(INDEX('Source 2025'!$C:$C,MATCH($A102,'Source 2025'!$B:$B,0)),""))</f>
        <v>S מגן ירך</v>
      </c>
      <c r="C102" s="8" t="n">
        <f aca="false">SUMIFS('Source 2025'!$F:$F,'Source 2025'!$B:$B,$A102,'Source 2025'!$A:$A,"Quantity (units)")</f>
        <v>113</v>
      </c>
      <c r="D102" s="8" t="n">
        <f aca="false">SUMIFS('Source 2026'!$F:$F,'Source 2026'!$B:$B,$A102,'Source 2026'!$A:$A,"Quantity (units)")</f>
        <v>53</v>
      </c>
      <c r="E102" s="8" t="n">
        <f aca="false">D102-C102</f>
        <v>-60</v>
      </c>
      <c r="F102" s="9" t="n">
        <f aca="false">IF(AND(C102=0,D102=0),0,IF(C102=0,"New",(D102-C102)/C102))</f>
        <v>-0.530973451327434</v>
      </c>
      <c r="G102" s="10" t="n">
        <f aca="false">SUMIFS('Source 2025'!$F:$F,'Source 2025'!$B:$B,$A102,'Source 2025'!$A:$A,"Amount (NIS)")</f>
        <v>3750.7</v>
      </c>
      <c r="H102" s="10" t="n">
        <f aca="false">SUMIFS('Source 2026'!$F:$F,'Source 2026'!$B:$B,$A102,'Source 2026'!$A:$A,"Amount (NIS)")</f>
        <v>1827.6</v>
      </c>
      <c r="I102" s="10" t="n">
        <f aca="false">H102-G102</f>
        <v>-1923.1</v>
      </c>
      <c r="J102" s="9" t="n">
        <f aca="false">IF(AND(G102=0,H102=0),0,IF(G102=0,"New",(H102-G102)/G102))</f>
        <v>-0.512730956888048</v>
      </c>
    </row>
    <row r="103" customFormat="false" ht="15" hidden="false" customHeight="false" outlineLevel="0" collapsed="false">
      <c r="A103" s="7" t="s">
        <v>282</v>
      </c>
      <c r="B103" s="7" t="str">
        <f aca="false">IFERROR(INDEX('Source 2026'!$C:$C,MATCH($A103,'Source 2026'!$B:$B,0)),IFERROR(INDEX('Source 2025'!$C:$C,MATCH($A103,'Source 2025'!$B:$B,0)),""))</f>
        <v>L מ.ברך אפור+כרית סיליקון</v>
      </c>
      <c r="C103" s="8" t="n">
        <f aca="false">SUMIFS('Source 2025'!$F:$F,'Source 2025'!$B:$B,$A103,'Source 2025'!$A:$A,"Quantity (units)")</f>
        <v>11</v>
      </c>
      <c r="D103" s="8" t="n">
        <f aca="false">SUMIFS('Source 2026'!$F:$F,'Source 2026'!$B:$B,$A103,'Source 2026'!$A:$A,"Quantity (units)")</f>
        <v>0</v>
      </c>
      <c r="E103" s="8" t="n">
        <f aca="false">D103-C103</f>
        <v>-11</v>
      </c>
      <c r="F103" s="9" t="n">
        <f aca="false">IF(AND(C103=0,D103=0),0,IF(C103=0,"New",(D103-C103)/C103))</f>
        <v>-1</v>
      </c>
      <c r="G103" s="10" t="n">
        <f aca="false">SUMIFS('Source 2025'!$F:$F,'Source 2025'!$B:$B,$A103,'Source 2025'!$A:$A,"Amount (NIS)")</f>
        <v>1897.3</v>
      </c>
      <c r="H103" s="10" t="n">
        <f aca="false">SUMIFS('Source 2026'!$F:$F,'Source 2026'!$B:$B,$A103,'Source 2026'!$A:$A,"Amount (NIS)")</f>
        <v>0</v>
      </c>
      <c r="I103" s="10" t="n">
        <f aca="false">H103-G103</f>
        <v>-1897.3</v>
      </c>
      <c r="J103" s="9" t="n">
        <f aca="false">IF(AND(G103=0,H103=0),0,IF(G103=0,"New",(H103-G103)/G103))</f>
        <v>-1</v>
      </c>
    </row>
    <row r="104" customFormat="false" ht="15" hidden="false" customHeight="false" outlineLevel="0" collapsed="false">
      <c r="A104" s="7" t="s">
        <v>41</v>
      </c>
      <c r="B104" s="7" t="str">
        <f aca="false">IFERROR(INDEX('Source 2026'!$C:$C,MATCH($A104,'Source 2026'!$B:$B,0)),IFERROR(INDEX('Source 2025'!$C:$C,MATCH($A104,'Source 2025'!$B:$B,0)),""))</f>
        <v>מדרסי אפיק ג'ל נוחות</v>
      </c>
      <c r="C104" s="8" t="n">
        <f aca="false">SUMIFS('Source 2025'!$F:$F,'Source 2025'!$B:$B,$A104,'Source 2025'!$A:$A,"Quantity (units)")</f>
        <v>42</v>
      </c>
      <c r="D104" s="8" t="n">
        <f aca="false">SUMIFS('Source 2026'!$F:$F,'Source 2026'!$B:$B,$A104,'Source 2026'!$A:$A,"Quantity (units)")</f>
        <v>23</v>
      </c>
      <c r="E104" s="8" t="n">
        <f aca="false">D104-C104</f>
        <v>-19</v>
      </c>
      <c r="F104" s="9" t="n">
        <f aca="false">IF(AND(C104=0,D104=0),0,IF(C104=0,"New",(D104-C104)/C104))</f>
        <v>-0.452380952380952</v>
      </c>
      <c r="G104" s="10" t="n">
        <f aca="false">SUMIFS('Source 2025'!$F:$F,'Source 2025'!$B:$B,$A104,'Source 2025'!$A:$A,"Amount (NIS)")</f>
        <v>4272.5</v>
      </c>
      <c r="H104" s="10" t="n">
        <f aca="false">SUMIFS('Source 2026'!$F:$F,'Source 2026'!$B:$B,$A104,'Source 2026'!$A:$A,"Amount (NIS)")</f>
        <v>2426.4</v>
      </c>
      <c r="I104" s="10" t="n">
        <f aca="false">H104-G104</f>
        <v>-1846.1</v>
      </c>
      <c r="J104" s="9" t="n">
        <f aca="false">IF(AND(G104=0,H104=0),0,IF(G104=0,"New",(H104-G104)/G104))</f>
        <v>-0.432088940901112</v>
      </c>
    </row>
    <row r="105" customFormat="false" ht="15" hidden="false" customHeight="false" outlineLevel="0" collapsed="false">
      <c r="A105" s="7" t="s">
        <v>234</v>
      </c>
      <c r="B105" s="7" t="str">
        <f aca="false">IFERROR(INDEX('Source 2026'!$C:$C,MATCH($A105,'Source 2026'!$B:$B,0)),IFERROR(INDEX('Source 2025'!$C:$C,MATCH($A105,'Source 2025'!$B:$B,0)),""))</f>
        <v>להסרת עור קשה</v>
      </c>
      <c r="C105" s="8" t="n">
        <f aca="false">SUMIFS('Source 2025'!$F:$F,'Source 2025'!$B:$B,$A105,'Source 2025'!$A:$A,"Quantity (units)")</f>
        <v>216</v>
      </c>
      <c r="D105" s="8" t="n">
        <f aca="false">SUMIFS('Source 2026'!$F:$F,'Source 2026'!$B:$B,$A105,'Source 2026'!$A:$A,"Quantity (units)")</f>
        <v>144</v>
      </c>
      <c r="E105" s="8" t="n">
        <f aca="false">D105-C105</f>
        <v>-72</v>
      </c>
      <c r="F105" s="9" t="n">
        <f aca="false">IF(AND(C105=0,D105=0),0,IF(C105=0,"New",(D105-C105)/C105))</f>
        <v>-0.333333333333333</v>
      </c>
      <c r="G105" s="10" t="n">
        <f aca="false">SUMIFS('Source 2025'!$F:$F,'Source 2025'!$B:$B,$A105,'Source 2025'!$A:$A,"Amount (NIS)")</f>
        <v>5363.4</v>
      </c>
      <c r="H105" s="10" t="n">
        <f aca="false">SUMIFS('Source 2026'!$F:$F,'Source 2026'!$B:$B,$A105,'Source 2026'!$A:$A,"Amount (NIS)")</f>
        <v>3555.7</v>
      </c>
      <c r="I105" s="10" t="n">
        <f aca="false">H105-G105</f>
        <v>-1807.7</v>
      </c>
      <c r="J105" s="9" t="n">
        <f aca="false">IF(AND(G105=0,H105=0),0,IF(G105=0,"New",(H105-G105)/G105))</f>
        <v>-0.337043666331059</v>
      </c>
    </row>
    <row r="106" customFormat="false" ht="15" hidden="false" customHeight="false" outlineLevel="0" collapsed="false">
      <c r="A106" s="7" t="s">
        <v>54</v>
      </c>
      <c r="B106" s="7" t="str">
        <f aca="false">IFERROR(INDEX('Source 2026'!$C:$C,MATCH($A106,'Source 2026'!$B:$B,0)),IFERROR(INDEX('Source 2025'!$C:$C,MATCH($A106,'Source 2025'!$B:$B,0)),""))</f>
        <v>גב אפורה</v>
      </c>
      <c r="C106" s="8" t="n">
        <f aca="false">SUMIFS('Source 2025'!$F:$F,'Source 2025'!$B:$B,$A106,'Source 2025'!$A:$A,"Quantity (units)")</f>
        <v>53</v>
      </c>
      <c r="D106" s="8" t="n">
        <f aca="false">SUMIFS('Source 2026'!$F:$F,'Source 2026'!$B:$B,$A106,'Source 2026'!$A:$A,"Quantity (units)")</f>
        <v>37</v>
      </c>
      <c r="E106" s="8" t="n">
        <f aca="false">D106-C106</f>
        <v>-16</v>
      </c>
      <c r="F106" s="9" t="n">
        <f aca="false">IF(AND(C106=0,D106=0),0,IF(C106=0,"New",(D106-C106)/C106))</f>
        <v>-0.30188679245283</v>
      </c>
      <c r="G106" s="10" t="n">
        <f aca="false">SUMIFS('Source 2025'!$F:$F,'Source 2025'!$B:$B,$A106,'Source 2025'!$A:$A,"Amount (NIS)")</f>
        <v>5922.9</v>
      </c>
      <c r="H106" s="10" t="n">
        <f aca="false">SUMIFS('Source 2026'!$F:$F,'Source 2026'!$B:$B,$A106,'Source 2026'!$A:$A,"Amount (NIS)")</f>
        <v>4126.1</v>
      </c>
      <c r="I106" s="10" t="n">
        <f aca="false">H106-G106</f>
        <v>-1796.8</v>
      </c>
      <c r="J106" s="9" t="n">
        <f aca="false">IF(AND(G106=0,H106=0),0,IF(G106=0,"New",(H106-G106)/G106))</f>
        <v>-0.303364905704976</v>
      </c>
    </row>
    <row r="107" customFormat="false" ht="15" hidden="false" customHeight="false" outlineLevel="0" collapsed="false">
      <c r="A107" s="7" t="s">
        <v>159</v>
      </c>
      <c r="B107" s="7" t="str">
        <f aca="false">IFERROR(INDEX('Source 2026'!$C:$C,MATCH($A107,'Source 2026'!$B:$B,0)),IFERROR(INDEX('Source 2025'!$C:$C,MATCH($A107,'Source 2025'!$B:$B,0)),""))</f>
        <v>S מגן שוק</v>
      </c>
      <c r="C107" s="8" t="n">
        <f aca="false">SUMIFS('Source 2025'!$F:$F,'Source 2025'!$B:$B,$A107,'Source 2025'!$A:$A,"Quantity (units)")</f>
        <v>7</v>
      </c>
      <c r="D107" s="8" t="n">
        <f aca="false">SUMIFS('Source 2026'!$F:$F,'Source 2026'!$B:$B,$A107,'Source 2026'!$A:$A,"Quantity (units)")</f>
        <v>17</v>
      </c>
      <c r="E107" s="8" t="n">
        <f aca="false">D107-C107</f>
        <v>10</v>
      </c>
      <c r="F107" s="9" t="n">
        <f aca="false">IF(AND(C107=0,D107=0),0,IF(C107=0,"New",(D107-C107)/C107))</f>
        <v>1.42857142857143</v>
      </c>
      <c r="G107" s="10" t="n">
        <f aca="false">SUMIFS('Source 2025'!$F:$F,'Source 2025'!$B:$B,$A107,'Source 2025'!$A:$A,"Amount (NIS)")</f>
        <v>1024.6</v>
      </c>
      <c r="H107" s="10" t="n">
        <f aca="false">SUMIFS('Source 2026'!$F:$F,'Source 2026'!$B:$B,$A107,'Source 2026'!$A:$A,"Amount (NIS)")</f>
        <v>2766.9</v>
      </c>
      <c r="I107" s="10" t="n">
        <f aca="false">H107-G107</f>
        <v>1742.3</v>
      </c>
      <c r="J107" s="9" t="n">
        <f aca="false">IF(AND(G107=0,H107=0),0,IF(G107=0,"New",(H107-G107)/G107))</f>
        <v>1.70046847550264</v>
      </c>
    </row>
    <row r="108" customFormat="false" ht="15" hidden="false" customHeight="false" outlineLevel="0" collapsed="false">
      <c r="A108" s="7" t="s">
        <v>91</v>
      </c>
      <c r="B108" s="7" t="str">
        <f aca="false">IFERROR(INDEX('Source 2026'!$C:$C,MATCH($A108,'Source 2026'!$B:$B,0)),IFERROR(INDEX('Source 2025'!$C:$C,MATCH($A108,'Source 2025'!$B:$B,0)),""))</f>
        <v>בליסטר פלסטר</v>
      </c>
      <c r="C108" s="8" t="n">
        <f aca="false">SUMIFS('Source 2025'!$F:$F,'Source 2025'!$B:$B,$A108,'Source 2025'!$A:$A,"Quantity (units)")</f>
        <v>296</v>
      </c>
      <c r="D108" s="8" t="n">
        <f aca="false">SUMIFS('Source 2026'!$F:$F,'Source 2026'!$B:$B,$A108,'Source 2026'!$A:$A,"Quantity (units)")</f>
        <v>208</v>
      </c>
      <c r="E108" s="8" t="n">
        <f aca="false">D108-C108</f>
        <v>-88</v>
      </c>
      <c r="F108" s="9" t="n">
        <f aca="false">IF(AND(C108=0,D108=0),0,IF(C108=0,"New",(D108-C108)/C108))</f>
        <v>-0.297297297297297</v>
      </c>
      <c r="G108" s="10" t="n">
        <f aca="false">SUMIFS('Source 2025'!$F:$F,'Source 2025'!$B:$B,$A108,'Source 2025'!$A:$A,"Amount (NIS)")</f>
        <v>5509.9</v>
      </c>
      <c r="H108" s="10" t="n">
        <f aca="false">SUMIFS('Source 2026'!$F:$F,'Source 2026'!$B:$B,$A108,'Source 2026'!$A:$A,"Amount (NIS)")</f>
        <v>3827.3</v>
      </c>
      <c r="I108" s="10" t="n">
        <f aca="false">H108-G108</f>
        <v>-1682.6</v>
      </c>
      <c r="J108" s="9" t="n">
        <f aca="false">IF(AND(G108=0,H108=0),0,IF(G108=0,"New",(H108-G108)/G108))</f>
        <v>-0.305377593059765</v>
      </c>
    </row>
    <row r="109" customFormat="false" ht="15" hidden="false" customHeight="false" outlineLevel="0" collapsed="false">
      <c r="A109" s="7" t="s">
        <v>149</v>
      </c>
      <c r="B109" s="7" t="str">
        <f aca="false">IFERROR(INDEX('Source 2026'!$C:$C,MATCH($A109,'Source 2026'!$B:$B,0)),IFERROR(INDEX('Source 2025'!$C:$C,MATCH($A109,'Source 2025'!$B:$B,0)),""))</f>
        <v>סד לאגודל</v>
      </c>
      <c r="C109" s="8" t="n">
        <f aca="false">SUMIFS('Source 2025'!$F:$F,'Source 2025'!$B:$B,$A109,'Source 2025'!$A:$A,"Quantity (units)")</f>
        <v>120</v>
      </c>
      <c r="D109" s="8" t="n">
        <f aca="false">SUMIFS('Source 2026'!$F:$F,'Source 2026'!$B:$B,$A109,'Source 2026'!$A:$A,"Quantity (units)")</f>
        <v>105</v>
      </c>
      <c r="E109" s="8" t="n">
        <f aca="false">D109-C109</f>
        <v>-15</v>
      </c>
      <c r="F109" s="9" t="n">
        <f aca="false">IF(AND(C109=0,D109=0),0,IF(C109=0,"New",(D109-C109)/C109))</f>
        <v>-0.125</v>
      </c>
      <c r="G109" s="10" t="n">
        <f aca="false">SUMIFS('Source 2025'!$F:$F,'Source 2025'!$B:$B,$A109,'Source 2025'!$A:$A,"Amount (NIS)")</f>
        <v>13916.1</v>
      </c>
      <c r="H109" s="10" t="n">
        <f aca="false">SUMIFS('Source 2026'!$F:$F,'Source 2026'!$B:$B,$A109,'Source 2026'!$A:$A,"Amount (NIS)")</f>
        <v>12242</v>
      </c>
      <c r="I109" s="10" t="n">
        <f aca="false">H109-G109</f>
        <v>-1674.1</v>
      </c>
      <c r="J109" s="9" t="n">
        <f aca="false">IF(AND(G109=0,H109=0),0,IF(G109=0,"New",(H109-G109)/G109))</f>
        <v>-0.120299509201572</v>
      </c>
    </row>
    <row r="110" customFormat="false" ht="15" hidden="false" customHeight="false" outlineLevel="0" collapsed="false">
      <c r="A110" s="7" t="s">
        <v>151</v>
      </c>
      <c r="B110" s="7" t="str">
        <f aca="false">IFERROR(INDEX('Source 2026'!$C:$C,MATCH($A110,'Source 2026'!$B:$B,0)),IFERROR(INDEX('Source 2025'!$C:$C,MATCH($A110,'Source 2025'!$B:$B,0)),""))</f>
        <v>L-XL חגורת הריון</v>
      </c>
      <c r="C110" s="8" t="n">
        <f aca="false">SUMIFS('Source 2025'!$F:$F,'Source 2025'!$B:$B,$A110,'Source 2025'!$A:$A,"Quantity (units)")</f>
        <v>18</v>
      </c>
      <c r="D110" s="8" t="n">
        <f aca="false">SUMIFS('Source 2026'!$F:$F,'Source 2026'!$B:$B,$A110,'Source 2026'!$A:$A,"Quantity (units)")</f>
        <v>31</v>
      </c>
      <c r="E110" s="8" t="n">
        <f aca="false">D110-C110</f>
        <v>13</v>
      </c>
      <c r="F110" s="9" t="n">
        <f aca="false">IF(AND(C110=0,D110=0),0,IF(C110=0,"New",(D110-C110)/C110))</f>
        <v>0.722222222222222</v>
      </c>
      <c r="G110" s="10" t="n">
        <f aca="false">SUMIFS('Source 2025'!$F:$F,'Source 2025'!$B:$B,$A110,'Source 2025'!$A:$A,"Amount (NIS)")</f>
        <v>2119.9</v>
      </c>
      <c r="H110" s="10" t="n">
        <f aca="false">SUMIFS('Source 2026'!$F:$F,'Source 2026'!$B:$B,$A110,'Source 2026'!$A:$A,"Amount (NIS)")</f>
        <v>3786.8</v>
      </c>
      <c r="I110" s="10" t="n">
        <f aca="false">H110-G110</f>
        <v>1666.9</v>
      </c>
      <c r="J110" s="9" t="n">
        <f aca="false">IF(AND(G110=0,H110=0),0,IF(G110=0,"New",(H110-G110)/G110))</f>
        <v>0.786310675031841</v>
      </c>
    </row>
    <row r="111" customFormat="false" ht="15" hidden="false" customHeight="false" outlineLevel="0" collapsed="false">
      <c r="A111" s="7" t="s">
        <v>127</v>
      </c>
      <c r="B111" s="7" t="str">
        <f aca="false">IFERROR(INDEX('Source 2026'!$C:$C,MATCH($A111,'Source 2026'!$B:$B,0)),IFERROR(INDEX('Source 2025'!$C:$C,MATCH($A111,'Source 2025'!$B:$B,0)),""))</f>
        <v>מתלה ליד לילדים</v>
      </c>
      <c r="C111" s="8" t="n">
        <f aca="false">SUMIFS('Source 2025'!$F:$F,'Source 2025'!$B:$B,$A111,'Source 2025'!$A:$A,"Quantity (units)")</f>
        <v>147</v>
      </c>
      <c r="D111" s="8" t="n">
        <f aca="false">SUMIFS('Source 2026'!$F:$F,'Source 2026'!$B:$B,$A111,'Source 2026'!$A:$A,"Quantity (units)")</f>
        <v>114</v>
      </c>
      <c r="E111" s="8" t="n">
        <f aca="false">D111-C111</f>
        <v>-33</v>
      </c>
      <c r="F111" s="9" t="n">
        <f aca="false">IF(AND(C111=0,D111=0),0,IF(C111=0,"New",(D111-C111)/C111))</f>
        <v>-0.224489795918367</v>
      </c>
      <c r="G111" s="10" t="n">
        <f aca="false">SUMIFS('Source 2025'!$F:$F,'Source 2025'!$B:$B,$A111,'Source 2025'!$A:$A,"Amount (NIS)")</f>
        <v>7407.9</v>
      </c>
      <c r="H111" s="10" t="n">
        <f aca="false">SUMIFS('Source 2026'!$F:$F,'Source 2026'!$B:$B,$A111,'Source 2026'!$A:$A,"Amount (NIS)")</f>
        <v>5762.2</v>
      </c>
      <c r="I111" s="10" t="n">
        <f aca="false">H111-G111</f>
        <v>-1645.7</v>
      </c>
      <c r="J111" s="9" t="n">
        <f aca="false">IF(AND(G111=0,H111=0),0,IF(G111=0,"New",(H111-G111)/G111))</f>
        <v>-0.222154726710674</v>
      </c>
    </row>
    <row r="112" customFormat="false" ht="15" hidden="false" customHeight="false" outlineLevel="0" collapsed="false">
      <c r="A112" s="7" t="s">
        <v>120</v>
      </c>
      <c r="B112" s="7" t="str">
        <f aca="false">IFERROR(INDEX('Source 2026'!$C:$C,MATCH($A112,'Source 2026'!$B:$B,0)),IFERROR(INDEX('Source 2025'!$C:$C,MATCH($A112,'Source 2025'!$B:$B,0)),""))</f>
        <v>גרב.כסף לסכרתים אפור35-38</v>
      </c>
      <c r="C112" s="8" t="n">
        <f aca="false">SUMIFS('Source 2025'!$F:$F,'Source 2025'!$B:$B,$A112,'Source 2025'!$A:$A,"Quantity (units)")</f>
        <v>62</v>
      </c>
      <c r="D112" s="8" t="n">
        <f aca="false">SUMIFS('Source 2026'!$F:$F,'Source 2026'!$B:$B,$A112,'Source 2026'!$A:$A,"Quantity (units)")</f>
        <v>0</v>
      </c>
      <c r="E112" s="8" t="n">
        <f aca="false">D112-C112</f>
        <v>-62</v>
      </c>
      <c r="F112" s="9" t="n">
        <f aca="false">IF(AND(C112=0,D112=0),0,IF(C112=0,"New",(D112-C112)/C112))</f>
        <v>-1</v>
      </c>
      <c r="G112" s="10" t="n">
        <f aca="false">SUMIFS('Source 2025'!$F:$F,'Source 2025'!$B:$B,$A112,'Source 2025'!$A:$A,"Amount (NIS)")</f>
        <v>1640.7</v>
      </c>
      <c r="H112" s="10" t="n">
        <f aca="false">SUMIFS('Source 2026'!$F:$F,'Source 2026'!$B:$B,$A112,'Source 2026'!$A:$A,"Amount (NIS)")</f>
        <v>0</v>
      </c>
      <c r="I112" s="10" t="n">
        <f aca="false">H112-G112</f>
        <v>-1640.7</v>
      </c>
      <c r="J112" s="9" t="n">
        <f aca="false">IF(AND(G112=0,H112=0),0,IF(G112=0,"New",(H112-G112)/G112))</f>
        <v>-1</v>
      </c>
    </row>
    <row r="113" customFormat="false" ht="15" hidden="false" customHeight="false" outlineLevel="0" collapsed="false">
      <c r="A113" s="7" t="s">
        <v>184</v>
      </c>
      <c r="B113" s="7" t="str">
        <f aca="false">IFERROR(INDEX('Source 2026'!$C:$C,MATCH($A113,'Source 2026'!$B:$B,0)),IFERROR(INDEX('Source 2025'!$C:$C,MATCH($A113,'Source 2025'!$B:$B,0)),""))</f>
        <v>37-38 מדרסי סיליק.לח.סכרת</v>
      </c>
      <c r="C113" s="8" t="n">
        <f aca="false">SUMIFS('Source 2025'!$F:$F,'Source 2025'!$B:$B,$A113,'Source 2025'!$A:$A,"Quantity (units)")</f>
        <v>18</v>
      </c>
      <c r="D113" s="8" t="n">
        <f aca="false">SUMIFS('Source 2026'!$F:$F,'Source 2026'!$B:$B,$A113,'Source 2026'!$A:$A,"Quantity (units)")</f>
        <v>3</v>
      </c>
      <c r="E113" s="8" t="n">
        <f aca="false">D113-C113</f>
        <v>-15</v>
      </c>
      <c r="F113" s="9" t="n">
        <f aca="false">IF(AND(C113=0,D113=0),0,IF(C113=0,"New",(D113-C113)/C113))</f>
        <v>-0.833333333333333</v>
      </c>
      <c r="G113" s="10" t="n">
        <f aca="false">SUMIFS('Source 2025'!$F:$F,'Source 2025'!$B:$B,$A113,'Source 2025'!$A:$A,"Amount (NIS)")</f>
        <v>2055.7</v>
      </c>
      <c r="H113" s="10" t="n">
        <f aca="false">SUMIFS('Source 2026'!$F:$F,'Source 2026'!$B:$B,$A113,'Source 2026'!$A:$A,"Amount (NIS)")</f>
        <v>450.5</v>
      </c>
      <c r="I113" s="10" t="n">
        <f aca="false">H113-G113</f>
        <v>-1605.2</v>
      </c>
      <c r="J113" s="9" t="n">
        <f aca="false">IF(AND(G113=0,H113=0),0,IF(G113=0,"New",(H113-G113)/G113))</f>
        <v>-0.780853237340079</v>
      </c>
    </row>
    <row r="114" customFormat="false" ht="15" hidden="false" customHeight="false" outlineLevel="0" collapsed="false">
      <c r="A114" s="7" t="s">
        <v>283</v>
      </c>
      <c r="B114" s="7" t="str">
        <f aca="false">IFERROR(INDEX('Source 2026'!$C:$C,MATCH($A114,'Source 2026'!$B:$B,0)),IFERROR(INDEX('Source 2025'!$C:$C,MATCH($A114,'Source 2025'!$B:$B,0)),""))</f>
        <v>לחץ א.הבוניון</v>
      </c>
      <c r="C114" s="8" t="n">
        <f aca="false">SUMIFS('Source 2025'!$F:$F,'Source 2025'!$B:$B,$A114,'Source 2025'!$A:$A,"Quantity (units)")</f>
        <v>146</v>
      </c>
      <c r="D114" s="8" t="n">
        <f aca="false">SUMIFS('Source 2026'!$F:$F,'Source 2026'!$B:$B,$A114,'Source 2026'!$A:$A,"Quantity (units)")</f>
        <v>60</v>
      </c>
      <c r="E114" s="8" t="n">
        <f aca="false">D114-C114</f>
        <v>-86</v>
      </c>
      <c r="F114" s="9" t="n">
        <f aca="false">IF(AND(C114=0,D114=0),0,IF(C114=0,"New",(D114-C114)/C114))</f>
        <v>-0.589041095890411</v>
      </c>
      <c r="G114" s="10" t="n">
        <f aca="false">SUMIFS('Source 2025'!$F:$F,'Source 2025'!$B:$B,$A114,'Source 2025'!$A:$A,"Amount (NIS)")</f>
        <v>2763.7</v>
      </c>
      <c r="H114" s="10" t="n">
        <f aca="false">SUMIFS('Source 2026'!$F:$F,'Source 2026'!$B:$B,$A114,'Source 2026'!$A:$A,"Amount (NIS)")</f>
        <v>1199.1</v>
      </c>
      <c r="I114" s="10" t="n">
        <f aca="false">H114-G114</f>
        <v>-1564.6</v>
      </c>
      <c r="J114" s="9" t="n">
        <f aca="false">IF(AND(G114=0,H114=0),0,IF(G114=0,"New",(H114-G114)/G114))</f>
        <v>-0.566125122118899</v>
      </c>
    </row>
    <row r="115" customFormat="false" ht="15" hidden="false" customHeight="false" outlineLevel="0" collapsed="false">
      <c r="A115" s="7" t="s">
        <v>96</v>
      </c>
      <c r="B115" s="7" t="str">
        <f aca="false">IFERROR(INDEX('Source 2026'!$C:$C,MATCH($A115,'Source 2026'!$B:$B,0)),IFERROR(INDEX('Source 2025'!$C:$C,MATCH($A115,'Source 2025'!$B:$B,0)),""))</f>
        <v>שרוול מגן לבוניון</v>
      </c>
      <c r="C115" s="8" t="n">
        <f aca="false">SUMIFS('Source 2025'!$F:$F,'Source 2025'!$B:$B,$A115,'Source 2025'!$A:$A,"Quantity (units)")</f>
        <v>124</v>
      </c>
      <c r="D115" s="8" t="n">
        <f aca="false">SUMIFS('Source 2026'!$F:$F,'Source 2026'!$B:$B,$A115,'Source 2026'!$A:$A,"Quantity (units)")</f>
        <v>77</v>
      </c>
      <c r="E115" s="8" t="n">
        <f aca="false">D115-C115</f>
        <v>-47</v>
      </c>
      <c r="F115" s="9" t="n">
        <f aca="false">IF(AND(C115=0,D115=0),0,IF(C115=0,"New",(D115-C115)/C115))</f>
        <v>-0.379032258064516</v>
      </c>
      <c r="G115" s="10" t="n">
        <f aca="false">SUMIFS('Source 2025'!$F:$F,'Source 2025'!$B:$B,$A115,'Source 2025'!$A:$A,"Amount (NIS)")</f>
        <v>4318.7</v>
      </c>
      <c r="H115" s="10" t="n">
        <f aca="false">SUMIFS('Source 2026'!$F:$F,'Source 2026'!$B:$B,$A115,'Source 2026'!$A:$A,"Amount (NIS)")</f>
        <v>2765</v>
      </c>
      <c r="I115" s="10" t="n">
        <f aca="false">H115-G115</f>
        <v>-1553.7</v>
      </c>
      <c r="J115" s="9" t="n">
        <f aca="false">IF(AND(G115=0,H115=0),0,IF(G115=0,"New",(H115-G115)/G115))</f>
        <v>-0.359761039201612</v>
      </c>
    </row>
    <row r="116" customFormat="false" ht="15" hidden="false" customHeight="false" outlineLevel="0" collapsed="false">
      <c r="A116" s="7" t="s">
        <v>167</v>
      </c>
      <c r="B116" s="7" t="str">
        <f aca="false">IFERROR(INDEX('Source 2026'!$C:$C,MATCH($A116,'Source 2026'!$B:$B,0)),IFERROR(INDEX('Source 2025'!$C:$C,MATCH($A116,'Source 2025'!$B:$B,0)),""))</f>
        <v>S מגן ברך מחמם</v>
      </c>
      <c r="C116" s="8" t="n">
        <f aca="false">SUMIFS('Source 2025'!$F:$F,'Source 2025'!$B:$B,$A116,'Source 2025'!$A:$A,"Quantity (units)")</f>
        <v>34</v>
      </c>
      <c r="D116" s="8" t="n">
        <f aca="false">SUMIFS('Source 2026'!$F:$F,'Source 2026'!$B:$B,$A116,'Source 2026'!$A:$A,"Quantity (units)")</f>
        <v>7</v>
      </c>
      <c r="E116" s="8" t="n">
        <f aca="false">D116-C116</f>
        <v>-27</v>
      </c>
      <c r="F116" s="9" t="n">
        <f aca="false">IF(AND(C116=0,D116=0),0,IF(C116=0,"New",(D116-C116)/C116))</f>
        <v>-0.794117647058824</v>
      </c>
      <c r="G116" s="10" t="n">
        <f aca="false">SUMIFS('Source 2025'!$F:$F,'Source 2025'!$B:$B,$A116,'Source 2025'!$A:$A,"Amount (NIS)")</f>
        <v>1889.1</v>
      </c>
      <c r="H116" s="10" t="n">
        <f aca="false">SUMIFS('Source 2026'!$F:$F,'Source 2026'!$B:$B,$A116,'Source 2026'!$A:$A,"Amount (NIS)")</f>
        <v>396.7</v>
      </c>
      <c r="I116" s="10" t="n">
        <f aca="false">H116-G116</f>
        <v>-1492.4</v>
      </c>
      <c r="J116" s="9" t="n">
        <f aca="false">IF(AND(G116=0,H116=0),0,IF(G116=0,"New",(H116-G116)/G116))</f>
        <v>-0.790005822878619</v>
      </c>
    </row>
    <row r="117" customFormat="false" ht="15" hidden="false" customHeight="false" outlineLevel="0" collapsed="false">
      <c r="A117" s="7" t="s">
        <v>174</v>
      </c>
      <c r="B117" s="7" t="str">
        <f aca="false">IFERROR(INDEX('Source 2026'!$C:$C,MATCH($A117,'Source 2026'!$B:$B,0)),IFERROR(INDEX('Source 2025'!$C:$C,MATCH($A117,'Source 2025'!$B:$B,0)),""))</f>
        <v>סד ליישור אצבע</v>
      </c>
      <c r="C117" s="8" t="n">
        <f aca="false">SUMIFS('Source 2025'!$F:$F,'Source 2025'!$B:$B,$A117,'Source 2025'!$A:$A,"Quantity (units)")</f>
        <v>377</v>
      </c>
      <c r="D117" s="8" t="n">
        <f aca="false">SUMIFS('Source 2026'!$F:$F,'Source 2026'!$B:$B,$A117,'Source 2026'!$A:$A,"Quantity (units)")</f>
        <v>293</v>
      </c>
      <c r="E117" s="8" t="n">
        <f aca="false">D117-C117</f>
        <v>-84</v>
      </c>
      <c r="F117" s="9" t="n">
        <f aca="false">IF(AND(C117=0,D117=0),0,IF(C117=0,"New",(D117-C117)/C117))</f>
        <v>-0.222811671087533</v>
      </c>
      <c r="G117" s="10" t="n">
        <f aca="false">SUMIFS('Source 2025'!$F:$F,'Source 2025'!$B:$B,$A117,'Source 2025'!$A:$A,"Amount (NIS)")</f>
        <v>7215.3</v>
      </c>
      <c r="H117" s="10" t="n">
        <f aca="false">SUMIFS('Source 2026'!$F:$F,'Source 2026'!$B:$B,$A117,'Source 2026'!$A:$A,"Amount (NIS)")</f>
        <v>5748.3</v>
      </c>
      <c r="I117" s="10" t="n">
        <f aca="false">H117-G117</f>
        <v>-1467</v>
      </c>
      <c r="J117" s="9" t="n">
        <f aca="false">IF(AND(G117=0,H117=0),0,IF(G117=0,"New",(H117-G117)/G117))</f>
        <v>-0.203317949357615</v>
      </c>
    </row>
    <row r="118" customFormat="false" ht="15" hidden="false" customHeight="false" outlineLevel="0" collapsed="false">
      <c r="A118" s="7" t="s">
        <v>162</v>
      </c>
      <c r="B118" s="7" t="str">
        <f aca="false">IFERROR(INDEX('Source 2026'!$C:$C,MATCH($A118,'Source 2026'!$B:$B,0)),IFERROR(INDEX('Source 2025'!$C:$C,MATCH($A118,'Source 2025'!$B:$B,0)),""))</f>
        <v>מגן קרסול עקב סגור+רצוע</v>
      </c>
      <c r="C118" s="8" t="n">
        <f aca="false">SUMIFS('Source 2025'!$F:$F,'Source 2025'!$B:$B,$A118,'Source 2025'!$A:$A,"Quantity (units)")</f>
        <v>45</v>
      </c>
      <c r="D118" s="8" t="n">
        <f aca="false">SUMIFS('Source 2026'!$F:$F,'Source 2026'!$B:$B,$A118,'Source 2026'!$A:$A,"Quantity (units)")</f>
        <v>24</v>
      </c>
      <c r="E118" s="8" t="n">
        <f aca="false">D118-C118</f>
        <v>-21</v>
      </c>
      <c r="F118" s="9" t="n">
        <f aca="false">IF(AND(C118=0,D118=0),0,IF(C118=0,"New",(D118-C118)/C118))</f>
        <v>-0.466666666666667</v>
      </c>
      <c r="G118" s="10" t="n">
        <f aca="false">SUMIFS('Source 2025'!$F:$F,'Source 2025'!$B:$B,$A118,'Source 2025'!$A:$A,"Amount (NIS)")</f>
        <v>3048.8</v>
      </c>
      <c r="H118" s="10" t="n">
        <f aca="false">SUMIFS('Source 2026'!$F:$F,'Source 2026'!$B:$B,$A118,'Source 2026'!$A:$A,"Amount (NIS)")</f>
        <v>1601.9</v>
      </c>
      <c r="I118" s="10" t="n">
        <f aca="false">H118-G118</f>
        <v>-1446.9</v>
      </c>
      <c r="J118" s="9" t="n">
        <f aca="false">IF(AND(G118=0,H118=0),0,IF(G118=0,"New",(H118-G118)/G118))</f>
        <v>-0.474580162686959</v>
      </c>
    </row>
    <row r="119" customFormat="false" ht="15" hidden="false" customHeight="false" outlineLevel="0" collapsed="false">
      <c r="A119" s="7" t="s">
        <v>50</v>
      </c>
      <c r="B119" s="7" t="str">
        <f aca="false">IFERROR(INDEX('Source 2026'!$C:$C,MATCH($A119,'Source 2026'!$B:$B,0)),IFERROR(INDEX('Source 2025'!$C:$C,MATCH($A119,'Source 2025'!$B:$B,0)),""))</f>
        <v>S 'מגן ברך ארוך בז</v>
      </c>
      <c r="C119" s="8" t="n">
        <f aca="false">SUMIFS('Source 2025'!$F:$F,'Source 2025'!$B:$B,$A119,'Source 2025'!$A:$A,"Quantity (units)")</f>
        <v>374</v>
      </c>
      <c r="D119" s="8" t="n">
        <f aca="false">SUMIFS('Source 2026'!$F:$F,'Source 2026'!$B:$B,$A119,'Source 2026'!$A:$A,"Quantity (units)")</f>
        <v>409</v>
      </c>
      <c r="E119" s="8" t="n">
        <f aca="false">D119-C119</f>
        <v>35</v>
      </c>
      <c r="F119" s="9" t="n">
        <f aca="false">IF(AND(C119=0,D119=0),0,IF(C119=0,"New",(D119-C119)/C119))</f>
        <v>0.0935828877005348</v>
      </c>
      <c r="G119" s="10" t="n">
        <f aca="false">SUMIFS('Source 2025'!$F:$F,'Source 2025'!$B:$B,$A119,'Source 2025'!$A:$A,"Amount (NIS)")</f>
        <v>13476.4</v>
      </c>
      <c r="H119" s="10" t="n">
        <f aca="false">SUMIFS('Source 2026'!$F:$F,'Source 2026'!$B:$B,$A119,'Source 2026'!$A:$A,"Amount (NIS)")</f>
        <v>14911.9</v>
      </c>
      <c r="I119" s="10" t="n">
        <f aca="false">H119-G119</f>
        <v>1435.5</v>
      </c>
      <c r="J119" s="9" t="n">
        <f aca="false">IF(AND(G119=0,H119=0),0,IF(G119=0,"New",(H119-G119)/G119))</f>
        <v>0.106519545279155</v>
      </c>
    </row>
    <row r="120" customFormat="false" ht="15" hidden="false" customHeight="false" outlineLevel="0" collapsed="false">
      <c r="A120" s="7" t="s">
        <v>200</v>
      </c>
      <c r="B120" s="7" t="str">
        <f aca="false">IFERROR(INDEX('Source 2026'!$C:$C,MATCH($A120,'Source 2026'!$B:$B,0)),IFERROR(INDEX('Source 2025'!$C:$C,MATCH($A120,'Source 2025'!$B:$B,0)),""))</f>
        <v>S חגורת שבר לצד ימין</v>
      </c>
      <c r="C120" s="8" t="n">
        <f aca="false">SUMIFS('Source 2025'!$F:$F,'Source 2025'!$B:$B,$A120,'Source 2025'!$A:$A,"Quantity (units)")</f>
        <v>20</v>
      </c>
      <c r="D120" s="8" t="n">
        <f aca="false">SUMIFS('Source 2026'!$F:$F,'Source 2026'!$B:$B,$A120,'Source 2026'!$A:$A,"Quantity (units)")</f>
        <v>12</v>
      </c>
      <c r="E120" s="8" t="n">
        <f aca="false">D120-C120</f>
        <v>-8</v>
      </c>
      <c r="F120" s="9" t="n">
        <f aca="false">IF(AND(C120=0,D120=0),0,IF(C120=0,"New",(D120-C120)/C120))</f>
        <v>-0.4</v>
      </c>
      <c r="G120" s="10" t="n">
        <f aca="false">SUMIFS('Source 2025'!$F:$F,'Source 2025'!$B:$B,$A120,'Source 2025'!$A:$A,"Amount (NIS)")</f>
        <v>3630.5</v>
      </c>
      <c r="H120" s="10" t="n">
        <f aca="false">SUMIFS('Source 2026'!$F:$F,'Source 2026'!$B:$B,$A120,'Source 2026'!$A:$A,"Amount (NIS)")</f>
        <v>2202</v>
      </c>
      <c r="I120" s="10" t="n">
        <f aca="false">H120-G120</f>
        <v>-1428.5</v>
      </c>
      <c r="J120" s="9" t="n">
        <f aca="false">IF(AND(G120=0,H120=0),0,IF(G120=0,"New",(H120-G120)/G120))</f>
        <v>-0.393471973557361</v>
      </c>
    </row>
    <row r="121" customFormat="false" ht="15" hidden="false" customHeight="false" outlineLevel="0" collapsed="false">
      <c r="A121" s="7" t="s">
        <v>116</v>
      </c>
      <c r="B121" s="7" t="str">
        <f aca="false">IFERROR(INDEX('Source 2026'!$C:$C,MATCH($A121,'Source 2026'!$B:$B,0)),IFERROR(INDEX('Source 2025'!$C:$C,MATCH($A121,'Source 2025'!$B:$B,0)),""))</f>
        <v>S חגורה למנותחי בית החזה</v>
      </c>
      <c r="C121" s="8" t="n">
        <f aca="false">SUMIFS('Source 2025'!$F:$F,'Source 2025'!$B:$B,$A121,'Source 2025'!$A:$A,"Quantity (units)")</f>
        <v>32</v>
      </c>
      <c r="D121" s="8" t="n">
        <f aca="false">SUMIFS('Source 2026'!$F:$F,'Source 2026'!$B:$B,$A121,'Source 2026'!$A:$A,"Quantity (units)")</f>
        <v>22</v>
      </c>
      <c r="E121" s="8" t="n">
        <f aca="false">D121-C121</f>
        <v>-10</v>
      </c>
      <c r="F121" s="9" t="n">
        <f aca="false">IF(AND(C121=0,D121=0),0,IF(C121=0,"New",(D121-C121)/C121))</f>
        <v>-0.3125</v>
      </c>
      <c r="G121" s="10" t="n">
        <f aca="false">SUMIFS('Source 2025'!$F:$F,'Source 2025'!$B:$B,$A121,'Source 2025'!$A:$A,"Amount (NIS)")</f>
        <v>4799.8</v>
      </c>
      <c r="H121" s="10" t="n">
        <f aca="false">SUMIFS('Source 2026'!$F:$F,'Source 2026'!$B:$B,$A121,'Source 2026'!$A:$A,"Amount (NIS)")</f>
        <v>3442.9</v>
      </c>
      <c r="I121" s="10" t="n">
        <f aca="false">H121-G121</f>
        <v>-1356.9</v>
      </c>
      <c r="J121" s="9" t="n">
        <f aca="false">IF(AND(G121=0,H121=0),0,IF(G121=0,"New",(H121-G121)/G121))</f>
        <v>-0.282699279136631</v>
      </c>
    </row>
    <row r="122" customFormat="false" ht="15" hidden="false" customHeight="false" outlineLevel="0" collapsed="false">
      <c r="A122" s="7" t="s">
        <v>179</v>
      </c>
      <c r="B122" s="7" t="str">
        <f aca="false">IFERROR(INDEX('Source 2026'!$C:$C,MATCH($A122,'Source 2026'!$B:$B,0)),IFERROR(INDEX('Source 2025'!$C:$C,MATCH($A122,'Source 2025'!$B:$B,0)),""))</f>
        <v>חגורת גב +סגירה כפולה</v>
      </c>
      <c r="C122" s="8" t="n">
        <f aca="false">SUMIFS('Source 2025'!$F:$F,'Source 2025'!$B:$B,$A122,'Source 2025'!$A:$A,"Quantity (units)")</f>
        <v>20</v>
      </c>
      <c r="D122" s="8" t="n">
        <f aca="false">SUMIFS('Source 2026'!$F:$F,'Source 2026'!$B:$B,$A122,'Source 2026'!$A:$A,"Quantity (units)")</f>
        <v>8</v>
      </c>
      <c r="E122" s="8" t="n">
        <f aca="false">D122-C122</f>
        <v>-12</v>
      </c>
      <c r="F122" s="9" t="n">
        <f aca="false">IF(AND(C122=0,D122=0),0,IF(C122=0,"New",(D122-C122)/C122))</f>
        <v>-0.6</v>
      </c>
      <c r="G122" s="10" t="n">
        <f aca="false">SUMIFS('Source 2025'!$F:$F,'Source 2025'!$B:$B,$A122,'Source 2025'!$A:$A,"Amount (NIS)")</f>
        <v>2207.1</v>
      </c>
      <c r="H122" s="10" t="n">
        <f aca="false">SUMIFS('Source 2026'!$F:$F,'Source 2026'!$B:$B,$A122,'Source 2026'!$A:$A,"Amount (NIS)")</f>
        <v>858.9</v>
      </c>
      <c r="I122" s="10" t="n">
        <f aca="false">H122-G122</f>
        <v>-1348.2</v>
      </c>
      <c r="J122" s="9" t="n">
        <f aca="false">IF(AND(G122=0,H122=0),0,IF(G122=0,"New",(H122-G122)/G122))</f>
        <v>-0.610846812559467</v>
      </c>
    </row>
    <row r="123" customFormat="false" ht="15" hidden="false" customHeight="false" outlineLevel="0" collapsed="false">
      <c r="A123" s="7" t="s">
        <v>284</v>
      </c>
      <c r="B123" s="7" t="str">
        <f aca="false">IFERROR(INDEX('Source 2026'!$C:$C,MATCH($A123,'Source 2026'!$B:$B,0)),IFERROR(INDEX('Source 2025'!$C:$C,MATCH($A123,'Source 2025'!$B:$B,0)),""))</f>
        <v>לחץ מיבלת2יח</v>
      </c>
      <c r="C123" s="8" t="n">
        <f aca="false">SUMIFS('Source 2025'!$F:$F,'Source 2025'!$B:$B,$A123,'Source 2025'!$A:$A,"Quantity (units)")</f>
        <v>258</v>
      </c>
      <c r="D123" s="8" t="n">
        <f aca="false">SUMIFS('Source 2026'!$F:$F,'Source 2026'!$B:$B,$A123,'Source 2026'!$A:$A,"Quantity (units)")</f>
        <v>178</v>
      </c>
      <c r="E123" s="8" t="n">
        <f aca="false">D123-C123</f>
        <v>-80</v>
      </c>
      <c r="F123" s="9" t="n">
        <f aca="false">IF(AND(C123=0,D123=0),0,IF(C123=0,"New",(D123-C123)/C123))</f>
        <v>-0.310077519379845</v>
      </c>
      <c r="G123" s="10" t="n">
        <f aca="false">SUMIFS('Source 2025'!$F:$F,'Source 2025'!$B:$B,$A123,'Source 2025'!$A:$A,"Amount (NIS)")</f>
        <v>4059.2</v>
      </c>
      <c r="H123" s="10" t="n">
        <f aca="false">SUMIFS('Source 2026'!$F:$F,'Source 2026'!$B:$B,$A123,'Source 2026'!$A:$A,"Amount (NIS)")</f>
        <v>2729.8</v>
      </c>
      <c r="I123" s="10" t="n">
        <f aca="false">H123-G123</f>
        <v>-1329.4</v>
      </c>
      <c r="J123" s="9" t="n">
        <f aca="false">IF(AND(G123=0,H123=0),0,IF(G123=0,"New",(H123-G123)/G123))</f>
        <v>-0.327502956247536</v>
      </c>
    </row>
    <row r="124" customFormat="false" ht="15" hidden="false" customHeight="false" outlineLevel="0" collapsed="false">
      <c r="A124" s="7" t="s">
        <v>111</v>
      </c>
      <c r="B124" s="7" t="str">
        <f aca="false">IFERROR(INDEX('Source 2026'!$C:$C,MATCH($A124,'Source 2026'!$B:$B,0)),IFERROR(INDEX('Source 2025'!$C:$C,MATCH($A124,'Source 2025'!$B:$B,0)),""))</f>
        <v>מקבע קרסול</v>
      </c>
      <c r="C124" s="8" t="n">
        <f aca="false">SUMIFS('Source 2025'!$F:$F,'Source 2025'!$B:$B,$A124,'Source 2025'!$A:$A,"Quantity (units)")</f>
        <v>0</v>
      </c>
      <c r="D124" s="8" t="n">
        <f aca="false">SUMIFS('Source 2026'!$F:$F,'Source 2026'!$B:$B,$A124,'Source 2026'!$A:$A,"Quantity (units)")</f>
        <v>8</v>
      </c>
      <c r="E124" s="8" t="n">
        <f aca="false">D124-C124</f>
        <v>8</v>
      </c>
      <c r="F124" s="9" t="str">
        <f aca="false">IF(AND(C124=0,D124=0),0,IF(C124=0,"New",(D124-C124)/C124))</f>
        <v>New</v>
      </c>
      <c r="G124" s="10" t="n">
        <f aca="false">SUMIFS('Source 2025'!$F:$F,'Source 2025'!$B:$B,$A124,'Source 2025'!$A:$A,"Amount (NIS)")</f>
        <v>0</v>
      </c>
      <c r="H124" s="10" t="n">
        <f aca="false">SUMIFS('Source 2026'!$F:$F,'Source 2026'!$B:$B,$A124,'Source 2026'!$A:$A,"Amount (NIS)")</f>
        <v>1301.1</v>
      </c>
      <c r="I124" s="10" t="n">
        <f aca="false">H124-G124</f>
        <v>1301.1</v>
      </c>
      <c r="J124" s="9" t="str">
        <f aca="false">IF(AND(G124=0,H124=0),0,IF(G124=0,"New",(H124-G124)/G124))</f>
        <v>New</v>
      </c>
    </row>
    <row r="125" customFormat="false" ht="15" hidden="false" customHeight="false" outlineLevel="0" collapsed="false">
      <c r="A125" s="7" t="s">
        <v>142</v>
      </c>
      <c r="B125" s="7" t="str">
        <f aca="false">IFERROR(INDEX('Source 2026'!$C:$C,MATCH($A125,'Source 2026'!$B:$B,0)),IFERROR(INDEX('Source 2025'!$C:$C,MATCH($A125,'Source 2025'!$B:$B,0)),""))</f>
        <v>9 מ""ס להתאמהX5 מדבקה גדולה</v>
      </c>
      <c r="C125" s="8" t="n">
        <f aca="false">SUMIFS('Source 2025'!$F:$F,'Source 2025'!$B:$B,$A125,'Source 2025'!$A:$A,"Quantity (units)")</f>
        <v>116</v>
      </c>
      <c r="D125" s="8" t="n">
        <f aca="false">SUMIFS('Source 2026'!$F:$F,'Source 2026'!$B:$B,$A125,'Source 2026'!$A:$A,"Quantity (units)")</f>
        <v>56</v>
      </c>
      <c r="E125" s="8" t="n">
        <f aca="false">D125-C125</f>
        <v>-60</v>
      </c>
      <c r="F125" s="9" t="n">
        <f aca="false">IF(AND(C125=0,D125=0),0,IF(C125=0,"New",(D125-C125)/C125))</f>
        <v>-0.517241379310345</v>
      </c>
      <c r="G125" s="10" t="n">
        <f aca="false">SUMIFS('Source 2025'!$F:$F,'Source 2025'!$B:$B,$A125,'Source 2025'!$A:$A,"Amount (NIS)")</f>
        <v>2425</v>
      </c>
      <c r="H125" s="10" t="n">
        <f aca="false">SUMIFS('Source 2026'!$F:$F,'Source 2026'!$B:$B,$A125,'Source 2026'!$A:$A,"Amount (NIS)")</f>
        <v>1140.9</v>
      </c>
      <c r="I125" s="10" t="n">
        <f aca="false">H125-G125</f>
        <v>-1284.1</v>
      </c>
      <c r="J125" s="9" t="n">
        <f aca="false">IF(AND(G125=0,H125=0),0,IF(G125=0,"New",(H125-G125)/G125))</f>
        <v>-0.529525773195876</v>
      </c>
    </row>
    <row r="126" customFormat="false" ht="15" hidden="false" customHeight="false" outlineLevel="0" collapsed="false">
      <c r="A126" s="7" t="s">
        <v>137</v>
      </c>
      <c r="B126" s="7" t="str">
        <f aca="false">IFERROR(INDEX('Source 2026'!$C:$C,MATCH($A126,'Source 2026'!$B:$B,0)),IFERROR(INDEX('Source 2025'!$C:$C,MATCH($A126,'Source 2025'!$B:$B,0)),""))</f>
        <v>נצמדת בז' 20 מ""מ</v>
      </c>
      <c r="C126" s="8" t="n">
        <f aca="false">SUMIFS('Source 2025'!$F:$F,'Source 2025'!$B:$B,$A126,'Source 2025'!$A:$A,"Quantity (units)")</f>
        <v>702</v>
      </c>
      <c r="D126" s="8" t="n">
        <f aca="false">SUMIFS('Source 2026'!$F:$F,'Source 2026'!$B:$B,$A126,'Source 2026'!$A:$A,"Quantity (units)")</f>
        <v>745</v>
      </c>
      <c r="E126" s="8" t="n">
        <f aca="false">D126-C126</f>
        <v>43</v>
      </c>
      <c r="F126" s="9" t="n">
        <f aca="false">IF(AND(C126=0,D126=0),0,IF(C126=0,"New",(D126-C126)/C126))</f>
        <v>0.0612535612535613</v>
      </c>
      <c r="G126" s="10" t="n">
        <f aca="false">SUMIFS('Source 2025'!$F:$F,'Source 2025'!$B:$B,$A126,'Source 2025'!$A:$A,"Amount (NIS)")</f>
        <v>7071.1</v>
      </c>
      <c r="H126" s="10" t="n">
        <f aca="false">SUMIFS('Source 2026'!$F:$F,'Source 2026'!$B:$B,$A126,'Source 2026'!$A:$A,"Amount (NIS)")</f>
        <v>8337</v>
      </c>
      <c r="I126" s="10" t="n">
        <f aca="false">H126-G126</f>
        <v>1265.9</v>
      </c>
      <c r="J126" s="9" t="n">
        <f aca="false">IF(AND(G126=0,H126=0),0,IF(G126=0,"New",(H126-G126)/G126))</f>
        <v>0.17902447992533</v>
      </c>
    </row>
    <row r="127" customFormat="false" ht="15" hidden="false" customHeight="false" outlineLevel="0" collapsed="false">
      <c r="A127" s="7" t="s">
        <v>285</v>
      </c>
      <c r="B127" s="7" t="str">
        <f aca="false">IFERROR(INDEX('Source 2026'!$C:$C,MATCH($A127,'Source 2026'!$B:$B,0)),IFERROR(INDEX('Source 2025'!$C:$C,MATCH($A127,'Source 2025'!$B:$B,0)),""))</f>
        <v>41-45 'רפידת ג'ל בז</v>
      </c>
      <c r="C127" s="8" t="n">
        <f aca="false">SUMIFS('Source 2025'!$F:$F,'Source 2025'!$B:$B,$A127,'Source 2025'!$A:$A,"Quantity (units)")</f>
        <v>28</v>
      </c>
      <c r="D127" s="8" t="n">
        <f aca="false">SUMIFS('Source 2026'!$F:$F,'Source 2026'!$B:$B,$A127,'Source 2026'!$A:$A,"Quantity (units)")</f>
        <v>3</v>
      </c>
      <c r="E127" s="8" t="n">
        <f aca="false">D127-C127</f>
        <v>-25</v>
      </c>
      <c r="F127" s="9" t="n">
        <f aca="false">IF(AND(C127=0,D127=0),0,IF(C127=0,"New",(D127-C127)/C127))</f>
        <v>-0.892857142857143</v>
      </c>
      <c r="G127" s="10" t="n">
        <f aca="false">SUMIFS('Source 2025'!$F:$F,'Source 2025'!$B:$B,$A127,'Source 2025'!$A:$A,"Amount (NIS)")</f>
        <v>1431.1</v>
      </c>
      <c r="H127" s="10" t="n">
        <f aca="false">SUMIFS('Source 2026'!$F:$F,'Source 2026'!$B:$B,$A127,'Source 2026'!$A:$A,"Amount (NIS)")</f>
        <v>185.1</v>
      </c>
      <c r="I127" s="10" t="n">
        <f aca="false">H127-G127</f>
        <v>-1246</v>
      </c>
      <c r="J127" s="9" t="n">
        <f aca="false">IF(AND(G127=0,H127=0),0,IF(G127=0,"New",(H127-G127)/G127))</f>
        <v>-0.870658933687374</v>
      </c>
    </row>
    <row r="128" customFormat="false" ht="15" hidden="false" customHeight="false" outlineLevel="0" collapsed="false">
      <c r="A128" s="7" t="s">
        <v>95</v>
      </c>
      <c r="B128" s="7" t="str">
        <f aca="false">IFERROR(INDEX('Source 2026'!$C:$C,MATCH($A128,'Source 2026'!$B:$B,0)),IFERROR(INDEX('Source 2025'!$C:$C,MATCH($A128,'Source 2025'!$B:$B,0)),""))</f>
        <v>תחבושת נצמדת ורוד 20ממ</v>
      </c>
      <c r="C128" s="8" t="n">
        <f aca="false">SUMIFS('Source 2025'!$F:$F,'Source 2025'!$B:$B,$A128,'Source 2025'!$A:$A,"Quantity (units)")</f>
        <v>201</v>
      </c>
      <c r="D128" s="8" t="n">
        <f aca="false">SUMIFS('Source 2026'!$F:$F,'Source 2026'!$B:$B,$A128,'Source 2026'!$A:$A,"Quantity (units)")</f>
        <v>64</v>
      </c>
      <c r="E128" s="8" t="n">
        <f aca="false">D128-C128</f>
        <v>-137</v>
      </c>
      <c r="F128" s="9" t="n">
        <f aca="false">IF(AND(C128=0,D128=0),0,IF(C128=0,"New",(D128-C128)/C128))</f>
        <v>-0.681592039800995</v>
      </c>
      <c r="G128" s="10" t="n">
        <f aca="false">SUMIFS('Source 2025'!$F:$F,'Source 2025'!$B:$B,$A128,'Source 2025'!$A:$A,"Amount (NIS)")</f>
        <v>1926.5</v>
      </c>
      <c r="H128" s="10" t="n">
        <f aca="false">SUMIFS('Source 2026'!$F:$F,'Source 2026'!$B:$B,$A128,'Source 2026'!$A:$A,"Amount (NIS)")</f>
        <v>748.7</v>
      </c>
      <c r="I128" s="10" t="n">
        <f aca="false">H128-G128</f>
        <v>-1177.8</v>
      </c>
      <c r="J128" s="9" t="n">
        <f aca="false">IF(AND(G128=0,H128=0),0,IF(G128=0,"New",(H128-G128)/G128))</f>
        <v>-0.611367765377628</v>
      </c>
    </row>
    <row r="129" customFormat="false" ht="15" hidden="false" customHeight="false" outlineLevel="0" collapsed="false">
      <c r="A129" s="7" t="s">
        <v>193</v>
      </c>
      <c r="B129" s="7" t="str">
        <f aca="false">IFERROR(INDEX('Source 2026'!$C:$C,MATCH($A129,'Source 2026'!$B:$B,0)),IFERROR(INDEX('Source 2025'!$C:$C,MATCH($A129,'Source 2025'!$B:$B,0)),""))</f>
        <v>Sמ.ברך מוצלב+ספירלות בצדדים</v>
      </c>
      <c r="C129" s="8" t="n">
        <f aca="false">SUMIFS('Source 2025'!$F:$F,'Source 2025'!$B:$B,$A129,'Source 2025'!$A:$A,"Quantity (units)")</f>
        <v>29</v>
      </c>
      <c r="D129" s="8" t="n">
        <f aca="false">SUMIFS('Source 2026'!$F:$F,'Source 2026'!$B:$B,$A129,'Source 2026'!$A:$A,"Quantity (units)")</f>
        <v>19</v>
      </c>
      <c r="E129" s="8" t="n">
        <f aca="false">D129-C129</f>
        <v>-10</v>
      </c>
      <c r="F129" s="9" t="n">
        <f aca="false">IF(AND(C129=0,D129=0),0,IF(C129=0,"New",(D129-C129)/C129))</f>
        <v>-0.344827586206897</v>
      </c>
      <c r="G129" s="10" t="n">
        <f aca="false">SUMIFS('Source 2025'!$F:$F,'Source 2025'!$B:$B,$A129,'Source 2025'!$A:$A,"Amount (NIS)")</f>
        <v>3377.1</v>
      </c>
      <c r="H129" s="10" t="n">
        <f aca="false">SUMIFS('Source 2026'!$F:$F,'Source 2026'!$B:$B,$A129,'Source 2026'!$A:$A,"Amount (NIS)")</f>
        <v>2226.5</v>
      </c>
      <c r="I129" s="10" t="n">
        <f aca="false">H129-G129</f>
        <v>-1150.6</v>
      </c>
      <c r="J129" s="9" t="n">
        <f aca="false">IF(AND(G129=0,H129=0),0,IF(G129=0,"New",(H129-G129)/G129))</f>
        <v>-0.340706523348435</v>
      </c>
    </row>
    <row r="130" customFormat="false" ht="15" hidden="false" customHeight="false" outlineLevel="0" collapsed="false">
      <c r="A130" s="7" t="s">
        <v>286</v>
      </c>
      <c r="B130" s="7" t="str">
        <f aca="false">IFERROR(INDEX('Source 2026'!$C:$C,MATCH($A130,'Source 2026'!$B:$B,0)),IFERROR(INDEX('Source 2025'!$C:$C,MATCH($A130,'Source 2025'!$B:$B,0)),""))</f>
        <v>רפידת נוחות-זוג</v>
      </c>
      <c r="C130" s="8" t="n">
        <f aca="false">SUMIFS('Source 2025'!$F:$F,'Source 2025'!$B:$B,$A130,'Source 2025'!$A:$A,"Quantity (units)")</f>
        <v>410</v>
      </c>
      <c r="D130" s="8" t="n">
        <f aca="false">SUMIFS('Source 2026'!$F:$F,'Source 2026'!$B:$B,$A130,'Source 2026'!$A:$A,"Quantity (units)")</f>
        <v>305</v>
      </c>
      <c r="E130" s="8" t="n">
        <f aca="false">D130-C130</f>
        <v>-105</v>
      </c>
      <c r="F130" s="9" t="n">
        <f aca="false">IF(AND(C130=0,D130=0),0,IF(C130=0,"New",(D130-C130)/C130))</f>
        <v>-0.25609756097561</v>
      </c>
      <c r="G130" s="10" t="n">
        <f aca="false">SUMIFS('Source 2025'!$F:$F,'Source 2025'!$B:$B,$A130,'Source 2025'!$A:$A,"Amount (NIS)")</f>
        <v>4895.4</v>
      </c>
      <c r="H130" s="10" t="n">
        <f aca="false">SUMIFS('Source 2026'!$F:$F,'Source 2026'!$B:$B,$A130,'Source 2026'!$A:$A,"Amount (NIS)")</f>
        <v>3748.4</v>
      </c>
      <c r="I130" s="10" t="n">
        <f aca="false">H130-G130</f>
        <v>-1147</v>
      </c>
      <c r="J130" s="9" t="n">
        <f aca="false">IF(AND(G130=0,H130=0),0,IF(G130=0,"New",(H130-G130)/G130))</f>
        <v>-0.234301589247048</v>
      </c>
    </row>
    <row r="131" customFormat="false" ht="15" hidden="false" customHeight="false" outlineLevel="0" collapsed="false">
      <c r="A131" s="7" t="s">
        <v>245</v>
      </c>
      <c r="B131" s="7" t="str">
        <f aca="false">IFERROR(INDEX('Source 2026'!$C:$C,MATCH($A131,'Source 2026'!$B:$B,0)),IFERROR(INDEX('Source 2025'!$C:$C,MATCH($A131,'Source 2025'!$B:$B,0)),""))</f>
        <v>XLמפריד אצבע סיליקון ליבלת</v>
      </c>
      <c r="C131" s="8" t="n">
        <f aca="false">SUMIFS('Source 2025'!$F:$F,'Source 2025'!$B:$B,$A131,'Source 2025'!$A:$A,"Quantity (units)")</f>
        <v>513</v>
      </c>
      <c r="D131" s="8" t="n">
        <f aca="false">SUMIFS('Source 2026'!$F:$F,'Source 2026'!$B:$B,$A131,'Source 2026'!$A:$A,"Quantity (units)")</f>
        <v>432</v>
      </c>
      <c r="E131" s="8" t="n">
        <f aca="false">D131-C131</f>
        <v>-81</v>
      </c>
      <c r="F131" s="9" t="n">
        <f aca="false">IF(AND(C131=0,D131=0),0,IF(C131=0,"New",(D131-C131)/C131))</f>
        <v>-0.157894736842105</v>
      </c>
      <c r="G131" s="10" t="n">
        <f aca="false">SUMIFS('Source 2025'!$F:$F,'Source 2025'!$B:$B,$A131,'Source 2025'!$A:$A,"Amount (NIS)")</f>
        <v>7019.4</v>
      </c>
      <c r="H131" s="10" t="n">
        <f aca="false">SUMIFS('Source 2026'!$F:$F,'Source 2026'!$B:$B,$A131,'Source 2026'!$A:$A,"Amount (NIS)")</f>
        <v>5901.2</v>
      </c>
      <c r="I131" s="10" t="n">
        <f aca="false">H131-G131</f>
        <v>-1118.2</v>
      </c>
      <c r="J131" s="9" t="n">
        <f aca="false">IF(AND(G131=0,H131=0),0,IF(G131=0,"New",(H131-G131)/G131))</f>
        <v>-0.159301364789013</v>
      </c>
    </row>
    <row r="132" customFormat="false" ht="15" hidden="false" customHeight="false" outlineLevel="0" collapsed="false">
      <c r="A132" s="7" t="s">
        <v>287</v>
      </c>
      <c r="B132" s="7" t="str">
        <f aca="false">IFERROR(INDEX('Source 2026'!$C:$C,MATCH($A132,'Source 2026'!$B:$B,0)),IFERROR(INDEX('Source 2025'!$C:$C,MATCH($A132,'Source 2025'!$B:$B,0)),""))</f>
        <v>רפידת בולמת זעזועים -זוג</v>
      </c>
      <c r="C132" s="8" t="n">
        <f aca="false">SUMIFS('Source 2025'!$F:$F,'Source 2025'!$B:$B,$A132,'Source 2025'!$A:$A,"Quantity (units)")</f>
        <v>286</v>
      </c>
      <c r="D132" s="8" t="n">
        <f aca="false">SUMIFS('Source 2026'!$F:$F,'Source 2026'!$B:$B,$A132,'Source 2026'!$A:$A,"Quantity (units)")</f>
        <v>204</v>
      </c>
      <c r="E132" s="8" t="n">
        <f aca="false">D132-C132</f>
        <v>-82</v>
      </c>
      <c r="F132" s="9" t="n">
        <f aca="false">IF(AND(C132=0,D132=0),0,IF(C132=0,"New",(D132-C132)/C132))</f>
        <v>-0.286713286713287</v>
      </c>
      <c r="G132" s="10" t="n">
        <f aca="false">SUMIFS('Source 2025'!$F:$F,'Source 2025'!$B:$B,$A132,'Source 2025'!$A:$A,"Amount (NIS)")</f>
        <v>4003.4</v>
      </c>
      <c r="H132" s="10" t="n">
        <f aca="false">SUMIFS('Source 2026'!$F:$F,'Source 2026'!$B:$B,$A132,'Source 2026'!$A:$A,"Amount (NIS)")</f>
        <v>2891.6</v>
      </c>
      <c r="I132" s="10" t="n">
        <f aca="false">H132-G132</f>
        <v>-1111.8</v>
      </c>
      <c r="J132" s="9" t="n">
        <f aca="false">IF(AND(G132=0,H132=0),0,IF(G132=0,"New",(H132-G132)/G132))</f>
        <v>-0.277713943148324</v>
      </c>
    </row>
    <row r="133" customFormat="false" ht="15" hidden="false" customHeight="false" outlineLevel="0" collapsed="false">
      <c r="A133" s="7" t="s">
        <v>175</v>
      </c>
      <c r="B133" s="7" t="str">
        <f aca="false">IFERROR(INDEX('Source 2026'!$C:$C,MATCH($A133,'Source 2026'!$B:$B,0)),IFERROR(INDEX('Source 2025'!$C:$C,MATCH($A133,'Source 2025'!$B:$B,0)),""))</f>
        <v>סד ליישור אצבע</v>
      </c>
      <c r="C133" s="8" t="n">
        <f aca="false">SUMIFS('Source 2025'!$F:$F,'Source 2025'!$B:$B,$A133,'Source 2025'!$A:$A,"Quantity (units)")</f>
        <v>210</v>
      </c>
      <c r="D133" s="8" t="n">
        <f aca="false">SUMIFS('Source 2026'!$F:$F,'Source 2026'!$B:$B,$A133,'Source 2026'!$A:$A,"Quantity (units)")</f>
        <v>150</v>
      </c>
      <c r="E133" s="8" t="n">
        <f aca="false">D133-C133</f>
        <v>-60</v>
      </c>
      <c r="F133" s="9" t="n">
        <f aca="false">IF(AND(C133=0,D133=0),0,IF(C133=0,"New",(D133-C133)/C133))</f>
        <v>-0.285714285714286</v>
      </c>
      <c r="G133" s="10" t="n">
        <f aca="false">SUMIFS('Source 2025'!$F:$F,'Source 2025'!$B:$B,$A133,'Source 2025'!$A:$A,"Amount (NIS)")</f>
        <v>4056.1</v>
      </c>
      <c r="H133" s="10" t="n">
        <f aca="false">SUMIFS('Source 2026'!$F:$F,'Source 2026'!$B:$B,$A133,'Source 2026'!$A:$A,"Amount (NIS)")</f>
        <v>2965.8</v>
      </c>
      <c r="I133" s="10" t="n">
        <f aca="false">H133-G133</f>
        <v>-1090.3</v>
      </c>
      <c r="J133" s="9" t="n">
        <f aca="false">IF(AND(G133=0,H133=0),0,IF(G133=0,"New",(H133-G133)/G133))</f>
        <v>-0.268805009738419</v>
      </c>
    </row>
    <row r="134" customFormat="false" ht="15" hidden="false" customHeight="false" outlineLevel="0" collapsed="false">
      <c r="A134" s="7" t="s">
        <v>209</v>
      </c>
      <c r="B134" s="7" t="str">
        <f aca="false">IFERROR(INDEX('Source 2026'!$C:$C,MATCH($A134,'Source 2026'!$B:$B,0)),IFERROR(INDEX('Source 2025'!$C:$C,MATCH($A134,'Source 2025'!$B:$B,0)),""))</f>
        <v>S מתלה אשכים לאחר ניתוח</v>
      </c>
      <c r="C134" s="8" t="n">
        <f aca="false">SUMIFS('Source 2025'!$F:$F,'Source 2025'!$B:$B,$A134,'Source 2025'!$A:$A,"Quantity (units)")</f>
        <v>16</v>
      </c>
      <c r="D134" s="8" t="n">
        <f aca="false">SUMIFS('Source 2026'!$F:$F,'Source 2026'!$B:$B,$A134,'Source 2026'!$A:$A,"Quantity (units)")</f>
        <v>5</v>
      </c>
      <c r="E134" s="8" t="n">
        <f aca="false">D134-C134</f>
        <v>-11</v>
      </c>
      <c r="F134" s="9" t="n">
        <f aca="false">IF(AND(C134=0,D134=0),0,IF(C134=0,"New",(D134-C134)/C134))</f>
        <v>-0.6875</v>
      </c>
      <c r="G134" s="10" t="n">
        <f aca="false">SUMIFS('Source 2025'!$F:$F,'Source 2025'!$B:$B,$A134,'Source 2025'!$A:$A,"Amount (NIS)")</f>
        <v>1665.5</v>
      </c>
      <c r="H134" s="10" t="n">
        <f aca="false">SUMIFS('Source 2026'!$F:$F,'Source 2026'!$B:$B,$A134,'Source 2026'!$A:$A,"Amount (NIS)")</f>
        <v>577.3</v>
      </c>
      <c r="I134" s="10" t="n">
        <f aca="false">H134-G134</f>
        <v>-1088.2</v>
      </c>
      <c r="J134" s="9" t="n">
        <f aca="false">IF(AND(G134=0,H134=0),0,IF(G134=0,"New",(H134-G134)/G134))</f>
        <v>-0.653377364154908</v>
      </c>
    </row>
    <row r="135" customFormat="false" ht="15" hidden="false" customHeight="false" outlineLevel="0" collapsed="false">
      <c r="A135" s="7" t="s">
        <v>134</v>
      </c>
      <c r="B135" s="7" t="str">
        <f aca="false">IFERROR(INDEX('Source 2026'!$C:$C,MATCH($A135,'Source 2026'!$B:$B,0)),IFERROR(INDEX('Source 2025'!$C:$C,MATCH($A135,'Source 2025'!$B:$B,0)),""))</f>
        <v>רצועת ""פיקה""+כרית</v>
      </c>
      <c r="C135" s="8" t="n">
        <f aca="false">SUMIFS('Source 2025'!$F:$F,'Source 2025'!$B:$B,$A135,'Source 2025'!$A:$A,"Quantity (units)")</f>
        <v>35</v>
      </c>
      <c r="D135" s="8" t="n">
        <f aca="false">SUMIFS('Source 2026'!$F:$F,'Source 2026'!$B:$B,$A135,'Source 2026'!$A:$A,"Quantity (units)")</f>
        <v>23</v>
      </c>
      <c r="E135" s="8" t="n">
        <f aca="false">D135-C135</f>
        <v>-12</v>
      </c>
      <c r="F135" s="9" t="n">
        <f aca="false">IF(AND(C135=0,D135=0),0,IF(C135=0,"New",(D135-C135)/C135))</f>
        <v>-0.342857142857143</v>
      </c>
      <c r="G135" s="10" t="n">
        <f aca="false">SUMIFS('Source 2025'!$F:$F,'Source 2025'!$B:$B,$A135,'Source 2025'!$A:$A,"Amount (NIS)")</f>
        <v>3191.1</v>
      </c>
      <c r="H135" s="10" t="n">
        <f aca="false">SUMIFS('Source 2026'!$F:$F,'Source 2026'!$B:$B,$A135,'Source 2026'!$A:$A,"Amount (NIS)")</f>
        <v>2107.1</v>
      </c>
      <c r="I135" s="10" t="n">
        <f aca="false">H135-G135</f>
        <v>-1084</v>
      </c>
      <c r="J135" s="9" t="n">
        <f aca="false">IF(AND(G135=0,H135=0),0,IF(G135=0,"New",(H135-G135)/G135))</f>
        <v>-0.339694776096017</v>
      </c>
    </row>
    <row r="136" customFormat="false" ht="15" hidden="false" customHeight="false" outlineLevel="0" collapsed="false">
      <c r="A136" s="7" t="s">
        <v>118</v>
      </c>
      <c r="B136" s="7" t="str">
        <f aca="false">IFERROR(INDEX('Source 2026'!$C:$C,MATCH($A136,'Source 2026'!$B:$B,0)),IFERROR(INDEX('Source 2025'!$C:$C,MATCH($A136,'Source 2025'!$B:$B,0)),""))</f>
        <v>S-M חבק יד עם צמדן</v>
      </c>
      <c r="C136" s="8" t="n">
        <f aca="false">SUMIFS('Source 2025'!$F:$F,'Source 2025'!$B:$B,$A136,'Source 2025'!$A:$A,"Quantity (units)")</f>
        <v>151</v>
      </c>
      <c r="D136" s="8" t="n">
        <f aca="false">SUMIFS('Source 2026'!$F:$F,'Source 2026'!$B:$B,$A136,'Source 2026'!$A:$A,"Quantity (units)")</f>
        <v>120</v>
      </c>
      <c r="E136" s="8" t="n">
        <f aca="false">D136-C136</f>
        <v>-31</v>
      </c>
      <c r="F136" s="9" t="n">
        <f aca="false">IF(AND(C136=0,D136=0),0,IF(C136=0,"New",(D136-C136)/C136))</f>
        <v>-0.205298013245033</v>
      </c>
      <c r="G136" s="10" t="n">
        <f aca="false">SUMIFS('Source 2025'!$F:$F,'Source 2025'!$B:$B,$A136,'Source 2025'!$A:$A,"Amount (NIS)")</f>
        <v>5278.9</v>
      </c>
      <c r="H136" s="10" t="n">
        <f aca="false">SUMIFS('Source 2026'!$F:$F,'Source 2026'!$B:$B,$A136,'Source 2026'!$A:$A,"Amount (NIS)")</f>
        <v>4199.6</v>
      </c>
      <c r="I136" s="10" t="n">
        <f aca="false">H136-G136</f>
        <v>-1079.3</v>
      </c>
      <c r="J136" s="9" t="n">
        <f aca="false">IF(AND(G136=0,H136=0),0,IF(G136=0,"New",(H136-G136)/G136))</f>
        <v>-0.204455473678228</v>
      </c>
    </row>
    <row r="137" customFormat="false" ht="15" hidden="false" customHeight="false" outlineLevel="0" collapsed="false">
      <c r="A137" s="7" t="s">
        <v>114</v>
      </c>
      <c r="B137" s="7" t="str">
        <f aca="false">IFERROR(INDEX('Source 2026'!$C:$C,MATCH($A137,'Source 2026'!$B:$B,0)),IFERROR(INDEX('Source 2025'!$C:$C,MATCH($A137,'Source 2025'!$B:$B,0)),""))</f>
        <v>מדבקה לשחרור לחץ 2 יח</v>
      </c>
      <c r="C137" s="8" t="n">
        <f aca="false">SUMIFS('Source 2025'!$F:$F,'Source 2025'!$B:$B,$A137,'Source 2025'!$A:$A,"Quantity (units)")</f>
        <v>113</v>
      </c>
      <c r="D137" s="8" t="n">
        <f aca="false">SUMIFS('Source 2026'!$F:$F,'Source 2026'!$B:$B,$A137,'Source 2026'!$A:$A,"Quantity (units)")</f>
        <v>80</v>
      </c>
      <c r="E137" s="8" t="n">
        <f aca="false">D137-C137</f>
        <v>-33</v>
      </c>
      <c r="F137" s="9" t="n">
        <f aca="false">IF(AND(C137=0,D137=0),0,IF(C137=0,"New",(D137-C137)/C137))</f>
        <v>-0.292035398230089</v>
      </c>
      <c r="G137" s="10" t="n">
        <f aca="false">SUMIFS('Source 2025'!$F:$F,'Source 2025'!$B:$B,$A137,'Source 2025'!$A:$A,"Amount (NIS)")</f>
        <v>3467.3</v>
      </c>
      <c r="H137" s="10" t="n">
        <f aca="false">SUMIFS('Source 2026'!$F:$F,'Source 2026'!$B:$B,$A137,'Source 2026'!$A:$A,"Amount (NIS)")</f>
        <v>2397.1</v>
      </c>
      <c r="I137" s="10" t="n">
        <f aca="false">H137-G137</f>
        <v>-1070.2</v>
      </c>
      <c r="J137" s="9" t="n">
        <f aca="false">IF(AND(G137=0,H137=0),0,IF(G137=0,"New",(H137-G137)/G137))</f>
        <v>-0.308655149539988</v>
      </c>
    </row>
    <row r="138" customFormat="false" ht="15" hidden="false" customHeight="false" outlineLevel="0" collapsed="false">
      <c r="A138" s="7" t="s">
        <v>288</v>
      </c>
      <c r="B138" s="7" t="str">
        <f aca="false">IFERROR(INDEX('Source 2026'!$C:$C,MATCH($A138,'Source 2026'!$B:$B,0)),IFERROR(INDEX('Source 2025'!$C:$C,MATCH($A138,'Source 2025'!$B:$B,0)),""))</f>
        <v>ONE SIZE חבק יד</v>
      </c>
      <c r="C138" s="8" t="n">
        <f aca="false">SUMIFS('Source 2025'!$F:$F,'Source 2025'!$B:$B,$A138,'Source 2025'!$A:$A,"Quantity (units)")</f>
        <v>0</v>
      </c>
      <c r="D138" s="8" t="n">
        <f aca="false">SUMIFS('Source 2026'!$F:$F,'Source 2026'!$B:$B,$A138,'Source 2026'!$A:$A,"Quantity (units)")</f>
        <v>22</v>
      </c>
      <c r="E138" s="8" t="n">
        <f aca="false">D138-C138</f>
        <v>22</v>
      </c>
      <c r="F138" s="9" t="str">
        <f aca="false">IF(AND(C138=0,D138=0),0,IF(C138=0,"New",(D138-C138)/C138))</f>
        <v>New</v>
      </c>
      <c r="G138" s="10" t="n">
        <f aca="false">SUMIFS('Source 2025'!$F:$F,'Source 2025'!$B:$B,$A138,'Source 2025'!$A:$A,"Amount (NIS)")</f>
        <v>0</v>
      </c>
      <c r="H138" s="10" t="n">
        <f aca="false">SUMIFS('Source 2026'!$F:$F,'Source 2026'!$B:$B,$A138,'Source 2026'!$A:$A,"Amount (NIS)")</f>
        <v>1035.8</v>
      </c>
      <c r="I138" s="10" t="n">
        <f aca="false">H138-G138</f>
        <v>1035.8</v>
      </c>
      <c r="J138" s="9" t="str">
        <f aca="false">IF(AND(G138=0,H138=0),0,IF(G138=0,"New",(H138-G138)/G138))</f>
        <v>New</v>
      </c>
    </row>
    <row r="139" customFormat="false" ht="15" hidden="false" customHeight="false" outlineLevel="0" collapsed="false">
      <c r="A139" s="7" t="s">
        <v>289</v>
      </c>
      <c r="B139" s="7" t="str">
        <f aca="false">IFERROR(INDEX('Source 2026'!$C:$C,MATCH($A139,'Source 2026'!$B:$B,0)),IFERROR(INDEX('Source 2025'!$C:$C,MATCH($A139,'Source 2025'!$B:$B,0)),""))</f>
        <v>M  סד לקרסול</v>
      </c>
      <c r="C139" s="8" t="n">
        <f aca="false">SUMIFS('Source 2025'!$F:$F,'Source 2025'!$B:$B,$A139,'Source 2025'!$A:$A,"Quantity (units)")</f>
        <v>9</v>
      </c>
      <c r="D139" s="8" t="n">
        <f aca="false">SUMIFS('Source 2026'!$F:$F,'Source 2026'!$B:$B,$A139,'Source 2026'!$A:$A,"Quantity (units)")</f>
        <v>0</v>
      </c>
      <c r="E139" s="8" t="n">
        <f aca="false">D139-C139</f>
        <v>-9</v>
      </c>
      <c r="F139" s="9" t="n">
        <f aca="false">IF(AND(C139=0,D139=0),0,IF(C139=0,"New",(D139-C139)/C139))</f>
        <v>-1</v>
      </c>
      <c r="G139" s="10" t="n">
        <f aca="false">SUMIFS('Source 2025'!$F:$F,'Source 2025'!$B:$B,$A139,'Source 2025'!$A:$A,"Amount (NIS)")</f>
        <v>1025.3</v>
      </c>
      <c r="H139" s="10" t="n">
        <f aca="false">SUMIFS('Source 2026'!$F:$F,'Source 2026'!$B:$B,$A139,'Source 2026'!$A:$A,"Amount (NIS)")</f>
        <v>0</v>
      </c>
      <c r="I139" s="10" t="n">
        <f aca="false">H139-G139</f>
        <v>-1025.3</v>
      </c>
      <c r="J139" s="9" t="n">
        <f aca="false">IF(AND(G139=0,H139=0),0,IF(G139=0,"New",(H139-G139)/G139))</f>
        <v>-1</v>
      </c>
    </row>
    <row r="140" customFormat="false" ht="15" hidden="false" customHeight="false" outlineLevel="0" collapsed="false">
      <c r="A140" s="7" t="s">
        <v>145</v>
      </c>
      <c r="B140" s="7" t="str">
        <f aca="false">IFERROR(INDEX('Source 2026'!$C:$C,MATCH($A140,'Source 2026'!$B:$B,0)),IFERROR(INDEX('Source 2025'!$C:$C,MATCH($A140,'Source 2025'!$B:$B,0)),""))</f>
        <v>לגבס קצר יד</v>
      </c>
      <c r="C140" s="8" t="n">
        <f aca="false">SUMIFS('Source 2025'!$F:$F,'Source 2025'!$B:$B,$A140,'Source 2025'!$A:$A,"Quantity (units)")</f>
        <v>358</v>
      </c>
      <c r="D140" s="8" t="n">
        <f aca="false">SUMIFS('Source 2026'!$F:$F,'Source 2026'!$B:$B,$A140,'Source 2026'!$A:$A,"Quantity (units)")</f>
        <v>330</v>
      </c>
      <c r="E140" s="8" t="n">
        <f aca="false">D140-C140</f>
        <v>-28</v>
      </c>
      <c r="F140" s="9" t="n">
        <f aca="false">IF(AND(C140=0,D140=0),0,IF(C140=0,"New",(D140-C140)/C140))</f>
        <v>-0.0782122905027933</v>
      </c>
      <c r="G140" s="10" t="n">
        <f aca="false">SUMIFS('Source 2025'!$F:$F,'Source 2025'!$B:$B,$A140,'Source 2025'!$A:$A,"Amount (NIS)")</f>
        <v>14794.5</v>
      </c>
      <c r="H140" s="10" t="n">
        <f aca="false">SUMIFS('Source 2026'!$F:$F,'Source 2026'!$B:$B,$A140,'Source 2026'!$A:$A,"Amount (NIS)")</f>
        <v>13785.8</v>
      </c>
      <c r="I140" s="10" t="n">
        <f aca="false">H140-G140</f>
        <v>-1008.7</v>
      </c>
      <c r="J140" s="9" t="n">
        <f aca="false">IF(AND(G140=0,H140=0),0,IF(G140=0,"New",(H140-G140)/G140))</f>
        <v>-0.0681807428436242</v>
      </c>
    </row>
    <row r="141" customFormat="false" ht="15" hidden="false" customHeight="false" outlineLevel="0" collapsed="false">
      <c r="A141" s="7" t="s">
        <v>115</v>
      </c>
      <c r="B141" s="7" t="str">
        <f aca="false">IFERROR(INDEX('Source 2026'!$C:$C,MATCH($A141,'Source 2026'!$B:$B,0)),IFERROR(INDEX('Source 2025'!$C:$C,MATCH($A141,'Source 2025'!$B:$B,0)),""))</f>
        <v>סד ליישור אצבע</v>
      </c>
      <c r="C141" s="8" t="n">
        <f aca="false">SUMIFS('Source 2025'!$F:$F,'Source 2025'!$B:$B,$A141,'Source 2025'!$A:$A,"Quantity (units)")</f>
        <v>273</v>
      </c>
      <c r="D141" s="8" t="n">
        <f aca="false">SUMIFS('Source 2026'!$F:$F,'Source 2026'!$B:$B,$A141,'Source 2026'!$A:$A,"Quantity (units)")</f>
        <v>215</v>
      </c>
      <c r="E141" s="8" t="n">
        <f aca="false">D141-C141</f>
        <v>-58</v>
      </c>
      <c r="F141" s="9" t="n">
        <f aca="false">IF(AND(C141=0,D141=0),0,IF(C141=0,"New",(D141-C141)/C141))</f>
        <v>-0.212454212454212</v>
      </c>
      <c r="G141" s="10" t="n">
        <f aca="false">SUMIFS('Source 2025'!$F:$F,'Source 2025'!$B:$B,$A141,'Source 2025'!$A:$A,"Amount (NIS)")</f>
        <v>5207</v>
      </c>
      <c r="H141" s="10" t="n">
        <f aca="false">SUMIFS('Source 2026'!$F:$F,'Source 2026'!$B:$B,$A141,'Source 2026'!$A:$A,"Amount (NIS)")</f>
        <v>4225.6</v>
      </c>
      <c r="I141" s="10" t="n">
        <f aca="false">H141-G141</f>
        <v>-981.4</v>
      </c>
      <c r="J141" s="9" t="n">
        <f aca="false">IF(AND(G141=0,H141=0),0,IF(G141=0,"New",(H141-G141)/G141))</f>
        <v>-0.188477050124832</v>
      </c>
    </row>
    <row r="142" customFormat="false" ht="15" hidden="false" customHeight="false" outlineLevel="0" collapsed="false">
      <c r="A142" s="7" t="s">
        <v>83</v>
      </c>
      <c r="B142" s="7" t="str">
        <f aca="false">IFERROR(INDEX('Source 2026'!$C:$C,MATCH($A142,'Source 2026'!$B:$B,0)),IFERROR(INDEX('Source 2025'!$C:$C,MATCH($A142,'Source 2025'!$B:$B,0)),""))</f>
        <v>XS חגורת פאבליק</v>
      </c>
      <c r="C142" s="8" t="n">
        <f aca="false">SUMIFS('Source 2025'!$F:$F,'Source 2025'!$B:$B,$A142,'Source 2025'!$A:$A,"Quantity (units)")</f>
        <v>0</v>
      </c>
      <c r="D142" s="8" t="n">
        <f aca="false">SUMIFS('Source 2026'!$F:$F,'Source 2026'!$B:$B,$A142,'Source 2026'!$A:$A,"Quantity (units)")</f>
        <v>3</v>
      </c>
      <c r="E142" s="8" t="n">
        <f aca="false">D142-C142</f>
        <v>3</v>
      </c>
      <c r="F142" s="9" t="str">
        <f aca="false">IF(AND(C142=0,D142=0),0,IF(C142=0,"New",(D142-C142)/C142))</f>
        <v>New</v>
      </c>
      <c r="G142" s="10" t="n">
        <f aca="false">SUMIFS('Source 2025'!$F:$F,'Source 2025'!$B:$B,$A142,'Source 2025'!$A:$A,"Amount (NIS)")</f>
        <v>0</v>
      </c>
      <c r="H142" s="10" t="n">
        <f aca="false">SUMIFS('Source 2026'!$F:$F,'Source 2026'!$B:$B,$A142,'Source 2026'!$A:$A,"Amount (NIS)")</f>
        <v>970.2</v>
      </c>
      <c r="I142" s="10" t="n">
        <f aca="false">H142-G142</f>
        <v>970.2</v>
      </c>
      <c r="J142" s="9" t="str">
        <f aca="false">IF(AND(G142=0,H142=0),0,IF(G142=0,"New",(H142-G142)/G142))</f>
        <v>New</v>
      </c>
    </row>
    <row r="143" customFormat="false" ht="15" hidden="false" customHeight="false" outlineLevel="0" collapsed="false">
      <c r="A143" s="7" t="s">
        <v>153</v>
      </c>
      <c r="B143" s="7" t="str">
        <f aca="false">IFERROR(INDEX('Source 2026'!$C:$C,MATCH($A143,'Source 2026'!$B:$B,0)),IFERROR(INDEX('Source 2025'!$C:$C,MATCH($A143,'Source 2025'!$B:$B,0)),""))</f>
        <v>S-M סד לאגודל</v>
      </c>
      <c r="C143" s="8" t="n">
        <f aca="false">SUMIFS('Source 2025'!$F:$F,'Source 2025'!$B:$B,$A143,'Source 2025'!$A:$A,"Quantity (units)")</f>
        <v>89</v>
      </c>
      <c r="D143" s="8" t="n">
        <f aca="false">SUMIFS('Source 2026'!$F:$F,'Source 2026'!$B:$B,$A143,'Source 2026'!$A:$A,"Quantity (units)")</f>
        <v>72</v>
      </c>
      <c r="E143" s="8" t="n">
        <f aca="false">D143-C143</f>
        <v>-17</v>
      </c>
      <c r="F143" s="9" t="n">
        <f aca="false">IF(AND(C143=0,D143=0),0,IF(C143=0,"New",(D143-C143)/C143))</f>
        <v>-0.191011235955056</v>
      </c>
      <c r="G143" s="10" t="n">
        <f aca="false">SUMIFS('Source 2025'!$F:$F,'Source 2025'!$B:$B,$A143,'Source 2025'!$A:$A,"Amount (NIS)")</f>
        <v>5916.3</v>
      </c>
      <c r="H143" s="10" t="n">
        <f aca="false">SUMIFS('Source 2026'!$F:$F,'Source 2026'!$B:$B,$A143,'Source 2026'!$A:$A,"Amount (NIS)")</f>
        <v>4946.1</v>
      </c>
      <c r="I143" s="10" t="n">
        <f aca="false">H143-G143</f>
        <v>-970.2</v>
      </c>
      <c r="J143" s="9" t="n">
        <f aca="false">IF(AND(G143=0,H143=0),0,IF(G143=0,"New",(H143-G143)/G143))</f>
        <v>-0.163987627402262</v>
      </c>
    </row>
    <row r="144" customFormat="false" ht="15" hidden="false" customHeight="false" outlineLevel="0" collapsed="false">
      <c r="A144" s="7" t="s">
        <v>122</v>
      </c>
      <c r="B144" s="7" t="str">
        <f aca="false">IFERROR(INDEX('Source 2026'!$C:$C,MATCH($A144,'Source 2026'!$B:$B,0)),IFERROR(INDEX('Source 2025'!$C:$C,MATCH($A144,'Source 2025'!$B:$B,0)),""))</f>
        <v>חבק טניס אלבו</v>
      </c>
      <c r="C144" s="8" t="n">
        <f aca="false">SUMIFS('Source 2025'!$F:$F,'Source 2025'!$B:$B,$A144,'Source 2025'!$A:$A,"Quantity (units)")</f>
        <v>79</v>
      </c>
      <c r="D144" s="8" t="n">
        <f aca="false">SUMIFS('Source 2026'!$F:$F,'Source 2026'!$B:$B,$A144,'Source 2026'!$A:$A,"Quantity (units)")</f>
        <v>67</v>
      </c>
      <c r="E144" s="8" t="n">
        <f aca="false">D144-C144</f>
        <v>-12</v>
      </c>
      <c r="F144" s="9" t="n">
        <f aca="false">IF(AND(C144=0,D144=0),0,IF(C144=0,"New",(D144-C144)/C144))</f>
        <v>-0.151898734177215</v>
      </c>
      <c r="G144" s="10" t="n">
        <f aca="false">SUMIFS('Source 2025'!$F:$F,'Source 2025'!$B:$B,$A144,'Source 2025'!$A:$A,"Amount (NIS)")</f>
        <v>6503.9</v>
      </c>
      <c r="H144" s="10" t="n">
        <f aca="false">SUMIFS('Source 2026'!$F:$F,'Source 2026'!$B:$B,$A144,'Source 2026'!$A:$A,"Amount (NIS)")</f>
        <v>5537</v>
      </c>
      <c r="I144" s="10" t="n">
        <f aca="false">H144-G144</f>
        <v>-966.9</v>
      </c>
      <c r="J144" s="9" t="n">
        <f aca="false">IF(AND(G144=0,H144=0),0,IF(G144=0,"New",(H144-G144)/G144))</f>
        <v>-0.148664647365427</v>
      </c>
    </row>
    <row r="145" customFormat="false" ht="15" hidden="false" customHeight="false" outlineLevel="0" collapsed="false">
      <c r="A145" s="7" t="s">
        <v>290</v>
      </c>
      <c r="B145" s="7" t="str">
        <f aca="false">IFERROR(INDEX('Source 2026'!$C:$C,MATCH($A145,'Source 2026'!$B:$B,0)),IFERROR(INDEX('Source 2025'!$C:$C,MATCH($A145,'Source 2025'!$B:$B,0)),""))</f>
        <v>S  ח.גב גבוהה</v>
      </c>
      <c r="C145" s="8" t="n">
        <f aca="false">SUMIFS('Source 2025'!$F:$F,'Source 2025'!$B:$B,$A145,'Source 2025'!$A:$A,"Quantity (units)")</f>
        <v>2</v>
      </c>
      <c r="D145" s="8" t="n">
        <f aca="false">SUMIFS('Source 2026'!$F:$F,'Source 2026'!$B:$B,$A145,'Source 2026'!$A:$A,"Quantity (units)")</f>
        <v>0</v>
      </c>
      <c r="E145" s="8" t="n">
        <f aca="false">D145-C145</f>
        <v>-2</v>
      </c>
      <c r="F145" s="9" t="n">
        <f aca="false">IF(AND(C145=0,D145=0),0,IF(C145=0,"New",(D145-C145)/C145))</f>
        <v>-1</v>
      </c>
      <c r="G145" s="10" t="n">
        <f aca="false">SUMIFS('Source 2025'!$F:$F,'Source 2025'!$B:$B,$A145,'Source 2025'!$A:$A,"Amount (NIS)")</f>
        <v>945.4</v>
      </c>
      <c r="H145" s="10" t="n">
        <f aca="false">SUMIFS('Source 2026'!$F:$F,'Source 2026'!$B:$B,$A145,'Source 2026'!$A:$A,"Amount (NIS)")</f>
        <v>0</v>
      </c>
      <c r="I145" s="10" t="n">
        <f aca="false">H145-G145</f>
        <v>-945.4</v>
      </c>
      <c r="J145" s="9" t="n">
        <f aca="false">IF(AND(G145=0,H145=0),0,IF(G145=0,"New",(H145-G145)/G145))</f>
        <v>-1</v>
      </c>
    </row>
    <row r="146" customFormat="false" ht="15" hidden="false" customHeight="false" outlineLevel="0" collapsed="false">
      <c r="A146" s="7" t="s">
        <v>181</v>
      </c>
      <c r="B146" s="7" t="str">
        <f aca="false">IFERROR(INDEX('Source 2026'!$C:$C,MATCH($A146,'Source 2026'!$B:$B,0)),IFERROR(INDEX('Source 2025'!$C:$C,MATCH($A146,'Source 2025'!$B:$B,0)),""))</f>
        <v>מדרס מטטרזלי לנעלי עקב</v>
      </c>
      <c r="C146" s="8" t="n">
        <f aca="false">SUMIFS('Source 2025'!$F:$F,'Source 2025'!$B:$B,$A146,'Source 2025'!$A:$A,"Quantity (units)")</f>
        <v>76</v>
      </c>
      <c r="D146" s="8" t="n">
        <f aca="false">SUMIFS('Source 2026'!$F:$F,'Source 2026'!$B:$B,$A146,'Source 2026'!$A:$A,"Quantity (units)")</f>
        <v>35</v>
      </c>
      <c r="E146" s="8" t="n">
        <f aca="false">D146-C146</f>
        <v>-41</v>
      </c>
      <c r="F146" s="9" t="n">
        <f aca="false">IF(AND(C146=0,D146=0),0,IF(C146=0,"New",(D146-C146)/C146))</f>
        <v>-0.539473684210526</v>
      </c>
      <c r="G146" s="10" t="n">
        <f aca="false">SUMIFS('Source 2025'!$F:$F,'Source 2025'!$B:$B,$A146,'Source 2025'!$A:$A,"Amount (NIS)")</f>
        <v>1724</v>
      </c>
      <c r="H146" s="10" t="n">
        <f aca="false">SUMIFS('Source 2026'!$F:$F,'Source 2026'!$B:$B,$A146,'Source 2026'!$A:$A,"Amount (NIS)")</f>
        <v>788.8</v>
      </c>
      <c r="I146" s="10" t="n">
        <f aca="false">H146-G146</f>
        <v>-935.2</v>
      </c>
      <c r="J146" s="9" t="n">
        <f aca="false">IF(AND(G146=0,H146=0),0,IF(G146=0,"New",(H146-G146)/G146))</f>
        <v>-0.54245939675174</v>
      </c>
    </row>
    <row r="147" customFormat="false" ht="15" hidden="false" customHeight="false" outlineLevel="0" collapsed="false">
      <c r="A147" s="7" t="s">
        <v>251</v>
      </c>
      <c r="B147" s="7" t="str">
        <f aca="false">IFERROR(INDEX('Source 2026'!$C:$C,MATCH($A147,'Source 2026'!$B:$B,0)),IFERROR(INDEX('Source 2025'!$C:$C,MATCH($A147,'Source 2025'!$B:$B,0)),""))</f>
        <v>L חגורה לשבר טבור</v>
      </c>
      <c r="C147" s="8" t="n">
        <f aca="false">SUMIFS('Source 2025'!$F:$F,'Source 2025'!$B:$B,$A147,'Source 2025'!$A:$A,"Quantity (units)")</f>
        <v>8</v>
      </c>
      <c r="D147" s="8" t="n">
        <f aca="false">SUMIFS('Source 2026'!$F:$F,'Source 2026'!$B:$B,$A147,'Source 2026'!$A:$A,"Quantity (units)")</f>
        <v>2</v>
      </c>
      <c r="E147" s="8" t="n">
        <f aca="false">D147-C147</f>
        <v>-6</v>
      </c>
      <c r="F147" s="9" t="n">
        <f aca="false">IF(AND(C147=0,D147=0),0,IF(C147=0,"New",(D147-C147)/C147))</f>
        <v>-0.75</v>
      </c>
      <c r="G147" s="10" t="n">
        <f aca="false">SUMIFS('Source 2025'!$F:$F,'Source 2025'!$B:$B,$A147,'Source 2025'!$A:$A,"Amount (NIS)")</f>
        <v>1232.9</v>
      </c>
      <c r="H147" s="10" t="n">
        <f aca="false">SUMIFS('Source 2026'!$F:$F,'Source 2026'!$B:$B,$A147,'Source 2026'!$A:$A,"Amount (NIS)")</f>
        <v>314</v>
      </c>
      <c r="I147" s="10" t="n">
        <f aca="false">H147-G147</f>
        <v>-918.9</v>
      </c>
      <c r="J147" s="9" t="n">
        <f aca="false">IF(AND(G147=0,H147=0),0,IF(G147=0,"New",(H147-G147)/G147))</f>
        <v>-0.745315921810366</v>
      </c>
    </row>
    <row r="148" customFormat="false" ht="15" hidden="false" customHeight="false" outlineLevel="0" collapsed="false">
      <c r="A148" s="7" t="s">
        <v>177</v>
      </c>
      <c r="B148" s="7" t="str">
        <f aca="false">IFERROR(INDEX('Source 2026'!$C:$C,MATCH($A148,'Source 2026'!$B:$B,0)),IFERROR(INDEX('Source 2025'!$C:$C,MATCH($A148,'Source 2025'!$B:$B,0)),""))</f>
        <v>35-38 גרב.כסף לסכרתים לבן</v>
      </c>
      <c r="C148" s="8" t="n">
        <f aca="false">SUMIFS('Source 2025'!$F:$F,'Source 2025'!$B:$B,$A148,'Source 2025'!$A:$A,"Quantity (units)")</f>
        <v>144</v>
      </c>
      <c r="D148" s="8" t="n">
        <f aca="false">SUMIFS('Source 2026'!$F:$F,'Source 2026'!$B:$B,$A148,'Source 2026'!$A:$A,"Quantity (units)")</f>
        <v>100</v>
      </c>
      <c r="E148" s="8" t="n">
        <f aca="false">D148-C148</f>
        <v>-44</v>
      </c>
      <c r="F148" s="9" t="n">
        <f aca="false">IF(AND(C148=0,D148=0),0,IF(C148=0,"New",(D148-C148)/C148))</f>
        <v>-0.305555555555556</v>
      </c>
      <c r="G148" s="10" t="n">
        <f aca="false">SUMIFS('Source 2025'!$F:$F,'Source 2025'!$B:$B,$A148,'Source 2025'!$A:$A,"Amount (NIS)")</f>
        <v>3608.5</v>
      </c>
      <c r="H148" s="10" t="n">
        <f aca="false">SUMIFS('Source 2026'!$F:$F,'Source 2026'!$B:$B,$A148,'Source 2026'!$A:$A,"Amount (NIS)")</f>
        <v>2693.9</v>
      </c>
      <c r="I148" s="10" t="n">
        <f aca="false">H148-G148</f>
        <v>-914.6</v>
      </c>
      <c r="J148" s="9" t="n">
        <f aca="false">IF(AND(G148=0,H148=0),0,IF(G148=0,"New",(H148-G148)/G148))</f>
        <v>-0.253457115144797</v>
      </c>
    </row>
    <row r="149" customFormat="false" ht="15" hidden="false" customHeight="false" outlineLevel="0" collapsed="false">
      <c r="A149" s="7" t="s">
        <v>79</v>
      </c>
      <c r="B149" s="7" t="str">
        <f aca="false">IFERROR(INDEX('Source 2026'!$C:$C,MATCH($A149,'Source 2026'!$B:$B,0)),IFERROR(INDEX('Source 2025'!$C:$C,MATCH($A149,'Source 2025'!$B:$B,0)),""))</f>
        <v>S ""חגורת גב ""לומבו</v>
      </c>
      <c r="C149" s="8" t="n">
        <f aca="false">SUMIFS('Source 2025'!$F:$F,'Source 2025'!$B:$B,$A149,'Source 2025'!$A:$A,"Quantity (units)")</f>
        <v>43</v>
      </c>
      <c r="D149" s="8" t="n">
        <f aca="false">SUMIFS('Source 2026'!$F:$F,'Source 2026'!$B:$B,$A149,'Source 2026'!$A:$A,"Quantity (units)")</f>
        <v>36</v>
      </c>
      <c r="E149" s="8" t="n">
        <f aca="false">D149-C149</f>
        <v>-7</v>
      </c>
      <c r="F149" s="9" t="n">
        <f aca="false">IF(AND(C149=0,D149=0),0,IF(C149=0,"New",(D149-C149)/C149))</f>
        <v>-0.162790697674419</v>
      </c>
      <c r="G149" s="10" t="n">
        <f aca="false">SUMIFS('Source 2025'!$F:$F,'Source 2025'!$B:$B,$A149,'Source 2025'!$A:$A,"Amount (NIS)")</f>
        <v>6246.7</v>
      </c>
      <c r="H149" s="10" t="n">
        <f aca="false">SUMIFS('Source 2026'!$F:$F,'Source 2026'!$B:$B,$A149,'Source 2026'!$A:$A,"Amount (NIS)")</f>
        <v>5344.6</v>
      </c>
      <c r="I149" s="10" t="n">
        <f aca="false">H149-G149</f>
        <v>-902.1</v>
      </c>
      <c r="J149" s="9" t="n">
        <f aca="false">IF(AND(G149=0,H149=0),0,IF(G149=0,"New",(H149-G149)/G149))</f>
        <v>-0.144412249667825</v>
      </c>
    </row>
    <row r="150" customFormat="false" ht="15" hidden="false" customHeight="false" outlineLevel="0" collapsed="false">
      <c r="A150" s="7" t="s">
        <v>291</v>
      </c>
      <c r="B150" s="7" t="str">
        <f aca="false">IFERROR(INDEX('Source 2026'!$C:$C,MATCH($A150,'Source 2026'!$B:$B,0)),IFERROR(INDEX('Source 2025'!$C:$C,MATCH($A150,'Source 2025'!$B:$B,0)),""))</f>
        <v>S מדרס ג'ל לנעלי עקב</v>
      </c>
      <c r="C150" s="8" t="n">
        <f aca="false">SUMIFS('Source 2025'!$F:$F,'Source 2025'!$B:$B,$A150,'Source 2025'!$A:$A,"Quantity (units)")</f>
        <v>0</v>
      </c>
      <c r="D150" s="8" t="n">
        <f aca="false">SUMIFS('Source 2026'!$F:$F,'Source 2026'!$B:$B,$A150,'Source 2026'!$A:$A,"Quantity (units)")</f>
        <v>12</v>
      </c>
      <c r="E150" s="8" t="n">
        <f aca="false">D150-C150</f>
        <v>12</v>
      </c>
      <c r="F150" s="9" t="str">
        <f aca="false">IF(AND(C150=0,D150=0),0,IF(C150=0,"New",(D150-C150)/C150))</f>
        <v>New</v>
      </c>
      <c r="G150" s="10" t="n">
        <f aca="false">SUMIFS('Source 2025'!$F:$F,'Source 2025'!$B:$B,$A150,'Source 2025'!$A:$A,"Amount (NIS)")</f>
        <v>0</v>
      </c>
      <c r="H150" s="10" t="n">
        <f aca="false">SUMIFS('Source 2026'!$F:$F,'Source 2026'!$B:$B,$A150,'Source 2026'!$A:$A,"Amount (NIS)")</f>
        <v>877.6</v>
      </c>
      <c r="I150" s="10" t="n">
        <f aca="false">H150-G150</f>
        <v>877.6</v>
      </c>
      <c r="J150" s="9" t="str">
        <f aca="false">IF(AND(G150=0,H150=0),0,IF(G150=0,"New",(H150-G150)/G150))</f>
        <v>New</v>
      </c>
    </row>
    <row r="151" customFormat="false" ht="15" hidden="false" customHeight="false" outlineLevel="0" collapsed="false">
      <c r="A151" s="7" t="s">
        <v>254</v>
      </c>
      <c r="B151" s="7" t="str">
        <f aca="false">IFERROR(INDEX('Source 2026'!$C:$C,MATCH($A151,'Source 2026'!$B:$B,0)),IFERROR(INDEX('Source 2025'!$C:$C,MATCH($A151,'Source 2025'!$B:$B,0)),""))</f>
        <v>L מיצב פיקה</v>
      </c>
      <c r="C151" s="8" t="n">
        <f aca="false">SUMIFS('Source 2025'!$F:$F,'Source 2025'!$B:$B,$A151,'Source 2025'!$A:$A,"Quantity (units)")</f>
        <v>9</v>
      </c>
      <c r="D151" s="8" t="n">
        <f aca="false">SUMIFS('Source 2026'!$F:$F,'Source 2026'!$B:$B,$A151,'Source 2026'!$A:$A,"Quantity (units)")</f>
        <v>0</v>
      </c>
      <c r="E151" s="8" t="n">
        <f aca="false">D151-C151</f>
        <v>-9</v>
      </c>
      <c r="F151" s="9" t="n">
        <f aca="false">IF(AND(C151=0,D151=0),0,IF(C151=0,"New",(D151-C151)/C151))</f>
        <v>-1</v>
      </c>
      <c r="G151" s="10" t="n">
        <f aca="false">SUMIFS('Source 2025'!$F:$F,'Source 2025'!$B:$B,$A151,'Source 2025'!$A:$A,"Amount (NIS)")</f>
        <v>825.8</v>
      </c>
      <c r="H151" s="10" t="n">
        <f aca="false">SUMIFS('Source 2026'!$F:$F,'Source 2026'!$B:$B,$A151,'Source 2026'!$A:$A,"Amount (NIS)")</f>
        <v>0</v>
      </c>
      <c r="I151" s="10" t="n">
        <f aca="false">H151-G151</f>
        <v>-825.8</v>
      </c>
      <c r="J151" s="9" t="n">
        <f aca="false">IF(AND(G151=0,H151=0),0,IF(G151=0,"New",(H151-G151)/G151))</f>
        <v>-1</v>
      </c>
    </row>
    <row r="152" customFormat="false" ht="15" hidden="false" customHeight="false" outlineLevel="0" collapsed="false">
      <c r="A152" s="7" t="s">
        <v>152</v>
      </c>
      <c r="B152" s="7" t="str">
        <f aca="false">IFERROR(INDEX('Source 2026'!$C:$C,MATCH($A152,'Source 2026'!$B:$B,0)),IFERROR(INDEX('Source 2025'!$C:$C,MATCH($A152,'Source 2025'!$B:$B,0)),""))</f>
        <v>S  חגורת גב פוג'יאמה</v>
      </c>
      <c r="C152" s="8" t="n">
        <f aca="false">SUMIFS('Source 2025'!$F:$F,'Source 2025'!$B:$B,$A152,'Source 2025'!$A:$A,"Quantity (units)")</f>
        <v>25</v>
      </c>
      <c r="D152" s="8" t="n">
        <f aca="false">SUMIFS('Source 2026'!$F:$F,'Source 2026'!$B:$B,$A152,'Source 2026'!$A:$A,"Quantity (units)")</f>
        <v>16</v>
      </c>
      <c r="E152" s="8" t="n">
        <f aca="false">D152-C152</f>
        <v>-9</v>
      </c>
      <c r="F152" s="9" t="n">
        <f aca="false">IF(AND(C152=0,D152=0),0,IF(C152=0,"New",(D152-C152)/C152))</f>
        <v>-0.36</v>
      </c>
      <c r="G152" s="10" t="n">
        <f aca="false">SUMIFS('Source 2025'!$F:$F,'Source 2025'!$B:$B,$A152,'Source 2025'!$A:$A,"Amount (NIS)")</f>
        <v>2336.8</v>
      </c>
      <c r="H152" s="10" t="n">
        <f aca="false">SUMIFS('Source 2026'!$F:$F,'Source 2026'!$B:$B,$A152,'Source 2026'!$A:$A,"Amount (NIS)")</f>
        <v>1514.4</v>
      </c>
      <c r="I152" s="10" t="n">
        <f aca="false">H152-G152</f>
        <v>-822.4</v>
      </c>
      <c r="J152" s="9" t="n">
        <f aca="false">IF(AND(G152=0,H152=0),0,IF(G152=0,"New",(H152-G152)/G152))</f>
        <v>-0.35193426908593</v>
      </c>
    </row>
    <row r="153" customFormat="false" ht="15" hidden="false" customHeight="false" outlineLevel="0" collapsed="false">
      <c r="A153" s="7" t="s">
        <v>191</v>
      </c>
      <c r="B153" s="7" t="str">
        <f aca="false">IFERROR(INDEX('Source 2026'!$C:$C,MATCH($A153,'Source 2026'!$B:$B,0)),IFERROR(INDEX('Source 2025'!$C:$C,MATCH($A153,'Source 2025'!$B:$B,0)),""))</f>
        <v>S מגן שוק</v>
      </c>
      <c r="C153" s="8" t="n">
        <f aca="false">SUMIFS('Source 2025'!$F:$F,'Source 2025'!$B:$B,$A153,'Source 2025'!$A:$A,"Quantity (units)")</f>
        <v>8</v>
      </c>
      <c r="D153" s="8" t="n">
        <f aca="false">SUMIFS('Source 2026'!$F:$F,'Source 2026'!$B:$B,$A153,'Source 2026'!$A:$A,"Quantity (units)")</f>
        <v>0</v>
      </c>
      <c r="E153" s="8" t="n">
        <f aca="false">D153-C153</f>
        <v>-8</v>
      </c>
      <c r="F153" s="9" t="n">
        <f aca="false">IF(AND(C153=0,D153=0),0,IF(C153=0,"New",(D153-C153)/C153))</f>
        <v>-1</v>
      </c>
      <c r="G153" s="10" t="n">
        <f aca="false">SUMIFS('Source 2025'!$F:$F,'Source 2025'!$B:$B,$A153,'Source 2025'!$A:$A,"Amount (NIS)")</f>
        <v>804.6</v>
      </c>
      <c r="H153" s="10" t="n">
        <f aca="false">SUMIFS('Source 2026'!$F:$F,'Source 2026'!$B:$B,$A153,'Source 2026'!$A:$A,"Amount (NIS)")</f>
        <v>0</v>
      </c>
      <c r="I153" s="10" t="n">
        <f aca="false">H153-G153</f>
        <v>-804.6</v>
      </c>
      <c r="J153" s="9" t="n">
        <f aca="false">IF(AND(G153=0,H153=0),0,IF(G153=0,"New",(H153-G153)/G153))</f>
        <v>-1</v>
      </c>
    </row>
    <row r="154" customFormat="false" ht="15" hidden="false" customHeight="false" outlineLevel="0" collapsed="false">
      <c r="A154" s="7" t="s">
        <v>292</v>
      </c>
      <c r="B154" s="7" t="str">
        <f aca="false">IFERROR(INDEX('Source 2026'!$C:$C,MATCH($A154,'Source 2026'!$B:$B,0)),IFERROR(INDEX('Source 2025'!$C:$C,MATCH($A154,'Source 2025'!$B:$B,0)),""))</f>
        <v>גרבי קיץ אנטי בקטריא39-42</v>
      </c>
      <c r="C154" s="8" t="n">
        <f aca="false">SUMIFS('Source 2025'!$F:$F,'Source 2025'!$B:$B,$A154,'Source 2025'!$A:$A,"Quantity (units)")</f>
        <v>0</v>
      </c>
      <c r="D154" s="8" t="n">
        <f aca="false">SUMIFS('Source 2026'!$F:$F,'Source 2026'!$B:$B,$A154,'Source 2026'!$A:$A,"Quantity (units)")</f>
        <v>27</v>
      </c>
      <c r="E154" s="8" t="n">
        <f aca="false">D154-C154</f>
        <v>27</v>
      </c>
      <c r="F154" s="9" t="str">
        <f aca="false">IF(AND(C154=0,D154=0),0,IF(C154=0,"New",(D154-C154)/C154))</f>
        <v>New</v>
      </c>
      <c r="G154" s="10" t="n">
        <f aca="false">SUMIFS('Source 2025'!$F:$F,'Source 2025'!$B:$B,$A154,'Source 2025'!$A:$A,"Amount (NIS)")</f>
        <v>0</v>
      </c>
      <c r="H154" s="10" t="n">
        <f aca="false">SUMIFS('Source 2026'!$F:$F,'Source 2026'!$B:$B,$A154,'Source 2026'!$A:$A,"Amount (NIS)")</f>
        <v>797.1</v>
      </c>
      <c r="I154" s="10" t="n">
        <f aca="false">H154-G154</f>
        <v>797.1</v>
      </c>
      <c r="J154" s="9" t="str">
        <f aca="false">IF(AND(G154=0,H154=0),0,IF(G154=0,"New",(H154-G154)/G154))</f>
        <v>New</v>
      </c>
    </row>
    <row r="155" customFormat="false" ht="15" hidden="false" customHeight="false" outlineLevel="0" collapsed="false">
      <c r="A155" s="7" t="s">
        <v>199</v>
      </c>
      <c r="B155" s="7" t="str">
        <f aca="false">IFERROR(INDEX('Source 2026'!$C:$C,MATCH($A155,'Source 2026'!$B:$B,0)),IFERROR(INDEX('Source 2025'!$C:$C,MATCH($A155,'Source 2025'!$B:$B,0)),""))</f>
        <v>רפ.אורטופדית ספורט זוג35</v>
      </c>
      <c r="C155" s="8" t="n">
        <f aca="false">SUMIFS('Source 2025'!$F:$F,'Source 2025'!$B:$B,$A155,'Source 2025'!$A:$A,"Quantity (units)")</f>
        <v>16</v>
      </c>
      <c r="D155" s="8" t="n">
        <f aca="false">SUMIFS('Source 2026'!$F:$F,'Source 2026'!$B:$B,$A155,'Source 2026'!$A:$A,"Quantity (units)")</f>
        <v>-2</v>
      </c>
      <c r="E155" s="8" t="n">
        <f aca="false">D155-C155</f>
        <v>-18</v>
      </c>
      <c r="F155" s="9" t="n">
        <f aca="false">IF(AND(C155=0,D155=0),0,IF(C155=0,"New",(D155-C155)/C155))</f>
        <v>-1.125</v>
      </c>
      <c r="G155" s="10" t="n">
        <f aca="false">SUMIFS('Source 2025'!$F:$F,'Source 2025'!$B:$B,$A155,'Source 2025'!$A:$A,"Amount (NIS)")</f>
        <v>664.8</v>
      </c>
      <c r="H155" s="10" t="n">
        <f aca="false">SUMIFS('Source 2026'!$F:$F,'Source 2026'!$B:$B,$A155,'Source 2026'!$A:$A,"Amount (NIS)")</f>
        <v>-69.3</v>
      </c>
      <c r="I155" s="10" t="n">
        <f aca="false">H155-G155</f>
        <v>-734.1</v>
      </c>
      <c r="J155" s="9" t="n">
        <f aca="false">IF(AND(G155=0,H155=0),0,IF(G155=0,"New",(H155-G155)/G155))</f>
        <v>-1.10424187725632</v>
      </c>
    </row>
    <row r="156" customFormat="false" ht="15" hidden="false" customHeight="false" outlineLevel="0" collapsed="false">
      <c r="A156" s="7" t="s">
        <v>192</v>
      </c>
      <c r="B156" s="7" t="str">
        <f aca="false">IFERROR(INDEX('Source 2026'!$C:$C,MATCH($A156,'Source 2026'!$B:$B,0)),IFERROR(INDEX('Source 2025'!$C:$C,MATCH($A156,'Source 2025'!$B:$B,0)),""))</f>
        <v>להסרת עור קשה</v>
      </c>
      <c r="C156" s="8" t="n">
        <f aca="false">SUMIFS('Source 2025'!$F:$F,'Source 2025'!$B:$B,$A156,'Source 2025'!$A:$A,"Quantity (units)")</f>
        <v>49</v>
      </c>
      <c r="D156" s="8" t="n">
        <f aca="false">SUMIFS('Source 2026'!$F:$F,'Source 2026'!$B:$B,$A156,'Source 2026'!$A:$A,"Quantity (units)")</f>
        <v>73</v>
      </c>
      <c r="E156" s="8" t="n">
        <f aca="false">D156-C156</f>
        <v>24</v>
      </c>
      <c r="F156" s="9" t="n">
        <f aca="false">IF(AND(C156=0,D156=0),0,IF(C156=0,"New",(D156-C156)/C156))</f>
        <v>0.489795918367347</v>
      </c>
      <c r="G156" s="10" t="n">
        <f aca="false">SUMIFS('Source 2025'!$F:$F,'Source 2025'!$B:$B,$A156,'Source 2025'!$A:$A,"Amount (NIS)")</f>
        <v>1383.8</v>
      </c>
      <c r="H156" s="10" t="n">
        <f aca="false">SUMIFS('Source 2026'!$F:$F,'Source 2026'!$B:$B,$A156,'Source 2026'!$A:$A,"Amount (NIS)")</f>
        <v>2097.1</v>
      </c>
      <c r="I156" s="10" t="n">
        <f aca="false">H156-G156</f>
        <v>713.3</v>
      </c>
      <c r="J156" s="9" t="n">
        <f aca="false">IF(AND(G156=0,H156=0),0,IF(G156=0,"New",(H156-G156)/G156))</f>
        <v>0.515464662523486</v>
      </c>
    </row>
    <row r="157" customFormat="false" ht="15" hidden="false" customHeight="false" outlineLevel="0" collapsed="false">
      <c r="A157" s="7" t="s">
        <v>75</v>
      </c>
      <c r="B157" s="7" t="str">
        <f aca="false">IFERROR(INDEX('Source 2026'!$C:$C,MATCH($A157,'Source 2026'!$B:$B,0)),IFERROR(INDEX('Source 2025'!$C:$C,MATCH($A157,'Source 2025'!$B:$B,0)),""))</f>
        <v>חבק ""טניס אלבו רצועה</v>
      </c>
      <c r="C157" s="8" t="n">
        <f aca="false">SUMIFS('Source 2025'!$F:$F,'Source 2025'!$B:$B,$A157,'Source 2025'!$A:$A,"Quantity (units)")</f>
        <v>20</v>
      </c>
      <c r="D157" s="8" t="n">
        <f aca="false">SUMIFS('Source 2026'!$F:$F,'Source 2026'!$B:$B,$A157,'Source 2026'!$A:$A,"Quantity (units)")</f>
        <v>11</v>
      </c>
      <c r="E157" s="8" t="n">
        <f aca="false">D157-C157</f>
        <v>-9</v>
      </c>
      <c r="F157" s="9" t="n">
        <f aca="false">IF(AND(C157=0,D157=0),0,IF(C157=0,"New",(D157-C157)/C157))</f>
        <v>-0.45</v>
      </c>
      <c r="G157" s="10" t="n">
        <f aca="false">SUMIFS('Source 2025'!$F:$F,'Source 2025'!$B:$B,$A157,'Source 2025'!$A:$A,"Amount (NIS)")</f>
        <v>1561.4</v>
      </c>
      <c r="H157" s="10" t="n">
        <f aca="false">SUMIFS('Source 2026'!$F:$F,'Source 2026'!$B:$B,$A157,'Source 2026'!$A:$A,"Amount (NIS)")</f>
        <v>859.4</v>
      </c>
      <c r="I157" s="10" t="n">
        <f aca="false">H157-G157</f>
        <v>-702</v>
      </c>
      <c r="J157" s="9" t="n">
        <f aca="false">IF(AND(G157=0,H157=0),0,IF(G157=0,"New",(H157-G157)/G157))</f>
        <v>-0.449596515947227</v>
      </c>
    </row>
    <row r="158" customFormat="false" ht="15" hidden="false" customHeight="false" outlineLevel="0" collapsed="false">
      <c r="A158" s="7" t="s">
        <v>247</v>
      </c>
      <c r="B158" s="7" t="str">
        <f aca="false">IFERROR(INDEX('Source 2026'!$C:$C,MATCH($A158,'Source 2026'!$B:$B,0)),IFERROR(INDEX('Source 2025'!$C:$C,MATCH($A158,'Source 2025'!$B:$B,0)),""))</f>
        <v>ריפוד סיליק.לעקב תחתון</v>
      </c>
      <c r="C158" s="8" t="n">
        <f aca="false">SUMIFS('Source 2025'!$F:$F,'Source 2025'!$B:$B,$A158,'Source 2025'!$A:$A,"Quantity (units)")</f>
        <v>41</v>
      </c>
      <c r="D158" s="8" t="n">
        <f aca="false">SUMIFS('Source 2026'!$F:$F,'Source 2026'!$B:$B,$A158,'Source 2026'!$A:$A,"Quantity (units)")</f>
        <v>11</v>
      </c>
      <c r="E158" s="8" t="n">
        <f aca="false">D158-C158</f>
        <v>-30</v>
      </c>
      <c r="F158" s="9" t="n">
        <f aca="false">IF(AND(C158=0,D158=0),0,IF(C158=0,"New",(D158-C158)/C158))</f>
        <v>-0.731707317073171</v>
      </c>
      <c r="G158" s="10" t="n">
        <f aca="false">SUMIFS('Source 2025'!$F:$F,'Source 2025'!$B:$B,$A158,'Source 2025'!$A:$A,"Amount (NIS)")</f>
        <v>936.7</v>
      </c>
      <c r="H158" s="10" t="n">
        <f aca="false">SUMIFS('Source 2026'!$F:$F,'Source 2026'!$B:$B,$A158,'Source 2026'!$A:$A,"Amount (NIS)")</f>
        <v>243.3</v>
      </c>
      <c r="I158" s="10" t="n">
        <f aca="false">H158-G158</f>
        <v>-693.4</v>
      </c>
      <c r="J158" s="9" t="n">
        <f aca="false">IF(AND(G158=0,H158=0),0,IF(G158=0,"New",(H158-G158)/G158))</f>
        <v>-0.740258353795239</v>
      </c>
    </row>
    <row r="159" customFormat="false" ht="15" hidden="false" customHeight="false" outlineLevel="0" collapsed="false">
      <c r="A159" s="7" t="s">
        <v>293</v>
      </c>
      <c r="B159" s="7" t="str">
        <f aca="false">IFERROR(INDEX('Source 2026'!$C:$C,MATCH($A159,'Source 2026'!$B:$B,0)),IFERROR(INDEX('Source 2025'!$C:$C,MATCH($A159,'Source 2025'!$B:$B,0)),""))</f>
        <v>344-אבן טבעית להסרת עור קשה</v>
      </c>
      <c r="C159" s="8" t="n">
        <f aca="false">SUMIFS('Source 2025'!$F:$F,'Source 2025'!$B:$B,$A159,'Source 2025'!$A:$A,"Quantity (units)")</f>
        <v>261</v>
      </c>
      <c r="D159" s="8" t="n">
        <f aca="false">SUMIFS('Source 2026'!$F:$F,'Source 2026'!$B:$B,$A159,'Source 2026'!$A:$A,"Quantity (units)")</f>
        <v>181</v>
      </c>
      <c r="E159" s="8" t="n">
        <f aca="false">D159-C159</f>
        <v>-80</v>
      </c>
      <c r="F159" s="9" t="n">
        <f aca="false">IF(AND(C159=0,D159=0),0,IF(C159=0,"New",(D159-C159)/C159))</f>
        <v>-0.306513409961686</v>
      </c>
      <c r="G159" s="10" t="n">
        <f aca="false">SUMIFS('Source 2025'!$F:$F,'Source 2025'!$B:$B,$A159,'Source 2025'!$A:$A,"Amount (NIS)")</f>
        <v>2239.4</v>
      </c>
      <c r="H159" s="10" t="n">
        <f aca="false">SUMIFS('Source 2026'!$F:$F,'Source 2026'!$B:$B,$A159,'Source 2026'!$A:$A,"Amount (NIS)")</f>
        <v>1552</v>
      </c>
      <c r="I159" s="10" t="n">
        <f aca="false">H159-G159</f>
        <v>-687.4</v>
      </c>
      <c r="J159" s="9" t="n">
        <f aca="false">IF(AND(G159=0,H159=0),0,IF(G159=0,"New",(H159-G159)/G159))</f>
        <v>-0.306957220684112</v>
      </c>
    </row>
    <row r="160" customFormat="false" ht="15" hidden="false" customHeight="false" outlineLevel="0" collapsed="false">
      <c r="A160" s="7" t="s">
        <v>202</v>
      </c>
      <c r="B160" s="7" t="str">
        <f aca="false">IFERROR(INDEX('Source 2026'!$C:$C,MATCH($A160,'Source 2026'!$B:$B,0)),IFERROR(INDEX('Source 2025'!$C:$C,MATCH($A160,'Source 2025'!$B:$B,0)),""))</f>
        <v>S ח.הריון מכנס למניעת כאבים</v>
      </c>
      <c r="C160" s="8" t="n">
        <f aca="false">SUMIFS('Source 2025'!$F:$F,'Source 2025'!$B:$B,$A160,'Source 2025'!$A:$A,"Quantity (units)")</f>
        <v>-1</v>
      </c>
      <c r="D160" s="8" t="n">
        <f aca="false">SUMIFS('Source 2026'!$F:$F,'Source 2026'!$B:$B,$A160,'Source 2026'!$A:$A,"Quantity (units)")</f>
        <v>-4</v>
      </c>
      <c r="E160" s="8" t="n">
        <f aca="false">D160-C160</f>
        <v>-3</v>
      </c>
      <c r="F160" s="9" t="n">
        <f aca="false">IF(AND(C160=0,D160=0),0,IF(C160=0,"New",(D160-C160)/C160))</f>
        <v>3</v>
      </c>
      <c r="G160" s="10" t="n">
        <f aca="false">SUMIFS('Source 2025'!$F:$F,'Source 2025'!$B:$B,$A160,'Source 2025'!$A:$A,"Amount (NIS)")</f>
        <v>-307.2</v>
      </c>
      <c r="H160" s="10" t="n">
        <f aca="false">SUMIFS('Source 2026'!$F:$F,'Source 2026'!$B:$B,$A160,'Source 2026'!$A:$A,"Amount (NIS)")</f>
        <v>-990</v>
      </c>
      <c r="I160" s="10" t="n">
        <f aca="false">H160-G160</f>
        <v>-682.8</v>
      </c>
      <c r="J160" s="9" t="n">
        <f aca="false">IF(AND(G160=0,H160=0),0,IF(G160=0,"New",(H160-G160)/G160))</f>
        <v>2.22265625</v>
      </c>
    </row>
    <row r="161" customFormat="false" ht="15" hidden="false" customHeight="false" outlineLevel="0" collapsed="false">
      <c r="A161" s="7" t="s">
        <v>294</v>
      </c>
      <c r="B161" s="7" t="str">
        <f aca="false">IFERROR(INDEX('Source 2026'!$C:$C,MATCH($A161,'Source 2026'!$B:$B,0)),IFERROR(INDEX('Source 2025'!$C:$C,MATCH($A161,'Source 2025'!$B:$B,0)),""))</f>
        <v>מגן קרסול נושם</v>
      </c>
      <c r="C161" s="8" t="n">
        <f aca="false">SUMIFS('Source 2025'!$F:$F,'Source 2025'!$B:$B,$A161,'Source 2025'!$A:$A,"Quantity (units)")</f>
        <v>363</v>
      </c>
      <c r="D161" s="8" t="n">
        <f aca="false">SUMIFS('Source 2026'!$F:$F,'Source 2026'!$B:$B,$A161,'Source 2026'!$A:$A,"Quantity (units)")</f>
        <v>326</v>
      </c>
      <c r="E161" s="8" t="n">
        <f aca="false">D161-C161</f>
        <v>-37</v>
      </c>
      <c r="F161" s="9" t="n">
        <f aca="false">IF(AND(C161=0,D161=0),0,IF(C161=0,"New",(D161-C161)/C161))</f>
        <v>-0.101928374655647</v>
      </c>
      <c r="G161" s="10" t="n">
        <f aca="false">SUMIFS('Source 2025'!$F:$F,'Source 2025'!$B:$B,$A161,'Source 2025'!$A:$A,"Amount (NIS)")</f>
        <v>11419.5</v>
      </c>
      <c r="H161" s="10" t="n">
        <f aca="false">SUMIFS('Source 2026'!$F:$F,'Source 2026'!$B:$B,$A161,'Source 2026'!$A:$A,"Amount (NIS)")</f>
        <v>10761.9</v>
      </c>
      <c r="I161" s="10" t="n">
        <f aca="false">H161-G161</f>
        <v>-657.6</v>
      </c>
      <c r="J161" s="9" t="n">
        <f aca="false">IF(AND(G161=0,H161=0),0,IF(G161=0,"New",(H161-G161)/G161))</f>
        <v>-0.0575857086562459</v>
      </c>
    </row>
    <row r="162" customFormat="false" ht="15" hidden="false" customHeight="false" outlineLevel="0" collapsed="false">
      <c r="A162" s="7" t="s">
        <v>295</v>
      </c>
      <c r="B162" s="7" t="str">
        <f aca="false">IFERROR(INDEX('Source 2026'!$C:$C,MATCH($A162,'Source 2026'!$B:$B,0)),IFERROR(INDEX('Source 2025'!$C:$C,MATCH($A162,'Source 2025'!$B:$B,0)),""))</f>
        <v>רצועה לפיקה</v>
      </c>
      <c r="C162" s="8" t="n">
        <f aca="false">SUMIFS('Source 2025'!$F:$F,'Source 2025'!$B:$B,$A162,'Source 2025'!$A:$A,"Quantity (units)")</f>
        <v>0</v>
      </c>
      <c r="D162" s="8" t="n">
        <f aca="false">SUMIFS('Source 2026'!$F:$F,'Source 2026'!$B:$B,$A162,'Source 2026'!$A:$A,"Quantity (units)")</f>
        <v>8</v>
      </c>
      <c r="E162" s="8" t="n">
        <f aca="false">D162-C162</f>
        <v>8</v>
      </c>
      <c r="F162" s="9" t="str">
        <f aca="false">IF(AND(C162=0,D162=0),0,IF(C162=0,"New",(D162-C162)/C162))</f>
        <v>New</v>
      </c>
      <c r="G162" s="10" t="n">
        <f aca="false">SUMIFS('Source 2025'!$F:$F,'Source 2025'!$B:$B,$A162,'Source 2025'!$A:$A,"Amount (NIS)")</f>
        <v>0</v>
      </c>
      <c r="H162" s="10" t="n">
        <f aca="false">SUMIFS('Source 2026'!$F:$F,'Source 2026'!$B:$B,$A162,'Source 2026'!$A:$A,"Amount (NIS)")</f>
        <v>646.3</v>
      </c>
      <c r="I162" s="10" t="n">
        <f aca="false">H162-G162</f>
        <v>646.3</v>
      </c>
      <c r="J162" s="9" t="str">
        <f aca="false">IF(AND(G162=0,H162=0),0,IF(G162=0,"New",(H162-G162)/G162))</f>
        <v>New</v>
      </c>
    </row>
    <row r="163" customFormat="false" ht="15" hidden="false" customHeight="false" outlineLevel="0" collapsed="false">
      <c r="A163" s="7" t="s">
        <v>165</v>
      </c>
      <c r="B163" s="7" t="str">
        <f aca="false">IFERROR(INDEX('Source 2026'!$C:$C,MATCH($A163,'Source 2026'!$B:$B,0)),IFERROR(INDEX('Source 2025'!$C:$C,MATCH($A163,'Source 2025'!$B:$B,0)),""))</f>
        <v>S מגן קרסול ימין</v>
      </c>
      <c r="C163" s="8" t="n">
        <f aca="false">SUMIFS('Source 2025'!$F:$F,'Source 2025'!$B:$B,$A163,'Source 2025'!$A:$A,"Quantity (units)")</f>
        <v>17</v>
      </c>
      <c r="D163" s="8" t="n">
        <f aca="false">SUMIFS('Source 2026'!$F:$F,'Source 2026'!$B:$B,$A163,'Source 2026'!$A:$A,"Quantity (units)")</f>
        <v>22</v>
      </c>
      <c r="E163" s="8" t="n">
        <f aca="false">D163-C163</f>
        <v>5</v>
      </c>
      <c r="F163" s="9" t="n">
        <f aca="false">IF(AND(C163=0,D163=0),0,IF(C163=0,"New",(D163-C163)/C163))</f>
        <v>0.294117647058824</v>
      </c>
      <c r="G163" s="10" t="n">
        <f aca="false">SUMIFS('Source 2025'!$F:$F,'Source 2025'!$B:$B,$A163,'Source 2025'!$A:$A,"Amount (NIS)")</f>
        <v>1343.2</v>
      </c>
      <c r="H163" s="10" t="n">
        <f aca="false">SUMIFS('Source 2026'!$F:$F,'Source 2026'!$B:$B,$A163,'Source 2026'!$A:$A,"Amount (NIS)")</f>
        <v>1985.8</v>
      </c>
      <c r="I163" s="10" t="n">
        <f aca="false">H163-G163</f>
        <v>642.6</v>
      </c>
      <c r="J163" s="9" t="n">
        <f aca="false">IF(AND(G163=0,H163=0),0,IF(G163=0,"New",(H163-G163)/G163))</f>
        <v>0.47840976771888</v>
      </c>
    </row>
    <row r="164" customFormat="false" ht="15" hidden="false" customHeight="false" outlineLevel="0" collapsed="false">
      <c r="A164" s="7" t="s">
        <v>216</v>
      </c>
      <c r="B164" s="7" t="str">
        <f aca="false">IFERROR(INDEX('Source 2026'!$C:$C,MATCH($A164,'Source 2026'!$B:$B,0)),IFERROR(INDEX('Source 2025'!$C:$C,MATCH($A164,'Source 2025'!$B:$B,0)),""))</f>
        <v>מגן קרסול+כרית סילקון</v>
      </c>
      <c r="C164" s="8" t="n">
        <f aca="false">SUMIFS('Source 2025'!$F:$F,'Source 2025'!$B:$B,$A164,'Source 2025'!$A:$A,"Quantity (units)")</f>
        <v>0</v>
      </c>
      <c r="D164" s="8" t="n">
        <f aca="false">SUMIFS('Source 2026'!$F:$F,'Source 2026'!$B:$B,$A164,'Source 2026'!$A:$A,"Quantity (units)")</f>
        <v>5</v>
      </c>
      <c r="E164" s="8" t="n">
        <f aca="false">D164-C164</f>
        <v>5</v>
      </c>
      <c r="F164" s="9" t="str">
        <f aca="false">IF(AND(C164=0,D164=0),0,IF(C164=0,"New",(D164-C164)/C164))</f>
        <v>New</v>
      </c>
      <c r="G164" s="10" t="n">
        <f aca="false">SUMIFS('Source 2025'!$F:$F,'Source 2025'!$B:$B,$A164,'Source 2025'!$A:$A,"Amount (NIS)")</f>
        <v>0</v>
      </c>
      <c r="H164" s="10" t="n">
        <f aca="false">SUMIFS('Source 2026'!$F:$F,'Source 2026'!$B:$B,$A164,'Source 2026'!$A:$A,"Amount (NIS)")</f>
        <v>639.6</v>
      </c>
      <c r="I164" s="10" t="n">
        <f aca="false">H164-G164</f>
        <v>639.6</v>
      </c>
      <c r="J164" s="9" t="str">
        <f aca="false">IF(AND(G164=0,H164=0),0,IF(G164=0,"New",(H164-G164)/G164))</f>
        <v>New</v>
      </c>
    </row>
    <row r="165" customFormat="false" ht="15" hidden="false" customHeight="false" outlineLevel="0" collapsed="false">
      <c r="A165" s="7" t="s">
        <v>296</v>
      </c>
      <c r="B165" s="7" t="str">
        <f aca="false">IFERROR(INDEX('Source 2026'!$C:$C,MATCH($A165,'Source 2026'!$B:$B,0)),IFERROR(INDEX('Source 2025'!$C:$C,MATCH($A165,'Source 2025'!$B:$B,0)),""))</f>
        <v>קרם רגליים שיקומי</v>
      </c>
      <c r="C165" s="8" t="n">
        <f aca="false">SUMIFS('Source 2025'!$F:$F,'Source 2025'!$B:$B,$A165,'Source 2025'!$A:$A,"Quantity (units)")</f>
        <v>-17</v>
      </c>
      <c r="D165" s="8" t="n">
        <f aca="false">SUMIFS('Source 2026'!$F:$F,'Source 2026'!$B:$B,$A165,'Source 2026'!$A:$A,"Quantity (units)")</f>
        <v>-4</v>
      </c>
      <c r="E165" s="8" t="n">
        <f aca="false">D165-C165</f>
        <v>13</v>
      </c>
      <c r="F165" s="9" t="n">
        <f aca="false">IF(AND(C165=0,D165=0),0,IF(C165=0,"New",(D165-C165)/C165))</f>
        <v>-0.764705882352941</v>
      </c>
      <c r="G165" s="10" t="n">
        <f aca="false">SUMIFS('Source 2025'!$F:$F,'Source 2025'!$B:$B,$A165,'Source 2025'!$A:$A,"Amount (NIS)")</f>
        <v>-768.2</v>
      </c>
      <c r="H165" s="10" t="n">
        <f aca="false">SUMIFS('Source 2026'!$F:$F,'Source 2026'!$B:$B,$A165,'Source 2026'!$A:$A,"Amount (NIS)")</f>
        <v>-132.5</v>
      </c>
      <c r="I165" s="10" t="n">
        <f aca="false">H165-G165</f>
        <v>635.7</v>
      </c>
      <c r="J165" s="9" t="n">
        <f aca="false">IF(AND(G165=0,H165=0),0,IF(G165=0,"New",(H165-G165)/G165))</f>
        <v>-0.827518875292893</v>
      </c>
    </row>
    <row r="166" customFormat="false" ht="15" hidden="false" customHeight="false" outlineLevel="0" collapsed="false">
      <c r="A166" s="7" t="s">
        <v>194</v>
      </c>
      <c r="B166" s="7" t="str">
        <f aca="false">IFERROR(INDEX('Source 2026'!$C:$C,MATCH($A166,'Source 2026'!$B:$B,0)),IFERROR(INDEX('Source 2025'!$C:$C,MATCH($A166,'Source 2025'!$B:$B,0)),""))</f>
        <v>סכינים למקצוע</v>
      </c>
      <c r="C166" s="8" t="n">
        <f aca="false">SUMIFS('Source 2025'!$F:$F,'Source 2025'!$B:$B,$A166,'Source 2025'!$A:$A,"Quantity (units)")</f>
        <v>44</v>
      </c>
      <c r="D166" s="8" t="n">
        <f aca="false">SUMIFS('Source 2026'!$F:$F,'Source 2026'!$B:$B,$A166,'Source 2026'!$A:$A,"Quantity (units)")</f>
        <v>109</v>
      </c>
      <c r="E166" s="8" t="n">
        <f aca="false">D166-C166</f>
        <v>65</v>
      </c>
      <c r="F166" s="9" t="n">
        <f aca="false">IF(AND(C166=0,D166=0),0,IF(C166=0,"New",(D166-C166)/C166))</f>
        <v>1.47727272727273</v>
      </c>
      <c r="G166" s="10" t="n">
        <f aca="false">SUMIFS('Source 2025'!$F:$F,'Source 2025'!$B:$B,$A166,'Source 2025'!$A:$A,"Amount (NIS)")</f>
        <v>419.3</v>
      </c>
      <c r="H166" s="10" t="n">
        <f aca="false">SUMIFS('Source 2026'!$F:$F,'Source 2026'!$B:$B,$A166,'Source 2026'!$A:$A,"Amount (NIS)")</f>
        <v>1044</v>
      </c>
      <c r="I166" s="10" t="n">
        <f aca="false">H166-G166</f>
        <v>624.7</v>
      </c>
      <c r="J166" s="9" t="n">
        <f aca="false">IF(AND(G166=0,H166=0),0,IF(G166=0,"New",(H166-G166)/G166))</f>
        <v>1.4898640591462</v>
      </c>
    </row>
    <row r="167" customFormat="false" ht="15" hidden="false" customHeight="false" outlineLevel="0" collapsed="false">
      <c r="A167" s="7" t="s">
        <v>139</v>
      </c>
      <c r="B167" s="7" t="str">
        <f aca="false">IFERROR(INDEX('Source 2026'!$C:$C,MATCH($A167,'Source 2026'!$B:$B,0)),IFERROR(INDEX('Source 2025'!$C:$C,MATCH($A167,'Source 2025'!$B:$B,0)),""))</f>
        <v>כפפות אגודל לחץ</v>
      </c>
      <c r="C167" s="8" t="n">
        <f aca="false">SUMIFS('Source 2025'!$F:$F,'Source 2025'!$B:$B,$A167,'Source 2025'!$A:$A,"Quantity (units)")</f>
        <v>44</v>
      </c>
      <c r="D167" s="8" t="n">
        <f aca="false">SUMIFS('Source 2026'!$F:$F,'Source 2026'!$B:$B,$A167,'Source 2026'!$A:$A,"Quantity (units)")</f>
        <v>27</v>
      </c>
      <c r="E167" s="8" t="n">
        <f aca="false">D167-C167</f>
        <v>-17</v>
      </c>
      <c r="F167" s="9" t="n">
        <f aca="false">IF(AND(C167=0,D167=0),0,IF(C167=0,"New",(D167-C167)/C167))</f>
        <v>-0.386363636363636</v>
      </c>
      <c r="G167" s="10" t="n">
        <f aca="false">SUMIFS('Source 2025'!$F:$F,'Source 2025'!$B:$B,$A167,'Source 2025'!$A:$A,"Amount (NIS)")</f>
        <v>1685.9</v>
      </c>
      <c r="H167" s="10" t="n">
        <f aca="false">SUMIFS('Source 2026'!$F:$F,'Source 2026'!$B:$B,$A167,'Source 2026'!$A:$A,"Amount (NIS)")</f>
        <v>1063.8</v>
      </c>
      <c r="I167" s="10" t="n">
        <f aca="false">H167-G167</f>
        <v>-622.1</v>
      </c>
      <c r="J167" s="9" t="n">
        <f aca="false">IF(AND(G167=0,H167=0),0,IF(G167=0,"New",(H167-G167)/G167))</f>
        <v>-0.369001720149475</v>
      </c>
    </row>
    <row r="168" customFormat="false" ht="15" hidden="false" customHeight="false" outlineLevel="0" collapsed="false">
      <c r="A168" s="7" t="s">
        <v>148</v>
      </c>
      <c r="B168" s="7" t="str">
        <f aca="false">IFERROR(INDEX('Source 2026'!$C:$C,MATCH($A168,'Source 2026'!$B:$B,0)),IFERROR(INDEX('Source 2025'!$C:$C,MATCH($A168,'Source 2025'!$B:$B,0)),""))</f>
        <v>0 כרית חום וקור</v>
      </c>
      <c r="C168" s="8" t="n">
        <f aca="false">SUMIFS('Source 2025'!$F:$F,'Source 2025'!$B:$B,$A168,'Source 2025'!$A:$A,"Quantity (units)")</f>
        <v>49</v>
      </c>
      <c r="D168" s="8" t="n">
        <f aca="false">SUMIFS('Source 2026'!$F:$F,'Source 2026'!$B:$B,$A168,'Source 2026'!$A:$A,"Quantity (units)")</f>
        <v>36</v>
      </c>
      <c r="E168" s="8" t="n">
        <f aca="false">D168-C168</f>
        <v>-13</v>
      </c>
      <c r="F168" s="9" t="n">
        <f aca="false">IF(AND(C168=0,D168=0),0,IF(C168=0,"New",(D168-C168)/C168))</f>
        <v>-0.26530612244898</v>
      </c>
      <c r="G168" s="10" t="n">
        <f aca="false">SUMIFS('Source 2025'!$F:$F,'Source 2025'!$B:$B,$A168,'Source 2025'!$A:$A,"Amount (NIS)")</f>
        <v>2276.2</v>
      </c>
      <c r="H168" s="10" t="n">
        <f aca="false">SUMIFS('Source 2026'!$F:$F,'Source 2026'!$B:$B,$A168,'Source 2026'!$A:$A,"Amount (NIS)")</f>
        <v>1677.4</v>
      </c>
      <c r="I168" s="10" t="n">
        <f aca="false">H168-G168</f>
        <v>-598.8</v>
      </c>
      <c r="J168" s="9" t="n">
        <f aca="false">IF(AND(G168=0,H168=0),0,IF(G168=0,"New",(H168-G168)/G168))</f>
        <v>-0.263070028995695</v>
      </c>
    </row>
    <row r="169" customFormat="false" ht="15" hidden="false" customHeight="false" outlineLevel="0" collapsed="false">
      <c r="A169" s="7" t="s">
        <v>55</v>
      </c>
      <c r="B169" s="7" t="str">
        <f aca="false">IFERROR(INDEX('Source 2026'!$C:$C,MATCH($A169,'Source 2026'!$B:$B,0)),IFERROR(INDEX('Source 2025'!$C:$C,MATCH($A169,'Source 2025'!$B:$B,0)),""))</f>
        <v>חגורת גב אפורה</v>
      </c>
      <c r="C169" s="8" t="n">
        <f aca="false">SUMIFS('Source 2025'!$F:$F,'Source 2025'!$B:$B,$A169,'Source 2025'!$A:$A,"Quantity (units)")</f>
        <v>49</v>
      </c>
      <c r="D169" s="8" t="n">
        <f aca="false">SUMIFS('Source 2026'!$F:$F,'Source 2026'!$B:$B,$A169,'Source 2026'!$A:$A,"Quantity (units)")</f>
        <v>43</v>
      </c>
      <c r="E169" s="8" t="n">
        <f aca="false">D169-C169</f>
        <v>-6</v>
      </c>
      <c r="F169" s="9" t="n">
        <f aca="false">IF(AND(C169=0,D169=0),0,IF(C169=0,"New",(D169-C169)/C169))</f>
        <v>-0.122448979591837</v>
      </c>
      <c r="G169" s="10" t="n">
        <f aca="false">SUMIFS('Source 2025'!$F:$F,'Source 2025'!$B:$B,$A169,'Source 2025'!$A:$A,"Amount (NIS)")</f>
        <v>5547.9</v>
      </c>
      <c r="H169" s="10" t="n">
        <f aca="false">SUMIFS('Source 2026'!$F:$F,'Source 2026'!$B:$B,$A169,'Source 2026'!$A:$A,"Amount (NIS)")</f>
        <v>4953.8</v>
      </c>
      <c r="I169" s="10" t="n">
        <f aca="false">H169-G169</f>
        <v>-594.1</v>
      </c>
      <c r="J169" s="9" t="n">
        <f aca="false">IF(AND(G169=0,H169=0),0,IF(G169=0,"New",(H169-G169)/G169))</f>
        <v>-0.107085563907064</v>
      </c>
    </row>
    <row r="170" customFormat="false" ht="15" hidden="false" customHeight="false" outlineLevel="0" collapsed="false">
      <c r="A170" s="7" t="s">
        <v>146</v>
      </c>
      <c r="B170" s="7" t="str">
        <f aca="false">IFERROR(INDEX('Source 2026'!$C:$C,MATCH($A170,'Source 2026'!$B:$B,0)),IFERROR(INDEX('Source 2025'!$C:$C,MATCH($A170,'Source 2025'!$B:$B,0)),""))</f>
        <v>מפריד הלוקס</v>
      </c>
      <c r="C170" s="8" t="n">
        <f aca="false">SUMIFS('Source 2025'!$F:$F,'Source 2025'!$B:$B,$A170,'Source 2025'!$A:$A,"Quantity (units)")</f>
        <v>11</v>
      </c>
      <c r="D170" s="8" t="n">
        <f aca="false">SUMIFS('Source 2026'!$F:$F,'Source 2026'!$B:$B,$A170,'Source 2026'!$A:$A,"Quantity (units)")</f>
        <v>20</v>
      </c>
      <c r="E170" s="8" t="n">
        <f aca="false">D170-C170</f>
        <v>9</v>
      </c>
      <c r="F170" s="9" t="n">
        <f aca="false">IF(AND(C170=0,D170=0),0,IF(C170=0,"New",(D170-C170)/C170))</f>
        <v>0.818181818181818</v>
      </c>
      <c r="G170" s="10" t="n">
        <f aca="false">SUMIFS('Source 2025'!$F:$F,'Source 2025'!$B:$B,$A170,'Source 2025'!$A:$A,"Amount (NIS)")</f>
        <v>676</v>
      </c>
      <c r="H170" s="10" t="n">
        <f aca="false">SUMIFS('Source 2026'!$F:$F,'Source 2026'!$B:$B,$A170,'Source 2026'!$A:$A,"Amount (NIS)")</f>
        <v>1261.5</v>
      </c>
      <c r="I170" s="10" t="n">
        <f aca="false">H170-G170</f>
        <v>585.5</v>
      </c>
      <c r="J170" s="9" t="n">
        <f aca="false">IF(AND(G170=0,H170=0),0,IF(G170=0,"New",(H170-G170)/G170))</f>
        <v>0.86612426035503</v>
      </c>
    </row>
    <row r="171" customFormat="false" ht="15" hidden="false" customHeight="false" outlineLevel="0" collapsed="false">
      <c r="A171" s="7" t="s">
        <v>131</v>
      </c>
      <c r="B171" s="7" t="str">
        <f aca="false">IFERROR(INDEX('Source 2026'!$C:$C,MATCH($A171,'Source 2026'!$B:$B,0)),IFERROR(INDEX('Source 2025'!$C:$C,MATCH($A171,'Source 2025'!$B:$B,0)),""))</f>
        <v>כפפות לחץ</v>
      </c>
      <c r="C171" s="8" t="n">
        <f aca="false">SUMIFS('Source 2025'!$F:$F,'Source 2025'!$B:$B,$A171,'Source 2025'!$A:$A,"Quantity (units)")</f>
        <v>32</v>
      </c>
      <c r="D171" s="8" t="n">
        <f aca="false">SUMIFS('Source 2026'!$F:$F,'Source 2026'!$B:$B,$A171,'Source 2026'!$A:$A,"Quantity (units)")</f>
        <v>16</v>
      </c>
      <c r="E171" s="8" t="n">
        <f aca="false">D171-C171</f>
        <v>-16</v>
      </c>
      <c r="F171" s="9" t="n">
        <f aca="false">IF(AND(C171=0,D171=0),0,IF(C171=0,"New",(D171-C171)/C171))</f>
        <v>-0.5</v>
      </c>
      <c r="G171" s="10" t="n">
        <f aca="false">SUMIFS('Source 2025'!$F:$F,'Source 2025'!$B:$B,$A171,'Source 2025'!$A:$A,"Amount (NIS)")</f>
        <v>1162.2</v>
      </c>
      <c r="H171" s="10" t="n">
        <f aca="false">SUMIFS('Source 2026'!$F:$F,'Source 2026'!$B:$B,$A171,'Source 2026'!$A:$A,"Amount (NIS)")</f>
        <v>591.7</v>
      </c>
      <c r="I171" s="10" t="n">
        <f aca="false">H171-G171</f>
        <v>-570.5</v>
      </c>
      <c r="J171" s="9" t="n">
        <f aca="false">IF(AND(G171=0,H171=0),0,IF(G171=0,"New",(H171-G171)/G171))</f>
        <v>-0.490879366718293</v>
      </c>
    </row>
    <row r="172" customFormat="false" ht="15" hidden="false" customHeight="false" outlineLevel="0" collapsed="false">
      <c r="A172" s="7" t="s">
        <v>154</v>
      </c>
      <c r="B172" s="7" t="str">
        <f aca="false">IFERROR(INDEX('Source 2026'!$C:$C,MATCH($A172,'Source 2026'!$B:$B,0)),IFERROR(INDEX('Source 2025'!$C:$C,MATCH($A172,'Source 2025'!$B:$B,0)),""))</f>
        <v>כפפות אגודל לחץ</v>
      </c>
      <c r="C172" s="8" t="n">
        <f aca="false">SUMIFS('Source 2025'!$F:$F,'Source 2025'!$B:$B,$A172,'Source 2025'!$A:$A,"Quantity (units)")</f>
        <v>28</v>
      </c>
      <c r="D172" s="8" t="n">
        <f aca="false">SUMIFS('Source 2026'!$F:$F,'Source 2026'!$B:$B,$A172,'Source 2026'!$A:$A,"Quantity (units)")</f>
        <v>13</v>
      </c>
      <c r="E172" s="8" t="n">
        <f aca="false">D172-C172</f>
        <v>-15</v>
      </c>
      <c r="F172" s="9" t="n">
        <f aca="false">IF(AND(C172=0,D172=0),0,IF(C172=0,"New",(D172-C172)/C172))</f>
        <v>-0.535714285714286</v>
      </c>
      <c r="G172" s="10" t="n">
        <f aca="false">SUMIFS('Source 2025'!$F:$F,'Source 2025'!$B:$B,$A172,'Source 2025'!$A:$A,"Amount (NIS)")</f>
        <v>1071.9</v>
      </c>
      <c r="H172" s="10" t="n">
        <f aca="false">SUMIFS('Source 2026'!$F:$F,'Source 2026'!$B:$B,$A172,'Source 2026'!$A:$A,"Amount (NIS)")</f>
        <v>512</v>
      </c>
      <c r="I172" s="10" t="n">
        <f aca="false">H172-G172</f>
        <v>-559.9</v>
      </c>
      <c r="J172" s="9" t="n">
        <f aca="false">IF(AND(G172=0,H172=0),0,IF(G172=0,"New",(H172-G172)/G172))</f>
        <v>-0.522343502192369</v>
      </c>
    </row>
    <row r="173" customFormat="false" ht="15" hidden="false" customHeight="false" outlineLevel="0" collapsed="false">
      <c r="A173" s="7" t="s">
        <v>297</v>
      </c>
      <c r="B173" s="7" t="str">
        <f aca="false">IFERROR(INDEX('Source 2026'!$C:$C,MATCH($A173,'Source 2026'!$B:$B,0)),IFERROR(INDEX('Source 2025'!$C:$C,MATCH($A173,'Source 2025'!$B:$B,0)),""))</f>
        <v>טייפ חבישה לספורט</v>
      </c>
      <c r="C173" s="8" t="n">
        <f aca="false">SUMIFS('Source 2025'!$F:$F,'Source 2025'!$B:$B,$A173,'Source 2025'!$A:$A,"Quantity (units)")</f>
        <v>26</v>
      </c>
      <c r="D173" s="8" t="n">
        <f aca="false">SUMIFS('Source 2026'!$F:$F,'Source 2026'!$B:$B,$A173,'Source 2026'!$A:$A,"Quantity (units)")</f>
        <v>56</v>
      </c>
      <c r="E173" s="8" t="n">
        <f aca="false">D173-C173</f>
        <v>30</v>
      </c>
      <c r="F173" s="9" t="n">
        <f aca="false">IF(AND(C173=0,D173=0),0,IF(C173=0,"New",(D173-C173)/C173))</f>
        <v>1.15384615384615</v>
      </c>
      <c r="G173" s="10" t="n">
        <f aca="false">SUMIFS('Source 2025'!$F:$F,'Source 2025'!$B:$B,$A173,'Source 2025'!$A:$A,"Amount (NIS)")</f>
        <v>417.2</v>
      </c>
      <c r="H173" s="10" t="n">
        <f aca="false">SUMIFS('Source 2026'!$F:$F,'Source 2026'!$B:$B,$A173,'Source 2026'!$A:$A,"Amount (NIS)")</f>
        <v>966.2</v>
      </c>
      <c r="I173" s="10" t="n">
        <f aca="false">H173-G173</f>
        <v>549</v>
      </c>
      <c r="J173" s="9" t="n">
        <f aca="false">IF(AND(G173=0,H173=0),0,IF(G173=0,"New",(H173-G173)/G173))</f>
        <v>1.31591562799617</v>
      </c>
    </row>
    <row r="174" customFormat="false" ht="15" hidden="false" customHeight="false" outlineLevel="0" collapsed="false">
      <c r="A174" s="7" t="s">
        <v>135</v>
      </c>
      <c r="B174" s="7" t="str">
        <f aca="false">IFERROR(INDEX('Source 2026'!$C:$C,MATCH($A174,'Source 2026'!$B:$B,0)),IFERROR(INDEX('Source 2025'!$C:$C,MATCH($A174,'Source 2025'!$B:$B,0)),""))</f>
        <v>כפפות לחץ</v>
      </c>
      <c r="C174" s="8" t="n">
        <f aca="false">SUMIFS('Source 2025'!$F:$F,'Source 2025'!$B:$B,$A174,'Source 2025'!$A:$A,"Quantity (units)")</f>
        <v>24</v>
      </c>
      <c r="D174" s="8" t="n">
        <f aca="false">SUMIFS('Source 2026'!$F:$F,'Source 2026'!$B:$B,$A174,'Source 2026'!$A:$A,"Quantity (units)")</f>
        <v>9</v>
      </c>
      <c r="E174" s="8" t="n">
        <f aca="false">D174-C174</f>
        <v>-15</v>
      </c>
      <c r="F174" s="9" t="n">
        <f aca="false">IF(AND(C174=0,D174=0),0,IF(C174=0,"New",(D174-C174)/C174))</f>
        <v>-0.625</v>
      </c>
      <c r="G174" s="10" t="n">
        <f aca="false">SUMIFS('Source 2025'!$F:$F,'Source 2025'!$B:$B,$A174,'Source 2025'!$A:$A,"Amount (NIS)")</f>
        <v>857.1</v>
      </c>
      <c r="H174" s="10" t="n">
        <f aca="false">SUMIFS('Source 2026'!$F:$F,'Source 2026'!$B:$B,$A174,'Source 2026'!$A:$A,"Amount (NIS)")</f>
        <v>322.1</v>
      </c>
      <c r="I174" s="10" t="n">
        <f aca="false">H174-G174</f>
        <v>-535</v>
      </c>
      <c r="J174" s="9" t="n">
        <f aca="false">IF(AND(G174=0,H174=0),0,IF(G174=0,"New",(H174-G174)/G174))</f>
        <v>-0.624197876560495</v>
      </c>
    </row>
    <row r="175" customFormat="false" ht="15" hidden="false" customHeight="false" outlineLevel="0" collapsed="false">
      <c r="A175" s="7" t="s">
        <v>241</v>
      </c>
      <c r="B175" s="7" t="str">
        <f aca="false">IFERROR(INDEX('Source 2026'!$C:$C,MATCH($A175,'Source 2026'!$B:$B,0)),IFERROR(INDEX('Source 2025'!$C:$C,MATCH($A175,'Source 2025'!$B:$B,0)),""))</f>
        <v>רפידת מגבת כותנה-זוג</v>
      </c>
      <c r="C175" s="8" t="n">
        <f aca="false">SUMIFS('Source 2025'!$F:$F,'Source 2025'!$B:$B,$A175,'Source 2025'!$A:$A,"Quantity (units)")</f>
        <v>136</v>
      </c>
      <c r="D175" s="8" t="n">
        <f aca="false">SUMIFS('Source 2026'!$F:$F,'Source 2026'!$B:$B,$A175,'Source 2026'!$A:$A,"Quantity (units)")</f>
        <v>89</v>
      </c>
      <c r="E175" s="8" t="n">
        <f aca="false">D175-C175</f>
        <v>-47</v>
      </c>
      <c r="F175" s="9" t="n">
        <f aca="false">IF(AND(C175=0,D175=0),0,IF(C175=0,"New",(D175-C175)/C175))</f>
        <v>-0.345588235294118</v>
      </c>
      <c r="G175" s="10" t="n">
        <f aca="false">SUMIFS('Source 2025'!$F:$F,'Source 2025'!$B:$B,$A175,'Source 2025'!$A:$A,"Amount (NIS)")</f>
        <v>1504.7</v>
      </c>
      <c r="H175" s="10" t="n">
        <f aca="false">SUMIFS('Source 2026'!$F:$F,'Source 2026'!$B:$B,$A175,'Source 2026'!$A:$A,"Amount (NIS)")</f>
        <v>971.3</v>
      </c>
      <c r="I175" s="10" t="n">
        <f aca="false">H175-G175</f>
        <v>-533.4</v>
      </c>
      <c r="J175" s="9" t="n">
        <f aca="false">IF(AND(G175=0,H175=0),0,IF(G175=0,"New",(H175-G175)/G175))</f>
        <v>-0.354489266963514</v>
      </c>
    </row>
    <row r="176" customFormat="false" ht="15" hidden="false" customHeight="false" outlineLevel="0" collapsed="false">
      <c r="A176" s="7" t="s">
        <v>80</v>
      </c>
      <c r="B176" s="7" t="str">
        <f aca="false">IFERROR(INDEX('Source 2026'!$C:$C,MATCH($A176,'Source 2026'!$B:$B,0)),IFERROR(INDEX('Source 2025'!$C:$C,MATCH($A176,'Source 2025'!$B:$B,0)),""))</f>
        <v>45 M מגן ברך רגיל</v>
      </c>
      <c r="C176" s="8" t="n">
        <f aca="false">SUMIFS('Source 2025'!$F:$F,'Source 2025'!$B:$B,$A176,'Source 2025'!$A:$A,"Quantity (units)")</f>
        <v>10</v>
      </c>
      <c r="D176" s="8" t="n">
        <f aca="false">SUMIFS('Source 2026'!$F:$F,'Source 2026'!$B:$B,$A176,'Source 2026'!$A:$A,"Quantity (units)")</f>
        <v>5</v>
      </c>
      <c r="E176" s="8" t="n">
        <f aca="false">D176-C176</f>
        <v>-5</v>
      </c>
      <c r="F176" s="9" t="n">
        <f aca="false">IF(AND(C176=0,D176=0),0,IF(C176=0,"New",(D176-C176)/C176))</f>
        <v>-0.5</v>
      </c>
      <c r="G176" s="10" t="n">
        <f aca="false">SUMIFS('Source 2025'!$F:$F,'Source 2025'!$B:$B,$A176,'Source 2025'!$A:$A,"Amount (NIS)")</f>
        <v>1047.1</v>
      </c>
      <c r="H176" s="10" t="n">
        <f aca="false">SUMIFS('Source 2026'!$F:$F,'Source 2026'!$B:$B,$A176,'Source 2026'!$A:$A,"Amount (NIS)")</f>
        <v>527</v>
      </c>
      <c r="I176" s="10" t="n">
        <f aca="false">H176-G176</f>
        <v>-520.1</v>
      </c>
      <c r="J176" s="9" t="n">
        <f aca="false">IF(AND(G176=0,H176=0),0,IF(G176=0,"New",(H176-G176)/G176))</f>
        <v>-0.496705185751122</v>
      </c>
    </row>
    <row r="177" customFormat="false" ht="15" hidden="false" customHeight="false" outlineLevel="0" collapsed="false">
      <c r="A177" s="7" t="s">
        <v>147</v>
      </c>
      <c r="B177" s="7" t="str">
        <f aca="false">IFERROR(INDEX('Source 2026'!$C:$C,MATCH($A177,'Source 2026'!$B:$B,0)),IFERROR(INDEX('Source 2025'!$C:$C,MATCH($A177,'Source 2025'!$B:$B,0)),""))</f>
        <v>כפפות לחץ</v>
      </c>
      <c r="C177" s="8" t="n">
        <f aca="false">SUMIFS('Source 2025'!$F:$F,'Source 2025'!$B:$B,$A177,'Source 2025'!$A:$A,"Quantity (units)")</f>
        <v>26</v>
      </c>
      <c r="D177" s="8" t="n">
        <f aca="false">SUMIFS('Source 2026'!$F:$F,'Source 2026'!$B:$B,$A177,'Source 2026'!$A:$A,"Quantity (units)")</f>
        <v>11</v>
      </c>
      <c r="E177" s="8" t="n">
        <f aca="false">D177-C177</f>
        <v>-15</v>
      </c>
      <c r="F177" s="9" t="n">
        <f aca="false">IF(AND(C177=0,D177=0),0,IF(C177=0,"New",(D177-C177)/C177))</f>
        <v>-0.576923076923077</v>
      </c>
      <c r="G177" s="10" t="n">
        <f aca="false">SUMIFS('Source 2025'!$F:$F,'Source 2025'!$B:$B,$A177,'Source 2025'!$A:$A,"Amount (NIS)")</f>
        <v>922.3</v>
      </c>
      <c r="H177" s="10" t="n">
        <f aca="false">SUMIFS('Source 2026'!$F:$F,'Source 2026'!$B:$B,$A177,'Source 2026'!$A:$A,"Amount (NIS)")</f>
        <v>407</v>
      </c>
      <c r="I177" s="10" t="n">
        <f aca="false">H177-G177</f>
        <v>-515.3</v>
      </c>
      <c r="J177" s="9" t="n">
        <f aca="false">IF(AND(G177=0,H177=0),0,IF(G177=0,"New",(H177-G177)/G177))</f>
        <v>-0.558711915862518</v>
      </c>
    </row>
    <row r="178" customFormat="false" ht="15" hidden="false" customHeight="false" outlineLevel="0" collapsed="false">
      <c r="A178" s="7" t="s">
        <v>143</v>
      </c>
      <c r="B178" s="7" t="str">
        <f aca="false">IFERROR(INDEX('Source 2026'!$C:$C,MATCH($A178,'Source 2026'!$B:$B,0)),IFERROR(INDEX('Source 2025'!$C:$C,MATCH($A178,'Source 2025'!$B:$B,0)),""))</f>
        <v>בננה לתמיכת אצבעות ז.כרית</v>
      </c>
      <c r="C178" s="8" t="n">
        <f aca="false">SUMIFS('Source 2025'!$F:$F,'Source 2025'!$B:$B,$A178,'Source 2025'!$A:$A,"Quantity (units)")</f>
        <v>124</v>
      </c>
      <c r="D178" s="8" t="n">
        <f aca="false">SUMIFS('Source 2026'!$F:$F,'Source 2026'!$B:$B,$A178,'Source 2026'!$A:$A,"Quantity (units)")</f>
        <v>105</v>
      </c>
      <c r="E178" s="8" t="n">
        <f aca="false">D178-C178</f>
        <v>-19</v>
      </c>
      <c r="F178" s="9" t="n">
        <f aca="false">IF(AND(C178=0,D178=0),0,IF(C178=0,"New",(D178-C178)/C178))</f>
        <v>-0.153225806451613</v>
      </c>
      <c r="G178" s="10" t="n">
        <f aca="false">SUMIFS('Source 2025'!$F:$F,'Source 2025'!$B:$B,$A178,'Source 2025'!$A:$A,"Amount (NIS)")</f>
        <v>3246.9</v>
      </c>
      <c r="H178" s="10" t="n">
        <f aca="false">SUMIFS('Source 2026'!$F:$F,'Source 2026'!$B:$B,$A178,'Source 2026'!$A:$A,"Amount (NIS)")</f>
        <v>2749.1</v>
      </c>
      <c r="I178" s="10" t="n">
        <f aca="false">H178-G178</f>
        <v>-497.8</v>
      </c>
      <c r="J178" s="9" t="n">
        <f aca="false">IF(AND(G178=0,H178=0),0,IF(G178=0,"New",(H178-G178)/G178))</f>
        <v>-0.15331547014075</v>
      </c>
    </row>
    <row r="179" customFormat="false" ht="15" hidden="false" customHeight="false" outlineLevel="0" collapsed="false">
      <c r="A179" s="7" t="s">
        <v>106</v>
      </c>
      <c r="B179" s="7" t="str">
        <f aca="false">IFERROR(INDEX('Source 2026'!$C:$C,MATCH($A179,'Source 2026'!$B:$B,0)),IFERROR(INDEX('Source 2025'!$C:$C,MATCH($A179,'Source 2025'!$B:$B,0)),""))</f>
        <v>S-M STRAP4U</v>
      </c>
      <c r="C179" s="8" t="n">
        <f aca="false">SUMIFS('Source 2025'!$F:$F,'Source 2025'!$B:$B,$A179,'Source 2025'!$A:$A,"Quantity (units)")</f>
        <v>-10</v>
      </c>
      <c r="D179" s="8" t="n">
        <f aca="false">SUMIFS('Source 2026'!$F:$F,'Source 2026'!$B:$B,$A179,'Source 2026'!$A:$A,"Quantity (units)")</f>
        <v>18</v>
      </c>
      <c r="E179" s="8" t="n">
        <f aca="false">D179-C179</f>
        <v>28</v>
      </c>
      <c r="F179" s="9" t="n">
        <f aca="false">IF(AND(C179=0,D179=0),0,IF(C179=0,"New",(D179-C179)/C179))</f>
        <v>-2.8</v>
      </c>
      <c r="G179" s="10" t="n">
        <f aca="false">SUMIFS('Source 2025'!$F:$F,'Source 2025'!$B:$B,$A179,'Source 2025'!$A:$A,"Amount (NIS)")</f>
        <v>-145.2</v>
      </c>
      <c r="H179" s="10" t="n">
        <f aca="false">SUMIFS('Source 2026'!$F:$F,'Source 2026'!$B:$B,$A179,'Source 2026'!$A:$A,"Amount (NIS)")</f>
        <v>345</v>
      </c>
      <c r="I179" s="10" t="n">
        <f aca="false">H179-G179</f>
        <v>490.2</v>
      </c>
      <c r="J179" s="9" t="n">
        <f aca="false">IF(AND(G179=0,H179=0),0,IF(G179=0,"New",(H179-G179)/G179))</f>
        <v>-3.37603305785124</v>
      </c>
    </row>
    <row r="180" customFormat="false" ht="15" hidden="false" customHeight="false" outlineLevel="0" collapsed="false">
      <c r="A180" s="7" t="s">
        <v>298</v>
      </c>
      <c r="B180" s="7" t="str">
        <f aca="false">IFERROR(INDEX('Source 2026'!$C:$C,MATCH($A180,'Source 2026'!$B:$B,0)),IFERROR(INDEX('Source 2025'!$C:$C,MATCH($A180,'Source 2025'!$B:$B,0)),""))</f>
        <v>XL מגן ברך רגיל</v>
      </c>
      <c r="C180" s="8" t="n">
        <f aca="false">SUMIFS('Source 2025'!$F:$F,'Source 2025'!$B:$B,$A180,'Source 2025'!$A:$A,"Quantity (units)")</f>
        <v>5</v>
      </c>
      <c r="D180" s="8" t="n">
        <f aca="false">SUMIFS('Source 2026'!$F:$F,'Source 2026'!$B:$B,$A180,'Source 2026'!$A:$A,"Quantity (units)")</f>
        <v>1</v>
      </c>
      <c r="E180" s="8" t="n">
        <f aca="false">D180-C180</f>
        <v>-4</v>
      </c>
      <c r="F180" s="9" t="n">
        <f aca="false">IF(AND(C180=0,D180=0),0,IF(C180=0,"New",(D180-C180)/C180))</f>
        <v>-0.8</v>
      </c>
      <c r="G180" s="10" t="n">
        <f aca="false">SUMIFS('Source 2025'!$F:$F,'Source 2025'!$B:$B,$A180,'Source 2025'!$A:$A,"Amount (NIS)")</f>
        <v>592.8</v>
      </c>
      <c r="H180" s="10" t="n">
        <f aca="false">SUMIFS('Source 2026'!$F:$F,'Source 2026'!$B:$B,$A180,'Source 2026'!$A:$A,"Amount (NIS)")</f>
        <v>118.6</v>
      </c>
      <c r="I180" s="10" t="n">
        <f aca="false">H180-G180</f>
        <v>-474.2</v>
      </c>
      <c r="J180" s="9" t="n">
        <f aca="false">IF(AND(G180=0,H180=0),0,IF(G180=0,"New",(H180-G180)/G180))</f>
        <v>-0.799932523616734</v>
      </c>
    </row>
    <row r="181" customFormat="false" ht="15" hidden="false" customHeight="false" outlineLevel="0" collapsed="false">
      <c r="A181" s="7" t="s">
        <v>94</v>
      </c>
      <c r="B181" s="7" t="str">
        <f aca="false">IFERROR(INDEX('Source 2026'!$C:$C,MATCH($A181,'Source 2026'!$B:$B,0)),IFERROR(INDEX('Source 2025'!$C:$C,MATCH($A181,'Source 2025'!$B:$B,0)),""))</f>
        <v>L שמאל CTS כפפות</v>
      </c>
      <c r="C181" s="8" t="n">
        <f aca="false">SUMIFS('Source 2025'!$F:$F,'Source 2025'!$B:$B,$A181,'Source 2025'!$A:$A,"Quantity (units)")</f>
        <v>0</v>
      </c>
      <c r="D181" s="8" t="n">
        <f aca="false">SUMIFS('Source 2026'!$F:$F,'Source 2026'!$B:$B,$A181,'Source 2026'!$A:$A,"Quantity (units)")</f>
        <v>4</v>
      </c>
      <c r="E181" s="8" t="n">
        <f aca="false">D181-C181</f>
        <v>4</v>
      </c>
      <c r="F181" s="9" t="str">
        <f aca="false">IF(AND(C181=0,D181=0),0,IF(C181=0,"New",(D181-C181)/C181))</f>
        <v>New</v>
      </c>
      <c r="G181" s="10" t="n">
        <f aca="false">SUMIFS('Source 2025'!$F:$F,'Source 2025'!$B:$B,$A181,'Source 2025'!$A:$A,"Amount (NIS)")</f>
        <v>0</v>
      </c>
      <c r="H181" s="10" t="n">
        <f aca="false">SUMIFS('Source 2026'!$F:$F,'Source 2026'!$B:$B,$A181,'Source 2026'!$A:$A,"Amount (NIS)")</f>
        <v>468.5</v>
      </c>
      <c r="I181" s="10" t="n">
        <f aca="false">H181-G181</f>
        <v>468.5</v>
      </c>
      <c r="J181" s="9" t="str">
        <f aca="false">IF(AND(G181=0,H181=0),0,IF(G181=0,"New",(H181-G181)/G181))</f>
        <v>New</v>
      </c>
    </row>
    <row r="182" customFormat="false" ht="15" hidden="false" customHeight="false" outlineLevel="0" collapsed="false">
      <c r="A182" s="7" t="s">
        <v>155</v>
      </c>
      <c r="B182" s="7" t="str">
        <f aca="false">IFERROR(INDEX('Source 2026'!$C:$C,MATCH($A182,'Source 2026'!$B:$B,0)),IFERROR(INDEX('Source 2025'!$C:$C,MATCH($A182,'Source 2025'!$B:$B,0)),""))</f>
        <v>0 חגורה למנותחי בית חזה</v>
      </c>
      <c r="C182" s="8" t="n">
        <f aca="false">SUMIFS('Source 2025'!$F:$F,'Source 2025'!$B:$B,$A182,'Source 2025'!$A:$A,"Quantity (units)")</f>
        <v>5</v>
      </c>
      <c r="D182" s="8" t="n">
        <f aca="false">SUMIFS('Source 2026'!$F:$F,'Source 2026'!$B:$B,$A182,'Source 2026'!$A:$A,"Quantity (units)")</f>
        <v>3</v>
      </c>
      <c r="E182" s="8" t="n">
        <f aca="false">D182-C182</f>
        <v>-2</v>
      </c>
      <c r="F182" s="9" t="n">
        <f aca="false">IF(AND(C182=0,D182=0),0,IF(C182=0,"New",(D182-C182)/C182))</f>
        <v>-0.4</v>
      </c>
      <c r="G182" s="10" t="n">
        <f aca="false">SUMIFS('Source 2025'!$F:$F,'Source 2025'!$B:$B,$A182,'Source 2025'!$A:$A,"Amount (NIS)")</f>
        <v>1242.2</v>
      </c>
      <c r="H182" s="10" t="n">
        <f aca="false">SUMIFS('Source 2026'!$F:$F,'Source 2026'!$B:$B,$A182,'Source 2026'!$A:$A,"Amount (NIS)")</f>
        <v>774.8</v>
      </c>
      <c r="I182" s="10" t="n">
        <f aca="false">H182-G182</f>
        <v>-467.4</v>
      </c>
      <c r="J182" s="9" t="n">
        <f aca="false">IF(AND(G182=0,H182=0),0,IF(G182=0,"New",(H182-G182)/G182))</f>
        <v>-0.376267911769441</v>
      </c>
    </row>
    <row r="183" customFormat="false" ht="15" hidden="false" customHeight="false" outlineLevel="0" collapsed="false">
      <c r="A183" s="7" t="s">
        <v>166</v>
      </c>
      <c r="B183" s="7" t="str">
        <f aca="false">IFERROR(INDEX('Source 2026'!$C:$C,MATCH($A183,'Source 2026'!$B:$B,0)),IFERROR(INDEX('Source 2025'!$C:$C,MATCH($A183,'Source 2025'!$B:$B,0)),""))</f>
        <v>S מגן מרפק</v>
      </c>
      <c r="C183" s="8" t="n">
        <f aca="false">SUMIFS('Source 2025'!$F:$F,'Source 2025'!$B:$B,$A183,'Source 2025'!$A:$A,"Quantity (units)")</f>
        <v>18</v>
      </c>
      <c r="D183" s="8" t="n">
        <f aca="false">SUMIFS('Source 2026'!$F:$F,'Source 2026'!$B:$B,$A183,'Source 2026'!$A:$A,"Quantity (units)")</f>
        <v>20</v>
      </c>
      <c r="E183" s="8" t="n">
        <f aca="false">D183-C183</f>
        <v>2</v>
      </c>
      <c r="F183" s="9" t="n">
        <f aca="false">IF(AND(C183=0,D183=0),0,IF(C183=0,"New",(D183-C183)/C183))</f>
        <v>0.111111111111111</v>
      </c>
      <c r="G183" s="10" t="n">
        <f aca="false">SUMIFS('Source 2025'!$F:$F,'Source 2025'!$B:$B,$A183,'Source 2025'!$A:$A,"Amount (NIS)")</f>
        <v>1433.9</v>
      </c>
      <c r="H183" s="10" t="n">
        <f aca="false">SUMIFS('Source 2026'!$F:$F,'Source 2026'!$B:$B,$A183,'Source 2026'!$A:$A,"Amount (NIS)")</f>
        <v>1879.6</v>
      </c>
      <c r="I183" s="10" t="n">
        <f aca="false">H183-G183</f>
        <v>445.7</v>
      </c>
      <c r="J183" s="9" t="n">
        <f aca="false">IF(AND(G183=0,H183=0),0,IF(G183=0,"New",(H183-G183)/G183))</f>
        <v>0.31083060185508</v>
      </c>
    </row>
    <row r="184" customFormat="false" ht="15" hidden="false" customHeight="false" outlineLevel="0" collapsed="false">
      <c r="A184" s="7" t="s">
        <v>299</v>
      </c>
      <c r="B184" s="7" t="str">
        <f aca="false">IFERROR(INDEX('Source 2026'!$C:$C,MATCH($A184,'Source 2026'!$B:$B,0)),IFERROR(INDEX('Source 2025'!$C:$C,MATCH($A184,'Source 2025'!$B:$B,0)),""))</f>
        <v>L חגורת צלעות לגבר</v>
      </c>
      <c r="C184" s="8" t="n">
        <f aca="false">SUMIFS('Source 2025'!$F:$F,'Source 2025'!$B:$B,$A184,'Source 2025'!$A:$A,"Quantity (units)")</f>
        <v>3</v>
      </c>
      <c r="D184" s="8" t="n">
        <f aca="false">SUMIFS('Source 2026'!$F:$F,'Source 2026'!$B:$B,$A184,'Source 2026'!$A:$A,"Quantity (units)")</f>
        <v>0</v>
      </c>
      <c r="E184" s="8" t="n">
        <f aca="false">D184-C184</f>
        <v>-3</v>
      </c>
      <c r="F184" s="9" t="n">
        <f aca="false">IF(AND(C184=0,D184=0),0,IF(C184=0,"New",(D184-C184)/C184))</f>
        <v>-1</v>
      </c>
      <c r="G184" s="10" t="n">
        <f aca="false">SUMIFS('Source 2025'!$F:$F,'Source 2025'!$B:$B,$A184,'Source 2025'!$A:$A,"Amount (NIS)")</f>
        <v>413.5</v>
      </c>
      <c r="H184" s="10" t="n">
        <f aca="false">SUMIFS('Source 2026'!$F:$F,'Source 2026'!$B:$B,$A184,'Source 2026'!$A:$A,"Amount (NIS)")</f>
        <v>0</v>
      </c>
      <c r="I184" s="10" t="n">
        <f aca="false">H184-G184</f>
        <v>-413.5</v>
      </c>
      <c r="J184" s="9" t="n">
        <f aca="false">IF(AND(G184=0,H184=0),0,IF(G184=0,"New",(H184-G184)/G184))</f>
        <v>-1</v>
      </c>
    </row>
    <row r="185" customFormat="false" ht="15" hidden="false" customHeight="false" outlineLevel="0" collapsed="false">
      <c r="A185" s="7" t="s">
        <v>212</v>
      </c>
      <c r="B185" s="7" t="str">
        <f aca="false">IFERROR(INDEX('Source 2026'!$C:$C,MATCH($A185,'Source 2026'!$B:$B,0)),IFERROR(INDEX('Source 2025'!$C:$C,MATCH($A185,'Source 2025'!$B:$B,0)),""))</f>
        <v>כפפות אגודל לחץ</v>
      </c>
      <c r="C185" s="8" t="n">
        <f aca="false">SUMIFS('Source 2025'!$F:$F,'Source 2025'!$B:$B,$A185,'Source 2025'!$A:$A,"Quantity (units)")</f>
        <v>16</v>
      </c>
      <c r="D185" s="8" t="n">
        <f aca="false">SUMIFS('Source 2026'!$F:$F,'Source 2026'!$B:$B,$A185,'Source 2026'!$A:$A,"Quantity (units)")</f>
        <v>5</v>
      </c>
      <c r="E185" s="8" t="n">
        <f aca="false">D185-C185</f>
        <v>-11</v>
      </c>
      <c r="F185" s="9" t="n">
        <f aca="false">IF(AND(C185=0,D185=0),0,IF(C185=0,"New",(D185-C185)/C185))</f>
        <v>-0.6875</v>
      </c>
      <c r="G185" s="10" t="n">
        <f aca="false">SUMIFS('Source 2025'!$F:$F,'Source 2025'!$B:$B,$A185,'Source 2025'!$A:$A,"Amount (NIS)")</f>
        <v>609.4</v>
      </c>
      <c r="H185" s="10" t="n">
        <f aca="false">SUMIFS('Source 2026'!$F:$F,'Source 2026'!$B:$B,$A185,'Source 2026'!$A:$A,"Amount (NIS)")</f>
        <v>199</v>
      </c>
      <c r="I185" s="10" t="n">
        <f aca="false">H185-G185</f>
        <v>-410.4</v>
      </c>
      <c r="J185" s="9" t="n">
        <f aca="false">IF(AND(G185=0,H185=0),0,IF(G185=0,"New",(H185-G185)/G185))</f>
        <v>-0.673449294387923</v>
      </c>
    </row>
    <row r="186" customFormat="false" ht="15" hidden="false" customHeight="false" outlineLevel="0" collapsed="false">
      <c r="A186" s="7" t="s">
        <v>239</v>
      </c>
      <c r="B186" s="7" t="str">
        <f aca="false">IFERROR(INDEX('Source 2026'!$C:$C,MATCH($A186,'Source 2026'!$B:$B,0)),IFERROR(INDEX('Source 2025'!$C:$C,MATCH($A186,'Source 2025'!$B:$B,0)),""))</f>
        <v>L סד לאגודל כפפה</v>
      </c>
      <c r="C186" s="8" t="n">
        <f aca="false">SUMIFS('Source 2025'!$F:$F,'Source 2025'!$B:$B,$A186,'Source 2025'!$A:$A,"Quantity (units)")</f>
        <v>12</v>
      </c>
      <c r="D186" s="8" t="n">
        <f aca="false">SUMIFS('Source 2026'!$F:$F,'Source 2026'!$B:$B,$A186,'Source 2026'!$A:$A,"Quantity (units)")</f>
        <v>6</v>
      </c>
      <c r="E186" s="8" t="n">
        <f aca="false">D186-C186</f>
        <v>-6</v>
      </c>
      <c r="F186" s="9" t="n">
        <f aca="false">IF(AND(C186=0,D186=0),0,IF(C186=0,"New",(D186-C186)/C186))</f>
        <v>-0.5</v>
      </c>
      <c r="G186" s="10" t="n">
        <f aca="false">SUMIFS('Source 2025'!$F:$F,'Source 2025'!$B:$B,$A186,'Source 2025'!$A:$A,"Amount (NIS)")</f>
        <v>826.7</v>
      </c>
      <c r="H186" s="10" t="n">
        <f aca="false">SUMIFS('Source 2026'!$F:$F,'Source 2026'!$B:$B,$A186,'Source 2026'!$A:$A,"Amount (NIS)")</f>
        <v>425.2</v>
      </c>
      <c r="I186" s="10" t="n">
        <f aca="false">H186-G186</f>
        <v>-401.5</v>
      </c>
      <c r="J186" s="9" t="n">
        <f aca="false">IF(AND(G186=0,H186=0),0,IF(G186=0,"New",(H186-G186)/G186))</f>
        <v>-0.485665900568525</v>
      </c>
    </row>
    <row r="187" customFormat="false" ht="15" hidden="false" customHeight="false" outlineLevel="0" collapsed="false">
      <c r="A187" s="7" t="s">
        <v>211</v>
      </c>
      <c r="B187" s="7" t="str">
        <f aca="false">IFERROR(INDEX('Source 2026'!$C:$C,MATCH($A187,'Source 2026'!$B:$B,0)),IFERROR(INDEX('Source 2025'!$C:$C,MATCH($A187,'Source 2025'!$B:$B,0)),""))</f>
        <v>נגד פטרת הציפורן</v>
      </c>
      <c r="C187" s="8" t="n">
        <f aca="false">SUMIFS('Source 2025'!$F:$F,'Source 2025'!$B:$B,$A187,'Source 2025'!$A:$A,"Quantity (units)")</f>
        <v>-15</v>
      </c>
      <c r="D187" s="8" t="n">
        <f aca="false">SUMIFS('Source 2026'!$F:$F,'Source 2026'!$B:$B,$A187,'Source 2026'!$A:$A,"Quantity (units)")</f>
        <v>-4</v>
      </c>
      <c r="E187" s="8" t="n">
        <f aca="false">D187-C187</f>
        <v>11</v>
      </c>
      <c r="F187" s="9" t="n">
        <f aca="false">IF(AND(C187=0,D187=0),0,IF(C187=0,"New",(D187-C187)/C187))</f>
        <v>-0.733333333333333</v>
      </c>
      <c r="G187" s="10" t="n">
        <f aca="false">SUMIFS('Source 2025'!$F:$F,'Source 2025'!$B:$B,$A187,'Source 2025'!$A:$A,"Amount (NIS)")</f>
        <v>-513.4</v>
      </c>
      <c r="H187" s="10" t="n">
        <f aca="false">SUMIFS('Source 2026'!$F:$F,'Source 2026'!$B:$B,$A187,'Source 2026'!$A:$A,"Amount (NIS)")</f>
        <v>-113.3</v>
      </c>
      <c r="I187" s="10" t="n">
        <f aca="false">H187-G187</f>
        <v>400.1</v>
      </c>
      <c r="J187" s="9" t="n">
        <f aca="false">IF(AND(G187=0,H187=0),0,IF(G187=0,"New",(H187-G187)/G187))</f>
        <v>-0.779314374756525</v>
      </c>
    </row>
    <row r="188" customFormat="false" ht="15" hidden="false" customHeight="false" outlineLevel="0" collapsed="false">
      <c r="A188" s="7" t="s">
        <v>300</v>
      </c>
      <c r="B188" s="7" t="str">
        <f aca="false">IFERROR(INDEX('Source 2026'!$C:$C,MATCH($A188,'Source 2026'!$B:$B,0)),IFERROR(INDEX('Source 2025'!$C:$C,MATCH($A188,'Source 2025'!$B:$B,0)),""))</f>
        <v>סיליק.לכרית כף הרגל373</v>
      </c>
      <c r="C188" s="8" t="n">
        <f aca="false">SUMIFS('Source 2025'!$F:$F,'Source 2025'!$B:$B,$A188,'Source 2025'!$A:$A,"Quantity (units)")</f>
        <v>52</v>
      </c>
      <c r="D188" s="8" t="n">
        <f aca="false">SUMIFS('Source 2026'!$F:$F,'Source 2026'!$B:$B,$A188,'Source 2026'!$A:$A,"Quantity (units)")</f>
        <v>32</v>
      </c>
      <c r="E188" s="8" t="n">
        <f aca="false">D188-C188</f>
        <v>-20</v>
      </c>
      <c r="F188" s="9" t="n">
        <f aca="false">IF(AND(C188=0,D188=0),0,IF(C188=0,"New",(D188-C188)/C188))</f>
        <v>-0.384615384615385</v>
      </c>
      <c r="G188" s="10" t="n">
        <f aca="false">SUMIFS('Source 2025'!$F:$F,'Source 2025'!$B:$B,$A188,'Source 2025'!$A:$A,"Amount (NIS)")</f>
        <v>1051.7</v>
      </c>
      <c r="H188" s="10" t="n">
        <f aca="false">SUMIFS('Source 2026'!$F:$F,'Source 2026'!$B:$B,$A188,'Source 2026'!$A:$A,"Amount (NIS)")</f>
        <v>657.5</v>
      </c>
      <c r="I188" s="10" t="n">
        <f aca="false">H188-G188</f>
        <v>-394.2</v>
      </c>
      <c r="J188" s="9" t="n">
        <f aca="false">IF(AND(G188=0,H188=0),0,IF(G188=0,"New",(H188-G188)/G188))</f>
        <v>-0.37482171721974</v>
      </c>
    </row>
    <row r="189" customFormat="false" ht="15" hidden="false" customHeight="false" outlineLevel="0" collapsed="false">
      <c r="A189" s="7" t="s">
        <v>301</v>
      </c>
      <c r="B189" s="7" t="str">
        <f aca="false">IFERROR(INDEX('Source 2026'!$C:$C,MATCH($A189,'Source 2026'!$B:$B,0)),IFERROR(INDEX('Source 2025'!$C:$C,MATCH($A189,'Source 2025'!$B:$B,0)),""))</f>
        <v>רפידת ג'ל כחול36-40</v>
      </c>
      <c r="C189" s="8" t="n">
        <f aca="false">SUMIFS('Source 2025'!$F:$F,'Source 2025'!$B:$B,$A189,'Source 2025'!$A:$A,"Quantity (units)")</f>
        <v>-2</v>
      </c>
      <c r="D189" s="8" t="n">
        <f aca="false">SUMIFS('Source 2026'!$F:$F,'Source 2026'!$B:$B,$A189,'Source 2026'!$A:$A,"Quantity (units)")</f>
        <v>4</v>
      </c>
      <c r="E189" s="8" t="n">
        <f aca="false">D189-C189</f>
        <v>6</v>
      </c>
      <c r="F189" s="9" t="n">
        <f aca="false">IF(AND(C189=0,D189=0),0,IF(C189=0,"New",(D189-C189)/C189))</f>
        <v>-3</v>
      </c>
      <c r="G189" s="10" t="n">
        <f aca="false">SUMIFS('Source 2025'!$F:$F,'Source 2025'!$B:$B,$A189,'Source 2025'!$A:$A,"Amount (NIS)")</f>
        <v>-100</v>
      </c>
      <c r="H189" s="10" t="n">
        <f aca="false">SUMIFS('Source 2026'!$F:$F,'Source 2026'!$B:$B,$A189,'Source 2026'!$A:$A,"Amount (NIS)")</f>
        <v>293.1</v>
      </c>
      <c r="I189" s="10" t="n">
        <f aca="false">H189-G189</f>
        <v>393.1</v>
      </c>
      <c r="J189" s="9" t="n">
        <f aca="false">IF(AND(G189=0,H189=0),0,IF(G189=0,"New",(H189-G189)/G189))</f>
        <v>-3.931</v>
      </c>
    </row>
    <row r="190" customFormat="false" ht="15" hidden="false" customHeight="false" outlineLevel="0" collapsed="false">
      <c r="A190" s="7" t="s">
        <v>224</v>
      </c>
      <c r="B190" s="7" t="str">
        <f aca="false">IFERROR(INDEX('Source 2026'!$C:$C,MATCH($A190,'Source 2026'!$B:$B,0)),IFERROR(INDEX('Source 2025'!$C:$C,MATCH($A190,'Source 2025'!$B:$B,0)),""))</f>
        <v>סד לקרסול עם כריות אויר</v>
      </c>
      <c r="C190" s="8" t="n">
        <f aca="false">SUMIFS('Source 2025'!$F:$F,'Source 2025'!$B:$B,$A190,'Source 2025'!$A:$A,"Quantity (units)")</f>
        <v>10</v>
      </c>
      <c r="D190" s="8" t="n">
        <f aca="false">SUMIFS('Source 2026'!$F:$F,'Source 2026'!$B:$B,$A190,'Source 2026'!$A:$A,"Quantity (units)")</f>
        <v>7</v>
      </c>
      <c r="E190" s="8" t="n">
        <f aca="false">D190-C190</f>
        <v>-3</v>
      </c>
      <c r="F190" s="9" t="n">
        <f aca="false">IF(AND(C190=0,D190=0),0,IF(C190=0,"New",(D190-C190)/C190))</f>
        <v>-0.3</v>
      </c>
      <c r="G190" s="10" t="n">
        <f aca="false">SUMIFS('Source 2025'!$F:$F,'Source 2025'!$B:$B,$A190,'Source 2025'!$A:$A,"Amount (NIS)")</f>
        <v>1362.8</v>
      </c>
      <c r="H190" s="10" t="n">
        <f aca="false">SUMIFS('Source 2026'!$F:$F,'Source 2026'!$B:$B,$A190,'Source 2026'!$A:$A,"Amount (NIS)")</f>
        <v>974.9</v>
      </c>
      <c r="I190" s="10" t="n">
        <f aca="false">H190-G190</f>
        <v>-387.9</v>
      </c>
      <c r="J190" s="9" t="n">
        <f aca="false">IF(AND(G190=0,H190=0),0,IF(G190=0,"New",(H190-G190)/G190))</f>
        <v>-0.284634575873202</v>
      </c>
    </row>
    <row r="191" customFormat="false" ht="15" hidden="false" customHeight="false" outlineLevel="0" collapsed="false">
      <c r="A191" s="7" t="s">
        <v>183</v>
      </c>
      <c r="B191" s="7" t="str">
        <f aca="false">IFERROR(INDEX('Source 2026'!$C:$C,MATCH($A191,'Source 2026'!$B:$B,0)),IFERROR(INDEX('Source 2025'!$C:$C,MATCH($A191,'Source 2025'!$B:$B,0)),""))</f>
        <v>גרבי כסף לסכרת מידה</v>
      </c>
      <c r="C191" s="8" t="n">
        <f aca="false">SUMIFS('Source 2025'!$F:$F,'Source 2025'!$B:$B,$A191,'Source 2025'!$A:$A,"Quantity (units)")</f>
        <v>12</v>
      </c>
      <c r="D191" s="8" t="n">
        <f aca="false">SUMIFS('Source 2026'!$F:$F,'Source 2026'!$B:$B,$A191,'Source 2026'!$A:$A,"Quantity (units)")</f>
        <v>0</v>
      </c>
      <c r="E191" s="8" t="n">
        <f aca="false">D191-C191</f>
        <v>-12</v>
      </c>
      <c r="F191" s="9" t="n">
        <f aca="false">IF(AND(C191=0,D191=0),0,IF(C191=0,"New",(D191-C191)/C191))</f>
        <v>-1</v>
      </c>
      <c r="G191" s="10" t="n">
        <f aca="false">SUMIFS('Source 2025'!$F:$F,'Source 2025'!$B:$B,$A191,'Source 2025'!$A:$A,"Amount (NIS)")</f>
        <v>384.1</v>
      </c>
      <c r="H191" s="10" t="n">
        <f aca="false">SUMIFS('Source 2026'!$F:$F,'Source 2026'!$B:$B,$A191,'Source 2026'!$A:$A,"Amount (NIS)")</f>
        <v>0</v>
      </c>
      <c r="I191" s="10" t="n">
        <f aca="false">H191-G191</f>
        <v>-384.1</v>
      </c>
      <c r="J191" s="9" t="n">
        <f aca="false">IF(AND(G191=0,H191=0),0,IF(G191=0,"New",(H191-G191)/G191))</f>
        <v>-1</v>
      </c>
    </row>
    <row r="192" customFormat="false" ht="15" hidden="false" customHeight="false" outlineLevel="0" collapsed="false">
      <c r="A192" s="7" t="s">
        <v>302</v>
      </c>
      <c r="B192" s="7" t="str">
        <f aca="false">IFERROR(INDEX('Source 2026'!$C:$C,MATCH($A192,'Source 2026'!$B:$B,0)),IFERROR(INDEX('Source 2025'!$C:$C,MATCH($A192,'Source 2025'!$B:$B,0)),""))</f>
        <v>מגן ירך</v>
      </c>
      <c r="C192" s="8" t="n">
        <f aca="false">SUMIFS('Source 2025'!$F:$F,'Source 2025'!$B:$B,$A192,'Source 2025'!$A:$A,"Quantity (units)")</f>
        <v>16</v>
      </c>
      <c r="D192" s="8" t="n">
        <f aca="false">SUMIFS('Source 2026'!$F:$F,'Source 2026'!$B:$B,$A192,'Source 2026'!$A:$A,"Quantity (units)")</f>
        <v>22</v>
      </c>
      <c r="E192" s="8" t="n">
        <f aca="false">D192-C192</f>
        <v>6</v>
      </c>
      <c r="F192" s="9" t="n">
        <f aca="false">IF(AND(C192=0,D192=0),0,IF(C192=0,"New",(D192-C192)/C192))</f>
        <v>0.375</v>
      </c>
      <c r="G192" s="10" t="n">
        <f aca="false">SUMIFS('Source 2025'!$F:$F,'Source 2025'!$B:$B,$A192,'Source 2025'!$A:$A,"Amount (NIS)")</f>
        <v>955.8</v>
      </c>
      <c r="H192" s="10" t="n">
        <f aca="false">SUMIFS('Source 2026'!$F:$F,'Source 2026'!$B:$B,$A192,'Source 2026'!$A:$A,"Amount (NIS)")</f>
        <v>1335.3</v>
      </c>
      <c r="I192" s="10" t="n">
        <f aca="false">H192-G192</f>
        <v>379.5</v>
      </c>
      <c r="J192" s="9" t="n">
        <f aca="false">IF(AND(G192=0,H192=0),0,IF(G192=0,"New",(H192-G192)/G192))</f>
        <v>0.397049591964846</v>
      </c>
    </row>
    <row r="193" customFormat="false" ht="15" hidden="false" customHeight="false" outlineLevel="0" collapsed="false">
      <c r="A193" s="7" t="s">
        <v>303</v>
      </c>
      <c r="B193" s="7" t="str">
        <f aca="false">IFERROR(INDEX('Source 2026'!$C:$C,MATCH($A193,'Source 2026'!$B:$B,0)),IFERROR(INDEX('Source 2025'!$C:$C,MATCH($A193,'Source 2025'!$B:$B,0)),""))</f>
        <v>S חגורת שבר דו צדדי</v>
      </c>
      <c r="C193" s="8" t="n">
        <f aca="false">SUMIFS('Source 2025'!$F:$F,'Source 2025'!$B:$B,$A193,'Source 2025'!$A:$A,"Quantity (units)")</f>
        <v>6</v>
      </c>
      <c r="D193" s="8" t="n">
        <f aca="false">SUMIFS('Source 2026'!$F:$F,'Source 2026'!$B:$B,$A193,'Source 2026'!$A:$A,"Quantity (units)")</f>
        <v>5</v>
      </c>
      <c r="E193" s="8" t="n">
        <f aca="false">D193-C193</f>
        <v>-1</v>
      </c>
      <c r="F193" s="9" t="n">
        <f aca="false">IF(AND(C193=0,D193=0),0,IF(C193=0,"New",(D193-C193)/C193))</f>
        <v>-0.166666666666667</v>
      </c>
      <c r="G193" s="10" t="n">
        <f aca="false">SUMIFS('Source 2025'!$F:$F,'Source 2025'!$B:$B,$A193,'Source 2025'!$A:$A,"Amount (NIS)")</f>
        <v>1884</v>
      </c>
      <c r="H193" s="10" t="n">
        <f aca="false">SUMIFS('Source 2026'!$F:$F,'Source 2026'!$B:$B,$A193,'Source 2026'!$A:$A,"Amount (NIS)")</f>
        <v>1509.3</v>
      </c>
      <c r="I193" s="10" t="n">
        <f aca="false">H193-G193</f>
        <v>-374.7</v>
      </c>
      <c r="J193" s="9" t="n">
        <f aca="false">IF(AND(G193=0,H193=0),0,IF(G193=0,"New",(H193-G193)/G193))</f>
        <v>-0.198885350318471</v>
      </c>
    </row>
    <row r="194" customFormat="false" ht="15" hidden="false" customHeight="false" outlineLevel="0" collapsed="false">
      <c r="A194" s="7" t="s">
        <v>253</v>
      </c>
      <c r="B194" s="7" t="str">
        <f aca="false">IFERROR(INDEX('Source 2026'!$C:$C,MATCH($A194,'Source 2026'!$B:$B,0)),IFERROR(INDEX('Source 2025'!$C:$C,MATCH($A194,'Source 2025'!$B:$B,0)),""))</f>
        <v>XLסד ליד שמאל</v>
      </c>
      <c r="C194" s="8" t="n">
        <f aca="false">SUMIFS('Source 2025'!$F:$F,'Source 2025'!$B:$B,$A194,'Source 2025'!$A:$A,"Quantity (units)")</f>
        <v>2</v>
      </c>
      <c r="D194" s="8" t="n">
        <f aca="false">SUMIFS('Source 2026'!$F:$F,'Source 2026'!$B:$B,$A194,'Source 2026'!$A:$A,"Quantity (units)")</f>
        <v>-2</v>
      </c>
      <c r="E194" s="8" t="n">
        <f aca="false">D194-C194</f>
        <v>-4</v>
      </c>
      <c r="F194" s="9" t="n">
        <f aca="false">IF(AND(C194=0,D194=0),0,IF(C194=0,"New",(D194-C194)/C194))</f>
        <v>-2</v>
      </c>
      <c r="G194" s="10" t="n">
        <f aca="false">SUMIFS('Source 2025'!$F:$F,'Source 2025'!$B:$B,$A194,'Source 2025'!$A:$A,"Amount (NIS)")</f>
        <v>180.2</v>
      </c>
      <c r="H194" s="10" t="n">
        <f aca="false">SUMIFS('Source 2026'!$F:$F,'Source 2026'!$B:$B,$A194,'Source 2026'!$A:$A,"Amount (NIS)")</f>
        <v>-194</v>
      </c>
      <c r="I194" s="10" t="n">
        <f aca="false">H194-G194</f>
        <v>-374.2</v>
      </c>
      <c r="J194" s="9" t="n">
        <f aca="false">IF(AND(G194=0,H194=0),0,IF(G194=0,"New",(H194-G194)/G194))</f>
        <v>-2.07658157602664</v>
      </c>
    </row>
    <row r="195" customFormat="false" ht="15" hidden="false" customHeight="false" outlineLevel="0" collapsed="false">
      <c r="A195" s="7" t="s">
        <v>188</v>
      </c>
      <c r="B195" s="7" t="str">
        <f aca="false">IFERROR(INDEX('Source 2026'!$C:$C,MATCH($A195,'Source 2026'!$B:$B,0)),IFERROR(INDEX('Source 2025'!$C:$C,MATCH($A195,'Source 2025'!$B:$B,0)),""))</f>
        <v>Sחגורה למנותחי בטן</v>
      </c>
      <c r="C195" s="8" t="n">
        <f aca="false">SUMIFS('Source 2025'!$F:$F,'Source 2025'!$B:$B,$A195,'Source 2025'!$A:$A,"Quantity (units)")</f>
        <v>5</v>
      </c>
      <c r="D195" s="8" t="n">
        <f aca="false">SUMIFS('Source 2026'!$F:$F,'Source 2026'!$B:$B,$A195,'Source 2026'!$A:$A,"Quantity (units)")</f>
        <v>2</v>
      </c>
      <c r="E195" s="8" t="n">
        <f aca="false">D195-C195</f>
        <v>-3</v>
      </c>
      <c r="F195" s="9" t="n">
        <f aca="false">IF(AND(C195=0,D195=0),0,IF(C195=0,"New",(D195-C195)/C195))</f>
        <v>-0.6</v>
      </c>
      <c r="G195" s="10" t="n">
        <f aca="false">SUMIFS('Source 2025'!$F:$F,'Source 2025'!$B:$B,$A195,'Source 2025'!$A:$A,"Amount (NIS)")</f>
        <v>645.7</v>
      </c>
      <c r="H195" s="10" t="n">
        <f aca="false">SUMIFS('Source 2026'!$F:$F,'Source 2026'!$B:$B,$A195,'Source 2026'!$A:$A,"Amount (NIS)")</f>
        <v>271.8</v>
      </c>
      <c r="I195" s="10" t="n">
        <f aca="false">H195-G195</f>
        <v>-373.9</v>
      </c>
      <c r="J195" s="9" t="n">
        <f aca="false">IF(AND(G195=0,H195=0),0,IF(G195=0,"New",(H195-G195)/G195))</f>
        <v>-0.579061483661143</v>
      </c>
    </row>
    <row r="196" customFormat="false" ht="15" hidden="false" customHeight="false" outlineLevel="0" collapsed="false">
      <c r="A196" s="7" t="s">
        <v>170</v>
      </c>
      <c r="B196" s="7" t="str">
        <f aca="false">IFERROR(INDEX('Source 2026'!$C:$C,MATCH($A196,'Source 2026'!$B:$B,0)),IFERROR(INDEX('Source 2025'!$C:$C,MATCH($A196,'Source 2025'!$B:$B,0)),""))</f>
        <v>0 רפידת לילדים אנטי ריח</v>
      </c>
      <c r="C196" s="8" t="n">
        <f aca="false">SUMIFS('Source 2025'!$F:$F,'Source 2025'!$B:$B,$A196,'Source 2025'!$A:$A,"Quantity (units)")</f>
        <v>40</v>
      </c>
      <c r="D196" s="8" t="n">
        <f aca="false">SUMIFS('Source 2026'!$F:$F,'Source 2026'!$B:$B,$A196,'Source 2026'!$A:$A,"Quantity (units)")</f>
        <v>9</v>
      </c>
      <c r="E196" s="8" t="n">
        <f aca="false">D196-C196</f>
        <v>-31</v>
      </c>
      <c r="F196" s="9" t="n">
        <f aca="false">IF(AND(C196=0,D196=0),0,IF(C196=0,"New",(D196-C196)/C196))</f>
        <v>-0.775</v>
      </c>
      <c r="G196" s="10" t="n">
        <f aca="false">SUMIFS('Source 2025'!$F:$F,'Source 2025'!$B:$B,$A196,'Source 2025'!$A:$A,"Amount (NIS)")</f>
        <v>472.3</v>
      </c>
      <c r="H196" s="10" t="n">
        <f aca="false">SUMIFS('Source 2026'!$F:$F,'Source 2026'!$B:$B,$A196,'Source 2026'!$A:$A,"Amount (NIS)")</f>
        <v>112.5</v>
      </c>
      <c r="I196" s="10" t="n">
        <f aca="false">H196-G196</f>
        <v>-359.8</v>
      </c>
      <c r="J196" s="9" t="n">
        <f aca="false">IF(AND(G196=0,H196=0),0,IF(G196=0,"New",(H196-G196)/G196))</f>
        <v>-0.761803938174889</v>
      </c>
    </row>
    <row r="197" customFormat="false" ht="15" hidden="false" customHeight="false" outlineLevel="0" collapsed="false">
      <c r="A197" s="7" t="s">
        <v>304</v>
      </c>
      <c r="B197" s="7" t="str">
        <f aca="false">IFERROR(INDEX('Source 2026'!$C:$C,MATCH($A197,'Source 2026'!$B:$B,0)),IFERROR(INDEX('Source 2025'!$C:$C,MATCH($A197,'Source 2025'!$B:$B,0)),""))</f>
        <v>S חגורה אחרי ניתוח</v>
      </c>
      <c r="C197" s="8" t="n">
        <f aca="false">SUMIFS('Source 2025'!$F:$F,'Source 2025'!$B:$B,$A197,'Source 2025'!$A:$A,"Quantity (units)")</f>
        <v>2</v>
      </c>
      <c r="D197" s="8" t="n">
        <f aca="false">SUMIFS('Source 2026'!$F:$F,'Source 2026'!$B:$B,$A197,'Source 2026'!$A:$A,"Quantity (units)")</f>
        <v>4</v>
      </c>
      <c r="E197" s="8" t="n">
        <f aca="false">D197-C197</f>
        <v>2</v>
      </c>
      <c r="F197" s="9" t="n">
        <f aca="false">IF(AND(C197=0,D197=0),0,IF(C197=0,"New",(D197-C197)/C197))</f>
        <v>1</v>
      </c>
      <c r="G197" s="10" t="n">
        <f aca="false">SUMIFS('Source 2025'!$F:$F,'Source 2025'!$B:$B,$A197,'Source 2025'!$A:$A,"Amount (NIS)")</f>
        <v>310.5</v>
      </c>
      <c r="H197" s="10" t="n">
        <f aca="false">SUMIFS('Source 2026'!$F:$F,'Source 2026'!$B:$B,$A197,'Source 2026'!$A:$A,"Amount (NIS)")</f>
        <v>665.5</v>
      </c>
      <c r="I197" s="10" t="n">
        <f aca="false">H197-G197</f>
        <v>355</v>
      </c>
      <c r="J197" s="9" t="n">
        <f aca="false">IF(AND(G197=0,H197=0),0,IF(G197=0,"New",(H197-G197)/G197))</f>
        <v>1.14331723027375</v>
      </c>
    </row>
    <row r="198" customFormat="false" ht="15" hidden="false" customHeight="false" outlineLevel="0" collapsed="false">
      <c r="A198" s="7" t="s">
        <v>305</v>
      </c>
      <c r="B198" s="7" t="str">
        <f aca="false">IFERROR(INDEX('Source 2026'!$C:$C,MATCH($A198,'Source 2026'!$B:$B,0)),IFERROR(INDEX('Source 2025'!$C:$C,MATCH($A198,'Source 2025'!$B:$B,0)),""))</f>
        <v>מ.קרסול+עכב סגור+רצועות</v>
      </c>
      <c r="C198" s="8" t="n">
        <f aca="false">SUMIFS('Source 2025'!$F:$F,'Source 2025'!$B:$B,$A198,'Source 2025'!$A:$A,"Quantity (units)")</f>
        <v>5</v>
      </c>
      <c r="D198" s="8" t="n">
        <f aca="false">SUMIFS('Source 2026'!$F:$F,'Source 2026'!$B:$B,$A198,'Source 2026'!$A:$A,"Quantity (units)")</f>
        <v>0</v>
      </c>
      <c r="E198" s="8" t="n">
        <f aca="false">D198-C198</f>
        <v>-5</v>
      </c>
      <c r="F198" s="9" t="n">
        <f aca="false">IF(AND(C198=0,D198=0),0,IF(C198=0,"New",(D198-C198)/C198))</f>
        <v>-1</v>
      </c>
      <c r="G198" s="10" t="n">
        <f aca="false">SUMIFS('Source 2025'!$F:$F,'Source 2025'!$B:$B,$A198,'Source 2025'!$A:$A,"Amount (NIS)")</f>
        <v>346.6</v>
      </c>
      <c r="H198" s="10" t="n">
        <f aca="false">SUMIFS('Source 2026'!$F:$F,'Source 2026'!$B:$B,$A198,'Source 2026'!$A:$A,"Amount (NIS)")</f>
        <v>0</v>
      </c>
      <c r="I198" s="10" t="n">
        <f aca="false">H198-G198</f>
        <v>-346.6</v>
      </c>
      <c r="J198" s="9" t="n">
        <f aca="false">IF(AND(G198=0,H198=0),0,IF(G198=0,"New",(H198-G198)/G198))</f>
        <v>-1</v>
      </c>
    </row>
    <row r="199" customFormat="false" ht="15" hidden="false" customHeight="false" outlineLevel="0" collapsed="false">
      <c r="A199" s="7" t="s">
        <v>61</v>
      </c>
      <c r="B199" s="7" t="str">
        <f aca="false">IFERROR(INDEX('Source 2026'!$C:$C,MATCH($A199,'Source 2026'!$B:$B,0)),IFERROR(INDEX('Source 2025'!$C:$C,MATCH($A199,'Source 2025'!$B:$B,0)),""))</f>
        <v>חגורת גב אפורה</v>
      </c>
      <c r="C199" s="8" t="n">
        <f aca="false">SUMIFS('Source 2025'!$F:$F,'Source 2025'!$B:$B,$A199,'Source 2025'!$A:$A,"Quantity (units)")</f>
        <v>27</v>
      </c>
      <c r="D199" s="8" t="n">
        <f aca="false">SUMIFS('Source 2026'!$F:$F,'Source 2026'!$B:$B,$A199,'Source 2026'!$A:$A,"Quantity (units)")</f>
        <v>29</v>
      </c>
      <c r="E199" s="8" t="n">
        <f aca="false">D199-C199</f>
        <v>2</v>
      </c>
      <c r="F199" s="9" t="n">
        <f aca="false">IF(AND(C199=0,D199=0),0,IF(C199=0,"New",(D199-C199)/C199))</f>
        <v>0.0740740740740741</v>
      </c>
      <c r="G199" s="10" t="n">
        <f aca="false">SUMIFS('Source 2025'!$F:$F,'Source 2025'!$B:$B,$A199,'Source 2025'!$A:$A,"Amount (NIS)")</f>
        <v>2977.7</v>
      </c>
      <c r="H199" s="10" t="n">
        <f aca="false">SUMIFS('Source 2026'!$F:$F,'Source 2026'!$B:$B,$A199,'Source 2026'!$A:$A,"Amount (NIS)")</f>
        <v>3321.8</v>
      </c>
      <c r="I199" s="10" t="n">
        <f aca="false">H199-G199</f>
        <v>344.1</v>
      </c>
      <c r="J199" s="9" t="n">
        <f aca="false">IF(AND(G199=0,H199=0),0,IF(G199=0,"New",(H199-G199)/G199))</f>
        <v>0.115558988481043</v>
      </c>
    </row>
    <row r="200" customFormat="false" ht="15" hidden="false" customHeight="false" outlineLevel="0" collapsed="false">
      <c r="A200" s="7" t="s">
        <v>306</v>
      </c>
      <c r="B200" s="7" t="str">
        <f aca="false">IFERROR(INDEX('Source 2026'!$C:$C,MATCH($A200,'Source 2026'!$B:$B,0)),IFERROR(INDEX('Source 2025'!$C:$C,MATCH($A200,'Source 2025'!$B:$B,0)),""))</f>
        <v>טייפ חבישה לספורט</v>
      </c>
      <c r="C200" s="8" t="n">
        <f aca="false">SUMIFS('Source 2025'!$F:$F,'Source 2025'!$B:$B,$A200,'Source 2025'!$A:$A,"Quantity (units)")</f>
        <v>7</v>
      </c>
      <c r="D200" s="8" t="n">
        <f aca="false">SUMIFS('Source 2026'!$F:$F,'Source 2026'!$B:$B,$A200,'Source 2026'!$A:$A,"Quantity (units)")</f>
        <v>26</v>
      </c>
      <c r="E200" s="8" t="n">
        <f aca="false">D200-C200</f>
        <v>19</v>
      </c>
      <c r="F200" s="9" t="n">
        <f aca="false">IF(AND(C200=0,D200=0),0,IF(C200=0,"New",(D200-C200)/C200))</f>
        <v>2.71428571428571</v>
      </c>
      <c r="G200" s="10" t="n">
        <f aca="false">SUMIFS('Source 2025'!$F:$F,'Source 2025'!$B:$B,$A200,'Source 2025'!$A:$A,"Amount (NIS)")</f>
        <v>118.8</v>
      </c>
      <c r="H200" s="10" t="n">
        <f aca="false">SUMIFS('Source 2026'!$F:$F,'Source 2026'!$B:$B,$A200,'Source 2026'!$A:$A,"Amount (NIS)")</f>
        <v>449.7</v>
      </c>
      <c r="I200" s="10" t="n">
        <f aca="false">H200-G200</f>
        <v>330.9</v>
      </c>
      <c r="J200" s="9" t="n">
        <f aca="false">IF(AND(G200=0,H200=0),0,IF(G200=0,"New",(H200-G200)/G200))</f>
        <v>2.78535353535354</v>
      </c>
    </row>
    <row r="201" customFormat="false" ht="15" hidden="false" customHeight="false" outlineLevel="0" collapsed="false">
      <c r="A201" s="7" t="s">
        <v>77</v>
      </c>
      <c r="B201" s="7" t="str">
        <f aca="false">IFERROR(INDEX('Source 2026'!$C:$C,MATCH($A201,'Source 2026'!$B:$B,0)),IFERROR(INDEX('Source 2025'!$C:$C,MATCH($A201,'Source 2025'!$B:$B,0)),""))</f>
        <v>S מקבע כתף ויד</v>
      </c>
      <c r="C201" s="8" t="n">
        <f aca="false">SUMIFS('Source 2025'!$F:$F,'Source 2025'!$B:$B,$A201,'Source 2025'!$A:$A,"Quantity (units)")</f>
        <v>66</v>
      </c>
      <c r="D201" s="8" t="n">
        <f aca="false">SUMIFS('Source 2026'!$F:$F,'Source 2026'!$B:$B,$A201,'Source 2026'!$A:$A,"Quantity (units)")</f>
        <v>63</v>
      </c>
      <c r="E201" s="8" t="n">
        <f aca="false">D201-C201</f>
        <v>-3</v>
      </c>
      <c r="F201" s="9" t="n">
        <f aca="false">IF(AND(C201=0,D201=0),0,IF(C201=0,"New",(D201-C201)/C201))</f>
        <v>-0.0454545454545455</v>
      </c>
      <c r="G201" s="10" t="n">
        <f aca="false">SUMIFS('Source 2025'!$F:$F,'Source 2025'!$B:$B,$A201,'Source 2025'!$A:$A,"Amount (NIS)")</f>
        <v>12899.3</v>
      </c>
      <c r="H201" s="10" t="n">
        <f aca="false">SUMIFS('Source 2026'!$F:$F,'Source 2026'!$B:$B,$A201,'Source 2026'!$A:$A,"Amount (NIS)")</f>
        <v>12572.6</v>
      </c>
      <c r="I201" s="10" t="n">
        <f aca="false">H201-G201</f>
        <v>-326.700000000001</v>
      </c>
      <c r="J201" s="9" t="n">
        <f aca="false">IF(AND(G201=0,H201=0),0,IF(G201=0,"New",(H201-G201)/G201))</f>
        <v>-0.0253269557262798</v>
      </c>
    </row>
    <row r="202" customFormat="false" ht="15" hidden="false" customHeight="false" outlineLevel="0" collapsed="false">
      <c r="A202" s="7" t="s">
        <v>117</v>
      </c>
      <c r="B202" s="7" t="str">
        <f aca="false">IFERROR(INDEX('Source 2026'!$C:$C,MATCH($A202,'Source 2026'!$B:$B,0)),IFERROR(INDEX('Source 2025'!$C:$C,MATCH($A202,'Source 2025'!$B:$B,0)),""))</f>
        <v>כפפות אגודל לחץ</v>
      </c>
      <c r="C202" s="8" t="n">
        <f aca="false">SUMIFS('Source 2025'!$F:$F,'Source 2025'!$B:$B,$A202,'Source 2025'!$A:$A,"Quantity (units)")</f>
        <v>35</v>
      </c>
      <c r="D202" s="8" t="n">
        <f aca="false">SUMIFS('Source 2026'!$F:$F,'Source 2026'!$B:$B,$A202,'Source 2026'!$A:$A,"Quantity (units)")</f>
        <v>26</v>
      </c>
      <c r="E202" s="8" t="n">
        <f aca="false">D202-C202</f>
        <v>-9</v>
      </c>
      <c r="F202" s="9" t="n">
        <f aca="false">IF(AND(C202=0,D202=0),0,IF(C202=0,"New",(D202-C202)/C202))</f>
        <v>-0.257142857142857</v>
      </c>
      <c r="G202" s="10" t="n">
        <f aca="false">SUMIFS('Source 2025'!$F:$F,'Source 2025'!$B:$B,$A202,'Source 2025'!$A:$A,"Amount (NIS)")</f>
        <v>1331.6</v>
      </c>
      <c r="H202" s="10" t="n">
        <f aca="false">SUMIFS('Source 2026'!$F:$F,'Source 2026'!$B:$B,$A202,'Source 2026'!$A:$A,"Amount (NIS)")</f>
        <v>1016</v>
      </c>
      <c r="I202" s="10" t="n">
        <f aca="false">H202-G202</f>
        <v>-315.6</v>
      </c>
      <c r="J202" s="9" t="n">
        <f aca="false">IF(AND(G202=0,H202=0),0,IF(G202=0,"New",(H202-G202)/G202))</f>
        <v>-0.237008110543707</v>
      </c>
    </row>
    <row r="203" customFormat="false" ht="15" hidden="false" customHeight="false" outlineLevel="0" collapsed="false">
      <c r="A203" s="7" t="s">
        <v>230</v>
      </c>
      <c r="B203" s="7" t="str">
        <f aca="false">IFERROR(INDEX('Source 2026'!$C:$C,MATCH($A203,'Source 2026'!$B:$B,0)),IFERROR(INDEX('Source 2025'!$C:$C,MATCH($A203,'Source 2025'!$B:$B,0)),""))</f>
        <v>S מגן ברך רגיל</v>
      </c>
      <c r="C203" s="8" t="n">
        <f aca="false">SUMIFS('Source 2025'!$F:$F,'Source 2025'!$B:$B,$A203,'Source 2025'!$A:$A,"Quantity (units)")</f>
        <v>0</v>
      </c>
      <c r="D203" s="8" t="n">
        <f aca="false">SUMIFS('Source 2026'!$F:$F,'Source 2026'!$B:$B,$A203,'Source 2026'!$A:$A,"Quantity (units)")</f>
        <v>3</v>
      </c>
      <c r="E203" s="8" t="n">
        <f aca="false">D203-C203</f>
        <v>3</v>
      </c>
      <c r="F203" s="9" t="str">
        <f aca="false">IF(AND(C203=0,D203=0),0,IF(C203=0,"New",(D203-C203)/C203))</f>
        <v>New</v>
      </c>
      <c r="G203" s="10" t="n">
        <f aca="false">SUMIFS('Source 2025'!$F:$F,'Source 2025'!$B:$B,$A203,'Source 2025'!$A:$A,"Amount (NIS)")</f>
        <v>0</v>
      </c>
      <c r="H203" s="10" t="n">
        <f aca="false">SUMIFS('Source 2026'!$F:$F,'Source 2026'!$B:$B,$A203,'Source 2026'!$A:$A,"Amount (NIS)")</f>
        <v>312</v>
      </c>
      <c r="I203" s="10" t="n">
        <f aca="false">H203-G203</f>
        <v>312</v>
      </c>
      <c r="J203" s="9" t="str">
        <f aca="false">IF(AND(G203=0,H203=0),0,IF(G203=0,"New",(H203-G203)/G203))</f>
        <v>New</v>
      </c>
    </row>
    <row r="204" customFormat="false" ht="15" hidden="false" customHeight="false" outlineLevel="0" collapsed="false">
      <c r="A204" s="7" t="s">
        <v>307</v>
      </c>
      <c r="B204" s="7" t="str">
        <f aca="false">IFERROR(INDEX('Source 2026'!$C:$C,MATCH($A204,'Source 2026'!$B:$B,0)),IFERROR(INDEX('Source 2025'!$C:$C,MATCH($A204,'Source 2025'!$B:$B,0)),""))</f>
        <v>L ח.בטן מותנית צר</v>
      </c>
      <c r="C204" s="8" t="n">
        <f aca="false">SUMIFS('Source 2025'!$F:$F,'Source 2025'!$B:$B,$A204,'Source 2025'!$A:$A,"Quantity (units)")</f>
        <v>4</v>
      </c>
      <c r="D204" s="8" t="n">
        <f aca="false">SUMIFS('Source 2026'!$F:$F,'Source 2026'!$B:$B,$A204,'Source 2026'!$A:$A,"Quantity (units)")</f>
        <v>2</v>
      </c>
      <c r="E204" s="8" t="n">
        <f aca="false">D204-C204</f>
        <v>-2</v>
      </c>
      <c r="F204" s="9" t="n">
        <f aca="false">IF(AND(C204=0,D204=0),0,IF(C204=0,"New",(D204-C204)/C204))</f>
        <v>-0.5</v>
      </c>
      <c r="G204" s="10" t="n">
        <f aca="false">SUMIFS('Source 2025'!$F:$F,'Source 2025'!$B:$B,$A204,'Source 2025'!$A:$A,"Amount (NIS)")</f>
        <v>562.2</v>
      </c>
      <c r="H204" s="10" t="n">
        <f aca="false">SUMIFS('Source 2026'!$F:$F,'Source 2026'!$B:$B,$A204,'Source 2026'!$A:$A,"Amount (NIS)")</f>
        <v>253.1</v>
      </c>
      <c r="I204" s="10" t="n">
        <f aca="false">H204-G204</f>
        <v>-309.1</v>
      </c>
      <c r="J204" s="9" t="n">
        <f aca="false">IF(AND(G204=0,H204=0),0,IF(G204=0,"New",(H204-G204)/G204))</f>
        <v>-0.549804340092494</v>
      </c>
    </row>
    <row r="205" customFormat="false" ht="15" hidden="false" customHeight="false" outlineLevel="0" collapsed="false">
      <c r="A205" s="7" t="s">
        <v>308</v>
      </c>
      <c r="B205" s="7" t="str">
        <f aca="false">IFERROR(INDEX('Source 2026'!$C:$C,MATCH($A205,'Source 2026'!$B:$B,0)),IFERROR(INDEX('Source 2025'!$C:$C,MATCH($A205,'Source 2025'!$B:$B,0)),""))</f>
        <v>טייפ בז' 20מ""מ20</v>
      </c>
      <c r="C205" s="8" t="n">
        <f aca="false">SUMIFS('Source 2025'!$F:$F,'Source 2025'!$B:$B,$A205,'Source 2025'!$A:$A,"Quantity (units)")</f>
        <v>70</v>
      </c>
      <c r="D205" s="8" t="n">
        <f aca="false">SUMIFS('Source 2026'!$F:$F,'Source 2026'!$B:$B,$A205,'Source 2026'!$A:$A,"Quantity (units)")</f>
        <v>48</v>
      </c>
      <c r="E205" s="8" t="n">
        <f aca="false">D205-C205</f>
        <v>-22</v>
      </c>
      <c r="F205" s="9" t="n">
        <f aca="false">IF(AND(C205=0,D205=0),0,IF(C205=0,"New",(D205-C205)/C205))</f>
        <v>-0.314285714285714</v>
      </c>
      <c r="G205" s="10" t="n">
        <f aca="false">SUMIFS('Source 2025'!$F:$F,'Source 2025'!$B:$B,$A205,'Source 2025'!$A:$A,"Amount (NIS)")</f>
        <v>1089.5</v>
      </c>
      <c r="H205" s="10" t="n">
        <f aca="false">SUMIFS('Source 2026'!$F:$F,'Source 2026'!$B:$B,$A205,'Source 2026'!$A:$A,"Amount (NIS)")</f>
        <v>788.6</v>
      </c>
      <c r="I205" s="10" t="n">
        <f aca="false">H205-G205</f>
        <v>-300.9</v>
      </c>
      <c r="J205" s="9" t="n">
        <f aca="false">IF(AND(G205=0,H205=0),0,IF(G205=0,"New",(H205-G205)/G205))</f>
        <v>-0.276181734740707</v>
      </c>
    </row>
    <row r="206" customFormat="false" ht="15" hidden="false" customHeight="false" outlineLevel="0" collapsed="false">
      <c r="A206" s="7" t="s">
        <v>130</v>
      </c>
      <c r="B206" s="7" t="str">
        <f aca="false">IFERROR(INDEX('Source 2026'!$C:$C,MATCH($A206,'Source 2026'!$B:$B,0)),IFERROR(INDEX('Source 2025'!$C:$C,MATCH($A206,'Source 2025'!$B:$B,0)),""))</f>
        <v>11 אפורUG חגורת בטן</v>
      </c>
      <c r="C206" s="8" t="n">
        <f aca="false">SUMIFS('Source 2025'!$F:$F,'Source 2025'!$B:$B,$A206,'Source 2025'!$A:$A,"Quantity (units)")</f>
        <v>3</v>
      </c>
      <c r="D206" s="8" t="n">
        <f aca="false">SUMIFS('Source 2026'!$F:$F,'Source 2026'!$B:$B,$A206,'Source 2026'!$A:$A,"Quantity (units)")</f>
        <v>0</v>
      </c>
      <c r="E206" s="8" t="n">
        <f aca="false">D206-C206</f>
        <v>-3</v>
      </c>
      <c r="F206" s="9" t="n">
        <f aca="false">IF(AND(C206=0,D206=0),0,IF(C206=0,"New",(D206-C206)/C206))</f>
        <v>-1</v>
      </c>
      <c r="G206" s="10" t="n">
        <f aca="false">SUMIFS('Source 2025'!$F:$F,'Source 2025'!$B:$B,$A206,'Source 2025'!$A:$A,"Amount (NIS)")</f>
        <v>288.7</v>
      </c>
      <c r="H206" s="10" t="n">
        <f aca="false">SUMIFS('Source 2026'!$F:$F,'Source 2026'!$B:$B,$A206,'Source 2026'!$A:$A,"Amount (NIS)")</f>
        <v>0</v>
      </c>
      <c r="I206" s="10" t="n">
        <f aca="false">H206-G206</f>
        <v>-288.7</v>
      </c>
      <c r="J206" s="9" t="n">
        <f aca="false">IF(AND(G206=0,H206=0),0,IF(G206=0,"New",(H206-G206)/G206))</f>
        <v>-1</v>
      </c>
    </row>
    <row r="207" customFormat="false" ht="15" hidden="false" customHeight="false" outlineLevel="0" collapsed="false">
      <c r="A207" s="7" t="s">
        <v>163</v>
      </c>
      <c r="B207" s="7" t="str">
        <f aca="false">IFERROR(INDEX('Source 2026'!$C:$C,MATCH($A207,'Source 2026'!$B:$B,0)),IFERROR(INDEX('Source 2025'!$C:$C,MATCH($A207,'Source 2025'!$B:$B,0)),""))</f>
        <v>כפפות לחץ</v>
      </c>
      <c r="C207" s="8" t="n">
        <f aca="false">SUMIFS('Source 2025'!$F:$F,'Source 2025'!$B:$B,$A207,'Source 2025'!$A:$A,"Quantity (units)")</f>
        <v>13</v>
      </c>
      <c r="D207" s="8" t="n">
        <f aca="false">SUMIFS('Source 2026'!$F:$F,'Source 2026'!$B:$B,$A207,'Source 2026'!$A:$A,"Quantity (units)")</f>
        <v>5</v>
      </c>
      <c r="E207" s="8" t="n">
        <f aca="false">D207-C207</f>
        <v>-8</v>
      </c>
      <c r="F207" s="9" t="n">
        <f aca="false">IF(AND(C207=0,D207=0),0,IF(C207=0,"New",(D207-C207)/C207))</f>
        <v>-0.615384615384615</v>
      </c>
      <c r="G207" s="10" t="n">
        <f aca="false">SUMIFS('Source 2025'!$F:$F,'Source 2025'!$B:$B,$A207,'Source 2025'!$A:$A,"Amount (NIS)")</f>
        <v>469.4</v>
      </c>
      <c r="H207" s="10" t="n">
        <f aca="false">SUMIFS('Source 2026'!$F:$F,'Source 2026'!$B:$B,$A207,'Source 2026'!$A:$A,"Amount (NIS)")</f>
        <v>184.8</v>
      </c>
      <c r="I207" s="10" t="n">
        <f aca="false">H207-G207</f>
        <v>-284.6</v>
      </c>
      <c r="J207" s="9" t="n">
        <f aca="false">IF(AND(G207=0,H207=0),0,IF(G207=0,"New",(H207-G207)/G207))</f>
        <v>-0.606305922454197</v>
      </c>
    </row>
    <row r="208" customFormat="false" ht="15" hidden="false" customHeight="false" outlineLevel="0" collapsed="false">
      <c r="A208" s="7" t="s">
        <v>204</v>
      </c>
      <c r="B208" s="7" t="str">
        <f aca="false">IFERROR(INDEX('Source 2026'!$C:$C,MATCH($A208,'Source 2026'!$B:$B,0)),IFERROR(INDEX('Source 2025'!$C:$C,MATCH($A208,'Source 2025'!$B:$B,0)),""))</f>
        <v>Mמתלה ליד)כיס(+רצועת חיזוק</v>
      </c>
      <c r="C208" s="8" t="n">
        <f aca="false">SUMIFS('Source 2025'!$F:$F,'Source 2025'!$B:$B,$A208,'Source 2025'!$A:$A,"Quantity (units)")</f>
        <v>7</v>
      </c>
      <c r="D208" s="8" t="n">
        <f aca="false">SUMIFS('Source 2026'!$F:$F,'Source 2026'!$B:$B,$A208,'Source 2026'!$A:$A,"Quantity (units)")</f>
        <v>4</v>
      </c>
      <c r="E208" s="8" t="n">
        <f aca="false">D208-C208</f>
        <v>-3</v>
      </c>
      <c r="F208" s="9" t="n">
        <f aca="false">IF(AND(C208=0,D208=0),0,IF(C208=0,"New",(D208-C208)/C208))</f>
        <v>-0.428571428571429</v>
      </c>
      <c r="G208" s="10" t="n">
        <f aca="false">SUMIFS('Source 2025'!$F:$F,'Source 2025'!$B:$B,$A208,'Source 2025'!$A:$A,"Amount (NIS)")</f>
        <v>662</v>
      </c>
      <c r="H208" s="10" t="n">
        <f aca="false">SUMIFS('Source 2026'!$F:$F,'Source 2026'!$B:$B,$A208,'Source 2026'!$A:$A,"Amount (NIS)")</f>
        <v>378.5</v>
      </c>
      <c r="I208" s="10" t="n">
        <f aca="false">H208-G208</f>
        <v>-283.5</v>
      </c>
      <c r="J208" s="9" t="n">
        <f aca="false">IF(AND(G208=0,H208=0),0,IF(G208=0,"New",(H208-G208)/G208))</f>
        <v>-0.428247734138973</v>
      </c>
    </row>
    <row r="209" customFormat="false" ht="15" hidden="false" customHeight="false" outlineLevel="0" collapsed="false">
      <c r="A209" s="7" t="s">
        <v>309</v>
      </c>
      <c r="B209" s="7" t="str">
        <f aca="false">IFERROR(INDEX('Source 2026'!$C:$C,MATCH($A209,'Source 2026'!$B:$B,0)),IFERROR(INDEX('Source 2025'!$C:$C,MATCH($A209,'Source 2025'!$B:$B,0)),""))</f>
        <v>מרפק+כרית סילקון</v>
      </c>
      <c r="C209" s="8" t="n">
        <f aca="false">SUMIFS('Source 2025'!$F:$F,'Source 2025'!$B:$B,$A209,'Source 2025'!$A:$A,"Quantity (units)")</f>
        <v>0</v>
      </c>
      <c r="D209" s="8" t="n">
        <f aca="false">SUMIFS('Source 2026'!$F:$F,'Source 2026'!$B:$B,$A209,'Source 2026'!$A:$A,"Quantity (units)")</f>
        <v>-2</v>
      </c>
      <c r="E209" s="8" t="n">
        <f aca="false">D209-C209</f>
        <v>-2</v>
      </c>
      <c r="F209" s="9" t="str">
        <f aca="false">IF(AND(C209=0,D209=0),0,IF(C209=0,"New",(D209-C209)/C209))</f>
        <v>New</v>
      </c>
      <c r="G209" s="10" t="n">
        <f aca="false">SUMIFS('Source 2025'!$F:$F,'Source 2025'!$B:$B,$A209,'Source 2025'!$A:$A,"Amount (NIS)")</f>
        <v>0</v>
      </c>
      <c r="H209" s="10" t="n">
        <f aca="false">SUMIFS('Source 2026'!$F:$F,'Source 2026'!$B:$B,$A209,'Source 2026'!$A:$A,"Amount (NIS)")</f>
        <v>-283.5</v>
      </c>
      <c r="I209" s="10" t="n">
        <f aca="false">H209-G209</f>
        <v>-283.5</v>
      </c>
      <c r="J209" s="9" t="str">
        <f aca="false">IF(AND(G209=0,H209=0),0,IF(G209=0,"New",(H209-G209)/G209))</f>
        <v>New</v>
      </c>
    </row>
    <row r="210" customFormat="false" ht="15" hidden="false" customHeight="false" outlineLevel="0" collapsed="false">
      <c r="A210" s="7" t="s">
        <v>223</v>
      </c>
      <c r="B210" s="7" t="str">
        <f aca="false">IFERROR(INDEX('Source 2026'!$C:$C,MATCH($A210,'Source 2026'!$B:$B,0)),IFERROR(INDEX('Source 2025'!$C:$C,MATCH($A210,'Source 2025'!$B:$B,0)),""))</f>
        <v>L מגן ברך מוצלב+מוט</v>
      </c>
      <c r="C210" s="8" t="n">
        <f aca="false">SUMIFS('Source 2025'!$F:$F,'Source 2025'!$B:$B,$A210,'Source 2025'!$A:$A,"Quantity (units)")</f>
        <v>8</v>
      </c>
      <c r="D210" s="8" t="n">
        <f aca="false">SUMIFS('Source 2026'!$F:$F,'Source 2026'!$B:$B,$A210,'Source 2026'!$A:$A,"Quantity (units)")</f>
        <v>6</v>
      </c>
      <c r="E210" s="8" t="n">
        <f aca="false">D210-C210</f>
        <v>-2</v>
      </c>
      <c r="F210" s="9" t="n">
        <f aca="false">IF(AND(C210=0,D210=0),0,IF(C210=0,"New",(D210-C210)/C210))</f>
        <v>-0.25</v>
      </c>
      <c r="G210" s="10" t="n">
        <f aca="false">SUMIFS('Source 2025'!$F:$F,'Source 2025'!$B:$B,$A210,'Source 2025'!$A:$A,"Amount (NIS)")</f>
        <v>1078</v>
      </c>
      <c r="H210" s="10" t="n">
        <f aca="false">SUMIFS('Source 2026'!$F:$F,'Source 2026'!$B:$B,$A210,'Source 2026'!$A:$A,"Amount (NIS)")</f>
        <v>797.2</v>
      </c>
      <c r="I210" s="10" t="n">
        <f aca="false">H210-G210</f>
        <v>-280.8</v>
      </c>
      <c r="J210" s="9" t="n">
        <f aca="false">IF(AND(G210=0,H210=0),0,IF(G210=0,"New",(H210-G210)/G210))</f>
        <v>-0.260482374768089</v>
      </c>
    </row>
    <row r="211" customFormat="false" ht="15" hidden="false" customHeight="false" outlineLevel="0" collapsed="false">
      <c r="A211" s="7" t="s">
        <v>187</v>
      </c>
      <c r="B211" s="7" t="str">
        <f aca="false">IFERROR(INDEX('Source 2026'!$C:$C,MATCH($A211,'Source 2026'!$B:$B,0)),IFERROR(INDEX('Source 2025'!$C:$C,MATCH($A211,'Source 2025'!$B:$B,0)),""))</f>
        <v>M חבק יד אגודלי</v>
      </c>
      <c r="C211" s="8" t="n">
        <f aca="false">SUMIFS('Source 2025'!$F:$F,'Source 2025'!$B:$B,$A211,'Source 2025'!$A:$A,"Quantity (units)")</f>
        <v>3</v>
      </c>
      <c r="D211" s="8" t="n">
        <f aca="false">SUMIFS('Source 2026'!$F:$F,'Source 2026'!$B:$B,$A211,'Source 2026'!$A:$A,"Quantity (units)")</f>
        <v>-1</v>
      </c>
      <c r="E211" s="8" t="n">
        <f aca="false">D211-C211</f>
        <v>-4</v>
      </c>
      <c r="F211" s="9" t="n">
        <f aca="false">IF(AND(C211=0,D211=0),0,IF(C211=0,"New",(D211-C211)/C211))</f>
        <v>-1.33333333333333</v>
      </c>
      <c r="G211" s="10" t="n">
        <f aca="false">SUMIFS('Source 2025'!$F:$F,'Source 2025'!$B:$B,$A211,'Source 2025'!$A:$A,"Amount (NIS)")</f>
        <v>221.8</v>
      </c>
      <c r="H211" s="10" t="n">
        <f aca="false">SUMIFS('Source 2026'!$F:$F,'Source 2026'!$B:$B,$A211,'Source 2026'!$A:$A,"Amount (NIS)")</f>
        <v>-53.2</v>
      </c>
      <c r="I211" s="10" t="n">
        <f aca="false">H211-G211</f>
        <v>-275</v>
      </c>
      <c r="J211" s="9" t="n">
        <f aca="false">IF(AND(G211=0,H211=0),0,IF(G211=0,"New",(H211-G211)/G211))</f>
        <v>-1.23985572587917</v>
      </c>
    </row>
    <row r="212" customFormat="false" ht="15" hidden="false" customHeight="false" outlineLevel="0" collapsed="false">
      <c r="A212" s="7" t="s">
        <v>310</v>
      </c>
      <c r="B212" s="7" t="str">
        <f aca="false">IFERROR(INDEX('Source 2026'!$C:$C,MATCH($A212,'Source 2026'!$B:$B,0)),IFERROR(INDEX('Source 2025'!$C:$C,MATCH($A212,'Source 2025'!$B:$B,0)),""))</f>
        <v>מגן קרסול+כרית סילקון</v>
      </c>
      <c r="C212" s="8" t="n">
        <f aca="false">SUMIFS('Source 2025'!$F:$F,'Source 2025'!$B:$B,$A212,'Source 2025'!$A:$A,"Quantity (units)")</f>
        <v>2</v>
      </c>
      <c r="D212" s="8" t="n">
        <f aca="false">SUMIFS('Source 2026'!$F:$F,'Source 2026'!$B:$B,$A212,'Source 2026'!$A:$A,"Quantity (units)")</f>
        <v>0</v>
      </c>
      <c r="E212" s="8" t="n">
        <f aca="false">D212-C212</f>
        <v>-2</v>
      </c>
      <c r="F212" s="9" t="n">
        <f aca="false">IF(AND(C212=0,D212=0),0,IF(C212=0,"New",(D212-C212)/C212))</f>
        <v>-1</v>
      </c>
      <c r="G212" s="10" t="n">
        <f aca="false">SUMIFS('Source 2025'!$F:$F,'Source 2025'!$B:$B,$A212,'Source 2025'!$A:$A,"Amount (NIS)")</f>
        <v>255.5</v>
      </c>
      <c r="H212" s="10" t="n">
        <f aca="false">SUMIFS('Source 2026'!$F:$F,'Source 2026'!$B:$B,$A212,'Source 2026'!$A:$A,"Amount (NIS)")</f>
        <v>0</v>
      </c>
      <c r="I212" s="10" t="n">
        <f aca="false">H212-G212</f>
        <v>-255.5</v>
      </c>
      <c r="J212" s="9" t="n">
        <f aca="false">IF(AND(G212=0,H212=0),0,IF(G212=0,"New",(H212-G212)/G212))</f>
        <v>-1</v>
      </c>
    </row>
    <row r="213" customFormat="false" ht="15" hidden="false" customHeight="false" outlineLevel="0" collapsed="false">
      <c r="A213" s="7" t="s">
        <v>160</v>
      </c>
      <c r="B213" s="7" t="str">
        <f aca="false">IFERROR(INDEX('Source 2026'!$C:$C,MATCH($A213,'Source 2026'!$B:$B,0)),IFERROR(INDEX('Source 2025'!$C:$C,MATCH($A213,'Source 2025'!$B:$B,0)),""))</f>
        <v>סד ליישור אצבע</v>
      </c>
      <c r="C213" s="8" t="n">
        <f aca="false">SUMIFS('Source 2025'!$F:$F,'Source 2025'!$B:$B,$A213,'Source 2025'!$A:$A,"Quantity (units)")</f>
        <v>372</v>
      </c>
      <c r="D213" s="8" t="n">
        <f aca="false">SUMIFS('Source 2026'!$F:$F,'Source 2026'!$B:$B,$A213,'Source 2026'!$A:$A,"Quantity (units)")</f>
        <v>348</v>
      </c>
      <c r="E213" s="8" t="n">
        <f aca="false">D213-C213</f>
        <v>-24</v>
      </c>
      <c r="F213" s="9" t="n">
        <f aca="false">IF(AND(C213=0,D213=0),0,IF(C213=0,"New",(D213-C213)/C213))</f>
        <v>-0.0645161290322581</v>
      </c>
      <c r="G213" s="10" t="n">
        <f aca="false">SUMIFS('Source 2025'!$F:$F,'Source 2025'!$B:$B,$A213,'Source 2025'!$A:$A,"Amount (NIS)")</f>
        <v>7084.9</v>
      </c>
      <c r="H213" s="10" t="n">
        <f aca="false">SUMIFS('Source 2026'!$F:$F,'Source 2026'!$B:$B,$A213,'Source 2026'!$A:$A,"Amount (NIS)")</f>
        <v>6831.3</v>
      </c>
      <c r="I213" s="10" t="n">
        <f aca="false">H213-G213</f>
        <v>-253.599999999999</v>
      </c>
      <c r="J213" s="9" t="n">
        <f aca="false">IF(AND(G213=0,H213=0),0,IF(G213=0,"New",(H213-G213)/G213))</f>
        <v>-0.0357944360541432</v>
      </c>
    </row>
    <row r="214" customFormat="false" ht="15" hidden="false" customHeight="false" outlineLevel="0" collapsed="false">
      <c r="A214" s="7" t="s">
        <v>126</v>
      </c>
      <c r="B214" s="7" t="str">
        <f aca="false">IFERROR(INDEX('Source 2026'!$C:$C,MATCH($A214,'Source 2026'!$B:$B,0)),IFERROR(INDEX('Source 2025'!$C:$C,MATCH($A214,'Source 2025'!$B:$B,0)),""))</f>
        <v>S ימין CTS כפפות</v>
      </c>
      <c r="C214" s="8" t="n">
        <f aca="false">SUMIFS('Source 2025'!$F:$F,'Source 2025'!$B:$B,$A214,'Source 2025'!$A:$A,"Quantity (units)")</f>
        <v>0</v>
      </c>
      <c r="D214" s="8" t="n">
        <f aca="false">SUMIFS('Source 2026'!$F:$F,'Source 2026'!$B:$B,$A214,'Source 2026'!$A:$A,"Quantity (units)")</f>
        <v>2</v>
      </c>
      <c r="E214" s="8" t="n">
        <f aca="false">D214-C214</f>
        <v>2</v>
      </c>
      <c r="F214" s="9" t="str">
        <f aca="false">IF(AND(C214=0,D214=0),0,IF(C214=0,"New",(D214-C214)/C214))</f>
        <v>New</v>
      </c>
      <c r="G214" s="10" t="n">
        <f aca="false">SUMIFS('Source 2025'!$F:$F,'Source 2025'!$B:$B,$A214,'Source 2025'!$A:$A,"Amount (NIS)")</f>
        <v>0</v>
      </c>
      <c r="H214" s="10" t="n">
        <f aca="false">SUMIFS('Source 2026'!$F:$F,'Source 2026'!$B:$B,$A214,'Source 2026'!$A:$A,"Amount (NIS)")</f>
        <v>234.3</v>
      </c>
      <c r="I214" s="10" t="n">
        <f aca="false">H214-G214</f>
        <v>234.3</v>
      </c>
      <c r="J214" s="9" t="str">
        <f aca="false">IF(AND(G214=0,H214=0),0,IF(G214=0,"New",(H214-G214)/G214))</f>
        <v>New</v>
      </c>
    </row>
    <row r="215" customFormat="false" ht="15" hidden="false" customHeight="false" outlineLevel="0" collapsed="false">
      <c r="A215" s="7" t="s">
        <v>107</v>
      </c>
      <c r="B215" s="7" t="str">
        <f aca="false">IFERROR(INDEX('Source 2026'!$C:$C,MATCH($A215,'Source 2026'!$B:$B,0)),IFERROR(INDEX('Source 2025'!$C:$C,MATCH($A215,'Source 2025'!$B:$B,0)),""))</f>
        <v>L ימין CTS כפפות</v>
      </c>
      <c r="C215" s="8" t="n">
        <f aca="false">SUMIFS('Source 2025'!$F:$F,'Source 2025'!$B:$B,$A215,'Source 2025'!$A:$A,"Quantity (units)")</f>
        <v>0</v>
      </c>
      <c r="D215" s="8" t="n">
        <f aca="false">SUMIFS('Source 2026'!$F:$F,'Source 2026'!$B:$B,$A215,'Source 2026'!$A:$A,"Quantity (units)")</f>
        <v>2</v>
      </c>
      <c r="E215" s="8" t="n">
        <f aca="false">D215-C215</f>
        <v>2</v>
      </c>
      <c r="F215" s="9" t="str">
        <f aca="false">IF(AND(C215=0,D215=0),0,IF(C215=0,"New",(D215-C215)/C215))</f>
        <v>New</v>
      </c>
      <c r="G215" s="10" t="n">
        <f aca="false">SUMIFS('Source 2025'!$F:$F,'Source 2025'!$B:$B,$A215,'Source 2025'!$A:$A,"Amount (NIS)")</f>
        <v>0</v>
      </c>
      <c r="H215" s="10" t="n">
        <f aca="false">SUMIFS('Source 2026'!$F:$F,'Source 2026'!$B:$B,$A215,'Source 2026'!$A:$A,"Amount (NIS)")</f>
        <v>234.2</v>
      </c>
      <c r="I215" s="10" t="n">
        <f aca="false">H215-G215</f>
        <v>234.2</v>
      </c>
      <c r="J215" s="9" t="str">
        <f aca="false">IF(AND(G215=0,H215=0),0,IF(G215=0,"New",(H215-G215)/G215))</f>
        <v>New</v>
      </c>
    </row>
    <row r="216" customFormat="false" ht="15" hidden="false" customHeight="false" outlineLevel="0" collapsed="false">
      <c r="A216" s="7" t="s">
        <v>68</v>
      </c>
      <c r="B216" s="7" t="str">
        <f aca="false">IFERROR(INDEX('Source 2026'!$C:$C,MATCH($A216,'Source 2026'!$B:$B,0)),IFERROR(INDEX('Source 2025'!$C:$C,MATCH($A216,'Source 2025'!$B:$B,0)),""))</f>
        <v>פיקה לברך</v>
      </c>
      <c r="C216" s="8" t="n">
        <f aca="false">SUMIFS('Source 2025'!$F:$F,'Source 2025'!$B:$B,$A216,'Source 2025'!$A:$A,"Quantity (units)")</f>
        <v>46</v>
      </c>
      <c r="D216" s="8" t="n">
        <f aca="false">SUMIFS('Source 2026'!$F:$F,'Source 2026'!$B:$B,$A216,'Source 2026'!$A:$A,"Quantity (units)")</f>
        <v>41</v>
      </c>
      <c r="E216" s="8" t="n">
        <f aca="false">D216-C216</f>
        <v>-5</v>
      </c>
      <c r="F216" s="9" t="n">
        <f aca="false">IF(AND(C216=0,D216=0),0,IF(C216=0,"New",(D216-C216)/C216))</f>
        <v>-0.108695652173913</v>
      </c>
      <c r="G216" s="10" t="n">
        <f aca="false">SUMIFS('Source 2025'!$F:$F,'Source 2025'!$B:$B,$A216,'Source 2025'!$A:$A,"Amount (NIS)")</f>
        <v>2335.3</v>
      </c>
      <c r="H216" s="10" t="n">
        <f aca="false">SUMIFS('Source 2026'!$F:$F,'Source 2026'!$B:$B,$A216,'Source 2026'!$A:$A,"Amount (NIS)")</f>
        <v>2103.5</v>
      </c>
      <c r="I216" s="10" t="n">
        <f aca="false">H216-G216</f>
        <v>-231.8</v>
      </c>
      <c r="J216" s="9" t="n">
        <f aca="false">IF(AND(G216=0,H216=0),0,IF(G216=0,"New",(H216-G216)/G216))</f>
        <v>-0.0992591958206655</v>
      </c>
    </row>
    <row r="217" customFormat="false" ht="15" hidden="false" customHeight="false" outlineLevel="0" collapsed="false">
      <c r="A217" s="7" t="s">
        <v>39</v>
      </c>
      <c r="B217" s="7" t="str">
        <f aca="false">IFERROR(INDEX('Source 2026'!$C:$C,MATCH($A217,'Source 2026'!$B:$B,0)),IFERROR(INDEX('Source 2025'!$C:$C,MATCH($A217,'Source 2025'!$B:$B,0)),""))</f>
        <v>מדרסי אפיק ג'ל נוחות</v>
      </c>
      <c r="C217" s="8" t="n">
        <f aca="false">SUMIFS('Source 2025'!$F:$F,'Source 2025'!$B:$B,$A217,'Source 2025'!$A:$A,"Quantity (units)")</f>
        <v>17</v>
      </c>
      <c r="D217" s="8" t="n">
        <f aca="false">SUMIFS('Source 2026'!$F:$F,'Source 2026'!$B:$B,$A217,'Source 2026'!$A:$A,"Quantity (units)")</f>
        <v>14</v>
      </c>
      <c r="E217" s="8" t="n">
        <f aca="false">D217-C217</f>
        <v>-3</v>
      </c>
      <c r="F217" s="9" t="n">
        <f aca="false">IF(AND(C217=0,D217=0),0,IF(C217=0,"New",(D217-C217)/C217))</f>
        <v>-0.176470588235294</v>
      </c>
      <c r="G217" s="10" t="n">
        <f aca="false">SUMIFS('Source 2025'!$F:$F,'Source 2025'!$B:$B,$A217,'Source 2025'!$A:$A,"Amount (NIS)")</f>
        <v>1602.9</v>
      </c>
      <c r="H217" s="10" t="n">
        <f aca="false">SUMIFS('Source 2026'!$F:$F,'Source 2026'!$B:$B,$A217,'Source 2026'!$A:$A,"Amount (NIS)")</f>
        <v>1371.3</v>
      </c>
      <c r="I217" s="10" t="n">
        <f aca="false">H217-G217</f>
        <v>-231.6</v>
      </c>
      <c r="J217" s="9" t="n">
        <f aca="false">IF(AND(G217=0,H217=0),0,IF(G217=0,"New",(H217-G217)/G217))</f>
        <v>-0.144488115291035</v>
      </c>
    </row>
    <row r="218" customFormat="false" ht="15" hidden="false" customHeight="false" outlineLevel="0" collapsed="false">
      <c r="A218" s="7" t="s">
        <v>311</v>
      </c>
      <c r="B218" s="7" t="str">
        <f aca="false">IFERROR(INDEX('Source 2026'!$C:$C,MATCH($A218,'Source 2026'!$B:$B,0)),IFERROR(INDEX('Source 2025'!$C:$C,MATCH($A218,'Source 2025'!$B:$B,0)),""))</f>
        <v>L-XLח.גב אמר+סגירה כפ.חום</v>
      </c>
      <c r="C218" s="8" t="n">
        <f aca="false">SUMIFS('Source 2025'!$F:$F,'Source 2025'!$B:$B,$A218,'Source 2025'!$A:$A,"Quantity (units)")</f>
        <v>1</v>
      </c>
      <c r="D218" s="8" t="n">
        <f aca="false">SUMIFS('Source 2026'!$F:$F,'Source 2026'!$B:$B,$A218,'Source 2026'!$A:$A,"Quantity (units)")</f>
        <v>0</v>
      </c>
      <c r="E218" s="8" t="n">
        <f aca="false">D218-C218</f>
        <v>-1</v>
      </c>
      <c r="F218" s="9" t="n">
        <f aca="false">IF(AND(C218=0,D218=0),0,IF(C218=0,"New",(D218-C218)/C218))</f>
        <v>-1</v>
      </c>
      <c r="G218" s="10" t="n">
        <f aca="false">SUMIFS('Source 2025'!$F:$F,'Source 2025'!$B:$B,$A218,'Source 2025'!$A:$A,"Amount (NIS)")</f>
        <v>231.6</v>
      </c>
      <c r="H218" s="10" t="n">
        <f aca="false">SUMIFS('Source 2026'!$F:$F,'Source 2026'!$B:$B,$A218,'Source 2026'!$A:$A,"Amount (NIS)")</f>
        <v>0</v>
      </c>
      <c r="I218" s="10" t="n">
        <f aca="false">H218-G218</f>
        <v>-231.6</v>
      </c>
      <c r="J218" s="9" t="n">
        <f aca="false">IF(AND(G218=0,H218=0),0,IF(G218=0,"New",(H218-G218)/G218))</f>
        <v>-1</v>
      </c>
    </row>
    <row r="219" customFormat="false" ht="15" hidden="false" customHeight="false" outlineLevel="0" collapsed="false">
      <c r="A219" s="7" t="s">
        <v>225</v>
      </c>
      <c r="B219" s="7" t="str">
        <f aca="false">IFERROR(INDEX('Source 2026'!$C:$C,MATCH($A219,'Source 2026'!$B:$B,0)),IFERROR(INDEX('Source 2025'!$C:$C,MATCH($A219,'Source 2025'!$B:$B,0)),""))</f>
        <v>ריפוד סיליקון לנעלי אצבע</v>
      </c>
      <c r="C219" s="8" t="n">
        <f aca="false">SUMIFS('Source 2025'!$F:$F,'Source 2025'!$B:$B,$A219,'Source 2025'!$A:$A,"Quantity (units)")</f>
        <v>7</v>
      </c>
      <c r="D219" s="8" t="n">
        <f aca="false">SUMIFS('Source 2026'!$F:$F,'Source 2026'!$B:$B,$A219,'Source 2026'!$A:$A,"Quantity (units)")</f>
        <v>-1</v>
      </c>
      <c r="E219" s="8" t="n">
        <f aca="false">D219-C219</f>
        <v>-8</v>
      </c>
      <c r="F219" s="9" t="n">
        <f aca="false">IF(AND(C219=0,D219=0),0,IF(C219=0,"New",(D219-C219)/C219))</f>
        <v>-1.14285714285714</v>
      </c>
      <c r="G219" s="10" t="n">
        <f aca="false">SUMIFS('Source 2025'!$F:$F,'Source 2025'!$B:$B,$A219,'Source 2025'!$A:$A,"Amount (NIS)")</f>
        <v>209.2</v>
      </c>
      <c r="H219" s="10" t="n">
        <f aca="false">SUMIFS('Source 2026'!$F:$F,'Source 2026'!$B:$B,$A219,'Source 2026'!$A:$A,"Amount (NIS)")</f>
        <v>-21.9</v>
      </c>
      <c r="I219" s="10" t="n">
        <f aca="false">H219-G219</f>
        <v>-231.1</v>
      </c>
      <c r="J219" s="9" t="n">
        <f aca="false">IF(AND(G219=0,H219=0),0,IF(G219=0,"New",(H219-G219)/G219))</f>
        <v>-1.1046845124283</v>
      </c>
    </row>
    <row r="220" customFormat="false" ht="15" hidden="false" customHeight="false" outlineLevel="0" collapsed="false">
      <c r="A220" s="7" t="s">
        <v>312</v>
      </c>
      <c r="B220" s="7" t="str">
        <f aca="false">IFERROR(INDEX('Source 2026'!$C:$C,MATCH($A220,'Source 2026'!$B:$B,0)),IFERROR(INDEX('Source 2025'!$C:$C,MATCH($A220,'Source 2025'!$B:$B,0)),""))</f>
        <v>XL סד קרסול+מוטות אלומיניום</v>
      </c>
      <c r="C220" s="8" t="n">
        <f aca="false">SUMIFS('Source 2025'!$F:$F,'Source 2025'!$B:$B,$A220,'Source 2025'!$A:$A,"Quantity (units)")</f>
        <v>1</v>
      </c>
      <c r="D220" s="8" t="n">
        <f aca="false">SUMIFS('Source 2026'!$F:$F,'Source 2026'!$B:$B,$A220,'Source 2026'!$A:$A,"Quantity (units)")</f>
        <v>2</v>
      </c>
      <c r="E220" s="8" t="n">
        <f aca="false">D220-C220</f>
        <v>1</v>
      </c>
      <c r="F220" s="9" t="n">
        <f aca="false">IF(AND(C220=0,D220=0),0,IF(C220=0,"New",(D220-C220)/C220))</f>
        <v>1</v>
      </c>
      <c r="G220" s="10" t="n">
        <f aca="false">SUMIFS('Source 2025'!$F:$F,'Source 2025'!$B:$B,$A220,'Source 2025'!$A:$A,"Amount (NIS)")</f>
        <v>198.6</v>
      </c>
      <c r="H220" s="10" t="n">
        <f aca="false">SUMIFS('Source 2026'!$F:$F,'Source 2026'!$B:$B,$A220,'Source 2026'!$A:$A,"Amount (NIS)")</f>
        <v>425.5</v>
      </c>
      <c r="I220" s="10" t="n">
        <f aca="false">H220-G220</f>
        <v>226.9</v>
      </c>
      <c r="J220" s="9" t="n">
        <f aca="false">IF(AND(G220=0,H220=0),0,IF(G220=0,"New",(H220-G220)/G220))</f>
        <v>1.14249748237664</v>
      </c>
    </row>
    <row r="221" customFormat="false" ht="15" hidden="false" customHeight="false" outlineLevel="0" collapsed="false">
      <c r="A221" s="7" t="s">
        <v>220</v>
      </c>
      <c r="B221" s="7" t="str">
        <f aca="false">IFERROR(INDEX('Source 2026'!$C:$C,MATCH($A221,'Source 2026'!$B:$B,0)),IFERROR(INDEX('Source 2025'!$C:$C,MATCH($A221,'Source 2025'!$B:$B,0)),""))</f>
        <v>XL סד לאגודל כפפה</v>
      </c>
      <c r="C221" s="8" t="n">
        <f aca="false">SUMIFS('Source 2025'!$F:$F,'Source 2025'!$B:$B,$A221,'Source 2025'!$A:$A,"Quantity (units)")</f>
        <v>0</v>
      </c>
      <c r="D221" s="8" t="n">
        <f aca="false">SUMIFS('Source 2026'!$F:$F,'Source 2026'!$B:$B,$A221,'Source 2026'!$A:$A,"Quantity (units)")</f>
        <v>3</v>
      </c>
      <c r="E221" s="8" t="n">
        <f aca="false">D221-C221</f>
        <v>3</v>
      </c>
      <c r="F221" s="9" t="str">
        <f aca="false">IF(AND(C221=0,D221=0),0,IF(C221=0,"New",(D221-C221)/C221))</f>
        <v>New</v>
      </c>
      <c r="G221" s="10" t="n">
        <f aca="false">SUMIFS('Source 2025'!$F:$F,'Source 2025'!$B:$B,$A221,'Source 2025'!$A:$A,"Amount (NIS)")</f>
        <v>-13</v>
      </c>
      <c r="H221" s="10" t="n">
        <f aca="false">SUMIFS('Source 2026'!$F:$F,'Source 2026'!$B:$B,$A221,'Source 2026'!$A:$A,"Amount (NIS)")</f>
        <v>209.7</v>
      </c>
      <c r="I221" s="10" t="n">
        <f aca="false">H221-G221</f>
        <v>222.7</v>
      </c>
      <c r="J221" s="9" t="n">
        <f aca="false">IF(AND(G221=0,H221=0),0,IF(G221=0,"New",(H221-G221)/G221))</f>
        <v>-17.1307692307692</v>
      </c>
    </row>
    <row r="222" customFormat="false" ht="15" hidden="false" customHeight="false" outlineLevel="0" collapsed="false">
      <c r="A222" s="7" t="s">
        <v>231</v>
      </c>
      <c r="B222" s="7" t="str">
        <f aca="false">IFERROR(INDEX('Source 2026'!$C:$C,MATCH($A222,'Source 2026'!$B:$B,0)),IFERROR(INDEX('Source 2025'!$C:$C,MATCH($A222,'Source 2025'!$B:$B,0)),""))</f>
        <v>L-XL 'סד יד שמאל בז</v>
      </c>
      <c r="C222" s="8" t="n">
        <f aca="false">SUMIFS('Source 2025'!$F:$F,'Source 2025'!$B:$B,$A222,'Source 2025'!$A:$A,"Quantity (units)")</f>
        <v>2</v>
      </c>
      <c r="D222" s="8" t="n">
        <f aca="false">SUMIFS('Source 2026'!$F:$F,'Source 2026'!$B:$B,$A222,'Source 2026'!$A:$A,"Quantity (units)")</f>
        <v>0</v>
      </c>
      <c r="E222" s="8" t="n">
        <f aca="false">D222-C222</f>
        <v>-2</v>
      </c>
      <c r="F222" s="9" t="n">
        <f aca="false">IF(AND(C222=0,D222=0),0,IF(C222=0,"New",(D222-C222)/C222))</f>
        <v>-1</v>
      </c>
      <c r="G222" s="10" t="n">
        <f aca="false">SUMIFS('Source 2025'!$F:$F,'Source 2025'!$B:$B,$A222,'Source 2025'!$A:$A,"Amount (NIS)")</f>
        <v>217.4</v>
      </c>
      <c r="H222" s="10" t="n">
        <f aca="false">SUMIFS('Source 2026'!$F:$F,'Source 2026'!$B:$B,$A222,'Source 2026'!$A:$A,"Amount (NIS)")</f>
        <v>0</v>
      </c>
      <c r="I222" s="10" t="n">
        <f aca="false">H222-G222</f>
        <v>-217.4</v>
      </c>
      <c r="J222" s="9" t="n">
        <f aca="false">IF(AND(G222=0,H222=0),0,IF(G222=0,"New",(H222-G222)/G222))</f>
        <v>-1</v>
      </c>
    </row>
    <row r="223" customFormat="false" ht="15" hidden="false" customHeight="false" outlineLevel="0" collapsed="false">
      <c r="A223" s="7" t="s">
        <v>313</v>
      </c>
      <c r="B223" s="7" t="str">
        <f aca="false">IFERROR(INDEX('Source 2026'!$C:$C,MATCH($A223,'Source 2026'!$B:$B,0)),IFERROR(INDEX('Source 2025'!$C:$C,MATCH($A223,'Source 2025'!$B:$B,0)),""))</f>
        <v>L-XL 'סד יד ימין בז</v>
      </c>
      <c r="C223" s="8" t="n">
        <f aca="false">SUMIFS('Source 2025'!$F:$F,'Source 2025'!$B:$B,$A223,'Source 2025'!$A:$A,"Quantity (units)")</f>
        <v>2</v>
      </c>
      <c r="D223" s="8" t="n">
        <f aca="false">SUMIFS('Source 2026'!$F:$F,'Source 2026'!$B:$B,$A223,'Source 2026'!$A:$A,"Quantity (units)")</f>
        <v>0</v>
      </c>
      <c r="E223" s="8" t="n">
        <f aca="false">D223-C223</f>
        <v>-2</v>
      </c>
      <c r="F223" s="9" t="n">
        <f aca="false">IF(AND(C223=0,D223=0),0,IF(C223=0,"New",(D223-C223)/C223))</f>
        <v>-1</v>
      </c>
      <c r="G223" s="10" t="n">
        <f aca="false">SUMIFS('Source 2025'!$F:$F,'Source 2025'!$B:$B,$A223,'Source 2025'!$A:$A,"Amount (NIS)")</f>
        <v>217.4</v>
      </c>
      <c r="H223" s="10" t="n">
        <f aca="false">SUMIFS('Source 2026'!$F:$F,'Source 2026'!$B:$B,$A223,'Source 2026'!$A:$A,"Amount (NIS)")</f>
        <v>0</v>
      </c>
      <c r="I223" s="10" t="n">
        <f aca="false">H223-G223</f>
        <v>-217.4</v>
      </c>
      <c r="J223" s="9" t="n">
        <f aca="false">IF(AND(G223=0,H223=0),0,IF(G223=0,"New",(H223-G223)/G223))</f>
        <v>-1</v>
      </c>
    </row>
    <row r="224" customFormat="false" ht="15" hidden="false" customHeight="false" outlineLevel="0" collapsed="false">
      <c r="A224" s="7" t="s">
        <v>314</v>
      </c>
      <c r="B224" s="7" t="str">
        <f aca="false">IFERROR(INDEX('Source 2026'!$C:$C,MATCH($A224,'Source 2026'!$B:$B,0)),IFERROR(INDEX('Source 2025'!$C:$C,MATCH($A224,'Source 2025'!$B:$B,0)),""))</f>
        <v>L-XLסד יד שמאל שחור</v>
      </c>
      <c r="C224" s="8" t="n">
        <f aca="false">SUMIFS('Source 2025'!$F:$F,'Source 2025'!$B:$B,$A224,'Source 2025'!$A:$A,"Quantity (units)")</f>
        <v>2</v>
      </c>
      <c r="D224" s="8" t="n">
        <f aca="false">SUMIFS('Source 2026'!$F:$F,'Source 2026'!$B:$B,$A224,'Source 2026'!$A:$A,"Quantity (units)")</f>
        <v>0</v>
      </c>
      <c r="E224" s="8" t="n">
        <f aca="false">D224-C224</f>
        <v>-2</v>
      </c>
      <c r="F224" s="9" t="n">
        <f aca="false">IF(AND(C224=0,D224=0),0,IF(C224=0,"New",(D224-C224)/C224))</f>
        <v>-1</v>
      </c>
      <c r="G224" s="10" t="n">
        <f aca="false">SUMIFS('Source 2025'!$F:$F,'Source 2025'!$B:$B,$A224,'Source 2025'!$A:$A,"Amount (NIS)")</f>
        <v>217.4</v>
      </c>
      <c r="H224" s="10" t="n">
        <f aca="false">SUMIFS('Source 2026'!$F:$F,'Source 2026'!$B:$B,$A224,'Source 2026'!$A:$A,"Amount (NIS)")</f>
        <v>0</v>
      </c>
      <c r="I224" s="10" t="n">
        <f aca="false">H224-G224</f>
        <v>-217.4</v>
      </c>
      <c r="J224" s="9" t="n">
        <f aca="false">IF(AND(G224=0,H224=0),0,IF(G224=0,"New",(H224-G224)/G224))</f>
        <v>-1</v>
      </c>
    </row>
    <row r="225" customFormat="false" ht="15" hidden="false" customHeight="false" outlineLevel="0" collapsed="false">
      <c r="A225" s="7" t="s">
        <v>315</v>
      </c>
      <c r="B225" s="7" t="str">
        <f aca="false">IFERROR(INDEX('Source 2026'!$C:$C,MATCH($A225,'Source 2026'!$B:$B,0)),IFERROR(INDEX('Source 2025'!$C:$C,MATCH($A225,'Source 2025'!$B:$B,0)),""))</f>
        <v>L-XLסד יד ימין שחור</v>
      </c>
      <c r="C225" s="8" t="n">
        <f aca="false">SUMIFS('Source 2025'!$F:$F,'Source 2025'!$B:$B,$A225,'Source 2025'!$A:$A,"Quantity (units)")</f>
        <v>2</v>
      </c>
      <c r="D225" s="8" t="n">
        <f aca="false">SUMIFS('Source 2026'!$F:$F,'Source 2026'!$B:$B,$A225,'Source 2026'!$A:$A,"Quantity (units)")</f>
        <v>0</v>
      </c>
      <c r="E225" s="8" t="n">
        <f aca="false">D225-C225</f>
        <v>-2</v>
      </c>
      <c r="F225" s="9" t="n">
        <f aca="false">IF(AND(C225=0,D225=0),0,IF(C225=0,"New",(D225-C225)/C225))</f>
        <v>-1</v>
      </c>
      <c r="G225" s="10" t="n">
        <f aca="false">SUMIFS('Source 2025'!$F:$F,'Source 2025'!$B:$B,$A225,'Source 2025'!$A:$A,"Amount (NIS)")</f>
        <v>217.4</v>
      </c>
      <c r="H225" s="10" t="n">
        <f aca="false">SUMIFS('Source 2026'!$F:$F,'Source 2026'!$B:$B,$A225,'Source 2026'!$A:$A,"Amount (NIS)")</f>
        <v>0</v>
      </c>
      <c r="I225" s="10" t="n">
        <f aca="false">H225-G225</f>
        <v>-217.4</v>
      </c>
      <c r="J225" s="9" t="n">
        <f aca="false">IF(AND(G225=0,H225=0),0,IF(G225=0,"New",(H225-G225)/G225))</f>
        <v>-1</v>
      </c>
    </row>
    <row r="226" customFormat="false" ht="15" hidden="false" customHeight="false" outlineLevel="0" collapsed="false">
      <c r="A226" s="7" t="s">
        <v>207</v>
      </c>
      <c r="B226" s="7" t="str">
        <f aca="false">IFERROR(INDEX('Source 2026'!$C:$C,MATCH($A226,'Source 2026'!$B:$B,0)),IFERROR(INDEX('Source 2025'!$C:$C,MATCH($A226,'Source 2025'!$B:$B,0)),""))</f>
        <v>L-XLחגורת הריון בכאב.חזק</v>
      </c>
      <c r="C226" s="8" t="n">
        <f aca="false">SUMIFS('Source 2025'!$F:$F,'Source 2025'!$B:$B,$A226,'Source 2025'!$A:$A,"Quantity (units)")</f>
        <v>1</v>
      </c>
      <c r="D226" s="8" t="n">
        <f aca="false">SUMIFS('Source 2026'!$F:$F,'Source 2026'!$B:$B,$A226,'Source 2026'!$A:$A,"Quantity (units)")</f>
        <v>0</v>
      </c>
      <c r="E226" s="8" t="n">
        <f aca="false">D226-C226</f>
        <v>-1</v>
      </c>
      <c r="F226" s="9" t="n">
        <f aca="false">IF(AND(C226=0,D226=0),0,IF(C226=0,"New",(D226-C226)/C226))</f>
        <v>-1</v>
      </c>
      <c r="G226" s="10" t="n">
        <f aca="false">SUMIFS('Source 2025'!$F:$F,'Source 2025'!$B:$B,$A226,'Source 2025'!$A:$A,"Amount (NIS)")</f>
        <v>213</v>
      </c>
      <c r="H226" s="10" t="n">
        <f aca="false">SUMIFS('Source 2026'!$F:$F,'Source 2026'!$B:$B,$A226,'Source 2026'!$A:$A,"Amount (NIS)")</f>
        <v>0</v>
      </c>
      <c r="I226" s="10" t="n">
        <f aca="false">H226-G226</f>
        <v>-213</v>
      </c>
      <c r="J226" s="9" t="n">
        <f aca="false">IF(AND(G226=0,H226=0),0,IF(G226=0,"New",(H226-G226)/G226))</f>
        <v>-1</v>
      </c>
    </row>
    <row r="227" customFormat="false" ht="15" hidden="false" customHeight="false" outlineLevel="0" collapsed="false">
      <c r="A227" s="7" t="s">
        <v>190</v>
      </c>
      <c r="B227" s="7" t="str">
        <f aca="false">IFERROR(INDEX('Source 2026'!$C:$C,MATCH($A227,'Source 2026'!$B:$B,0)),IFERROR(INDEX('Source 2025'!$C:$C,MATCH($A227,'Source 2025'!$B:$B,0)),""))</f>
        <v>M'חגורת גב+סגירה כפו בז</v>
      </c>
      <c r="C227" s="8" t="n">
        <f aca="false">SUMIFS('Source 2025'!$F:$F,'Source 2025'!$B:$B,$A227,'Source 2025'!$A:$A,"Quantity (units)")</f>
        <v>0</v>
      </c>
      <c r="D227" s="8" t="n">
        <f aca="false">SUMIFS('Source 2026'!$F:$F,'Source 2026'!$B:$B,$A227,'Source 2026'!$A:$A,"Quantity (units)")</f>
        <v>2</v>
      </c>
      <c r="E227" s="8" t="n">
        <f aca="false">D227-C227</f>
        <v>2</v>
      </c>
      <c r="F227" s="9" t="str">
        <f aca="false">IF(AND(C227=0,D227=0),0,IF(C227=0,"New",(D227-C227)/C227))</f>
        <v>New</v>
      </c>
      <c r="G227" s="10" t="n">
        <f aca="false">SUMIFS('Source 2025'!$F:$F,'Source 2025'!$B:$B,$A227,'Source 2025'!$A:$A,"Amount (NIS)")</f>
        <v>14.8</v>
      </c>
      <c r="H227" s="10" t="n">
        <f aca="false">SUMIFS('Source 2026'!$F:$F,'Source 2026'!$B:$B,$A227,'Source 2026'!$A:$A,"Amount (NIS)")</f>
        <v>222</v>
      </c>
      <c r="I227" s="10" t="n">
        <f aca="false">H227-G227</f>
        <v>207.2</v>
      </c>
      <c r="J227" s="9" t="n">
        <f aca="false">IF(AND(G227=0,H227=0),0,IF(G227=0,"New",(H227-G227)/G227))</f>
        <v>14</v>
      </c>
    </row>
    <row r="228" customFormat="false" ht="15" hidden="false" customHeight="false" outlineLevel="0" collapsed="false">
      <c r="A228" s="7" t="s">
        <v>316</v>
      </c>
      <c r="B228" s="7" t="str">
        <f aca="false">IFERROR(INDEX('Source 2026'!$C:$C,MATCH($A228,'Source 2026'!$B:$B,0)),IFERROR(INDEX('Source 2025'!$C:$C,MATCH($A228,'Source 2025'!$B:$B,0)),""))</f>
        <v>36-40 'רפידת ג'ל בז</v>
      </c>
      <c r="C228" s="8" t="n">
        <f aca="false">SUMIFS('Source 2025'!$F:$F,'Source 2025'!$B:$B,$A228,'Source 2025'!$A:$A,"Quantity (units)")</f>
        <v>8</v>
      </c>
      <c r="D228" s="8" t="n">
        <f aca="false">SUMIFS('Source 2026'!$F:$F,'Source 2026'!$B:$B,$A228,'Source 2026'!$A:$A,"Quantity (units)")</f>
        <v>3</v>
      </c>
      <c r="E228" s="8" t="n">
        <f aca="false">D228-C228</f>
        <v>-5</v>
      </c>
      <c r="F228" s="9" t="n">
        <f aca="false">IF(AND(C228=0,D228=0),0,IF(C228=0,"New",(D228-C228)/C228))</f>
        <v>-0.625</v>
      </c>
      <c r="G228" s="10" t="n">
        <f aca="false">SUMIFS('Source 2025'!$F:$F,'Source 2025'!$B:$B,$A228,'Source 2025'!$A:$A,"Amount (NIS)")</f>
        <v>401</v>
      </c>
      <c r="H228" s="10" t="n">
        <f aca="false">SUMIFS('Source 2026'!$F:$F,'Source 2026'!$B:$B,$A228,'Source 2026'!$A:$A,"Amount (NIS)")</f>
        <v>194.6</v>
      </c>
      <c r="I228" s="10" t="n">
        <f aca="false">H228-G228</f>
        <v>-206.4</v>
      </c>
      <c r="J228" s="9" t="n">
        <f aca="false">IF(AND(G228=0,H228=0),0,IF(G228=0,"New",(H228-G228)/G228))</f>
        <v>-0.514713216957606</v>
      </c>
    </row>
    <row r="229" customFormat="false" ht="15" hidden="false" customHeight="false" outlineLevel="0" collapsed="false">
      <c r="A229" s="7" t="s">
        <v>123</v>
      </c>
      <c r="B229" s="7" t="str">
        <f aca="false">IFERROR(INDEX('Source 2026'!$C:$C,MATCH($A229,'Source 2026'!$B:$B,0)),IFERROR(INDEX('Source 2025'!$C:$C,MATCH($A229,'Source 2025'!$B:$B,0)),""))</f>
        <v>11 אפורUG חגורת בטן</v>
      </c>
      <c r="C229" s="8" t="n">
        <f aca="false">SUMIFS('Source 2025'!$F:$F,'Source 2025'!$B:$B,$A229,'Source 2025'!$A:$A,"Quantity (units)")</f>
        <v>2</v>
      </c>
      <c r="D229" s="8" t="n">
        <f aca="false">SUMIFS('Source 2026'!$F:$F,'Source 2026'!$B:$B,$A229,'Source 2026'!$A:$A,"Quantity (units)")</f>
        <v>0</v>
      </c>
      <c r="E229" s="8" t="n">
        <f aca="false">D229-C229</f>
        <v>-2</v>
      </c>
      <c r="F229" s="9" t="n">
        <f aca="false">IF(AND(C229=0,D229=0),0,IF(C229=0,"New",(D229-C229)/C229))</f>
        <v>-1</v>
      </c>
      <c r="G229" s="10" t="n">
        <f aca="false">SUMIFS('Source 2025'!$F:$F,'Source 2025'!$B:$B,$A229,'Source 2025'!$A:$A,"Amount (NIS)")</f>
        <v>206.1</v>
      </c>
      <c r="H229" s="10" t="n">
        <f aca="false">SUMIFS('Source 2026'!$F:$F,'Source 2026'!$B:$B,$A229,'Source 2026'!$A:$A,"Amount (NIS)")</f>
        <v>0</v>
      </c>
      <c r="I229" s="10" t="n">
        <f aca="false">H229-G229</f>
        <v>-206.1</v>
      </c>
      <c r="J229" s="9" t="n">
        <f aca="false">IF(AND(G229=0,H229=0),0,IF(G229=0,"New",(H229-G229)/G229))</f>
        <v>-1</v>
      </c>
    </row>
    <row r="230" customFormat="false" ht="15" hidden="false" customHeight="false" outlineLevel="0" collapsed="false">
      <c r="A230" s="7" t="s">
        <v>210</v>
      </c>
      <c r="B230" s="7" t="str">
        <f aca="false">IFERROR(INDEX('Source 2026'!$C:$C,MATCH($A230,'Source 2026'!$B:$B,0)),IFERROR(INDEX('Source 2025'!$C:$C,MATCH($A230,'Source 2025'!$B:$B,0)),""))</f>
        <v>L-מדרס סיליקון לנעלי עקב</v>
      </c>
      <c r="C230" s="8" t="n">
        <f aca="false">SUMIFS('Source 2025'!$F:$F,'Source 2025'!$B:$B,$A230,'Source 2025'!$A:$A,"Quantity (units)")</f>
        <v>11</v>
      </c>
      <c r="D230" s="8" t="n">
        <f aca="false">SUMIFS('Source 2026'!$F:$F,'Source 2026'!$B:$B,$A230,'Source 2026'!$A:$A,"Quantity (units)")</f>
        <v>7</v>
      </c>
      <c r="E230" s="8" t="n">
        <f aca="false">D230-C230</f>
        <v>-4</v>
      </c>
      <c r="F230" s="9" t="n">
        <f aca="false">IF(AND(C230=0,D230=0),0,IF(C230=0,"New",(D230-C230)/C230))</f>
        <v>-0.363636363636364</v>
      </c>
      <c r="G230" s="10" t="n">
        <f aca="false">SUMIFS('Source 2025'!$F:$F,'Source 2025'!$B:$B,$A230,'Source 2025'!$A:$A,"Amount (NIS)")</f>
        <v>498.1</v>
      </c>
      <c r="H230" s="10" t="n">
        <f aca="false">SUMIFS('Source 2026'!$F:$F,'Source 2026'!$B:$B,$A230,'Source 2026'!$A:$A,"Amount (NIS)")</f>
        <v>293.4</v>
      </c>
      <c r="I230" s="10" t="n">
        <f aca="false">H230-G230</f>
        <v>-204.7</v>
      </c>
      <c r="J230" s="9" t="n">
        <f aca="false">IF(AND(G230=0,H230=0),0,IF(G230=0,"New",(H230-G230)/G230))</f>
        <v>-0.410961654286288</v>
      </c>
    </row>
    <row r="231" customFormat="false" ht="15" hidden="false" customHeight="false" outlineLevel="0" collapsed="false">
      <c r="A231" s="7" t="s">
        <v>317</v>
      </c>
      <c r="B231" s="7" t="str">
        <f aca="false">IFERROR(INDEX('Source 2026'!$C:$C,MATCH($A231,'Source 2026'!$B:$B,0)),IFERROR(INDEX('Source 2025'!$C:$C,MATCH($A231,'Source 2025'!$B:$B,0)),""))</f>
        <v>סד לאגודל לאחר שבר</v>
      </c>
      <c r="C231" s="8" t="n">
        <f aca="false">SUMIFS('Source 2025'!$F:$F,'Source 2025'!$B:$B,$A231,'Source 2025'!$A:$A,"Quantity (units)")</f>
        <v>2</v>
      </c>
      <c r="D231" s="8" t="n">
        <f aca="false">SUMIFS('Source 2026'!$F:$F,'Source 2026'!$B:$B,$A231,'Source 2026'!$A:$A,"Quantity (units)")</f>
        <v>0</v>
      </c>
      <c r="E231" s="8" t="n">
        <f aca="false">D231-C231</f>
        <v>-2</v>
      </c>
      <c r="F231" s="9" t="n">
        <f aca="false">IF(AND(C231=0,D231=0),0,IF(C231=0,"New",(D231-C231)/C231))</f>
        <v>-1</v>
      </c>
      <c r="G231" s="10" t="n">
        <f aca="false">SUMIFS('Source 2025'!$F:$F,'Source 2025'!$B:$B,$A231,'Source 2025'!$A:$A,"Amount (NIS)")</f>
        <v>199.3</v>
      </c>
      <c r="H231" s="10" t="n">
        <f aca="false">SUMIFS('Source 2026'!$F:$F,'Source 2026'!$B:$B,$A231,'Source 2026'!$A:$A,"Amount (NIS)")</f>
        <v>0</v>
      </c>
      <c r="I231" s="10" t="n">
        <f aca="false">H231-G231</f>
        <v>-199.3</v>
      </c>
      <c r="J231" s="9" t="n">
        <f aca="false">IF(AND(G231=0,H231=0),0,IF(G231=0,"New",(H231-G231)/G231))</f>
        <v>-1</v>
      </c>
    </row>
    <row r="232" customFormat="false" ht="15" hidden="false" customHeight="false" outlineLevel="0" collapsed="false">
      <c r="A232" s="7" t="s">
        <v>201</v>
      </c>
      <c r="B232" s="7" t="str">
        <f aca="false">IFERROR(INDEX('Source 2026'!$C:$C,MATCH($A232,'Source 2026'!$B:$B,0)),IFERROR(INDEX('Source 2025'!$C:$C,MATCH($A232,'Source 2025'!$B:$B,0)),""))</f>
        <v>S חגורת שבר לצד שמאל</v>
      </c>
      <c r="C232" s="8" t="n">
        <f aca="false">SUMIFS('Source 2025'!$F:$F,'Source 2025'!$B:$B,$A232,'Source 2025'!$A:$A,"Quantity (units)")</f>
        <v>6</v>
      </c>
      <c r="D232" s="8" t="n">
        <f aca="false">SUMIFS('Source 2026'!$F:$F,'Source 2026'!$B:$B,$A232,'Source 2026'!$A:$A,"Quantity (units)")</f>
        <v>7</v>
      </c>
      <c r="E232" s="8" t="n">
        <f aca="false">D232-C232</f>
        <v>1</v>
      </c>
      <c r="F232" s="9" t="n">
        <f aca="false">IF(AND(C232=0,D232=0),0,IF(C232=0,"New",(D232-C232)/C232))</f>
        <v>0.166666666666667</v>
      </c>
      <c r="G232" s="10" t="n">
        <f aca="false">SUMIFS('Source 2025'!$F:$F,'Source 2025'!$B:$B,$A232,'Source 2025'!$A:$A,"Amount (NIS)")</f>
        <v>1090.3</v>
      </c>
      <c r="H232" s="10" t="n">
        <f aca="false">SUMIFS('Source 2026'!$F:$F,'Source 2026'!$B:$B,$A232,'Source 2026'!$A:$A,"Amount (NIS)")</f>
        <v>1287</v>
      </c>
      <c r="I232" s="10" t="n">
        <f aca="false">H232-G232</f>
        <v>196.7</v>
      </c>
      <c r="J232" s="9" t="n">
        <f aca="false">IF(AND(G232=0,H232=0),0,IF(G232=0,"New",(H232-G232)/G232))</f>
        <v>0.18040906172613</v>
      </c>
    </row>
    <row r="233" customFormat="false" ht="15" hidden="false" customHeight="false" outlineLevel="0" collapsed="false">
      <c r="A233" s="7" t="s">
        <v>182</v>
      </c>
      <c r="B233" s="7" t="str">
        <f aca="false">IFERROR(INDEX('Source 2026'!$C:$C,MATCH($A233,'Source 2026'!$B:$B,0)),IFERROR(INDEX('Source 2025'!$C:$C,MATCH($A233,'Source 2025'!$B:$B,0)),""))</f>
        <v>11אפורUGחגורת בטן</v>
      </c>
      <c r="C233" s="8" t="n">
        <f aca="false">SUMIFS('Source 2025'!$F:$F,'Source 2025'!$B:$B,$A233,'Source 2025'!$A:$A,"Quantity (units)")</f>
        <v>1</v>
      </c>
      <c r="D233" s="8" t="n">
        <f aca="false">SUMIFS('Source 2026'!$F:$F,'Source 2026'!$B:$B,$A233,'Source 2026'!$A:$A,"Quantity (units)")</f>
        <v>-1</v>
      </c>
      <c r="E233" s="8" t="n">
        <f aca="false">D233-C233</f>
        <v>-2</v>
      </c>
      <c r="F233" s="9" t="n">
        <f aca="false">IF(AND(C233=0,D233=0),0,IF(C233=0,"New",(D233-C233)/C233))</f>
        <v>-2</v>
      </c>
      <c r="G233" s="10" t="n">
        <f aca="false">SUMIFS('Source 2025'!$F:$F,'Source 2025'!$B:$B,$A233,'Source 2025'!$A:$A,"Amount (NIS)")</f>
        <v>103.1</v>
      </c>
      <c r="H233" s="10" t="n">
        <f aca="false">SUMIFS('Source 2026'!$F:$F,'Source 2026'!$B:$B,$A233,'Source 2026'!$A:$A,"Amount (NIS)")</f>
        <v>-92.8</v>
      </c>
      <c r="I233" s="10" t="n">
        <f aca="false">H233-G233</f>
        <v>-195.9</v>
      </c>
      <c r="J233" s="9" t="n">
        <f aca="false">IF(AND(G233=0,H233=0),0,IF(G233=0,"New",(H233-G233)/G233))</f>
        <v>-1.90009699321048</v>
      </c>
    </row>
    <row r="234" customFormat="false" ht="15" hidden="false" customHeight="false" outlineLevel="0" collapsed="false">
      <c r="A234" s="7" t="s">
        <v>215</v>
      </c>
      <c r="B234" s="7" t="str">
        <f aca="false">IFERROR(INDEX('Source 2026'!$C:$C,MATCH($A234,'Source 2026'!$B:$B,0)),IFERROR(INDEX('Source 2025'!$C:$C,MATCH($A234,'Source 2025'!$B:$B,0)),""))</f>
        <v>.חבישת""הלוקס ולגוס""לאחר נית</v>
      </c>
      <c r="C234" s="8" t="n">
        <f aca="false">SUMIFS('Source 2025'!$F:$F,'Source 2025'!$B:$B,$A234,'Source 2025'!$A:$A,"Quantity (units)")</f>
        <v>0</v>
      </c>
      <c r="D234" s="8" t="n">
        <f aca="false">SUMIFS('Source 2026'!$F:$F,'Source 2026'!$B:$B,$A234,'Source 2026'!$A:$A,"Quantity (units)")</f>
        <v>2</v>
      </c>
      <c r="E234" s="8" t="n">
        <f aca="false">D234-C234</f>
        <v>2</v>
      </c>
      <c r="F234" s="9" t="str">
        <f aca="false">IF(AND(C234=0,D234=0),0,IF(C234=0,"New",(D234-C234)/C234))</f>
        <v>New</v>
      </c>
      <c r="G234" s="10" t="n">
        <f aca="false">SUMIFS('Source 2025'!$F:$F,'Source 2025'!$B:$B,$A234,'Source 2025'!$A:$A,"Amount (NIS)")</f>
        <v>0</v>
      </c>
      <c r="H234" s="10" t="n">
        <f aca="false">SUMIFS('Source 2026'!$F:$F,'Source 2026'!$B:$B,$A234,'Source 2026'!$A:$A,"Amount (NIS)")</f>
        <v>178</v>
      </c>
      <c r="I234" s="10" t="n">
        <f aca="false">H234-G234</f>
        <v>178</v>
      </c>
      <c r="J234" s="9" t="str">
        <f aca="false">IF(AND(G234=0,H234=0),0,IF(G234=0,"New",(H234-G234)/G234))</f>
        <v>New</v>
      </c>
    </row>
    <row r="235" customFormat="false" ht="15" hidden="false" customHeight="false" outlineLevel="0" collapsed="false">
      <c r="A235" s="7" t="s">
        <v>318</v>
      </c>
      <c r="B235" s="7" t="str">
        <f aca="false">IFERROR(INDEX('Source 2026'!$C:$C,MATCH($A235,'Source 2026'!$B:$B,0)),IFERROR(INDEX('Source 2025'!$C:$C,MATCH($A235,'Source 2025'!$B:$B,0)),""))</f>
        <v>L-XL מיצב כתפיים</v>
      </c>
      <c r="C235" s="8" t="n">
        <f aca="false">SUMIFS('Source 2025'!$F:$F,'Source 2025'!$B:$B,$A235,'Source 2025'!$A:$A,"Quantity (units)")</f>
        <v>0</v>
      </c>
      <c r="D235" s="8" t="n">
        <f aca="false">SUMIFS('Source 2026'!$F:$F,'Source 2026'!$B:$B,$A235,'Source 2026'!$A:$A,"Quantity (units)")</f>
        <v>1</v>
      </c>
      <c r="E235" s="8" t="n">
        <f aca="false">D235-C235</f>
        <v>1</v>
      </c>
      <c r="F235" s="9" t="str">
        <f aca="false">IF(AND(C235=0,D235=0),0,IF(C235=0,"New",(D235-C235)/C235))</f>
        <v>New</v>
      </c>
      <c r="G235" s="10" t="n">
        <f aca="false">SUMIFS('Source 2025'!$F:$F,'Source 2025'!$B:$B,$A235,'Source 2025'!$A:$A,"Amount (NIS)")</f>
        <v>0</v>
      </c>
      <c r="H235" s="10" t="n">
        <f aca="false">SUMIFS('Source 2026'!$F:$F,'Source 2026'!$B:$B,$A235,'Source 2026'!$A:$A,"Amount (NIS)")</f>
        <v>168.5</v>
      </c>
      <c r="I235" s="10" t="n">
        <f aca="false">H235-G235</f>
        <v>168.5</v>
      </c>
      <c r="J235" s="9" t="str">
        <f aca="false">IF(AND(G235=0,H235=0),0,IF(G235=0,"New",(H235-G235)/G235))</f>
        <v>New</v>
      </c>
    </row>
    <row r="236" customFormat="false" ht="15" hidden="false" customHeight="false" outlineLevel="0" collapsed="false">
      <c r="A236" s="7" t="s">
        <v>198</v>
      </c>
      <c r="B236" s="7" t="str">
        <f aca="false">IFERROR(INDEX('Source 2026'!$C:$C,MATCH($A236,'Source 2026'!$B:$B,0)),IFERROR(INDEX('Source 2025'!$C:$C,MATCH($A236,'Source 2025'!$B:$B,0)),""))</f>
        <v>L מגן למפרק כתף</v>
      </c>
      <c r="C236" s="8" t="n">
        <f aca="false">SUMIFS('Source 2025'!$F:$F,'Source 2025'!$B:$B,$A236,'Source 2025'!$A:$A,"Quantity (units)")</f>
        <v>-1</v>
      </c>
      <c r="D236" s="8" t="n">
        <f aca="false">SUMIFS('Source 2026'!$F:$F,'Source 2026'!$B:$B,$A236,'Source 2026'!$A:$A,"Quantity (units)")</f>
        <v>0</v>
      </c>
      <c r="E236" s="8" t="n">
        <f aca="false">D236-C236</f>
        <v>1</v>
      </c>
      <c r="F236" s="9" t="n">
        <f aca="false">IF(AND(C236=0,D236=0),0,IF(C236=0,"New",(D236-C236)/C236))</f>
        <v>-1</v>
      </c>
      <c r="G236" s="10" t="n">
        <f aca="false">SUMIFS('Source 2025'!$F:$F,'Source 2025'!$B:$B,$A236,'Source 2025'!$A:$A,"Amount (NIS)")</f>
        <v>-165.4</v>
      </c>
      <c r="H236" s="10" t="n">
        <f aca="false">SUMIFS('Source 2026'!$F:$F,'Source 2026'!$B:$B,$A236,'Source 2026'!$A:$A,"Amount (NIS)")</f>
        <v>0</v>
      </c>
      <c r="I236" s="10" t="n">
        <f aca="false">H236-G236</f>
        <v>165.4</v>
      </c>
      <c r="J236" s="9" t="n">
        <f aca="false">IF(AND(G236=0,H236=0),0,IF(G236=0,"New",(H236-G236)/G236))</f>
        <v>-1</v>
      </c>
    </row>
    <row r="237" customFormat="false" ht="15" hidden="false" customHeight="false" outlineLevel="0" collapsed="false">
      <c r="A237" s="7" t="s">
        <v>150</v>
      </c>
      <c r="B237" s="7" t="str">
        <f aca="false">IFERROR(INDEX('Source 2026'!$C:$C,MATCH($A237,'Source 2026'!$B:$B,0)),IFERROR(INDEX('Source 2025'!$C:$C,MATCH($A237,'Source 2025'!$B:$B,0)),""))</f>
        <v>S מגן קרסול שמאל</v>
      </c>
      <c r="C237" s="8" t="n">
        <f aca="false">SUMIFS('Source 2025'!$F:$F,'Source 2025'!$B:$B,$A237,'Source 2025'!$A:$A,"Quantity (units)")</f>
        <v>12</v>
      </c>
      <c r="D237" s="8" t="n">
        <f aca="false">SUMIFS('Source 2026'!$F:$F,'Source 2026'!$B:$B,$A237,'Source 2026'!$A:$A,"Quantity (units)")</f>
        <v>8</v>
      </c>
      <c r="E237" s="8" t="n">
        <f aca="false">D237-C237</f>
        <v>-4</v>
      </c>
      <c r="F237" s="9" t="n">
        <f aca="false">IF(AND(C237=0,D237=0),0,IF(C237=0,"New",(D237-C237)/C237))</f>
        <v>-0.333333333333333</v>
      </c>
      <c r="G237" s="10" t="n">
        <f aca="false">SUMIFS('Source 2025'!$F:$F,'Source 2025'!$B:$B,$A237,'Source 2025'!$A:$A,"Amount (NIS)")</f>
        <v>948.9</v>
      </c>
      <c r="H237" s="10" t="n">
        <f aca="false">SUMIFS('Source 2026'!$F:$F,'Source 2026'!$B:$B,$A237,'Source 2026'!$A:$A,"Amount (NIS)")</f>
        <v>785.6</v>
      </c>
      <c r="I237" s="10" t="n">
        <f aca="false">H237-G237</f>
        <v>-163.3</v>
      </c>
      <c r="J237" s="9" t="n">
        <f aca="false">IF(AND(G237=0,H237=0),0,IF(G237=0,"New",(H237-G237)/G237))</f>
        <v>-0.172094003583096</v>
      </c>
    </row>
    <row r="238" customFormat="false" ht="15" hidden="false" customHeight="false" outlineLevel="0" collapsed="false">
      <c r="A238" s="7" t="s">
        <v>136</v>
      </c>
      <c r="B238" s="7" t="str">
        <f aca="false">IFERROR(INDEX('Source 2026'!$C:$C,MATCH($A238,'Source 2026'!$B:$B,0)),IFERROR(INDEX('Source 2025'!$C:$C,MATCH($A238,'Source 2025'!$B:$B,0)),""))</f>
        <v>תחבושת אלסטית מקררת</v>
      </c>
      <c r="C238" s="8" t="n">
        <f aca="false">SUMIFS('Source 2025'!$F:$F,'Source 2025'!$B:$B,$A238,'Source 2025'!$A:$A,"Quantity (units)")</f>
        <v>121</v>
      </c>
      <c r="D238" s="8" t="n">
        <f aca="false">SUMIFS('Source 2026'!$F:$F,'Source 2026'!$B:$B,$A238,'Source 2026'!$A:$A,"Quantity (units)")</f>
        <v>112</v>
      </c>
      <c r="E238" s="8" t="n">
        <f aca="false">D238-C238</f>
        <v>-9</v>
      </c>
      <c r="F238" s="9" t="n">
        <f aca="false">IF(AND(C238=0,D238=0),0,IF(C238=0,"New",(D238-C238)/C238))</f>
        <v>-0.0743801652892562</v>
      </c>
      <c r="G238" s="10" t="n">
        <f aca="false">SUMIFS('Source 2025'!$F:$F,'Source 2025'!$B:$B,$A238,'Source 2025'!$A:$A,"Amount (NIS)")</f>
        <v>2530.7</v>
      </c>
      <c r="H238" s="10" t="n">
        <f aca="false">SUMIFS('Source 2026'!$F:$F,'Source 2026'!$B:$B,$A238,'Source 2026'!$A:$A,"Amount (NIS)")</f>
        <v>2369.5</v>
      </c>
      <c r="I238" s="10" t="n">
        <f aca="false">H238-G238</f>
        <v>-161.2</v>
      </c>
      <c r="J238" s="9" t="n">
        <f aca="false">IF(AND(G238=0,H238=0),0,IF(G238=0,"New",(H238-G238)/G238))</f>
        <v>-0.0636977911249851</v>
      </c>
    </row>
    <row r="239" customFormat="false" ht="15" hidden="false" customHeight="false" outlineLevel="0" collapsed="false">
      <c r="A239" s="7" t="s">
        <v>237</v>
      </c>
      <c r="B239" s="7" t="str">
        <f aca="false">IFERROR(INDEX('Source 2026'!$C:$C,MATCH($A239,'Source 2026'!$B:$B,0)),IFERROR(INDEX('Source 2025'!$C:$C,MATCH($A239,'Source 2025'!$B:$B,0)),""))</f>
        <v>L מתלה אשכים לספורטאים</v>
      </c>
      <c r="C239" s="8" t="n">
        <f aca="false">SUMIFS('Source 2025'!$F:$F,'Source 2025'!$B:$B,$A239,'Source 2025'!$A:$A,"Quantity (units)")</f>
        <v>5</v>
      </c>
      <c r="D239" s="8" t="n">
        <f aca="false">SUMIFS('Source 2026'!$F:$F,'Source 2026'!$B:$B,$A239,'Source 2026'!$A:$A,"Quantity (units)")</f>
        <v>3</v>
      </c>
      <c r="E239" s="8" t="n">
        <f aca="false">D239-C239</f>
        <v>-2</v>
      </c>
      <c r="F239" s="9" t="n">
        <f aca="false">IF(AND(C239=0,D239=0),0,IF(C239=0,"New",(D239-C239)/C239))</f>
        <v>-0.4</v>
      </c>
      <c r="G239" s="10" t="n">
        <f aca="false">SUMIFS('Source 2025'!$F:$F,'Source 2025'!$B:$B,$A239,'Source 2025'!$A:$A,"Amount (NIS)")</f>
        <v>402.3</v>
      </c>
      <c r="H239" s="10" t="n">
        <f aca="false">SUMIFS('Source 2026'!$F:$F,'Source 2026'!$B:$B,$A239,'Source 2026'!$A:$A,"Amount (NIS)")</f>
        <v>245.7</v>
      </c>
      <c r="I239" s="10" t="n">
        <f aca="false">H239-G239</f>
        <v>-156.6</v>
      </c>
      <c r="J239" s="9" t="n">
        <f aca="false">IF(AND(G239=0,H239=0),0,IF(G239=0,"New",(H239-G239)/G239))</f>
        <v>-0.389261744966443</v>
      </c>
    </row>
    <row r="240" customFormat="false" ht="15" hidden="false" customHeight="false" outlineLevel="0" collapsed="false">
      <c r="A240" s="7" t="s">
        <v>158</v>
      </c>
      <c r="B240" s="7" t="str">
        <f aca="false">IFERROR(INDEX('Source 2026'!$C:$C,MATCH($A240,'Source 2026'!$B:$B,0)),IFERROR(INDEX('Source 2025'!$C:$C,MATCH($A240,'Source 2025'!$B:$B,0)),""))</f>
        <v>קיבוע לאצבע הדק</v>
      </c>
      <c r="C240" s="8" t="n">
        <f aca="false">SUMIFS('Source 2025'!$F:$F,'Source 2025'!$B:$B,$A240,'Source 2025'!$A:$A,"Quantity (units)")</f>
        <v>44</v>
      </c>
      <c r="D240" s="8" t="n">
        <f aca="false">SUMIFS('Source 2026'!$F:$F,'Source 2026'!$B:$B,$A240,'Source 2026'!$A:$A,"Quantity (units)")</f>
        <v>38</v>
      </c>
      <c r="E240" s="8" t="n">
        <f aca="false">D240-C240</f>
        <v>-6</v>
      </c>
      <c r="F240" s="9" t="n">
        <f aca="false">IF(AND(C240=0,D240=0),0,IF(C240=0,"New",(D240-C240)/C240))</f>
        <v>-0.136363636363636</v>
      </c>
      <c r="G240" s="10" t="n">
        <f aca="false">SUMIFS('Source 2025'!$F:$F,'Source 2025'!$B:$B,$A240,'Source 2025'!$A:$A,"Amount (NIS)")</f>
        <v>1297.9</v>
      </c>
      <c r="H240" s="10" t="n">
        <f aca="false">SUMIFS('Source 2026'!$F:$F,'Source 2026'!$B:$B,$A240,'Source 2026'!$A:$A,"Amount (NIS)")</f>
        <v>1141.8</v>
      </c>
      <c r="I240" s="10" t="n">
        <f aca="false">H240-G240</f>
        <v>-156.1</v>
      </c>
      <c r="J240" s="9" t="n">
        <f aca="false">IF(AND(G240=0,H240=0),0,IF(G240=0,"New",(H240-G240)/G240))</f>
        <v>-0.120271207334926</v>
      </c>
    </row>
    <row r="241" customFormat="false" ht="15" hidden="false" customHeight="false" outlineLevel="0" collapsed="false">
      <c r="A241" s="7" t="s">
        <v>171</v>
      </c>
      <c r="B241" s="7" t="str">
        <f aca="false">IFERROR(INDEX('Source 2026'!$C:$C,MATCH($A241,'Source 2026'!$B:$B,0)),IFERROR(INDEX('Source 2025'!$C:$C,MATCH($A241,'Source 2025'!$B:$B,0)),""))</f>
        <v>סד לילה לבוהן</v>
      </c>
      <c r="C241" s="8" t="n">
        <f aca="false">SUMIFS('Source 2025'!$F:$F,'Source 2025'!$B:$B,$A241,'Source 2025'!$A:$A,"Quantity (units)")</f>
        <v>-2</v>
      </c>
      <c r="D241" s="8" t="n">
        <f aca="false">SUMIFS('Source 2026'!$F:$F,'Source 2026'!$B:$B,$A241,'Source 2026'!$A:$A,"Quantity (units)")</f>
        <v>0</v>
      </c>
      <c r="E241" s="8" t="n">
        <f aca="false">D241-C241</f>
        <v>2</v>
      </c>
      <c r="F241" s="9" t="n">
        <f aca="false">IF(AND(C241=0,D241=0),0,IF(C241=0,"New",(D241-C241)/C241))</f>
        <v>-1</v>
      </c>
      <c r="G241" s="10" t="n">
        <f aca="false">SUMIFS('Source 2025'!$F:$F,'Source 2025'!$B:$B,$A241,'Source 2025'!$A:$A,"Amount (NIS)")</f>
        <v>-152.1</v>
      </c>
      <c r="H241" s="10" t="n">
        <f aca="false">SUMIFS('Source 2026'!$F:$F,'Source 2026'!$B:$B,$A241,'Source 2026'!$A:$A,"Amount (NIS)")</f>
        <v>0</v>
      </c>
      <c r="I241" s="10" t="n">
        <f aca="false">H241-G241</f>
        <v>152.1</v>
      </c>
      <c r="J241" s="9" t="n">
        <f aca="false">IF(AND(G241=0,H241=0),0,IF(G241=0,"New",(H241-G241)/G241))</f>
        <v>-1</v>
      </c>
    </row>
    <row r="242" customFormat="false" ht="15" hidden="false" customHeight="false" outlineLevel="0" collapsed="false">
      <c r="A242" s="7" t="s">
        <v>319</v>
      </c>
      <c r="B242" s="7" t="str">
        <f aca="false">IFERROR(INDEX('Source 2026'!$C:$C,MATCH($A242,'Source 2026'!$B:$B,0)),IFERROR(INDEX('Source 2025'!$C:$C,MATCH($A242,'Source 2025'!$B:$B,0)),""))</f>
        <v>יד לטניס כרית סיליק</v>
      </c>
      <c r="C242" s="8" t="n">
        <f aca="false">SUMIFS('Source 2025'!$F:$F,'Source 2025'!$B:$B,$A242,'Source 2025'!$A:$A,"Quantity (units)")</f>
        <v>1</v>
      </c>
      <c r="D242" s="8" t="n">
        <f aca="false">SUMIFS('Source 2026'!$F:$F,'Source 2026'!$B:$B,$A242,'Source 2026'!$A:$A,"Quantity (units)")</f>
        <v>2</v>
      </c>
      <c r="E242" s="8" t="n">
        <f aca="false">D242-C242</f>
        <v>1</v>
      </c>
      <c r="F242" s="9" t="n">
        <f aca="false">IF(AND(C242=0,D242=0),0,IF(C242=0,"New",(D242-C242)/C242))</f>
        <v>1</v>
      </c>
      <c r="G242" s="10" t="n">
        <f aca="false">SUMIFS('Source 2025'!$F:$F,'Source 2025'!$B:$B,$A242,'Source 2025'!$A:$A,"Amount (NIS)")</f>
        <v>141.8</v>
      </c>
      <c r="H242" s="10" t="n">
        <f aca="false">SUMIFS('Source 2026'!$F:$F,'Source 2026'!$B:$B,$A242,'Source 2026'!$A:$A,"Amount (NIS)")</f>
        <v>283.9</v>
      </c>
      <c r="I242" s="10" t="n">
        <f aca="false">H242-G242</f>
        <v>142.1</v>
      </c>
      <c r="J242" s="9" t="n">
        <f aca="false">IF(AND(G242=0,H242=0),0,IF(G242=0,"New",(H242-G242)/G242))</f>
        <v>1.00211565585331</v>
      </c>
    </row>
    <row r="243" customFormat="false" ht="15" hidden="false" customHeight="false" outlineLevel="0" collapsed="false">
      <c r="A243" s="7" t="s">
        <v>203</v>
      </c>
      <c r="B243" s="7" t="str">
        <f aca="false">IFERROR(INDEX('Source 2026'!$C:$C,MATCH($A243,'Source 2026'!$B:$B,0)),IFERROR(INDEX('Source 2025'!$C:$C,MATCH($A243,'Source 2025'!$B:$B,0)),""))</f>
        <v>יד לטניס כרית סילי</v>
      </c>
      <c r="C243" s="8" t="n">
        <f aca="false">SUMIFS('Source 2025'!$F:$F,'Source 2025'!$B:$B,$A243,'Source 2025'!$A:$A,"Quantity (units)")</f>
        <v>1</v>
      </c>
      <c r="D243" s="8" t="n">
        <f aca="false">SUMIFS('Source 2026'!$F:$F,'Source 2026'!$B:$B,$A243,'Source 2026'!$A:$A,"Quantity (units)")</f>
        <v>0</v>
      </c>
      <c r="E243" s="8" t="n">
        <f aca="false">D243-C243</f>
        <v>-1</v>
      </c>
      <c r="F243" s="9" t="n">
        <f aca="false">IF(AND(C243=0,D243=0),0,IF(C243=0,"New",(D243-C243)/C243))</f>
        <v>-1</v>
      </c>
      <c r="G243" s="10" t="n">
        <f aca="false">SUMIFS('Source 2025'!$F:$F,'Source 2025'!$B:$B,$A243,'Source 2025'!$A:$A,"Amount (NIS)")</f>
        <v>142</v>
      </c>
      <c r="H243" s="10" t="n">
        <f aca="false">SUMIFS('Source 2026'!$F:$F,'Source 2026'!$B:$B,$A243,'Source 2026'!$A:$A,"Amount (NIS)")</f>
        <v>0</v>
      </c>
      <c r="I243" s="10" t="n">
        <f aca="false">H243-G243</f>
        <v>-142</v>
      </c>
      <c r="J243" s="9" t="n">
        <f aca="false">IF(AND(G243=0,H243=0),0,IF(G243=0,"New",(H243-G243)/G243))</f>
        <v>-1</v>
      </c>
    </row>
    <row r="244" customFormat="false" ht="15" hidden="false" customHeight="false" outlineLevel="0" collapsed="false">
      <c r="A244" s="7" t="s">
        <v>320</v>
      </c>
      <c r="B244" s="7" t="str">
        <f aca="false">IFERROR(INDEX('Source 2026'!$C:$C,MATCH($A244,'Source 2026'!$B:$B,0)),IFERROR(INDEX('Source 2025'!$C:$C,MATCH($A244,'Source 2025'!$B:$B,0)),""))</f>
        <v>יד לטניס כרית סיליק</v>
      </c>
      <c r="C244" s="8" t="n">
        <f aca="false">SUMIFS('Source 2025'!$F:$F,'Source 2025'!$B:$B,$A244,'Source 2025'!$A:$A,"Quantity (units)")</f>
        <v>0</v>
      </c>
      <c r="D244" s="8" t="n">
        <f aca="false">SUMIFS('Source 2026'!$F:$F,'Source 2026'!$B:$B,$A244,'Source 2026'!$A:$A,"Quantity (units)")</f>
        <v>1</v>
      </c>
      <c r="E244" s="8" t="n">
        <f aca="false">D244-C244</f>
        <v>1</v>
      </c>
      <c r="F244" s="9" t="str">
        <f aca="false">IF(AND(C244=0,D244=0),0,IF(C244=0,"New",(D244-C244)/C244))</f>
        <v>New</v>
      </c>
      <c r="G244" s="10" t="n">
        <f aca="false">SUMIFS('Source 2025'!$F:$F,'Source 2025'!$B:$B,$A244,'Source 2025'!$A:$A,"Amount (NIS)")</f>
        <v>0</v>
      </c>
      <c r="H244" s="10" t="n">
        <f aca="false">SUMIFS('Source 2026'!$F:$F,'Source 2026'!$B:$B,$A244,'Source 2026'!$A:$A,"Amount (NIS)")</f>
        <v>142</v>
      </c>
      <c r="I244" s="10" t="n">
        <f aca="false">H244-G244</f>
        <v>142</v>
      </c>
      <c r="J244" s="9" t="str">
        <f aca="false">IF(AND(G244=0,H244=0),0,IF(G244=0,"New",(H244-G244)/G244))</f>
        <v>New</v>
      </c>
    </row>
    <row r="245" customFormat="false" ht="15" hidden="false" customHeight="false" outlineLevel="0" collapsed="false">
      <c r="A245" s="7" t="s">
        <v>321</v>
      </c>
      <c r="B245" s="7" t="str">
        <f aca="false">IFERROR(INDEX('Source 2026'!$C:$C,MATCH($A245,'Source 2026'!$B:$B,0)),IFERROR(INDEX('Source 2025'!$C:$C,MATCH($A245,'Source 2025'!$B:$B,0)),""))</f>
        <v>M חגורת צלעות לאשה</v>
      </c>
      <c r="C245" s="8" t="n">
        <f aca="false">SUMIFS('Source 2025'!$F:$F,'Source 2025'!$B:$B,$A245,'Source 2025'!$A:$A,"Quantity (units)")</f>
        <v>1</v>
      </c>
      <c r="D245" s="8" t="n">
        <f aca="false">SUMIFS('Source 2026'!$F:$F,'Source 2026'!$B:$B,$A245,'Source 2026'!$A:$A,"Quantity (units)")</f>
        <v>0</v>
      </c>
      <c r="E245" s="8" t="n">
        <f aca="false">D245-C245</f>
        <v>-1</v>
      </c>
      <c r="F245" s="9" t="n">
        <f aca="false">IF(AND(C245=0,D245=0),0,IF(C245=0,"New",(D245-C245)/C245))</f>
        <v>-1</v>
      </c>
      <c r="G245" s="10" t="n">
        <f aca="false">SUMIFS('Source 2025'!$F:$F,'Source 2025'!$B:$B,$A245,'Source 2025'!$A:$A,"Amount (NIS)")</f>
        <v>140.6</v>
      </c>
      <c r="H245" s="10" t="n">
        <f aca="false">SUMIFS('Source 2026'!$F:$F,'Source 2026'!$B:$B,$A245,'Source 2026'!$A:$A,"Amount (NIS)")</f>
        <v>0</v>
      </c>
      <c r="I245" s="10" t="n">
        <f aca="false">H245-G245</f>
        <v>-140.6</v>
      </c>
      <c r="J245" s="9" t="n">
        <f aca="false">IF(AND(G245=0,H245=0),0,IF(G245=0,"New",(H245-G245)/G245))</f>
        <v>-1</v>
      </c>
    </row>
    <row r="246" customFormat="false" ht="15" hidden="false" customHeight="false" outlineLevel="0" collapsed="false">
      <c r="A246" s="7" t="s">
        <v>243</v>
      </c>
      <c r="B246" s="7" t="str">
        <f aca="false">IFERROR(INDEX('Source 2026'!$C:$C,MATCH($A246,'Source 2026'!$B:$B,0)),IFERROR(INDEX('Source 2025'!$C:$C,MATCH($A246,'Source 2025'!$B:$B,0)),""))</f>
        <v>בקט.לנעל120</v>
      </c>
      <c r="C246" s="8" t="n">
        <f aca="false">SUMIFS('Source 2025'!$F:$F,'Source 2025'!$B:$B,$A246,'Source 2025'!$A:$A,"Quantity (units)")</f>
        <v>-5</v>
      </c>
      <c r="D246" s="8" t="n">
        <f aca="false">SUMIFS('Source 2026'!$F:$F,'Source 2026'!$B:$B,$A246,'Source 2026'!$A:$A,"Quantity (units)")</f>
        <v>0</v>
      </c>
      <c r="E246" s="8" t="n">
        <f aca="false">D246-C246</f>
        <v>5</v>
      </c>
      <c r="F246" s="9" t="n">
        <f aca="false">IF(AND(C246=0,D246=0),0,IF(C246=0,"New",(D246-C246)/C246))</f>
        <v>-1</v>
      </c>
      <c r="G246" s="10" t="n">
        <f aca="false">SUMIFS('Source 2025'!$F:$F,'Source 2025'!$B:$B,$A246,'Source 2025'!$A:$A,"Amount (NIS)")</f>
        <v>-136.8</v>
      </c>
      <c r="H246" s="10" t="n">
        <f aca="false">SUMIFS('Source 2026'!$F:$F,'Source 2026'!$B:$B,$A246,'Source 2026'!$A:$A,"Amount (NIS)")</f>
        <v>0</v>
      </c>
      <c r="I246" s="10" t="n">
        <f aca="false">H246-G246</f>
        <v>136.8</v>
      </c>
      <c r="J246" s="9" t="n">
        <f aca="false">IF(AND(G246=0,H246=0),0,IF(G246=0,"New",(H246-G246)/G246))</f>
        <v>-1</v>
      </c>
    </row>
    <row r="247" customFormat="false" ht="15" hidden="false" customHeight="false" outlineLevel="0" collapsed="false">
      <c r="A247" s="7" t="s">
        <v>322</v>
      </c>
      <c r="B247" s="7" t="str">
        <f aca="false">IFERROR(INDEX('Source 2026'!$C:$C,MATCH($A247,'Source 2026'!$B:$B,0)),IFERROR(INDEX('Source 2025'!$C:$C,MATCH($A247,'Source 2025'!$B:$B,0)),""))</f>
        <v>מגן קרסול+כרית סילקון</v>
      </c>
      <c r="C247" s="8" t="n">
        <f aca="false">SUMIFS('Source 2025'!$F:$F,'Source 2025'!$B:$B,$A247,'Source 2025'!$A:$A,"Quantity (units)")</f>
        <v>1</v>
      </c>
      <c r="D247" s="8" t="n">
        <f aca="false">SUMIFS('Source 2026'!$F:$F,'Source 2026'!$B:$B,$A247,'Source 2026'!$A:$A,"Quantity (units)")</f>
        <v>0</v>
      </c>
      <c r="E247" s="8" t="n">
        <f aca="false">D247-C247</f>
        <v>-1</v>
      </c>
      <c r="F247" s="9" t="n">
        <f aca="false">IF(AND(C247=0,D247=0),0,IF(C247=0,"New",(D247-C247)/C247))</f>
        <v>-1</v>
      </c>
      <c r="G247" s="10" t="n">
        <f aca="false">SUMIFS('Source 2025'!$F:$F,'Source 2025'!$B:$B,$A247,'Source 2025'!$A:$A,"Amount (NIS)")</f>
        <v>127.9</v>
      </c>
      <c r="H247" s="10" t="n">
        <f aca="false">SUMIFS('Source 2026'!$F:$F,'Source 2026'!$B:$B,$A247,'Source 2026'!$A:$A,"Amount (NIS)")</f>
        <v>0</v>
      </c>
      <c r="I247" s="10" t="n">
        <f aca="false">H247-G247</f>
        <v>-127.9</v>
      </c>
      <c r="J247" s="9" t="n">
        <f aca="false">IF(AND(G247=0,H247=0),0,IF(G247=0,"New",(H247-G247)/G247))</f>
        <v>-1</v>
      </c>
    </row>
    <row r="248" customFormat="false" ht="15" hidden="false" customHeight="false" outlineLevel="0" collapsed="false">
      <c r="A248" s="7" t="s">
        <v>217</v>
      </c>
      <c r="B248" s="7" t="str">
        <f aca="false">IFERROR(INDEX('Source 2026'!$C:$C,MATCH($A248,'Source 2026'!$B:$B,0)),IFERROR(INDEX('Source 2025'!$C:$C,MATCH($A248,'Source 2025'!$B:$B,0)),""))</f>
        <v>מגן קרסול+כרית סילקון</v>
      </c>
      <c r="C248" s="8" t="n">
        <f aca="false">SUMIFS('Source 2025'!$F:$F,'Source 2025'!$B:$B,$A248,'Source 2025'!$A:$A,"Quantity (units)")</f>
        <v>1</v>
      </c>
      <c r="D248" s="8" t="n">
        <f aca="false">SUMIFS('Source 2026'!$F:$F,'Source 2026'!$B:$B,$A248,'Source 2026'!$A:$A,"Quantity (units)")</f>
        <v>2</v>
      </c>
      <c r="E248" s="8" t="n">
        <f aca="false">D248-C248</f>
        <v>1</v>
      </c>
      <c r="F248" s="9" t="n">
        <f aca="false">IF(AND(C248=0,D248=0),0,IF(C248=0,"New",(D248-C248)/C248))</f>
        <v>1</v>
      </c>
      <c r="G248" s="10" t="n">
        <f aca="false">SUMIFS('Source 2025'!$F:$F,'Source 2025'!$B:$B,$A248,'Source 2025'!$A:$A,"Amount (NIS)")</f>
        <v>127.9</v>
      </c>
      <c r="H248" s="10" t="n">
        <f aca="false">SUMIFS('Source 2026'!$F:$F,'Source 2026'!$B:$B,$A248,'Source 2026'!$A:$A,"Amount (NIS)")</f>
        <v>255.8</v>
      </c>
      <c r="I248" s="10" t="n">
        <f aca="false">H248-G248</f>
        <v>127.9</v>
      </c>
      <c r="J248" s="9" t="n">
        <f aca="false">IF(AND(G248=0,H248=0),0,IF(G248=0,"New",(H248-G248)/G248))</f>
        <v>1</v>
      </c>
    </row>
    <row r="249" customFormat="false" ht="15" hidden="false" customHeight="false" outlineLevel="0" collapsed="false">
      <c r="A249" s="7" t="s">
        <v>218</v>
      </c>
      <c r="B249" s="7" t="str">
        <f aca="false">IFERROR(INDEX('Source 2026'!$C:$C,MATCH($A249,'Source 2026'!$B:$B,0)),IFERROR(INDEX('Source 2025'!$C:$C,MATCH($A249,'Source 2025'!$B:$B,0)),""))</f>
        <v>קרסול+כרית סילקון</v>
      </c>
      <c r="C249" s="8" t="n">
        <f aca="false">SUMIFS('Source 2025'!$F:$F,'Source 2025'!$B:$B,$A249,'Source 2025'!$A:$A,"Quantity (units)")</f>
        <v>1</v>
      </c>
      <c r="D249" s="8" t="n">
        <f aca="false">SUMIFS('Source 2026'!$F:$F,'Source 2026'!$B:$B,$A249,'Source 2026'!$A:$A,"Quantity (units)")</f>
        <v>0</v>
      </c>
      <c r="E249" s="8" t="n">
        <f aca="false">D249-C249</f>
        <v>-1</v>
      </c>
      <c r="F249" s="9" t="n">
        <f aca="false">IF(AND(C249=0,D249=0),0,IF(C249=0,"New",(D249-C249)/C249))</f>
        <v>-1</v>
      </c>
      <c r="G249" s="10" t="n">
        <f aca="false">SUMIFS('Source 2025'!$F:$F,'Source 2025'!$B:$B,$A249,'Source 2025'!$A:$A,"Amount (NIS)")</f>
        <v>127.6</v>
      </c>
      <c r="H249" s="10" t="n">
        <f aca="false">SUMIFS('Source 2026'!$F:$F,'Source 2026'!$B:$B,$A249,'Source 2026'!$A:$A,"Amount (NIS)")</f>
        <v>0</v>
      </c>
      <c r="I249" s="10" t="n">
        <f aca="false">H249-G249</f>
        <v>-127.6</v>
      </c>
      <c r="J249" s="9" t="n">
        <f aca="false">IF(AND(G249=0,H249=0),0,IF(G249=0,"New",(H249-G249)/G249))</f>
        <v>-1</v>
      </c>
    </row>
    <row r="250" customFormat="false" ht="15" hidden="false" customHeight="false" outlineLevel="0" collapsed="false">
      <c r="A250" s="7" t="s">
        <v>323</v>
      </c>
      <c r="B250" s="7" t="str">
        <f aca="false">IFERROR(INDEX('Source 2026'!$C:$C,MATCH($A250,'Source 2026'!$B:$B,0)),IFERROR(INDEX('Source 2025'!$C:$C,MATCH($A250,'Source 2025'!$B:$B,0)),""))</f>
        <v>ברך רגיל</v>
      </c>
      <c r="C250" s="8" t="n">
        <f aca="false">SUMIFS('Source 2025'!$F:$F,'Source 2025'!$B:$B,$A250,'Source 2025'!$A:$A,"Quantity (units)")</f>
        <v>0</v>
      </c>
      <c r="D250" s="8" t="n">
        <f aca="false">SUMIFS('Source 2026'!$F:$F,'Source 2026'!$B:$B,$A250,'Source 2026'!$A:$A,"Quantity (units)")</f>
        <v>1</v>
      </c>
      <c r="E250" s="8" t="n">
        <f aca="false">D250-C250</f>
        <v>1</v>
      </c>
      <c r="F250" s="9" t="str">
        <f aca="false">IF(AND(C250=0,D250=0),0,IF(C250=0,"New",(D250-C250)/C250))</f>
        <v>New</v>
      </c>
      <c r="G250" s="10" t="n">
        <f aca="false">SUMIFS('Source 2025'!$F:$F,'Source 2025'!$B:$B,$A250,'Source 2025'!$A:$A,"Amount (NIS)")</f>
        <v>0</v>
      </c>
      <c r="H250" s="10" t="n">
        <f aca="false">SUMIFS('Source 2026'!$F:$F,'Source 2026'!$B:$B,$A250,'Source 2026'!$A:$A,"Amount (NIS)")</f>
        <v>118.6</v>
      </c>
      <c r="I250" s="10" t="n">
        <f aca="false">H250-G250</f>
        <v>118.6</v>
      </c>
      <c r="J250" s="9" t="str">
        <f aca="false">IF(AND(G250=0,H250=0),0,IF(G250=0,"New",(H250-G250)/G250))</f>
        <v>New</v>
      </c>
    </row>
    <row r="251" customFormat="false" ht="15" hidden="false" customHeight="false" outlineLevel="0" collapsed="false">
      <c r="A251" s="7" t="s">
        <v>324</v>
      </c>
      <c r="B251" s="7" t="str">
        <f aca="false">IFERROR(INDEX('Source 2026'!$C:$C,MATCH($A251,'Source 2026'!$B:$B,0)),IFERROR(INDEX('Source 2025'!$C:$C,MATCH($A251,'Source 2025'!$B:$B,0)),""))</f>
        <v>רפידת ספורט 376 מידה</v>
      </c>
      <c r="C251" s="8" t="n">
        <f aca="false">SUMIFS('Source 2025'!$F:$F,'Source 2025'!$B:$B,$A251,'Source 2025'!$A:$A,"Quantity (units)")</f>
        <v>0</v>
      </c>
      <c r="D251" s="8" t="n">
        <f aca="false">SUMIFS('Source 2026'!$F:$F,'Source 2026'!$B:$B,$A251,'Source 2026'!$A:$A,"Quantity (units)")</f>
        <v>3</v>
      </c>
      <c r="E251" s="8" t="n">
        <f aca="false">D251-C251</f>
        <v>3</v>
      </c>
      <c r="F251" s="9" t="str">
        <f aca="false">IF(AND(C251=0,D251=0),0,IF(C251=0,"New",(D251-C251)/C251))</f>
        <v>New</v>
      </c>
      <c r="G251" s="10" t="n">
        <f aca="false">SUMIFS('Source 2025'!$F:$F,'Source 2025'!$B:$B,$A251,'Source 2025'!$A:$A,"Amount (NIS)")</f>
        <v>0</v>
      </c>
      <c r="H251" s="10" t="n">
        <f aca="false">SUMIFS('Source 2026'!$F:$F,'Source 2026'!$B:$B,$A251,'Source 2026'!$A:$A,"Amount (NIS)")</f>
        <v>105.3</v>
      </c>
      <c r="I251" s="10" t="n">
        <f aca="false">H251-G251</f>
        <v>105.3</v>
      </c>
      <c r="J251" s="9" t="str">
        <f aca="false">IF(AND(G251=0,H251=0),0,IF(G251=0,"New",(H251-G251)/G251))</f>
        <v>New</v>
      </c>
    </row>
    <row r="252" customFormat="false" ht="15" hidden="false" customHeight="false" outlineLevel="0" collapsed="false">
      <c r="A252" s="7" t="s">
        <v>138</v>
      </c>
      <c r="B252" s="7" t="str">
        <f aca="false">IFERROR(INDEX('Source 2026'!$C:$C,MATCH($A252,'Source 2026'!$B:$B,0)),IFERROR(INDEX('Source 2025'!$C:$C,MATCH($A252,'Source 2025'!$B:$B,0)),""))</f>
        <v>11 אפורUG חגורת בטן</v>
      </c>
      <c r="C252" s="8" t="n">
        <f aca="false">SUMIFS('Source 2025'!$F:$F,'Source 2025'!$B:$B,$A252,'Source 2025'!$A:$A,"Quantity (units)")</f>
        <v>1</v>
      </c>
      <c r="D252" s="8" t="n">
        <f aca="false">SUMIFS('Source 2026'!$F:$F,'Source 2026'!$B:$B,$A252,'Source 2026'!$A:$A,"Quantity (units)")</f>
        <v>0</v>
      </c>
      <c r="E252" s="8" t="n">
        <f aca="false">D252-C252</f>
        <v>-1</v>
      </c>
      <c r="F252" s="9" t="n">
        <f aca="false">IF(AND(C252=0,D252=0),0,IF(C252=0,"New",(D252-C252)/C252))</f>
        <v>-1</v>
      </c>
      <c r="G252" s="10" t="n">
        <f aca="false">SUMIFS('Source 2025'!$F:$F,'Source 2025'!$B:$B,$A252,'Source 2025'!$A:$A,"Amount (NIS)")</f>
        <v>103.1</v>
      </c>
      <c r="H252" s="10" t="n">
        <f aca="false">SUMIFS('Source 2026'!$F:$F,'Source 2026'!$B:$B,$A252,'Source 2026'!$A:$A,"Amount (NIS)")</f>
        <v>0</v>
      </c>
      <c r="I252" s="10" t="n">
        <f aca="false">H252-G252</f>
        <v>-103.1</v>
      </c>
      <c r="J252" s="9" t="n">
        <f aca="false">IF(AND(G252=0,H252=0),0,IF(G252=0,"New",(H252-G252)/G252))</f>
        <v>-1</v>
      </c>
    </row>
    <row r="253" customFormat="false" ht="15" hidden="false" customHeight="false" outlineLevel="0" collapsed="false">
      <c r="A253" s="7" t="s">
        <v>325</v>
      </c>
      <c r="B253" s="7" t="str">
        <f aca="false">IFERROR(INDEX('Source 2026'!$C:$C,MATCH($A253,'Source 2026'!$B:$B,0)),IFERROR(INDEX('Source 2025'!$C:$C,MATCH($A253,'Source 2025'!$B:$B,0)),""))</f>
        <v>רפידת ספורט 376 מידה</v>
      </c>
      <c r="C253" s="8" t="n">
        <f aca="false">SUMIFS('Source 2025'!$F:$F,'Source 2025'!$B:$B,$A253,'Source 2025'!$A:$A,"Quantity (units)")</f>
        <v>4</v>
      </c>
      <c r="D253" s="8" t="n">
        <f aca="false">SUMIFS('Source 2026'!$F:$F,'Source 2026'!$B:$B,$A253,'Source 2026'!$A:$A,"Quantity (units)")</f>
        <v>1</v>
      </c>
      <c r="E253" s="8" t="n">
        <f aca="false">D253-C253</f>
        <v>-3</v>
      </c>
      <c r="F253" s="9" t="n">
        <f aca="false">IF(AND(C253=0,D253=0),0,IF(C253=0,"New",(D253-C253)/C253))</f>
        <v>-0.75</v>
      </c>
      <c r="G253" s="10" t="n">
        <f aca="false">SUMIFS('Source 2025'!$F:$F,'Source 2025'!$B:$B,$A253,'Source 2025'!$A:$A,"Amount (NIS)")</f>
        <v>133.6</v>
      </c>
      <c r="H253" s="10" t="n">
        <f aca="false">SUMIFS('Source 2026'!$F:$F,'Source 2026'!$B:$B,$A253,'Source 2026'!$A:$A,"Amount (NIS)")</f>
        <v>35.1</v>
      </c>
      <c r="I253" s="10" t="n">
        <f aca="false">H253-G253</f>
        <v>-98.5</v>
      </c>
      <c r="J253" s="9" t="n">
        <f aca="false">IF(AND(G253=0,H253=0),0,IF(G253=0,"New",(H253-G253)/G253))</f>
        <v>-0.737275449101796</v>
      </c>
    </row>
    <row r="254" customFormat="false" ht="15" hidden="false" customHeight="false" outlineLevel="0" collapsed="false">
      <c r="A254" s="7" t="s">
        <v>326</v>
      </c>
      <c r="B254" s="7" t="str">
        <f aca="false">IFERROR(INDEX('Source 2026'!$C:$C,MATCH($A254,'Source 2026'!$B:$B,0)),IFERROR(INDEX('Source 2025'!$C:$C,MATCH($A254,'Source 2025'!$B:$B,0)),""))</f>
        <v>רצועת טניס אלבו עם פלסטיק</v>
      </c>
      <c r="C254" s="8" t="n">
        <f aca="false">SUMIFS('Source 2025'!$F:$F,'Source 2025'!$B:$B,$A254,'Source 2025'!$A:$A,"Quantity (units)")</f>
        <v>-1</v>
      </c>
      <c r="D254" s="8" t="n">
        <f aca="false">SUMIFS('Source 2026'!$F:$F,'Source 2026'!$B:$B,$A254,'Source 2026'!$A:$A,"Quantity (units)")</f>
        <v>0</v>
      </c>
      <c r="E254" s="8" t="n">
        <f aca="false">D254-C254</f>
        <v>1</v>
      </c>
      <c r="F254" s="9" t="n">
        <f aca="false">IF(AND(C254=0,D254=0),0,IF(C254=0,"New",(D254-C254)/C254))</f>
        <v>-1</v>
      </c>
      <c r="G254" s="10" t="n">
        <f aca="false">SUMIFS('Source 2025'!$F:$F,'Source 2025'!$B:$B,$A254,'Source 2025'!$A:$A,"Amount (NIS)")</f>
        <v>-98.3</v>
      </c>
      <c r="H254" s="10" t="n">
        <f aca="false">SUMIFS('Source 2026'!$F:$F,'Source 2026'!$B:$B,$A254,'Source 2026'!$A:$A,"Amount (NIS)")</f>
        <v>0</v>
      </c>
      <c r="I254" s="10" t="n">
        <f aca="false">H254-G254</f>
        <v>98.3</v>
      </c>
      <c r="J254" s="9" t="n">
        <f aca="false">IF(AND(G254=0,H254=0),0,IF(G254=0,"New",(H254-G254)/G254))</f>
        <v>-1</v>
      </c>
    </row>
    <row r="255" customFormat="false" ht="15" hidden="false" customHeight="false" outlineLevel="0" collapsed="false">
      <c r="A255" s="7" t="s">
        <v>327</v>
      </c>
      <c r="B255" s="7" t="str">
        <f aca="false">IFERROR(INDEX('Source 2026'!$C:$C,MATCH($A255,'Source 2026'!$B:$B,0)),IFERROR(INDEX('Source 2025'!$C:$C,MATCH($A255,'Source 2025'!$B:$B,0)),""))</f>
        <v>M סד ליד שמאל</v>
      </c>
      <c r="C255" s="8" t="n">
        <f aca="false">SUMIFS('Source 2025'!$F:$F,'Source 2025'!$B:$B,$A255,'Source 2025'!$A:$A,"Quantity (units)")</f>
        <v>1</v>
      </c>
      <c r="D255" s="8" t="n">
        <f aca="false">SUMIFS('Source 2026'!$F:$F,'Source 2026'!$B:$B,$A255,'Source 2026'!$A:$A,"Quantity (units)")</f>
        <v>0</v>
      </c>
      <c r="E255" s="8" t="n">
        <f aca="false">D255-C255</f>
        <v>-1</v>
      </c>
      <c r="F255" s="9" t="n">
        <f aca="false">IF(AND(C255=0,D255=0),0,IF(C255=0,"New",(D255-C255)/C255))</f>
        <v>-1</v>
      </c>
      <c r="G255" s="10" t="n">
        <f aca="false">SUMIFS('Source 2025'!$F:$F,'Source 2025'!$B:$B,$A255,'Source 2025'!$A:$A,"Amount (NIS)")</f>
        <v>94.5</v>
      </c>
      <c r="H255" s="10" t="n">
        <f aca="false">SUMIFS('Source 2026'!$F:$F,'Source 2026'!$B:$B,$A255,'Source 2026'!$A:$A,"Amount (NIS)")</f>
        <v>0</v>
      </c>
      <c r="I255" s="10" t="n">
        <f aca="false">H255-G255</f>
        <v>-94.5</v>
      </c>
      <c r="J255" s="9" t="n">
        <f aca="false">IF(AND(G255=0,H255=0),0,IF(G255=0,"New",(H255-G255)/G255))</f>
        <v>-1</v>
      </c>
    </row>
    <row r="256" customFormat="false" ht="15" hidden="false" customHeight="false" outlineLevel="0" collapsed="false">
      <c r="A256" s="7" t="s">
        <v>328</v>
      </c>
      <c r="B256" s="7" t="str">
        <f aca="false">IFERROR(INDEX('Source 2026'!$C:$C,MATCH($A256,'Source 2026'!$B:$B,0)),IFERROR(INDEX('Source 2025'!$C:$C,MATCH($A256,'Source 2025'!$B:$B,0)),""))</f>
        <v>Lחגורת בטן וחזה אחרי ניתוח</v>
      </c>
      <c r="C256" s="8" t="n">
        <f aca="false">SUMIFS('Source 2025'!$F:$F,'Source 2025'!$B:$B,$A256,'Source 2025'!$A:$A,"Quantity (units)")</f>
        <v>1</v>
      </c>
      <c r="D256" s="8" t="n">
        <f aca="false">SUMIFS('Source 2026'!$F:$F,'Source 2026'!$B:$B,$A256,'Source 2026'!$A:$A,"Quantity (units)")</f>
        <v>0</v>
      </c>
      <c r="E256" s="8" t="n">
        <f aca="false">D256-C256</f>
        <v>-1</v>
      </c>
      <c r="F256" s="9" t="n">
        <f aca="false">IF(AND(C256=0,D256=0),0,IF(C256=0,"New",(D256-C256)/C256))</f>
        <v>-1</v>
      </c>
      <c r="G256" s="10" t="n">
        <f aca="false">SUMIFS('Source 2025'!$F:$F,'Source 2025'!$B:$B,$A256,'Source 2025'!$A:$A,"Amount (NIS)")</f>
        <v>94.5</v>
      </c>
      <c r="H256" s="10" t="n">
        <f aca="false">SUMIFS('Source 2026'!$F:$F,'Source 2026'!$B:$B,$A256,'Source 2026'!$A:$A,"Amount (NIS)")</f>
        <v>0</v>
      </c>
      <c r="I256" s="10" t="n">
        <f aca="false">H256-G256</f>
        <v>-94.5</v>
      </c>
      <c r="J256" s="9" t="n">
        <f aca="false">IF(AND(G256=0,H256=0),0,IF(G256=0,"New",(H256-G256)/G256))</f>
        <v>-1</v>
      </c>
    </row>
    <row r="257" customFormat="false" ht="15" hidden="false" customHeight="false" outlineLevel="0" collapsed="false">
      <c r="A257" s="7" t="s">
        <v>329</v>
      </c>
      <c r="B257" s="7" t="str">
        <f aca="false">IFERROR(INDEX('Source 2026'!$C:$C,MATCH($A257,'Source 2026'!$B:$B,0)),IFERROR(INDEX('Source 2025'!$C:$C,MATCH($A257,'Source 2025'!$B:$B,0)),""))</f>
        <v>S מגן מרפק רגיל</v>
      </c>
      <c r="C257" s="8" t="n">
        <f aca="false">SUMIFS('Source 2025'!$F:$F,'Source 2025'!$B:$B,$A257,'Source 2025'!$A:$A,"Quantity (units)")</f>
        <v>0</v>
      </c>
      <c r="D257" s="8" t="n">
        <f aca="false">SUMIFS('Source 2026'!$F:$F,'Source 2026'!$B:$B,$A257,'Source 2026'!$A:$A,"Quantity (units)")</f>
        <v>1</v>
      </c>
      <c r="E257" s="8" t="n">
        <f aca="false">D257-C257</f>
        <v>1</v>
      </c>
      <c r="F257" s="9" t="str">
        <f aca="false">IF(AND(C257=0,D257=0),0,IF(C257=0,"New",(D257-C257)/C257))</f>
        <v>New</v>
      </c>
      <c r="G257" s="10" t="n">
        <f aca="false">SUMIFS('Source 2025'!$F:$F,'Source 2025'!$B:$B,$A257,'Source 2025'!$A:$A,"Amount (NIS)")</f>
        <v>0</v>
      </c>
      <c r="H257" s="10" t="n">
        <f aca="false">SUMIFS('Source 2026'!$F:$F,'Source 2026'!$B:$B,$A257,'Source 2026'!$A:$A,"Amount (NIS)")</f>
        <v>94.5</v>
      </c>
      <c r="I257" s="10" t="n">
        <f aca="false">H257-G257</f>
        <v>94.5</v>
      </c>
      <c r="J257" s="9" t="str">
        <f aca="false">IF(AND(G257=0,H257=0),0,IF(G257=0,"New",(H257-G257)/G257))</f>
        <v>New</v>
      </c>
    </row>
    <row r="258" customFormat="false" ht="15" hidden="false" customHeight="false" outlineLevel="0" collapsed="false">
      <c r="A258" s="7" t="s">
        <v>330</v>
      </c>
      <c r="B258" s="7" t="str">
        <f aca="false">IFERROR(INDEX('Source 2026'!$C:$C,MATCH($A258,'Source 2026'!$B:$B,0)),IFERROR(INDEX('Source 2025'!$C:$C,MATCH($A258,'Source 2025'!$B:$B,0)),""))</f>
        <v>S-Mגרב לילה לטיפ.בדורבן</v>
      </c>
      <c r="C258" s="8" t="n">
        <f aca="false">SUMIFS('Source 2025'!$F:$F,'Source 2025'!$B:$B,$A258,'Source 2025'!$A:$A,"Quantity (units)")</f>
        <v>1</v>
      </c>
      <c r="D258" s="8" t="n">
        <f aca="false">SUMIFS('Source 2026'!$F:$F,'Source 2026'!$B:$B,$A258,'Source 2026'!$A:$A,"Quantity (units)")</f>
        <v>2</v>
      </c>
      <c r="E258" s="8" t="n">
        <f aca="false">D258-C258</f>
        <v>1</v>
      </c>
      <c r="F258" s="9" t="n">
        <f aca="false">IF(AND(C258=0,D258=0),0,IF(C258=0,"New",(D258-C258)/C258))</f>
        <v>1</v>
      </c>
      <c r="G258" s="10" t="n">
        <f aca="false">SUMIFS('Source 2025'!$F:$F,'Source 2025'!$B:$B,$A258,'Source 2025'!$A:$A,"Amount (NIS)")</f>
        <v>92.1</v>
      </c>
      <c r="H258" s="10" t="n">
        <f aca="false">SUMIFS('Source 2026'!$F:$F,'Source 2026'!$B:$B,$A258,'Source 2026'!$A:$A,"Amount (NIS)")</f>
        <v>184.6</v>
      </c>
      <c r="I258" s="10" t="n">
        <f aca="false">H258-G258</f>
        <v>92.5</v>
      </c>
      <c r="J258" s="9" t="n">
        <f aca="false">IF(AND(G258=0,H258=0),0,IF(G258=0,"New",(H258-G258)/G258))</f>
        <v>1.0043431053203</v>
      </c>
    </row>
    <row r="259" customFormat="false" ht="15" hidden="false" customHeight="false" outlineLevel="0" collapsed="false">
      <c r="A259" s="7" t="s">
        <v>331</v>
      </c>
      <c r="B259" s="7" t="str">
        <f aca="false">IFERROR(INDEX('Source 2026'!$C:$C,MATCH($A259,'Source 2026'!$B:$B,0)),IFERROR(INDEX('Source 2025'!$C:$C,MATCH($A259,'Source 2025'!$B:$B,0)),""))</f>
        <v>לילה לטיפ.בדורבן</v>
      </c>
      <c r="C259" s="8" t="n">
        <f aca="false">SUMIFS('Source 2025'!$F:$F,'Source 2025'!$B:$B,$A259,'Source 2025'!$A:$A,"Quantity (units)")</f>
        <v>0</v>
      </c>
      <c r="D259" s="8" t="n">
        <f aca="false">SUMIFS('Source 2026'!$F:$F,'Source 2026'!$B:$B,$A259,'Source 2026'!$A:$A,"Quantity (units)")</f>
        <v>1</v>
      </c>
      <c r="E259" s="8" t="n">
        <f aca="false">D259-C259</f>
        <v>1</v>
      </c>
      <c r="F259" s="9" t="str">
        <f aca="false">IF(AND(C259=0,D259=0),0,IF(C259=0,"New",(D259-C259)/C259))</f>
        <v>New</v>
      </c>
      <c r="G259" s="10" t="n">
        <f aca="false">SUMIFS('Source 2025'!$F:$F,'Source 2025'!$B:$B,$A259,'Source 2025'!$A:$A,"Amount (NIS)")</f>
        <v>0</v>
      </c>
      <c r="H259" s="10" t="n">
        <f aca="false">SUMIFS('Source 2026'!$F:$F,'Source 2026'!$B:$B,$A259,'Source 2026'!$A:$A,"Amount (NIS)")</f>
        <v>92.3</v>
      </c>
      <c r="I259" s="10" t="n">
        <f aca="false">H259-G259</f>
        <v>92.3</v>
      </c>
      <c r="J259" s="9" t="str">
        <f aca="false">IF(AND(G259=0,H259=0),0,IF(G259=0,"New",(H259-G259)/G259))</f>
        <v>New</v>
      </c>
    </row>
    <row r="260" customFormat="false" ht="15" hidden="false" customHeight="false" outlineLevel="0" collapsed="false">
      <c r="A260" s="7" t="s">
        <v>141</v>
      </c>
      <c r="B260" s="7" t="str">
        <f aca="false">IFERROR(INDEX('Source 2026'!$C:$C,MATCH($A260,'Source 2026'!$B:$B,0)),IFERROR(INDEX('Source 2025'!$C:$C,MATCH($A260,'Source 2025'!$B:$B,0)),""))</f>
        <v>ג.כסף לסכרתיים אפור35-38</v>
      </c>
      <c r="C260" s="8" t="n">
        <f aca="false">SUMIFS('Source 2025'!$F:$F,'Source 2025'!$B:$B,$A260,'Source 2025'!$A:$A,"Quantity (units)")</f>
        <v>18</v>
      </c>
      <c r="D260" s="8" t="n">
        <f aca="false">SUMIFS('Source 2026'!$F:$F,'Source 2026'!$B:$B,$A260,'Source 2026'!$A:$A,"Quantity (units)")</f>
        <v>15</v>
      </c>
      <c r="E260" s="8" t="n">
        <f aca="false">D260-C260</f>
        <v>-3</v>
      </c>
      <c r="F260" s="9" t="n">
        <f aca="false">IF(AND(C260=0,D260=0),0,IF(C260=0,"New",(D260-C260)/C260))</f>
        <v>-0.166666666666667</v>
      </c>
      <c r="G260" s="10" t="n">
        <f aca="false">SUMIFS('Source 2025'!$F:$F,'Source 2025'!$B:$B,$A260,'Source 2025'!$A:$A,"Amount (NIS)")</f>
        <v>600.5</v>
      </c>
      <c r="H260" s="10" t="n">
        <f aca="false">SUMIFS('Source 2026'!$F:$F,'Source 2026'!$B:$B,$A260,'Source 2026'!$A:$A,"Amount (NIS)")</f>
        <v>517.2</v>
      </c>
      <c r="I260" s="10" t="n">
        <f aca="false">H260-G260</f>
        <v>-83.3</v>
      </c>
      <c r="J260" s="9" t="n">
        <f aca="false">IF(AND(G260=0,H260=0),0,IF(G260=0,"New",(H260-G260)/G260))</f>
        <v>-0.138717735220649</v>
      </c>
    </row>
    <row r="261" customFormat="false" ht="15" hidden="false" customHeight="false" outlineLevel="0" collapsed="false">
      <c r="A261" s="7" t="s">
        <v>332</v>
      </c>
      <c r="B261" s="7" t="str">
        <f aca="false">IFERROR(INDEX('Source 2026'!$C:$C,MATCH($A261,'Source 2026'!$B:$B,0)),IFERROR(INDEX('Source 2025'!$C:$C,MATCH($A261,'Source 2025'!$B:$B,0)),""))</f>
        <v>רפידת ספורט 376 מידה</v>
      </c>
      <c r="C261" s="8" t="n">
        <f aca="false">SUMIFS('Source 2025'!$F:$F,'Source 2025'!$B:$B,$A261,'Source 2025'!$A:$A,"Quantity (units)")</f>
        <v>-1</v>
      </c>
      <c r="D261" s="8" t="n">
        <f aca="false">SUMIFS('Source 2026'!$F:$F,'Source 2026'!$B:$B,$A261,'Source 2026'!$A:$A,"Quantity (units)")</f>
        <v>1</v>
      </c>
      <c r="E261" s="8" t="n">
        <f aca="false">D261-C261</f>
        <v>2</v>
      </c>
      <c r="F261" s="9" t="n">
        <f aca="false">IF(AND(C261=0,D261=0),0,IF(C261=0,"New",(D261-C261)/C261))</f>
        <v>-2</v>
      </c>
      <c r="G261" s="10" t="n">
        <f aca="false">SUMIFS('Source 2025'!$F:$F,'Source 2025'!$B:$B,$A261,'Source 2025'!$A:$A,"Amount (NIS)")</f>
        <v>-43.2</v>
      </c>
      <c r="H261" s="10" t="n">
        <f aca="false">SUMIFS('Source 2026'!$F:$F,'Source 2026'!$B:$B,$A261,'Source 2026'!$A:$A,"Amount (NIS)")</f>
        <v>35.1</v>
      </c>
      <c r="I261" s="10" t="n">
        <f aca="false">H261-G261</f>
        <v>78.3</v>
      </c>
      <c r="J261" s="9" t="n">
        <f aca="false">IF(AND(G261=0,H261=0),0,IF(G261=0,"New",(H261-G261)/G261))</f>
        <v>-1.8125</v>
      </c>
    </row>
    <row r="262" customFormat="false" ht="15" hidden="false" customHeight="false" outlineLevel="0" collapsed="false">
      <c r="A262" s="7" t="s">
        <v>333</v>
      </c>
      <c r="B262" s="7" t="str">
        <f aca="false">IFERROR(INDEX('Source 2026'!$C:$C,MATCH($A262,'Source 2026'!$B:$B,0)),IFERROR(INDEX('Source 2025'!$C:$C,MATCH($A262,'Source 2025'!$B:$B,0)),""))</f>
        <v>רצועה לפיקת הברך</v>
      </c>
      <c r="C262" s="8" t="n">
        <f aca="false">SUMIFS('Source 2025'!$F:$F,'Source 2025'!$B:$B,$A262,'Source 2025'!$A:$A,"Quantity (units)")</f>
        <v>4</v>
      </c>
      <c r="D262" s="8" t="n">
        <f aca="false">SUMIFS('Source 2026'!$F:$F,'Source 2026'!$B:$B,$A262,'Source 2026'!$A:$A,"Quantity (units)")</f>
        <v>5</v>
      </c>
      <c r="E262" s="8" t="n">
        <f aca="false">D262-C262</f>
        <v>1</v>
      </c>
      <c r="F262" s="9" t="n">
        <f aca="false">IF(AND(C262=0,D262=0),0,IF(C262=0,"New",(D262-C262)/C262))</f>
        <v>0.25</v>
      </c>
      <c r="G262" s="10" t="n">
        <f aca="false">SUMIFS('Source 2025'!$F:$F,'Source 2025'!$B:$B,$A262,'Source 2025'!$A:$A,"Amount (NIS)")</f>
        <v>315.3</v>
      </c>
      <c r="H262" s="10" t="n">
        <f aca="false">SUMIFS('Source 2026'!$F:$F,'Source 2026'!$B:$B,$A262,'Source 2026'!$A:$A,"Amount (NIS)")</f>
        <v>392.1</v>
      </c>
      <c r="I262" s="10" t="n">
        <f aca="false">H262-G262</f>
        <v>76.8</v>
      </c>
      <c r="J262" s="9" t="n">
        <f aca="false">IF(AND(G262=0,H262=0),0,IF(G262=0,"New",(H262-G262)/G262))</f>
        <v>0.243577545195052</v>
      </c>
    </row>
    <row r="263" customFormat="false" ht="15" hidden="false" customHeight="false" outlineLevel="0" collapsed="false">
      <c r="A263" s="7" t="s">
        <v>334</v>
      </c>
      <c r="B263" s="7" t="str">
        <f aca="false">IFERROR(INDEX('Source 2026'!$C:$C,MATCH($A263,'Source 2026'!$B:$B,0)),IFERROR(INDEX('Source 2025'!$C:$C,MATCH($A263,'Source 2025'!$B:$B,0)),""))</f>
        <v>3/4לכאבי דורבן וספורט</v>
      </c>
      <c r="C263" s="8" t="n">
        <f aca="false">SUMIFS('Source 2025'!$F:$F,'Source 2025'!$B:$B,$A263,'Source 2025'!$A:$A,"Quantity (units)")</f>
        <v>-1</v>
      </c>
      <c r="D263" s="8" t="n">
        <f aca="false">SUMIFS('Source 2026'!$F:$F,'Source 2026'!$B:$B,$A263,'Source 2026'!$A:$A,"Quantity (units)")</f>
        <v>0</v>
      </c>
      <c r="E263" s="8" t="n">
        <f aca="false">D263-C263</f>
        <v>1</v>
      </c>
      <c r="F263" s="9" t="n">
        <f aca="false">IF(AND(C263=0,D263=0),0,IF(C263=0,"New",(D263-C263)/C263))</f>
        <v>-1</v>
      </c>
      <c r="G263" s="10" t="n">
        <f aca="false">SUMIFS('Source 2025'!$F:$F,'Source 2025'!$B:$B,$A263,'Source 2025'!$A:$A,"Amount (NIS)")</f>
        <v>-75.6</v>
      </c>
      <c r="H263" s="10" t="n">
        <f aca="false">SUMIFS('Source 2026'!$F:$F,'Source 2026'!$B:$B,$A263,'Source 2026'!$A:$A,"Amount (NIS)")</f>
        <v>0</v>
      </c>
      <c r="I263" s="10" t="n">
        <f aca="false">H263-G263</f>
        <v>75.6</v>
      </c>
      <c r="J263" s="9" t="n">
        <f aca="false">IF(AND(G263=0,H263=0),0,IF(G263=0,"New",(H263-G263)/G263))</f>
        <v>-1</v>
      </c>
    </row>
    <row r="264" customFormat="false" ht="15" hidden="false" customHeight="false" outlineLevel="0" collapsed="false">
      <c r="A264" s="7" t="s">
        <v>335</v>
      </c>
      <c r="B264" s="7" t="str">
        <f aca="false">IFERROR(INDEX('Source 2026'!$C:$C,MATCH($A264,'Source 2026'!$B:$B,0)),IFERROR(INDEX('Source 2025'!$C:$C,MATCH($A264,'Source 2025'!$B:$B,0)),""))</f>
        <v>טייפ חבישה לספורט</v>
      </c>
      <c r="C264" s="8" t="n">
        <f aca="false">SUMIFS('Source 2025'!$F:$F,'Source 2025'!$B:$B,$A264,'Source 2025'!$A:$A,"Quantity (units)")</f>
        <v>10</v>
      </c>
      <c r="D264" s="8" t="n">
        <f aca="false">SUMIFS('Source 2026'!$F:$F,'Source 2026'!$B:$B,$A264,'Source 2026'!$A:$A,"Quantity (units)")</f>
        <v>5</v>
      </c>
      <c r="E264" s="8" t="n">
        <f aca="false">D264-C264</f>
        <v>-5</v>
      </c>
      <c r="F264" s="9" t="n">
        <f aca="false">IF(AND(C264=0,D264=0),0,IF(C264=0,"New",(D264-C264)/C264))</f>
        <v>-0.5</v>
      </c>
      <c r="G264" s="10" t="n">
        <f aca="false">SUMIFS('Source 2025'!$F:$F,'Source 2025'!$B:$B,$A264,'Source 2025'!$A:$A,"Amount (NIS)")</f>
        <v>159.1</v>
      </c>
      <c r="H264" s="10" t="n">
        <f aca="false">SUMIFS('Source 2026'!$F:$F,'Source 2026'!$B:$B,$A264,'Source 2026'!$A:$A,"Amount (NIS)")</f>
        <v>84.2</v>
      </c>
      <c r="I264" s="10" t="n">
        <f aca="false">H264-G264</f>
        <v>-74.9</v>
      </c>
      <c r="J264" s="9" t="n">
        <f aca="false">IF(AND(G264=0,H264=0),0,IF(G264=0,"New",(H264-G264)/G264))</f>
        <v>-0.470773098680075</v>
      </c>
    </row>
    <row r="265" customFormat="false" ht="15" hidden="false" customHeight="false" outlineLevel="0" collapsed="false">
      <c r="A265" s="7" t="s">
        <v>189</v>
      </c>
      <c r="B265" s="7" t="str">
        <f aca="false">IFERROR(INDEX('Source 2026'!$C:$C,MATCH($A265,'Source 2026'!$B:$B,0)),IFERROR(INDEX('Source 2025'!$C:$C,MATCH($A265,'Source 2025'!$B:$B,0)),""))</f>
        <v>סד לילה לבוהן</v>
      </c>
      <c r="C265" s="8" t="n">
        <f aca="false">SUMIFS('Source 2025'!$F:$F,'Source 2025'!$B:$B,$A265,'Source 2025'!$A:$A,"Quantity (units)")</f>
        <v>-1</v>
      </c>
      <c r="D265" s="8" t="n">
        <f aca="false">SUMIFS('Source 2026'!$F:$F,'Source 2026'!$B:$B,$A265,'Source 2026'!$A:$A,"Quantity (units)")</f>
        <v>0</v>
      </c>
      <c r="E265" s="8" t="n">
        <f aca="false">D265-C265</f>
        <v>1</v>
      </c>
      <c r="F265" s="9" t="n">
        <f aca="false">IF(AND(C265=0,D265=0),0,IF(C265=0,"New",(D265-C265)/C265))</f>
        <v>-1</v>
      </c>
      <c r="G265" s="10" t="n">
        <f aca="false">SUMIFS('Source 2025'!$F:$F,'Source 2025'!$B:$B,$A265,'Source 2025'!$A:$A,"Amount (NIS)")</f>
        <v>-74</v>
      </c>
      <c r="H265" s="10" t="n">
        <f aca="false">SUMIFS('Source 2026'!$F:$F,'Source 2026'!$B:$B,$A265,'Source 2026'!$A:$A,"Amount (NIS)")</f>
        <v>0</v>
      </c>
      <c r="I265" s="10" t="n">
        <f aca="false">H265-G265</f>
        <v>74</v>
      </c>
      <c r="J265" s="9" t="n">
        <f aca="false">IF(AND(G265=0,H265=0),0,IF(G265=0,"New",(H265-G265)/G265))</f>
        <v>-1</v>
      </c>
    </row>
    <row r="266" customFormat="false" ht="15" hidden="false" customHeight="false" outlineLevel="0" collapsed="false">
      <c r="A266" s="7" t="s">
        <v>196</v>
      </c>
      <c r="B266" s="7" t="str">
        <f aca="false">IFERROR(INDEX('Source 2026'!$C:$C,MATCH($A266,'Source 2026'!$B:$B,0)),IFERROR(INDEX('Source 2025'!$C:$C,MATCH($A266,'Source 2025'!$B:$B,0)),""))</f>
        <v>מגן זרת מסיליקון</v>
      </c>
      <c r="C266" s="8" t="n">
        <f aca="false">SUMIFS('Source 2025'!$F:$F,'Source 2025'!$B:$B,$A266,'Source 2025'!$A:$A,"Quantity (units)")</f>
        <v>52</v>
      </c>
      <c r="D266" s="8" t="n">
        <f aca="false">SUMIFS('Source 2026'!$F:$F,'Source 2026'!$B:$B,$A266,'Source 2026'!$A:$A,"Quantity (units)")</f>
        <v>51</v>
      </c>
      <c r="E266" s="8" t="n">
        <f aca="false">D266-C266</f>
        <v>-1</v>
      </c>
      <c r="F266" s="9" t="n">
        <f aca="false">IF(AND(C266=0,D266=0),0,IF(C266=0,"New",(D266-C266)/C266))</f>
        <v>-0.0192307692307692</v>
      </c>
      <c r="G266" s="10" t="n">
        <f aca="false">SUMIFS('Source 2025'!$F:$F,'Source 2025'!$B:$B,$A266,'Source 2025'!$A:$A,"Amount (NIS)")</f>
        <v>1511.3</v>
      </c>
      <c r="H266" s="10" t="n">
        <f aca="false">SUMIFS('Source 2026'!$F:$F,'Source 2026'!$B:$B,$A266,'Source 2026'!$A:$A,"Amount (NIS)")</f>
        <v>1452.4</v>
      </c>
      <c r="I266" s="10" t="n">
        <f aca="false">H266-G266</f>
        <v>-58.8999999999999</v>
      </c>
      <c r="J266" s="9" t="n">
        <f aca="false">IF(AND(G266=0,H266=0),0,IF(G266=0,"New",(H266-G266)/G266))</f>
        <v>-0.0389730695427777</v>
      </c>
    </row>
    <row r="267" customFormat="false" ht="15" hidden="false" customHeight="false" outlineLevel="0" collapsed="false">
      <c r="A267" s="7" t="s">
        <v>121</v>
      </c>
      <c r="B267" s="7" t="str">
        <f aca="false">IFERROR(INDEX('Source 2026'!$C:$C,MATCH($A267,'Source 2026'!$B:$B,0)),IFERROR(INDEX('Source 2025'!$C:$C,MATCH($A267,'Source 2025'!$B:$B,0)),""))</f>
        <v>L-XL STRAP4U</v>
      </c>
      <c r="C267" s="8" t="n">
        <f aca="false">SUMIFS('Source 2025'!$F:$F,'Source 2025'!$B:$B,$A267,'Source 2025'!$A:$A,"Quantity (units)")</f>
        <v>-4</v>
      </c>
      <c r="D267" s="8" t="n">
        <f aca="false">SUMIFS('Source 2026'!$F:$F,'Source 2026'!$B:$B,$A267,'Source 2026'!$A:$A,"Quantity (units)")</f>
        <v>0</v>
      </c>
      <c r="E267" s="8" t="n">
        <f aca="false">D267-C267</f>
        <v>4</v>
      </c>
      <c r="F267" s="9" t="n">
        <f aca="false">IF(AND(C267=0,D267=0),0,IF(C267=0,"New",(D267-C267)/C267))</f>
        <v>-1</v>
      </c>
      <c r="G267" s="10" t="n">
        <f aca="false">SUMIFS('Source 2025'!$F:$F,'Source 2025'!$B:$B,$A267,'Source 2025'!$A:$A,"Amount (NIS)")</f>
        <v>-55.3</v>
      </c>
      <c r="H267" s="10" t="n">
        <f aca="false">SUMIFS('Source 2026'!$F:$F,'Source 2026'!$B:$B,$A267,'Source 2026'!$A:$A,"Amount (NIS)")</f>
        <v>0</v>
      </c>
      <c r="I267" s="10" t="n">
        <f aca="false">H267-G267</f>
        <v>55.3</v>
      </c>
      <c r="J267" s="9" t="n">
        <f aca="false">IF(AND(G267=0,H267=0),0,IF(G267=0,"New",(H267-G267)/G267))</f>
        <v>-1</v>
      </c>
    </row>
    <row r="268" customFormat="false" ht="15" hidden="false" customHeight="false" outlineLevel="0" collapsed="false">
      <c r="A268" s="7" t="s">
        <v>336</v>
      </c>
      <c r="B268" s="7" t="str">
        <f aca="false">IFERROR(INDEX('Source 2026'!$C:$C,MATCH($A268,'Source 2026'!$B:$B,0)),IFERROR(INDEX('Source 2025'!$C:$C,MATCH($A268,'Source 2025'!$B:$B,0)),""))</f>
        <v>אתלטיק טייפ לבן 20מ""מ</v>
      </c>
      <c r="C268" s="8" t="n">
        <f aca="false">SUMIFS('Source 2025'!$F:$F,'Source 2025'!$B:$B,$A268,'Source 2025'!$A:$A,"Quantity (units)")</f>
        <v>47</v>
      </c>
      <c r="D268" s="8" t="n">
        <f aca="false">SUMIFS('Source 2026'!$F:$F,'Source 2026'!$B:$B,$A268,'Source 2026'!$A:$A,"Quantity (units)")</f>
        <v>41</v>
      </c>
      <c r="E268" s="8" t="n">
        <f aca="false">D268-C268</f>
        <v>-6</v>
      </c>
      <c r="F268" s="9" t="n">
        <f aca="false">IF(AND(C268=0,D268=0),0,IF(C268=0,"New",(D268-C268)/C268))</f>
        <v>-0.127659574468085</v>
      </c>
      <c r="G268" s="10" t="n">
        <f aca="false">SUMIFS('Source 2025'!$F:$F,'Source 2025'!$B:$B,$A268,'Source 2025'!$A:$A,"Amount (NIS)")</f>
        <v>719.1</v>
      </c>
      <c r="H268" s="10" t="n">
        <f aca="false">SUMIFS('Source 2026'!$F:$F,'Source 2026'!$B:$B,$A268,'Source 2026'!$A:$A,"Amount (NIS)")</f>
        <v>665.2</v>
      </c>
      <c r="I268" s="10" t="n">
        <f aca="false">H268-G268</f>
        <v>-53.9</v>
      </c>
      <c r="J268" s="9" t="n">
        <f aca="false">IF(AND(G268=0,H268=0),0,IF(G268=0,"New",(H268-G268)/G268))</f>
        <v>-0.0749548046168822</v>
      </c>
    </row>
    <row r="269" customFormat="false" ht="15" hidden="false" customHeight="false" outlineLevel="0" collapsed="false">
      <c r="A269" s="7" t="s">
        <v>140</v>
      </c>
      <c r="B269" s="7" t="str">
        <f aca="false">IFERROR(INDEX('Source 2026'!$C:$C,MATCH($A269,'Source 2026'!$B:$B,0)),IFERROR(INDEX('Source 2025'!$C:$C,MATCH($A269,'Source 2025'!$B:$B,0)),""))</f>
        <v>S-M STRAP4U</v>
      </c>
      <c r="C269" s="8" t="n">
        <f aca="false">SUMIFS('Source 2025'!$F:$F,'Source 2025'!$B:$B,$A269,'Source 2025'!$A:$A,"Quantity (units)")</f>
        <v>-4</v>
      </c>
      <c r="D269" s="8" t="n">
        <f aca="false">SUMIFS('Source 2026'!$F:$F,'Source 2026'!$B:$B,$A269,'Source 2026'!$A:$A,"Quantity (units)")</f>
        <v>0</v>
      </c>
      <c r="E269" s="8" t="n">
        <f aca="false">D269-C269</f>
        <v>4</v>
      </c>
      <c r="F269" s="9" t="n">
        <f aca="false">IF(AND(C269=0,D269=0),0,IF(C269=0,"New",(D269-C269)/C269))</f>
        <v>-1</v>
      </c>
      <c r="G269" s="10" t="n">
        <f aca="false">SUMIFS('Source 2025'!$F:$F,'Source 2025'!$B:$B,$A269,'Source 2025'!$A:$A,"Amount (NIS)")</f>
        <v>-53.5</v>
      </c>
      <c r="H269" s="10" t="n">
        <f aca="false">SUMIFS('Source 2026'!$F:$F,'Source 2026'!$B:$B,$A269,'Source 2026'!$A:$A,"Amount (NIS)")</f>
        <v>0</v>
      </c>
      <c r="I269" s="10" t="n">
        <f aca="false">H269-G269</f>
        <v>53.5</v>
      </c>
      <c r="J269" s="9" t="n">
        <f aca="false">IF(AND(G269=0,H269=0),0,IF(G269=0,"New",(H269-G269)/G269))</f>
        <v>-1</v>
      </c>
    </row>
    <row r="270" customFormat="false" ht="15" hidden="false" customHeight="false" outlineLevel="0" collapsed="false">
      <c r="A270" s="7" t="s">
        <v>168</v>
      </c>
      <c r="B270" s="7" t="str">
        <f aca="false">IFERROR(INDEX('Source 2026'!$C:$C,MATCH($A270,'Source 2026'!$B:$B,0)),IFERROR(INDEX('Source 2025'!$C:$C,MATCH($A270,'Source 2025'!$B:$B,0)),""))</f>
        <v>גרב כסף לסכרתיים לבן35-38</v>
      </c>
      <c r="C270" s="8" t="n">
        <f aca="false">SUMIFS('Source 2025'!$F:$F,'Source 2025'!$B:$B,$A270,'Source 2025'!$A:$A,"Quantity (units)")</f>
        <v>45</v>
      </c>
      <c r="D270" s="8" t="n">
        <f aca="false">SUMIFS('Source 2026'!$F:$F,'Source 2026'!$B:$B,$A270,'Source 2026'!$A:$A,"Quantity (units)")</f>
        <v>38</v>
      </c>
      <c r="E270" s="8" t="n">
        <f aca="false">D270-C270</f>
        <v>-7</v>
      </c>
      <c r="F270" s="9" t="n">
        <f aca="false">IF(AND(C270=0,D270=0),0,IF(C270=0,"New",(D270-C270)/C270))</f>
        <v>-0.155555555555556</v>
      </c>
      <c r="G270" s="10" t="n">
        <f aca="false">SUMIFS('Source 2025'!$F:$F,'Source 2025'!$B:$B,$A270,'Source 2025'!$A:$A,"Amount (NIS)")</f>
        <v>1359.9</v>
      </c>
      <c r="H270" s="10" t="n">
        <f aca="false">SUMIFS('Source 2026'!$F:$F,'Source 2026'!$B:$B,$A270,'Source 2026'!$A:$A,"Amount (NIS)")</f>
        <v>1310.7</v>
      </c>
      <c r="I270" s="10" t="n">
        <f aca="false">H270-G270</f>
        <v>-49.2</v>
      </c>
      <c r="J270" s="9" t="n">
        <f aca="false">IF(AND(G270=0,H270=0),0,IF(G270=0,"New",(H270-G270)/G270))</f>
        <v>-0.0361791308184426</v>
      </c>
    </row>
    <row r="271" customFormat="false" ht="15" hidden="false" customHeight="false" outlineLevel="0" collapsed="false">
      <c r="A271" s="7" t="s">
        <v>337</v>
      </c>
      <c r="B271" s="7" t="str">
        <f aca="false">IFERROR(INDEX('Source 2026'!$C:$C,MATCH($A271,'Source 2026'!$B:$B,0)),IFERROR(INDEX('Source 2025'!$C:$C,MATCH($A271,'Source 2025'!$B:$B,0)),""))</f>
        <v>אתלטיק טייפ שחור 20מ""מ</v>
      </c>
      <c r="C271" s="8" t="n">
        <f aca="false">SUMIFS('Source 2025'!$F:$F,'Source 2025'!$B:$B,$A271,'Source 2025'!$A:$A,"Quantity (units)")</f>
        <v>20</v>
      </c>
      <c r="D271" s="8" t="n">
        <f aca="false">SUMIFS('Source 2026'!$F:$F,'Source 2026'!$B:$B,$A271,'Source 2026'!$A:$A,"Quantity (units)")</f>
        <v>21</v>
      </c>
      <c r="E271" s="8" t="n">
        <f aca="false">D271-C271</f>
        <v>1</v>
      </c>
      <c r="F271" s="9" t="n">
        <f aca="false">IF(AND(C271=0,D271=0),0,IF(C271=0,"New",(D271-C271)/C271))</f>
        <v>0.05</v>
      </c>
      <c r="G271" s="10" t="n">
        <f aca="false">SUMIFS('Source 2025'!$F:$F,'Source 2025'!$B:$B,$A271,'Source 2025'!$A:$A,"Amount (NIS)")</f>
        <v>318.7</v>
      </c>
      <c r="H271" s="10" t="n">
        <f aca="false">SUMIFS('Source 2026'!$F:$F,'Source 2026'!$B:$B,$A271,'Source 2026'!$A:$A,"Amount (NIS)")</f>
        <v>358.6</v>
      </c>
      <c r="I271" s="10" t="n">
        <f aca="false">H271-G271</f>
        <v>39.9</v>
      </c>
      <c r="J271" s="9" t="n">
        <f aca="false">IF(AND(G271=0,H271=0),0,IF(G271=0,"New",(H271-G271)/G271))</f>
        <v>0.125196109193599</v>
      </c>
    </row>
    <row r="272" customFormat="false" ht="15" hidden="false" customHeight="false" outlineLevel="0" collapsed="false">
      <c r="A272" s="7" t="s">
        <v>338</v>
      </c>
      <c r="B272" s="7" t="str">
        <f aca="false">IFERROR(INDEX('Source 2026'!$C:$C,MATCH($A272,'Source 2026'!$B:$B,0)),IFERROR(INDEX('Source 2025'!$C:$C,MATCH($A272,'Source 2025'!$B:$B,0)),""))</f>
        <v>HV רצועה אלסטית</v>
      </c>
      <c r="C272" s="8" t="n">
        <f aca="false">SUMIFS('Source 2025'!$F:$F,'Source 2025'!$B:$B,$A272,'Source 2025'!$A:$A,"Quantity (units)")</f>
        <v>2</v>
      </c>
      <c r="D272" s="8" t="n">
        <f aca="false">SUMIFS('Source 2026'!$F:$F,'Source 2026'!$B:$B,$A272,'Source 2026'!$A:$A,"Quantity (units)")</f>
        <v>3</v>
      </c>
      <c r="E272" s="8" t="n">
        <f aca="false">D272-C272</f>
        <v>1</v>
      </c>
      <c r="F272" s="9" t="n">
        <f aca="false">IF(AND(C272=0,D272=0),0,IF(C272=0,"New",(D272-C272)/C272))</f>
        <v>0.5</v>
      </c>
      <c r="G272" s="10" t="n">
        <f aca="false">SUMIFS('Source 2025'!$F:$F,'Source 2025'!$B:$B,$A272,'Source 2025'!$A:$A,"Amount (NIS)")</f>
        <v>75.5</v>
      </c>
      <c r="H272" s="10" t="n">
        <f aca="false">SUMIFS('Source 2026'!$F:$F,'Source 2026'!$B:$B,$A272,'Source 2026'!$A:$A,"Amount (NIS)")</f>
        <v>113.3</v>
      </c>
      <c r="I272" s="10" t="n">
        <f aca="false">H272-G272</f>
        <v>37.8</v>
      </c>
      <c r="J272" s="9" t="n">
        <f aca="false">IF(AND(G272=0,H272=0),0,IF(G272=0,"New",(H272-G272)/G272))</f>
        <v>0.500662251655629</v>
      </c>
    </row>
    <row r="273" customFormat="false" ht="15" hidden="false" customHeight="false" outlineLevel="0" collapsed="false">
      <c r="A273" s="7" t="s">
        <v>244</v>
      </c>
      <c r="B273" s="7" t="str">
        <f aca="false">IFERROR(INDEX('Source 2026'!$C:$C,MATCH($A273,'Source 2026'!$B:$B,0)),IFERROR(INDEX('Source 2025'!$C:$C,MATCH($A273,'Source 2025'!$B:$B,0)),""))</f>
        <v>S תתמתלה ליד רצועה</v>
      </c>
      <c r="C273" s="8" t="n">
        <f aca="false">SUMIFS('Source 2025'!$F:$F,'Source 2025'!$B:$B,$A273,'Source 2025'!$A:$A,"Quantity (units)")</f>
        <v>-1</v>
      </c>
      <c r="D273" s="8" t="n">
        <f aca="false">SUMIFS('Source 2026'!$F:$F,'Source 2026'!$B:$B,$A273,'Source 2026'!$A:$A,"Quantity (units)")</f>
        <v>0</v>
      </c>
      <c r="E273" s="8" t="n">
        <f aca="false">D273-C273</f>
        <v>1</v>
      </c>
      <c r="F273" s="9" t="n">
        <f aca="false">IF(AND(C273=0,D273=0),0,IF(C273=0,"New",(D273-C273)/C273))</f>
        <v>-1</v>
      </c>
      <c r="G273" s="10" t="n">
        <f aca="false">SUMIFS('Source 2025'!$F:$F,'Source 2025'!$B:$B,$A273,'Source 2025'!$A:$A,"Amount (NIS)")</f>
        <v>-37.8</v>
      </c>
      <c r="H273" s="10" t="n">
        <f aca="false">SUMIFS('Source 2026'!$F:$F,'Source 2026'!$B:$B,$A273,'Source 2026'!$A:$A,"Amount (NIS)")</f>
        <v>0</v>
      </c>
      <c r="I273" s="10" t="n">
        <f aca="false">H273-G273</f>
        <v>37.8</v>
      </c>
      <c r="J273" s="9" t="n">
        <f aca="false">IF(AND(G273=0,H273=0),0,IF(G273=0,"New",(H273-G273)/G273))</f>
        <v>-1</v>
      </c>
    </row>
    <row r="274" customFormat="false" ht="15" hidden="false" customHeight="false" outlineLevel="0" collapsed="false">
      <c r="A274" s="7" t="s">
        <v>339</v>
      </c>
      <c r="B274" s="7" t="str">
        <f aca="false">IFERROR(INDEX('Source 2026'!$C:$C,MATCH($A274,'Source 2026'!$B:$B,0)),IFERROR(INDEX('Source 2025'!$C:$C,MATCH($A274,'Source 2025'!$B:$B,0)),""))</f>
        <v>מסכה אלה</v>
      </c>
      <c r="C274" s="8" t="n">
        <f aca="false">SUMIFS('Source 2025'!$F:$F,'Source 2025'!$B:$B,$A274,'Source 2025'!$A:$A,"Quantity (units)")</f>
        <v>-4</v>
      </c>
      <c r="D274" s="8" t="n">
        <f aca="false">SUMIFS('Source 2026'!$F:$F,'Source 2026'!$B:$B,$A274,'Source 2026'!$A:$A,"Quantity (units)")</f>
        <v>0</v>
      </c>
      <c r="E274" s="8" t="n">
        <f aca="false">D274-C274</f>
        <v>4</v>
      </c>
      <c r="F274" s="9" t="n">
        <f aca="false">IF(AND(C274=0,D274=0),0,IF(C274=0,"New",(D274-C274)/C274))</f>
        <v>-1</v>
      </c>
      <c r="G274" s="10" t="n">
        <f aca="false">SUMIFS('Source 2025'!$F:$F,'Source 2025'!$B:$B,$A274,'Source 2025'!$A:$A,"Amount (NIS)")</f>
        <v>-32.5</v>
      </c>
      <c r="H274" s="10" t="n">
        <f aca="false">SUMIFS('Source 2026'!$F:$F,'Source 2026'!$B:$B,$A274,'Source 2026'!$A:$A,"Amount (NIS)")</f>
        <v>0</v>
      </c>
      <c r="I274" s="10" t="n">
        <f aca="false">H274-G274</f>
        <v>32.5</v>
      </c>
      <c r="J274" s="9" t="n">
        <f aca="false">IF(AND(G274=0,H274=0),0,IF(G274=0,"New",(H274-G274)/G274))</f>
        <v>-1</v>
      </c>
    </row>
    <row r="275" customFormat="false" ht="15" hidden="false" customHeight="false" outlineLevel="0" collapsed="false">
      <c r="A275" s="7" t="s">
        <v>178</v>
      </c>
      <c r="B275" s="7" t="str">
        <f aca="false">IFERROR(INDEX('Source 2026'!$C:$C,MATCH($A275,'Source 2026'!$B:$B,0)),IFERROR(INDEX('Source 2025'!$C:$C,MATCH($A275,'Source 2025'!$B:$B,0)),""))</f>
        <v>XXL מגן ברך ארוך עם כרית</v>
      </c>
      <c r="C275" s="8" t="n">
        <f aca="false">SUMIFS('Source 2025'!$F:$F,'Source 2025'!$B:$B,$A275,'Source 2025'!$A:$A,"Quantity (units)")</f>
        <v>2</v>
      </c>
      <c r="D275" s="8" t="n">
        <f aca="false">SUMIFS('Source 2026'!$F:$F,'Source 2026'!$B:$B,$A275,'Source 2026'!$A:$A,"Quantity (units)")</f>
        <v>2</v>
      </c>
      <c r="E275" s="8" t="n">
        <f aca="false">D275-C275</f>
        <v>0</v>
      </c>
      <c r="F275" s="9" t="n">
        <f aca="false">IF(AND(C275=0,D275=0),0,IF(C275=0,"New",(D275-C275)/C275))</f>
        <v>0</v>
      </c>
      <c r="G275" s="10" t="n">
        <f aca="false">SUMIFS('Source 2025'!$F:$F,'Source 2025'!$B:$B,$A275,'Source 2025'!$A:$A,"Amount (NIS)")</f>
        <v>379.7</v>
      </c>
      <c r="H275" s="10" t="n">
        <f aca="false">SUMIFS('Source 2026'!$F:$F,'Source 2026'!$B:$B,$A275,'Source 2026'!$A:$A,"Amount (NIS)")</f>
        <v>406.8</v>
      </c>
      <c r="I275" s="10" t="n">
        <f aca="false">H275-G275</f>
        <v>27.1</v>
      </c>
      <c r="J275" s="9" t="n">
        <f aca="false">IF(AND(G275=0,H275=0),0,IF(G275=0,"New",(H275-G275)/G275))</f>
        <v>0.0713721358967605</v>
      </c>
    </row>
    <row r="276" customFormat="false" ht="15" hidden="false" customHeight="false" outlineLevel="0" collapsed="false">
      <c r="A276" s="7" t="s">
        <v>97</v>
      </c>
      <c r="B276" s="7" t="str">
        <f aca="false">IFERROR(INDEX('Source 2026'!$C:$C,MATCH($A276,'Source 2026'!$B:$B,0)),IFERROR(INDEX('Source 2025'!$C:$C,MATCH($A276,'Source 2025'!$B:$B,0)),""))</f>
        <v>חגורת גב אפורה</v>
      </c>
      <c r="C276" s="8" t="n">
        <f aca="false">SUMIFS('Source 2025'!$F:$F,'Source 2025'!$B:$B,$A276,'Source 2025'!$A:$A,"Quantity (units)")</f>
        <v>5</v>
      </c>
      <c r="D276" s="8" t="n">
        <f aca="false">SUMIFS('Source 2026'!$F:$F,'Source 2026'!$B:$B,$A276,'Source 2026'!$A:$A,"Quantity (units)")</f>
        <v>5</v>
      </c>
      <c r="E276" s="8" t="n">
        <f aca="false">D276-C276</f>
        <v>0</v>
      </c>
      <c r="F276" s="9" t="n">
        <f aca="false">IF(AND(C276=0,D276=0),0,IF(C276=0,"New",(D276-C276)/C276))</f>
        <v>0</v>
      </c>
      <c r="G276" s="10" t="n">
        <f aca="false">SUMIFS('Source 2025'!$F:$F,'Source 2025'!$B:$B,$A276,'Source 2025'!$A:$A,"Amount (NIS)")</f>
        <v>577.8</v>
      </c>
      <c r="H276" s="10" t="n">
        <f aca="false">SUMIFS('Source 2026'!$F:$F,'Source 2026'!$B:$B,$A276,'Source 2026'!$A:$A,"Amount (NIS)")</f>
        <v>554.4</v>
      </c>
      <c r="I276" s="10" t="n">
        <f aca="false">H276-G276</f>
        <v>-23.4</v>
      </c>
      <c r="J276" s="9" t="n">
        <f aca="false">IF(AND(G276=0,H276=0),0,IF(G276=0,"New",(H276-G276)/G276))</f>
        <v>-0.0404984423676012</v>
      </c>
    </row>
    <row r="277" customFormat="false" ht="15" hidden="false" customHeight="false" outlineLevel="0" collapsed="false">
      <c r="A277" s="7" t="s">
        <v>340</v>
      </c>
      <c r="B277" s="7" t="str">
        <f aca="false">IFERROR(INDEX('Source 2026'!$C:$C,MATCH($A277,'Source 2026'!$B:$B,0)),IFERROR(INDEX('Source 2025'!$C:$C,MATCH($A277,'Source 2025'!$B:$B,0)),""))</f>
        <v>ריפוד סיליקון לעקב אחורי</v>
      </c>
      <c r="C277" s="8" t="n">
        <f aca="false">SUMIFS('Source 2025'!$F:$F,'Source 2025'!$B:$B,$A277,'Source 2025'!$A:$A,"Quantity (units)")</f>
        <v>79</v>
      </c>
      <c r="D277" s="8" t="n">
        <f aca="false">SUMIFS('Source 2026'!$F:$F,'Source 2026'!$B:$B,$A277,'Source 2026'!$A:$A,"Quantity (units)")</f>
        <v>78</v>
      </c>
      <c r="E277" s="8" t="n">
        <f aca="false">D277-C277</f>
        <v>-1</v>
      </c>
      <c r="F277" s="9" t="n">
        <f aca="false">IF(AND(C277=0,D277=0),0,IF(C277=0,"New",(D277-C277)/C277))</f>
        <v>-0.0126582278481013</v>
      </c>
      <c r="G277" s="10" t="n">
        <f aca="false">SUMIFS('Source 2025'!$F:$F,'Source 2025'!$B:$B,$A277,'Source 2025'!$A:$A,"Amount (NIS)")</f>
        <v>1758.7</v>
      </c>
      <c r="H277" s="10" t="n">
        <f aca="false">SUMIFS('Source 2026'!$F:$F,'Source 2026'!$B:$B,$A277,'Source 2026'!$A:$A,"Amount (NIS)")</f>
        <v>1779.9</v>
      </c>
      <c r="I277" s="10" t="n">
        <f aca="false">H277-G277</f>
        <v>21.2</v>
      </c>
      <c r="J277" s="9" t="n">
        <f aca="false">IF(AND(G277=0,H277=0),0,IF(G277=0,"New",(H277-G277)/G277))</f>
        <v>0.0120543583328595</v>
      </c>
    </row>
    <row r="278" customFormat="false" ht="15" hidden="false" customHeight="false" outlineLevel="0" collapsed="false">
      <c r="A278" s="7" t="s">
        <v>341</v>
      </c>
      <c r="B278" s="7" t="str">
        <f aca="false">IFERROR(INDEX('Source 2026'!$C:$C,MATCH($A278,'Source 2026'!$B:$B,0)),IFERROR(INDEX('Source 2025'!$C:$C,MATCH($A278,'Source 2025'!$B:$B,0)),""))</f>
        <v>טייפ כחול 20מ""מ</v>
      </c>
      <c r="C278" s="8" t="n">
        <f aca="false">SUMIFS('Source 2025'!$F:$F,'Source 2025'!$B:$B,$A278,'Source 2025'!$A:$A,"Quantity (units)")</f>
        <v>19</v>
      </c>
      <c r="D278" s="8" t="n">
        <f aca="false">SUMIFS('Source 2026'!$F:$F,'Source 2026'!$B:$B,$A278,'Source 2026'!$A:$A,"Quantity (units)")</f>
        <v>19</v>
      </c>
      <c r="E278" s="8" t="n">
        <f aca="false">D278-C278</f>
        <v>0</v>
      </c>
      <c r="F278" s="9" t="n">
        <f aca="false">IF(AND(C278=0,D278=0),0,IF(C278=0,"New",(D278-C278)/C278))</f>
        <v>0</v>
      </c>
      <c r="G278" s="10" t="n">
        <f aca="false">SUMIFS('Source 2025'!$F:$F,'Source 2025'!$B:$B,$A278,'Source 2025'!$A:$A,"Amount (NIS)")</f>
        <v>301.4</v>
      </c>
      <c r="H278" s="10" t="n">
        <f aca="false">SUMIFS('Source 2026'!$F:$F,'Source 2026'!$B:$B,$A278,'Source 2026'!$A:$A,"Amount (NIS)")</f>
        <v>319.4</v>
      </c>
      <c r="I278" s="10" t="n">
        <f aca="false">H278-G278</f>
        <v>18</v>
      </c>
      <c r="J278" s="9" t="n">
        <f aca="false">IF(AND(G278=0,H278=0),0,IF(G278=0,"New",(H278-G278)/G278))</f>
        <v>0.059721300597213</v>
      </c>
    </row>
    <row r="279" customFormat="false" ht="15" hidden="false" customHeight="false" outlineLevel="0" collapsed="false">
      <c r="A279" s="7" t="s">
        <v>104</v>
      </c>
      <c r="B279" s="7" t="str">
        <f aca="false">IFERROR(INDEX('Source 2026'!$C:$C,MATCH($A279,'Source 2026'!$B:$B,0)),IFERROR(INDEX('Source 2025'!$C:$C,MATCH($A279,'Source 2025'!$B:$B,0)),""))</f>
        <v>מיישר בוניון-האלוקס ולגוס</v>
      </c>
      <c r="C279" s="8" t="n">
        <f aca="false">SUMIFS('Source 2025'!$F:$F,'Source 2025'!$B:$B,$A279,'Source 2025'!$A:$A,"Quantity (units)")</f>
        <v>57</v>
      </c>
      <c r="D279" s="8" t="n">
        <f aca="false">SUMIFS('Source 2026'!$F:$F,'Source 2026'!$B:$B,$A279,'Source 2026'!$A:$A,"Quantity (units)")</f>
        <v>58</v>
      </c>
      <c r="E279" s="8" t="n">
        <f aca="false">D279-C279</f>
        <v>1</v>
      </c>
      <c r="F279" s="9" t="n">
        <f aca="false">IF(AND(C279=0,D279=0),0,IF(C279=0,"New",(D279-C279)/C279))</f>
        <v>0.0175438596491228</v>
      </c>
      <c r="G279" s="10" t="n">
        <f aca="false">SUMIFS('Source 2025'!$F:$F,'Source 2025'!$B:$B,$A279,'Source 2025'!$A:$A,"Amount (NIS)")</f>
        <v>2631.5</v>
      </c>
      <c r="H279" s="10" t="n">
        <f aca="false">SUMIFS('Source 2026'!$F:$F,'Source 2026'!$B:$B,$A279,'Source 2026'!$A:$A,"Amount (NIS)")</f>
        <v>2648.4</v>
      </c>
      <c r="I279" s="10" t="n">
        <f aca="false">H279-G279</f>
        <v>16.9000000000001</v>
      </c>
      <c r="J279" s="9" t="n">
        <f aca="false">IF(AND(G279=0,H279=0),0,IF(G279=0,"New",(H279-G279)/G279))</f>
        <v>0.00642219266578001</v>
      </c>
    </row>
    <row r="280" customFormat="false" ht="15" hidden="false" customHeight="false" outlineLevel="0" collapsed="false">
      <c r="A280" s="7" t="s">
        <v>342</v>
      </c>
      <c r="B280" s="7" t="str">
        <f aca="false">IFERROR(INDEX('Source 2026'!$C:$C,MATCH($A280,'Source 2026'!$B:$B,0)),IFERROR(INDEX('Source 2025'!$C:$C,MATCH($A280,'Source 2025'!$B:$B,0)),""))</f>
        <v>טייפ חבישה לספורט</v>
      </c>
      <c r="C280" s="8" t="n">
        <f aca="false">SUMIFS('Source 2025'!$F:$F,'Source 2025'!$B:$B,$A280,'Source 2025'!$A:$A,"Quantity (units)")</f>
        <v>41</v>
      </c>
      <c r="D280" s="8" t="n">
        <f aca="false">SUMIFS('Source 2026'!$F:$F,'Source 2026'!$B:$B,$A280,'Source 2026'!$A:$A,"Quantity (units)")</f>
        <v>35</v>
      </c>
      <c r="E280" s="8" t="n">
        <f aca="false">D280-C280</f>
        <v>-6</v>
      </c>
      <c r="F280" s="9" t="n">
        <f aca="false">IF(AND(C280=0,D280=0),0,IF(C280=0,"New",(D280-C280)/C280))</f>
        <v>-0.146341463414634</v>
      </c>
      <c r="G280" s="10" t="n">
        <f aca="false">SUMIFS('Source 2025'!$F:$F,'Source 2025'!$B:$B,$A280,'Source 2025'!$A:$A,"Amount (NIS)")</f>
        <v>613.6</v>
      </c>
      <c r="H280" s="10" t="n">
        <f aca="false">SUMIFS('Source 2026'!$F:$F,'Source 2026'!$B:$B,$A280,'Source 2026'!$A:$A,"Amount (NIS)")</f>
        <v>600.7</v>
      </c>
      <c r="I280" s="10" t="n">
        <f aca="false">H280-G280</f>
        <v>-12.9</v>
      </c>
      <c r="J280" s="9" t="n">
        <f aca="false">IF(AND(G280=0,H280=0),0,IF(G280=0,"New",(H280-G280)/G280))</f>
        <v>-0.0210234680573663</v>
      </c>
    </row>
    <row r="281" customFormat="false" ht="15" hidden="false" customHeight="false" outlineLevel="0" collapsed="false">
      <c r="A281" s="7" t="s">
        <v>343</v>
      </c>
      <c r="B281" s="7" t="str">
        <f aca="false">IFERROR(INDEX('Source 2026'!$C:$C,MATCH($A281,'Source 2026'!$B:$B,0)),IFERROR(INDEX('Source 2025'!$C:$C,MATCH($A281,'Source 2025'!$B:$B,0)),""))</f>
        <v>מאבן להסר.עור</v>
      </c>
      <c r="C281" s="8" t="n">
        <f aca="false">SUMIFS('Source 2025'!$F:$F,'Source 2025'!$B:$B,$A281,'Source 2025'!$A:$A,"Quantity (units)")</f>
        <v>-1</v>
      </c>
      <c r="D281" s="8" t="n">
        <f aca="false">SUMIFS('Source 2026'!$F:$F,'Source 2026'!$B:$B,$A281,'Source 2026'!$A:$A,"Quantity (units)")</f>
        <v>0</v>
      </c>
      <c r="E281" s="8" t="n">
        <f aca="false">D281-C281</f>
        <v>1</v>
      </c>
      <c r="F281" s="9" t="n">
        <f aca="false">IF(AND(C281=0,D281=0),0,IF(C281=0,"New",(D281-C281)/C281))</f>
        <v>-1</v>
      </c>
      <c r="G281" s="10" t="n">
        <f aca="false">SUMIFS('Source 2025'!$F:$F,'Source 2025'!$B:$B,$A281,'Source 2025'!$A:$A,"Amount (NIS)")</f>
        <v>-9</v>
      </c>
      <c r="H281" s="10" t="n">
        <f aca="false">SUMIFS('Source 2026'!$F:$F,'Source 2026'!$B:$B,$A281,'Source 2026'!$A:$A,"Amount (NIS)")</f>
        <v>0</v>
      </c>
      <c r="I281" s="10" t="n">
        <f aca="false">H281-G281</f>
        <v>9</v>
      </c>
      <c r="J281" s="9" t="n">
        <f aca="false">IF(AND(G281=0,H281=0),0,IF(G281=0,"New",(H281-G281)/G281))</f>
        <v>-1</v>
      </c>
    </row>
    <row r="282" customFormat="false" ht="15" hidden="false" customHeight="false" outlineLevel="0" collapsed="false">
      <c r="A282" s="7" t="s">
        <v>344</v>
      </c>
      <c r="B282" s="7" t="str">
        <f aca="false">IFERROR(INDEX('Source 2026'!$C:$C,MATCH($A282,'Source 2026'!$B:$B,0)),IFERROR(INDEX('Source 2025'!$C:$C,MATCH($A282,'Source 2025'!$B:$B,0)),""))</f>
        <v>רפידת ספורט 376 מידה</v>
      </c>
      <c r="C282" s="8" t="n">
        <f aca="false">SUMIFS('Source 2025'!$F:$F,'Source 2025'!$B:$B,$A282,'Source 2025'!$A:$A,"Quantity (units)")</f>
        <v>1</v>
      </c>
      <c r="D282" s="8" t="n">
        <f aca="false">SUMIFS('Source 2026'!$F:$F,'Source 2026'!$B:$B,$A282,'Source 2026'!$A:$A,"Quantity (units)")</f>
        <v>1</v>
      </c>
      <c r="E282" s="8" t="n">
        <f aca="false">D282-C282</f>
        <v>0</v>
      </c>
      <c r="F282" s="9" t="n">
        <f aca="false">IF(AND(C282=0,D282=0),0,IF(C282=0,"New",(D282-C282)/C282))</f>
        <v>0</v>
      </c>
      <c r="G282" s="10" t="n">
        <f aca="false">SUMIFS('Source 2025'!$F:$F,'Source 2025'!$B:$B,$A282,'Source 2025'!$A:$A,"Amount (NIS)")</f>
        <v>33</v>
      </c>
      <c r="H282" s="10" t="n">
        <f aca="false">SUMIFS('Source 2026'!$F:$F,'Source 2026'!$B:$B,$A282,'Source 2026'!$A:$A,"Amount (NIS)")</f>
        <v>35.1</v>
      </c>
      <c r="I282" s="10" t="n">
        <f aca="false">H282-G282</f>
        <v>2.1</v>
      </c>
      <c r="J282" s="9" t="n">
        <f aca="false">IF(AND(G282=0,H282=0),0,IF(G282=0,"New",(H282-G282)/G282))</f>
        <v>0.0636363636363637</v>
      </c>
    </row>
    <row r="283" customFormat="false" ht="15" hidden="false" customHeight="false" outlineLevel="0" collapsed="false">
      <c r="A283" s="7" t="s">
        <v>345</v>
      </c>
      <c r="B283" s="7" t="str">
        <f aca="false">IFERROR(INDEX('Source 2026'!$C:$C,MATCH($A283,'Source 2026'!$B:$B,0)),IFERROR(INDEX('Source 2025'!$C:$C,MATCH($A283,'Source 2025'!$B:$B,0)),""))</f>
        <v>M צוארון פלסטי מתכוון</v>
      </c>
      <c r="C283" s="8" t="n">
        <f aca="false">SUMIFS('Source 2025'!$F:$F,'Source 2025'!$B:$B,$A283,'Source 2025'!$A:$A,"Quantity (units)")</f>
        <v>1</v>
      </c>
      <c r="D283" s="8" t="n">
        <f aca="false">SUMIFS('Source 2026'!$F:$F,'Source 2026'!$B:$B,$A283,'Source 2026'!$A:$A,"Quantity (units)")</f>
        <v>1</v>
      </c>
      <c r="E283" s="8" t="n">
        <f aca="false">D283-C283</f>
        <v>0</v>
      </c>
      <c r="F283" s="9" t="n">
        <f aca="false">IF(AND(C283=0,D283=0),0,IF(C283=0,"New",(D283-C283)/C283))</f>
        <v>0</v>
      </c>
      <c r="G283" s="10" t="n">
        <f aca="false">SUMIFS('Source 2025'!$F:$F,'Source 2025'!$B:$B,$A283,'Source 2025'!$A:$A,"Amount (NIS)")</f>
        <v>66.5</v>
      </c>
      <c r="H283" s="10" t="n">
        <f aca="false">SUMIFS('Source 2026'!$F:$F,'Source 2026'!$B:$B,$A283,'Source 2026'!$A:$A,"Amount (NIS)")</f>
        <v>66.5</v>
      </c>
      <c r="I283" s="10" t="n">
        <f aca="false">H283-G283</f>
        <v>0</v>
      </c>
      <c r="J283" s="9" t="n">
        <f aca="false">IF(AND(G283=0,H283=0),0,IF(G283=0,"New",(H283-G283)/G283))</f>
        <v>0</v>
      </c>
    </row>
    <row r="285" customFormat="false" ht="15" hidden="false" customHeight="false" outlineLevel="0" collapsed="false">
      <c r="A285" s="11"/>
      <c r="B285" s="12" t="s">
        <v>257</v>
      </c>
      <c r="C285" s="13" t="n">
        <f aca="false">SUM(C6:C283)</f>
        <v>53153</v>
      </c>
      <c r="D285" s="13" t="n">
        <f aca="false">SUM(D6:D283)</f>
        <v>32995</v>
      </c>
      <c r="E285" s="13" t="n">
        <f aca="false">SUM(E6:E283)</f>
        <v>-20158</v>
      </c>
      <c r="F285" s="14" t="n">
        <f aca="false">IF(C285=0,"N/A",E285/C285)</f>
        <v>-0.379244821552876</v>
      </c>
      <c r="G285" s="15" t="n">
        <f aca="false">SUM(G6:G283)</f>
        <v>1940731.5</v>
      </c>
      <c r="H285" s="15" t="n">
        <f aca="false">SUM(H6:H283)</f>
        <v>1283059.8</v>
      </c>
      <c r="I285" s="15" t="n">
        <f aca="false">SUM(I6:I283)</f>
        <v>-657671.7</v>
      </c>
      <c r="J285" s="14" t="n">
        <f aca="false">IF(G285=0,"N/A",I285/G285)</f>
        <v>-0.338878252864964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346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347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16" t="s">
        <v>262</v>
      </c>
    </row>
    <row r="7" customFormat="false" ht="15" hidden="false" customHeight="false" outlineLevel="0" collapsed="false">
      <c r="A7" s="11"/>
      <c r="B7" s="12" t="s">
        <v>257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348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349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46</v>
      </c>
      <c r="B6" s="7" t="str">
        <f aca="false">IFERROR(INDEX('Source 2026'!$C:$C,MATCH($A6,'Source 2026'!$B:$B,0)),IFERROR(INDEX('Source 2025'!$C:$C,MATCH($A6,'Source 2025'!$B:$B,0)),""))</f>
        <v>35-38 גרבי טיסה מידה</v>
      </c>
      <c r="C6" s="8" t="n">
        <f aca="false">SUMIFS('Source 2025'!$H:$H,'Source 2025'!$B:$B,$A6,'Source 2025'!$A:$A,"Quantity (units)")</f>
        <v>14</v>
      </c>
      <c r="D6" s="8" t="n">
        <f aca="false">SUMIFS('Source 2026'!$H:$H,'Source 2026'!$B:$B,$A6,'Source 2026'!$A:$A,"Quantity (units)")</f>
        <v>0</v>
      </c>
      <c r="E6" s="8" t="n">
        <f aca="false">D6-C6</f>
        <v>-14</v>
      </c>
      <c r="F6" s="9" t="n">
        <f aca="false">IF(AND(C6=0,D6=0),0,IF(C6=0,"New",(D6-C6)/C6))</f>
        <v>-1</v>
      </c>
      <c r="G6" s="10" t="n">
        <f aca="false">SUMIFS('Source 2025'!$H:$H,'Source 2025'!$B:$B,$A6,'Source 2025'!$A:$A,"Amount (NIS)")</f>
        <v>745.3</v>
      </c>
      <c r="H6" s="10" t="n">
        <f aca="false">SUMIFS('Source 2026'!$H:$H,'Source 2026'!$B:$B,$A6,'Source 2026'!$A:$A,"Amount (NIS)")</f>
        <v>0</v>
      </c>
      <c r="I6" s="10" t="n">
        <f aca="false">H6-G6</f>
        <v>-745.3</v>
      </c>
      <c r="J6" s="9" t="n">
        <f aca="false">IF(AND(G6=0,H6=0),0,IF(G6=0,"New",(H6-G6)/G6))</f>
        <v>-1</v>
      </c>
    </row>
    <row r="7" customFormat="false" ht="15" hidden="false" customHeight="false" outlineLevel="0" collapsed="false">
      <c r="A7" s="7" t="s">
        <v>277</v>
      </c>
      <c r="B7" s="7" t="str">
        <f aca="false">IFERROR(INDEX('Source 2026'!$C:$C,MATCH($A7,'Source 2026'!$B:$B,0)),IFERROR(INDEX('Source 2025'!$C:$C,MATCH($A7,'Source 2025'!$B:$B,0)),""))</f>
        <v>רפידת אנטי ריח -זוג</v>
      </c>
      <c r="C7" s="8" t="n">
        <f aca="false">SUMIFS('Source 2025'!$H:$H,'Source 2025'!$B:$B,$A7,'Source 2025'!$A:$A,"Quantity (units)")</f>
        <v>70</v>
      </c>
      <c r="D7" s="8" t="n">
        <f aca="false">SUMIFS('Source 2026'!$H:$H,'Source 2026'!$B:$B,$A7,'Source 2026'!$A:$A,"Quantity (units)")</f>
        <v>20</v>
      </c>
      <c r="E7" s="8" t="n">
        <f aca="false">D7-C7</f>
        <v>-50</v>
      </c>
      <c r="F7" s="9" t="n">
        <f aca="false">IF(AND(C7=0,D7=0),0,IF(C7=0,"New",(D7-C7)/C7))</f>
        <v>-0.714285714285714</v>
      </c>
      <c r="G7" s="10" t="n">
        <f aca="false">SUMIFS('Source 2025'!$H:$H,'Source 2025'!$B:$B,$A7,'Source 2025'!$A:$A,"Amount (NIS)")</f>
        <v>935.5</v>
      </c>
      <c r="H7" s="10" t="n">
        <f aca="false">SUMIFS('Source 2026'!$H:$H,'Source 2026'!$B:$B,$A7,'Source 2026'!$A:$A,"Amount (NIS)")</f>
        <v>267.3</v>
      </c>
      <c r="I7" s="10" t="n">
        <f aca="false">H7-G7</f>
        <v>-668.2</v>
      </c>
      <c r="J7" s="9" t="n">
        <f aca="false">IF(AND(G7=0,H7=0),0,IF(G7=0,"New",(H7-G7)/G7))</f>
        <v>-0.714270443613041</v>
      </c>
    </row>
    <row r="8" customFormat="false" ht="15" hidden="false" customHeight="false" outlineLevel="0" collapsed="false">
      <c r="A8" s="7" t="s">
        <v>91</v>
      </c>
      <c r="B8" s="7" t="str">
        <f aca="false">IFERROR(INDEX('Source 2026'!$C:$C,MATCH($A8,'Source 2026'!$B:$B,0)),IFERROR(INDEX('Source 2025'!$C:$C,MATCH($A8,'Source 2025'!$B:$B,0)),""))</f>
        <v>בליסטר פלסטר</v>
      </c>
      <c r="C8" s="8" t="n">
        <f aca="false">SUMIFS('Source 2025'!$H:$H,'Source 2025'!$B:$B,$A8,'Source 2025'!$A:$A,"Quantity (units)")</f>
        <v>42</v>
      </c>
      <c r="D8" s="8" t="n">
        <f aca="false">SUMIFS('Source 2026'!$H:$H,'Source 2026'!$B:$B,$A8,'Source 2026'!$A:$A,"Quantity (units)")</f>
        <v>3</v>
      </c>
      <c r="E8" s="8" t="n">
        <f aca="false">D8-C8</f>
        <v>-39</v>
      </c>
      <c r="F8" s="9" t="n">
        <f aca="false">IF(AND(C8=0,D8=0),0,IF(C8=0,"New",(D8-C8)/C8))</f>
        <v>-0.928571428571429</v>
      </c>
      <c r="G8" s="10" t="n">
        <f aca="false">SUMIFS('Source 2025'!$H:$H,'Source 2025'!$B:$B,$A8,'Source 2025'!$A:$A,"Amount (NIS)")</f>
        <v>708.9</v>
      </c>
      <c r="H8" s="10" t="n">
        <f aca="false">SUMIFS('Source 2026'!$H:$H,'Source 2026'!$B:$B,$A8,'Source 2026'!$A:$A,"Amount (NIS)")</f>
        <v>51.1</v>
      </c>
      <c r="I8" s="10" t="n">
        <f aca="false">H8-G8</f>
        <v>-657.8</v>
      </c>
      <c r="J8" s="9" t="n">
        <f aca="false">IF(AND(G8=0,H8=0),0,IF(G8=0,"New",(H8-G8)/G8))</f>
        <v>-0.927916490337142</v>
      </c>
    </row>
    <row r="9" customFormat="false" ht="15" hidden="false" customHeight="false" outlineLevel="0" collapsed="false">
      <c r="A9" s="7" t="s">
        <v>47</v>
      </c>
      <c r="B9" s="7" t="str">
        <f aca="false">IFERROR(INDEX('Source 2026'!$C:$C,MATCH($A9,'Source 2026'!$B:$B,0)),IFERROR(INDEX('Source 2025'!$C:$C,MATCH($A9,'Source 2025'!$B:$B,0)),""))</f>
        <v>M מגן קרסול עקב סגור</v>
      </c>
      <c r="C9" s="8" t="n">
        <f aca="false">SUMIFS('Source 2025'!$H:$H,'Source 2025'!$B:$B,$A9,'Source 2025'!$A:$A,"Quantity (units)")</f>
        <v>13</v>
      </c>
      <c r="D9" s="8" t="n">
        <f aca="false">SUMIFS('Source 2026'!$H:$H,'Source 2026'!$B:$B,$A9,'Source 2026'!$A:$A,"Quantity (units)")</f>
        <v>0</v>
      </c>
      <c r="E9" s="8" t="n">
        <f aca="false">D9-C9</f>
        <v>-13</v>
      </c>
      <c r="F9" s="9" t="n">
        <f aca="false">IF(AND(C9=0,D9=0),0,IF(C9=0,"New",(D9-C9)/C9))</f>
        <v>-1</v>
      </c>
      <c r="G9" s="10" t="n">
        <f aca="false">SUMIFS('Source 2025'!$H:$H,'Source 2025'!$B:$B,$A9,'Source 2025'!$A:$A,"Amount (NIS)")</f>
        <v>527.5</v>
      </c>
      <c r="H9" s="10" t="n">
        <f aca="false">SUMIFS('Source 2026'!$H:$H,'Source 2026'!$B:$B,$A9,'Source 2026'!$A:$A,"Amount (NIS)")</f>
        <v>0</v>
      </c>
      <c r="I9" s="10" t="n">
        <f aca="false">H9-G9</f>
        <v>-527.5</v>
      </c>
      <c r="J9" s="9" t="n">
        <f aca="false">IF(AND(G9=0,H9=0),0,IF(G9=0,"New",(H9-G9)/G9))</f>
        <v>-1</v>
      </c>
    </row>
    <row r="10" customFormat="false" ht="15" hidden="false" customHeight="false" outlineLevel="0" collapsed="false">
      <c r="A10" s="7" t="s">
        <v>120</v>
      </c>
      <c r="B10" s="7" t="str">
        <f aca="false">IFERROR(INDEX('Source 2026'!$C:$C,MATCH($A10,'Source 2026'!$B:$B,0)),IFERROR(INDEX('Source 2025'!$C:$C,MATCH($A10,'Source 2025'!$B:$B,0)),""))</f>
        <v>גרב.כסף לסכרתים אפור35-38</v>
      </c>
      <c r="C10" s="8" t="n">
        <f aca="false">SUMIFS('Source 2025'!$H:$H,'Source 2025'!$B:$B,$A10,'Source 2025'!$A:$A,"Quantity (units)")</f>
        <v>22</v>
      </c>
      <c r="D10" s="8" t="n">
        <f aca="false">SUMIFS('Source 2026'!$H:$H,'Source 2026'!$B:$B,$A10,'Source 2026'!$A:$A,"Quantity (units)")</f>
        <v>0</v>
      </c>
      <c r="E10" s="8" t="n">
        <f aca="false">D10-C10</f>
        <v>-22</v>
      </c>
      <c r="F10" s="9" t="n">
        <f aca="false">IF(AND(C10=0,D10=0),0,IF(C10=0,"New",(D10-C10)/C10))</f>
        <v>-1</v>
      </c>
      <c r="G10" s="10" t="n">
        <f aca="false">SUMIFS('Source 2025'!$H:$H,'Source 2025'!$B:$B,$A10,'Source 2025'!$A:$A,"Amount (NIS)")</f>
        <v>506.8</v>
      </c>
      <c r="H10" s="10" t="n">
        <f aca="false">SUMIFS('Source 2026'!$H:$H,'Source 2026'!$B:$B,$A10,'Source 2026'!$A:$A,"Amount (NIS)")</f>
        <v>0</v>
      </c>
      <c r="I10" s="10" t="n">
        <f aca="false">H10-G10</f>
        <v>-506.8</v>
      </c>
      <c r="J10" s="9" t="n">
        <f aca="false">IF(AND(G10=0,H10=0),0,IF(G10=0,"New",(H10-G10)/G10))</f>
        <v>-1</v>
      </c>
    </row>
    <row r="11" customFormat="false" ht="15" hidden="false" customHeight="false" outlineLevel="0" collapsed="false">
      <c r="A11" s="7" t="s">
        <v>177</v>
      </c>
      <c r="B11" s="7" t="str">
        <f aca="false">IFERROR(INDEX('Source 2026'!$C:$C,MATCH($A11,'Source 2026'!$B:$B,0)),IFERROR(INDEX('Source 2025'!$C:$C,MATCH($A11,'Source 2025'!$B:$B,0)),""))</f>
        <v>35-38 גרב.כסף לסכרתים לבן</v>
      </c>
      <c r="C11" s="8" t="n">
        <f aca="false">SUMIFS('Source 2025'!$H:$H,'Source 2025'!$B:$B,$A11,'Source 2025'!$A:$A,"Quantity (units)")</f>
        <v>30</v>
      </c>
      <c r="D11" s="8" t="n">
        <f aca="false">SUMIFS('Source 2026'!$H:$H,'Source 2026'!$B:$B,$A11,'Source 2026'!$A:$A,"Quantity (units)")</f>
        <v>11</v>
      </c>
      <c r="E11" s="8" t="n">
        <f aca="false">D11-C11</f>
        <v>-19</v>
      </c>
      <c r="F11" s="9" t="n">
        <f aca="false">IF(AND(C11=0,D11=0),0,IF(C11=0,"New",(D11-C11)/C11))</f>
        <v>-0.633333333333333</v>
      </c>
      <c r="G11" s="10" t="n">
        <f aca="false">SUMIFS('Source 2025'!$H:$H,'Source 2025'!$B:$B,$A11,'Source 2025'!$A:$A,"Amount (NIS)")</f>
        <v>711.7</v>
      </c>
      <c r="H11" s="10" t="n">
        <f aca="false">SUMIFS('Source 2026'!$H:$H,'Source 2026'!$B:$B,$A11,'Source 2026'!$A:$A,"Amount (NIS)")</f>
        <v>267.7</v>
      </c>
      <c r="I11" s="10" t="n">
        <f aca="false">H11-G11</f>
        <v>-444</v>
      </c>
      <c r="J11" s="9" t="n">
        <f aca="false">IF(AND(G11=0,H11=0),0,IF(G11=0,"New",(H11-G11)/G11))</f>
        <v>-0.623858367289588</v>
      </c>
    </row>
    <row r="12" customFormat="false" ht="15" hidden="false" customHeight="false" outlineLevel="0" collapsed="false">
      <c r="A12" s="7" t="s">
        <v>269</v>
      </c>
      <c r="B12" s="7" t="str">
        <f aca="false">IFERROR(INDEX('Source 2026'!$C:$C,MATCH($A12,'Source 2026'!$B:$B,0)),IFERROR(INDEX('Source 2025'!$C:$C,MATCH($A12,'Source 2025'!$B:$B,0)),""))</f>
        <v>שרוול מסיליקון לאצבע</v>
      </c>
      <c r="C12" s="8" t="n">
        <f aca="false">SUMIFS('Source 2025'!$H:$H,'Source 2025'!$B:$B,$A12,'Source 2025'!$A:$A,"Quantity (units)")</f>
        <v>25</v>
      </c>
      <c r="D12" s="8" t="n">
        <f aca="false">SUMIFS('Source 2026'!$H:$H,'Source 2026'!$B:$B,$A12,'Source 2026'!$A:$A,"Quantity (units)")</f>
        <v>0</v>
      </c>
      <c r="E12" s="8" t="n">
        <f aca="false">D12-C12</f>
        <v>-25</v>
      </c>
      <c r="F12" s="9" t="n">
        <f aca="false">IF(AND(C12=0,D12=0),0,IF(C12=0,"New",(D12-C12)/C12))</f>
        <v>-1</v>
      </c>
      <c r="G12" s="10" t="n">
        <f aca="false">SUMIFS('Source 2025'!$H:$H,'Source 2025'!$B:$B,$A12,'Source 2025'!$A:$A,"Amount (NIS)")</f>
        <v>413.3</v>
      </c>
      <c r="H12" s="10" t="n">
        <f aca="false">SUMIFS('Source 2026'!$H:$H,'Source 2026'!$B:$B,$A12,'Source 2026'!$A:$A,"Amount (NIS)")</f>
        <v>0</v>
      </c>
      <c r="I12" s="10" t="n">
        <f aca="false">H12-G12</f>
        <v>-413.3</v>
      </c>
      <c r="J12" s="9" t="n">
        <f aca="false">IF(AND(G12=0,H12=0),0,IF(G12=0,"New",(H12-G12)/G12))</f>
        <v>-1</v>
      </c>
    </row>
    <row r="13" customFormat="false" ht="15" hidden="false" customHeight="false" outlineLevel="0" collapsed="false">
      <c r="A13" s="7" t="s">
        <v>51</v>
      </c>
      <c r="B13" s="7" t="str">
        <f aca="false">IFERROR(INDEX('Source 2026'!$C:$C,MATCH($A13,'Source 2026'!$B:$B,0)),IFERROR(INDEX('Source 2025'!$C:$C,MATCH($A13,'Source 2025'!$B:$B,0)),""))</f>
        <v>Sמגן ברך ארוך לבן</v>
      </c>
      <c r="C13" s="8" t="n">
        <f aca="false">SUMIFS('Source 2025'!$H:$H,'Source 2025'!$B:$B,$A13,'Source 2025'!$A:$A,"Quantity (units)")</f>
        <v>22</v>
      </c>
      <c r="D13" s="8" t="n">
        <f aca="false">SUMIFS('Source 2026'!$H:$H,'Source 2026'!$B:$B,$A13,'Source 2026'!$A:$A,"Quantity (units)")</f>
        <v>10</v>
      </c>
      <c r="E13" s="8" t="n">
        <f aca="false">D13-C13</f>
        <v>-12</v>
      </c>
      <c r="F13" s="9" t="n">
        <f aca="false">IF(AND(C13=0,D13=0),0,IF(C13=0,"New",(D13-C13)/C13))</f>
        <v>-0.545454545454545</v>
      </c>
      <c r="G13" s="10" t="n">
        <f aca="false">SUMIFS('Source 2025'!$H:$H,'Source 2025'!$B:$B,$A13,'Source 2025'!$A:$A,"Amount (NIS)")</f>
        <v>712.8</v>
      </c>
      <c r="H13" s="10" t="n">
        <f aca="false">SUMIFS('Source 2026'!$H:$H,'Source 2026'!$B:$B,$A13,'Source 2026'!$A:$A,"Amount (NIS)")</f>
        <v>324.6</v>
      </c>
      <c r="I13" s="10" t="n">
        <f aca="false">H13-G13</f>
        <v>-388.2</v>
      </c>
      <c r="J13" s="9" t="n">
        <f aca="false">IF(AND(G13=0,H13=0),0,IF(G13=0,"New",(H13-G13)/G13))</f>
        <v>-0.544612794612795</v>
      </c>
    </row>
    <row r="14" customFormat="false" ht="15" hidden="false" customHeight="false" outlineLevel="0" collapsed="false">
      <c r="A14" s="7" t="s">
        <v>109</v>
      </c>
      <c r="B14" s="7" t="str">
        <f aca="false">IFERROR(INDEX('Source 2026'!$C:$C,MATCH($A14,'Source 2026'!$B:$B,0)),IFERROR(INDEX('Source 2025'!$C:$C,MATCH($A14,'Source 2025'!$B:$B,0)),""))</f>
        <v>גרב.כסף לסכרתים שחור35-38</v>
      </c>
      <c r="C14" s="8" t="n">
        <f aca="false">SUMIFS('Source 2025'!$H:$H,'Source 2025'!$B:$B,$A14,'Source 2025'!$A:$A,"Quantity (units)")</f>
        <v>63</v>
      </c>
      <c r="D14" s="8" t="n">
        <f aca="false">SUMIFS('Source 2026'!$H:$H,'Source 2026'!$B:$B,$A14,'Source 2026'!$A:$A,"Quantity (units)")</f>
        <v>49</v>
      </c>
      <c r="E14" s="8" t="n">
        <f aca="false">D14-C14</f>
        <v>-14</v>
      </c>
      <c r="F14" s="9" t="n">
        <f aca="false">IF(AND(C14=0,D14=0),0,IF(C14=0,"New",(D14-C14)/C14))</f>
        <v>-0.222222222222222</v>
      </c>
      <c r="G14" s="10" t="n">
        <f aca="false">SUMIFS('Source 2025'!$H:$H,'Source 2025'!$B:$B,$A14,'Source 2025'!$A:$A,"Amount (NIS)")</f>
        <v>1545.6</v>
      </c>
      <c r="H14" s="10" t="n">
        <f aca="false">SUMIFS('Source 2026'!$H:$H,'Source 2026'!$B:$B,$A14,'Source 2026'!$A:$A,"Amount (NIS)")</f>
        <v>1192.4</v>
      </c>
      <c r="I14" s="10" t="n">
        <f aca="false">H14-G14</f>
        <v>-353.2</v>
      </c>
      <c r="J14" s="9" t="n">
        <f aca="false">IF(AND(G14=0,H14=0),0,IF(G14=0,"New",(H14-G14)/G14))</f>
        <v>-0.22851966873706</v>
      </c>
    </row>
    <row r="15" customFormat="false" ht="15" hidden="false" customHeight="false" outlineLevel="0" collapsed="false">
      <c r="A15" s="7" t="s">
        <v>185</v>
      </c>
      <c r="B15" s="7" t="str">
        <f aca="false">IFERROR(INDEX('Source 2026'!$C:$C,MATCH($A15,'Source 2026'!$B:$B,0)),IFERROR(INDEX('Source 2025'!$C:$C,MATCH($A15,'Source 2025'!$B:$B,0)),""))</f>
        <v>S תומך זרוע וכתף</v>
      </c>
      <c r="C15" s="8" t="n">
        <f aca="false">SUMIFS('Source 2025'!$H:$H,'Source 2025'!$B:$B,$A15,'Source 2025'!$A:$A,"Quantity (units)")</f>
        <v>2</v>
      </c>
      <c r="D15" s="8" t="n">
        <f aca="false">SUMIFS('Source 2026'!$H:$H,'Source 2026'!$B:$B,$A15,'Source 2026'!$A:$A,"Quantity (units)")</f>
        <v>0</v>
      </c>
      <c r="E15" s="8" t="n">
        <f aca="false">D15-C15</f>
        <v>-2</v>
      </c>
      <c r="F15" s="9" t="n">
        <f aca="false">IF(AND(C15=0,D15=0),0,IF(C15=0,"New",(D15-C15)/C15))</f>
        <v>-1</v>
      </c>
      <c r="G15" s="10" t="n">
        <f aca="false">SUMIFS('Source 2025'!$H:$H,'Source 2025'!$B:$B,$A15,'Source 2025'!$A:$A,"Amount (NIS)")</f>
        <v>328.1</v>
      </c>
      <c r="H15" s="10" t="n">
        <f aca="false">SUMIFS('Source 2026'!$H:$H,'Source 2026'!$B:$B,$A15,'Source 2026'!$A:$A,"Amount (NIS)")</f>
        <v>0</v>
      </c>
      <c r="I15" s="10" t="n">
        <f aca="false">H15-G15</f>
        <v>-328.1</v>
      </c>
      <c r="J15" s="9" t="n">
        <f aca="false">IF(AND(G15=0,H15=0),0,IF(G15=0,"New",(H15-G15)/G15))</f>
        <v>-1</v>
      </c>
    </row>
    <row r="16" customFormat="false" ht="15" hidden="false" customHeight="false" outlineLevel="0" collapsed="false">
      <c r="A16" s="7" t="s">
        <v>265</v>
      </c>
      <c r="B16" s="7" t="str">
        <f aca="false">IFERROR(INDEX('Source 2026'!$C:$C,MATCH($A16,'Source 2026'!$B:$B,0)),IFERROR(INDEX('Source 2025'!$C:$C,MATCH($A16,'Source 2025'!$B:$B,0)),""))</f>
        <v>מדרס ג'ל לגבר</v>
      </c>
      <c r="C16" s="8" t="n">
        <f aca="false">SUMIFS('Source 2025'!$H:$H,'Source 2025'!$B:$B,$A16,'Source 2025'!$A:$A,"Quantity (units)")</f>
        <v>5</v>
      </c>
      <c r="D16" s="8" t="n">
        <f aca="false">SUMIFS('Source 2026'!$H:$H,'Source 2026'!$B:$B,$A16,'Source 2026'!$A:$A,"Quantity (units)")</f>
        <v>0</v>
      </c>
      <c r="E16" s="8" t="n">
        <f aca="false">D16-C16</f>
        <v>-5</v>
      </c>
      <c r="F16" s="9" t="n">
        <f aca="false">IF(AND(C16=0,D16=0),0,IF(C16=0,"New",(D16-C16)/C16))</f>
        <v>-1</v>
      </c>
      <c r="G16" s="10" t="n">
        <f aca="false">SUMIFS('Source 2025'!$H:$H,'Source 2025'!$B:$B,$A16,'Source 2025'!$A:$A,"Amount (NIS)")</f>
        <v>307.6</v>
      </c>
      <c r="H16" s="10" t="n">
        <f aca="false">SUMIFS('Source 2026'!$H:$H,'Source 2026'!$B:$B,$A16,'Source 2026'!$A:$A,"Amount (NIS)")</f>
        <v>0</v>
      </c>
      <c r="I16" s="10" t="n">
        <f aca="false">H16-G16</f>
        <v>-307.6</v>
      </c>
      <c r="J16" s="9" t="n">
        <f aca="false">IF(AND(G16=0,H16=0),0,IF(G16=0,"New",(H16-G16)/G16))</f>
        <v>-1</v>
      </c>
    </row>
    <row r="17" customFormat="false" ht="15" hidden="false" customHeight="false" outlineLevel="0" collapsed="false">
      <c r="A17" s="7" t="s">
        <v>79</v>
      </c>
      <c r="B17" s="7" t="str">
        <f aca="false">IFERROR(INDEX('Source 2026'!$C:$C,MATCH($A17,'Source 2026'!$B:$B,0)),IFERROR(INDEX('Source 2025'!$C:$C,MATCH($A17,'Source 2025'!$B:$B,0)),""))</f>
        <v>S ""חגורת גב ""לומבו</v>
      </c>
      <c r="C17" s="8" t="n">
        <f aca="false">SUMIFS('Source 2025'!$H:$H,'Source 2025'!$B:$B,$A17,'Source 2025'!$A:$A,"Quantity (units)")</f>
        <v>1</v>
      </c>
      <c r="D17" s="8" t="n">
        <f aca="false">SUMIFS('Source 2026'!$H:$H,'Source 2026'!$B:$B,$A17,'Source 2026'!$A:$A,"Quantity (units)")</f>
        <v>3</v>
      </c>
      <c r="E17" s="8" t="n">
        <f aca="false">D17-C17</f>
        <v>2</v>
      </c>
      <c r="F17" s="9" t="n">
        <f aca="false">IF(AND(C17=0,D17=0),0,IF(C17=0,"New",(D17-C17)/C17))</f>
        <v>2</v>
      </c>
      <c r="G17" s="10" t="n">
        <f aca="false">SUMIFS('Source 2025'!$H:$H,'Source 2025'!$B:$B,$A17,'Source 2025'!$A:$A,"Amount (NIS)")</f>
        <v>134</v>
      </c>
      <c r="H17" s="10" t="n">
        <f aca="false">SUMIFS('Source 2026'!$H:$H,'Source 2026'!$B:$B,$A17,'Source 2026'!$A:$A,"Amount (NIS)")</f>
        <v>402</v>
      </c>
      <c r="I17" s="10" t="n">
        <f aca="false">H17-G17</f>
        <v>268</v>
      </c>
      <c r="J17" s="9" t="n">
        <f aca="false">IF(AND(G17=0,H17=0),0,IF(G17=0,"New",(H17-G17)/G17))</f>
        <v>2</v>
      </c>
    </row>
    <row r="18" customFormat="false" ht="15" hidden="false" customHeight="false" outlineLevel="0" collapsed="false">
      <c r="A18" s="7" t="s">
        <v>292</v>
      </c>
      <c r="B18" s="7" t="str">
        <f aca="false">IFERROR(INDEX('Source 2026'!$C:$C,MATCH($A18,'Source 2026'!$B:$B,0)),IFERROR(INDEX('Source 2025'!$C:$C,MATCH($A18,'Source 2025'!$B:$B,0)),""))</f>
        <v>גרבי קיץ אנטי בקטריא39-42</v>
      </c>
      <c r="C18" s="8" t="n">
        <f aca="false">SUMIFS('Source 2025'!$H:$H,'Source 2025'!$B:$B,$A18,'Source 2025'!$A:$A,"Quantity (units)")</f>
        <v>0</v>
      </c>
      <c r="D18" s="8" t="n">
        <f aca="false">SUMIFS('Source 2026'!$H:$H,'Source 2026'!$B:$B,$A18,'Source 2026'!$A:$A,"Quantity (units)")</f>
        <v>10</v>
      </c>
      <c r="E18" s="8" t="n">
        <f aca="false">D18-C18</f>
        <v>10</v>
      </c>
      <c r="F18" s="9" t="str">
        <f aca="false">IF(AND(C18=0,D18=0),0,IF(C18=0,"New",(D18-C18)/C18))</f>
        <v>New</v>
      </c>
      <c r="G18" s="10" t="n">
        <f aca="false">SUMIFS('Source 2025'!$H:$H,'Source 2025'!$B:$B,$A18,'Source 2025'!$A:$A,"Amount (NIS)")</f>
        <v>0</v>
      </c>
      <c r="H18" s="10" t="n">
        <f aca="false">SUMIFS('Source 2026'!$H:$H,'Source 2026'!$B:$B,$A18,'Source 2026'!$A:$A,"Amount (NIS)")</f>
        <v>263.6</v>
      </c>
      <c r="I18" s="10" t="n">
        <f aca="false">H18-G18</f>
        <v>263.6</v>
      </c>
      <c r="J18" s="9" t="str">
        <f aca="false">IF(AND(G18=0,H18=0),0,IF(G18=0,"New",(H18-G18)/G18))</f>
        <v>New</v>
      </c>
    </row>
    <row r="19" customFormat="false" ht="15" hidden="false" customHeight="false" outlineLevel="0" collapsed="false">
      <c r="A19" s="7" t="s">
        <v>132</v>
      </c>
      <c r="B19" s="7" t="str">
        <f aca="false">IFERROR(INDEX('Source 2026'!$C:$C,MATCH($A19,'Source 2026'!$B:$B,0)),IFERROR(INDEX('Source 2025'!$C:$C,MATCH($A19,'Source 2025'!$B:$B,0)),""))</f>
        <v>L סד לילה שחור לבוהן שמאל</v>
      </c>
      <c r="C19" s="8" t="n">
        <f aca="false">SUMIFS('Source 2025'!$H:$H,'Source 2025'!$B:$B,$A19,'Source 2025'!$A:$A,"Quantity (units)")</f>
        <v>4</v>
      </c>
      <c r="D19" s="8" t="n">
        <f aca="false">SUMIFS('Source 2026'!$H:$H,'Source 2026'!$B:$B,$A19,'Source 2026'!$A:$A,"Quantity (units)")</f>
        <v>0</v>
      </c>
      <c r="E19" s="8" t="n">
        <f aca="false">D19-C19</f>
        <v>-4</v>
      </c>
      <c r="F19" s="9" t="n">
        <f aca="false">IF(AND(C19=0,D19=0),0,IF(C19=0,"New",(D19-C19)/C19))</f>
        <v>-1</v>
      </c>
      <c r="G19" s="10" t="n">
        <f aca="false">SUMIFS('Source 2025'!$H:$H,'Source 2025'!$B:$B,$A19,'Source 2025'!$A:$A,"Amount (NIS)")</f>
        <v>254.7</v>
      </c>
      <c r="H19" s="10" t="n">
        <f aca="false">SUMIFS('Source 2026'!$H:$H,'Source 2026'!$B:$B,$A19,'Source 2026'!$A:$A,"Amount (NIS)")</f>
        <v>0</v>
      </c>
      <c r="I19" s="10" t="n">
        <f aca="false">H19-G19</f>
        <v>-254.7</v>
      </c>
      <c r="J19" s="9" t="n">
        <f aca="false">IF(AND(G19=0,H19=0),0,IF(G19=0,"New",(H19-G19)/G19))</f>
        <v>-1</v>
      </c>
    </row>
    <row r="20" customFormat="false" ht="15" hidden="false" customHeight="false" outlineLevel="0" collapsed="false">
      <c r="A20" s="7" t="s">
        <v>184</v>
      </c>
      <c r="B20" s="7" t="str">
        <f aca="false">IFERROR(INDEX('Source 2026'!$C:$C,MATCH($A20,'Source 2026'!$B:$B,0)),IFERROR(INDEX('Source 2025'!$C:$C,MATCH($A20,'Source 2025'!$B:$B,0)),""))</f>
        <v>37-38 מדרסי סיליק.לח.סכרת</v>
      </c>
      <c r="C20" s="8" t="n">
        <f aca="false">SUMIFS('Source 2025'!$H:$H,'Source 2025'!$B:$B,$A20,'Source 2025'!$A:$A,"Quantity (units)")</f>
        <v>2</v>
      </c>
      <c r="D20" s="8" t="n">
        <f aca="false">SUMIFS('Source 2026'!$H:$H,'Source 2026'!$B:$B,$A20,'Source 2026'!$A:$A,"Quantity (units)")</f>
        <v>0</v>
      </c>
      <c r="E20" s="8" t="n">
        <f aca="false">D20-C20</f>
        <v>-2</v>
      </c>
      <c r="F20" s="9" t="n">
        <f aca="false">IF(AND(C20=0,D20=0),0,IF(C20=0,"New",(D20-C20)/C20))</f>
        <v>-1</v>
      </c>
      <c r="G20" s="10" t="n">
        <f aca="false">SUMIFS('Source 2025'!$H:$H,'Source 2025'!$B:$B,$A20,'Source 2025'!$A:$A,"Amount (NIS)")</f>
        <v>205.3</v>
      </c>
      <c r="H20" s="10" t="n">
        <f aca="false">SUMIFS('Source 2026'!$H:$H,'Source 2026'!$B:$B,$A20,'Source 2026'!$A:$A,"Amount (NIS)")</f>
        <v>0</v>
      </c>
      <c r="I20" s="10" t="n">
        <f aca="false">H20-G20</f>
        <v>-205.3</v>
      </c>
      <c r="J20" s="9" t="n">
        <f aca="false">IF(AND(G20=0,H20=0),0,IF(G20=0,"New",(H20-G20)/G20))</f>
        <v>-1</v>
      </c>
    </row>
    <row r="21" customFormat="false" ht="15" hidden="false" customHeight="false" outlineLevel="0" collapsed="false">
      <c r="A21" s="7" t="s">
        <v>125</v>
      </c>
      <c r="B21" s="7" t="str">
        <f aca="false">IFERROR(INDEX('Source 2026'!$C:$C,MATCH($A21,'Source 2026'!$B:$B,0)),IFERROR(INDEX('Source 2025'!$C:$C,MATCH($A21,'Source 2025'!$B:$B,0)),""))</f>
        <v>S מגן ירך</v>
      </c>
      <c r="C21" s="8" t="n">
        <f aca="false">SUMIFS('Source 2025'!$H:$H,'Source 2025'!$B:$B,$A21,'Source 2025'!$A:$A,"Quantity (units)")</f>
        <v>6</v>
      </c>
      <c r="D21" s="8" t="n">
        <f aca="false">SUMIFS('Source 2026'!$H:$H,'Source 2026'!$B:$B,$A21,'Source 2026'!$A:$A,"Quantity (units)")</f>
        <v>0</v>
      </c>
      <c r="E21" s="8" t="n">
        <f aca="false">D21-C21</f>
        <v>-6</v>
      </c>
      <c r="F21" s="9" t="n">
        <f aca="false">IF(AND(C21=0,D21=0),0,IF(C21=0,"New",(D21-C21)/C21))</f>
        <v>-1</v>
      </c>
      <c r="G21" s="10" t="n">
        <f aca="false">SUMIFS('Source 2025'!$H:$H,'Source 2025'!$B:$B,$A21,'Source 2025'!$A:$A,"Amount (NIS)")</f>
        <v>182.6</v>
      </c>
      <c r="H21" s="10" t="n">
        <f aca="false">SUMIFS('Source 2026'!$H:$H,'Source 2026'!$B:$B,$A21,'Source 2026'!$A:$A,"Amount (NIS)")</f>
        <v>0</v>
      </c>
      <c r="I21" s="10" t="n">
        <f aca="false">H21-G21</f>
        <v>-182.6</v>
      </c>
      <c r="J21" s="9" t="n">
        <f aca="false">IF(AND(G21=0,H21=0),0,IF(G21=0,"New",(H21-G21)/G21))</f>
        <v>-1</v>
      </c>
    </row>
    <row r="22" customFormat="false" ht="15" hidden="false" customHeight="false" outlineLevel="0" collapsed="false">
      <c r="A22" s="7" t="s">
        <v>242</v>
      </c>
      <c r="B22" s="7" t="str">
        <f aca="false">IFERROR(INDEX('Source 2026'!$C:$C,MATCH($A22,'Source 2026'!$B:$B,0)),IFERROR(INDEX('Source 2025'!$C:$C,MATCH($A22,'Source 2025'!$B:$B,0)),""))</f>
        <v>Lמפר.אצבע סיליק. ליבל.זוג</v>
      </c>
      <c r="C22" s="8" t="n">
        <f aca="false">SUMIFS('Source 2025'!$H:$H,'Source 2025'!$B:$B,$A22,'Source 2025'!$A:$A,"Quantity (units)")</f>
        <v>4</v>
      </c>
      <c r="D22" s="8" t="n">
        <f aca="false">SUMIFS('Source 2026'!$H:$H,'Source 2026'!$B:$B,$A22,'Source 2026'!$A:$A,"Quantity (units)")</f>
        <v>18</v>
      </c>
      <c r="E22" s="8" t="n">
        <f aca="false">D22-C22</f>
        <v>14</v>
      </c>
      <c r="F22" s="9" t="n">
        <f aca="false">IF(AND(C22=0,D22=0),0,IF(C22=0,"New",(D22-C22)/C22))</f>
        <v>3.5</v>
      </c>
      <c r="G22" s="10" t="n">
        <f aca="false">SUMIFS('Source 2025'!$H:$H,'Source 2025'!$B:$B,$A22,'Source 2025'!$A:$A,"Amount (NIS)")</f>
        <v>50.2</v>
      </c>
      <c r="H22" s="10" t="n">
        <f aca="false">SUMIFS('Source 2026'!$H:$H,'Source 2026'!$B:$B,$A22,'Source 2026'!$A:$A,"Amount (NIS)")</f>
        <v>225.9</v>
      </c>
      <c r="I22" s="10" t="n">
        <f aca="false">H22-G22</f>
        <v>175.7</v>
      </c>
      <c r="J22" s="9" t="n">
        <f aca="false">IF(AND(G22=0,H22=0),0,IF(G22=0,"New",(H22-G22)/G22))</f>
        <v>3.5</v>
      </c>
    </row>
    <row r="23" customFormat="false" ht="15" hidden="false" customHeight="false" outlineLevel="0" collapsed="false">
      <c r="A23" s="7" t="s">
        <v>152</v>
      </c>
      <c r="B23" s="7" t="str">
        <f aca="false">IFERROR(INDEX('Source 2026'!$C:$C,MATCH($A23,'Source 2026'!$B:$B,0)),IFERROR(INDEX('Source 2025'!$C:$C,MATCH($A23,'Source 2025'!$B:$B,0)),""))</f>
        <v>S  חגורת גב פוג'יאמה</v>
      </c>
      <c r="C23" s="8" t="n">
        <f aca="false">SUMIFS('Source 2025'!$H:$H,'Source 2025'!$B:$B,$A23,'Source 2025'!$A:$A,"Quantity (units)")</f>
        <v>1</v>
      </c>
      <c r="D23" s="8" t="n">
        <f aca="false">SUMIFS('Source 2026'!$H:$H,'Source 2026'!$B:$B,$A23,'Source 2026'!$A:$A,"Quantity (units)")</f>
        <v>3</v>
      </c>
      <c r="E23" s="8" t="n">
        <f aca="false">D23-C23</f>
        <v>2</v>
      </c>
      <c r="F23" s="9" t="n">
        <f aca="false">IF(AND(C23=0,D23=0),0,IF(C23=0,"New",(D23-C23)/C23))</f>
        <v>2</v>
      </c>
      <c r="G23" s="10" t="n">
        <f aca="false">SUMIFS('Source 2025'!$H:$H,'Source 2025'!$B:$B,$A23,'Source 2025'!$A:$A,"Amount (NIS)")</f>
        <v>82</v>
      </c>
      <c r="H23" s="10" t="n">
        <f aca="false">SUMIFS('Source 2026'!$H:$H,'Source 2026'!$B:$B,$A23,'Source 2026'!$A:$A,"Amount (NIS)")</f>
        <v>246</v>
      </c>
      <c r="I23" s="10" t="n">
        <f aca="false">H23-G23</f>
        <v>164</v>
      </c>
      <c r="J23" s="9" t="n">
        <f aca="false">IF(AND(G23=0,H23=0),0,IF(G23=0,"New",(H23-G23)/G23))</f>
        <v>2</v>
      </c>
    </row>
    <row r="24" customFormat="false" ht="15" hidden="false" customHeight="false" outlineLevel="0" collapsed="false">
      <c r="A24" s="7" t="s">
        <v>49</v>
      </c>
      <c r="B24" s="7" t="str">
        <f aca="false">IFERROR(INDEX('Source 2026'!$C:$C,MATCH($A24,'Source 2026'!$B:$B,0)),IFERROR(INDEX('Source 2025'!$C:$C,MATCH($A24,'Source 2025'!$B:$B,0)),""))</f>
        <v>S מגן ברך חום</v>
      </c>
      <c r="C24" s="8" t="n">
        <f aca="false">SUMIFS('Source 2025'!$H:$H,'Source 2025'!$B:$B,$A24,'Source 2025'!$A:$A,"Quantity (units)")</f>
        <v>0</v>
      </c>
      <c r="D24" s="8" t="n">
        <f aca="false">SUMIFS('Source 2026'!$H:$H,'Source 2026'!$B:$B,$A24,'Source 2026'!$A:$A,"Quantity (units)")</f>
        <v>6</v>
      </c>
      <c r="E24" s="8" t="n">
        <f aca="false">D24-C24</f>
        <v>6</v>
      </c>
      <c r="F24" s="9" t="str">
        <f aca="false">IF(AND(C24=0,D24=0),0,IF(C24=0,"New",(D24-C24)/C24))</f>
        <v>New</v>
      </c>
      <c r="G24" s="10" t="n">
        <f aca="false">SUMIFS('Source 2025'!$H:$H,'Source 2025'!$B:$B,$A24,'Source 2025'!$A:$A,"Amount (NIS)")</f>
        <v>0</v>
      </c>
      <c r="H24" s="10" t="n">
        <f aca="false">SUMIFS('Source 2026'!$H:$H,'Source 2026'!$B:$B,$A24,'Source 2026'!$A:$A,"Amount (NIS)")</f>
        <v>160.6</v>
      </c>
      <c r="I24" s="10" t="n">
        <f aca="false">H24-G24</f>
        <v>160.6</v>
      </c>
      <c r="J24" s="9" t="str">
        <f aca="false">IF(AND(G24=0,H24=0),0,IF(G24=0,"New",(H24-G24)/G24))</f>
        <v>New</v>
      </c>
    </row>
    <row r="25" customFormat="false" ht="15" hidden="false" customHeight="false" outlineLevel="0" collapsed="false">
      <c r="A25" s="7" t="s">
        <v>170</v>
      </c>
      <c r="B25" s="7" t="str">
        <f aca="false">IFERROR(INDEX('Source 2026'!$C:$C,MATCH($A25,'Source 2026'!$B:$B,0)),IFERROR(INDEX('Source 2025'!$C:$C,MATCH($A25,'Source 2025'!$B:$B,0)),""))</f>
        <v>0 רפידת לילדים אנטי ריח</v>
      </c>
      <c r="C25" s="8" t="n">
        <f aca="false">SUMIFS('Source 2025'!$H:$H,'Source 2025'!$B:$B,$A25,'Source 2025'!$A:$A,"Quantity (units)")</f>
        <v>12</v>
      </c>
      <c r="D25" s="8" t="n">
        <f aca="false">SUMIFS('Source 2026'!$H:$H,'Source 2026'!$B:$B,$A25,'Source 2026'!$A:$A,"Quantity (units)")</f>
        <v>0</v>
      </c>
      <c r="E25" s="8" t="n">
        <f aca="false">D25-C25</f>
        <v>-12</v>
      </c>
      <c r="F25" s="9" t="n">
        <f aca="false">IF(AND(C25=0,D25=0),0,IF(C25=0,"New",(D25-C25)/C25))</f>
        <v>-1</v>
      </c>
      <c r="G25" s="10" t="n">
        <f aca="false">SUMIFS('Source 2025'!$H:$H,'Source 2025'!$B:$B,$A25,'Source 2025'!$A:$A,"Amount (NIS)")</f>
        <v>136</v>
      </c>
      <c r="H25" s="10" t="n">
        <f aca="false">SUMIFS('Source 2026'!$H:$H,'Source 2026'!$B:$B,$A25,'Source 2026'!$A:$A,"Amount (NIS)")</f>
        <v>0</v>
      </c>
      <c r="I25" s="10" t="n">
        <f aca="false">H25-G25</f>
        <v>-136</v>
      </c>
      <c r="J25" s="9" t="n">
        <f aca="false">IF(AND(G25=0,H25=0),0,IF(G25=0,"New",(H25-G25)/G25))</f>
        <v>-1</v>
      </c>
    </row>
    <row r="26" customFormat="false" ht="15" hidden="false" customHeight="false" outlineLevel="0" collapsed="false">
      <c r="A26" s="7" t="s">
        <v>58</v>
      </c>
      <c r="B26" s="7" t="str">
        <f aca="false">IFERROR(INDEX('Source 2026'!$C:$C,MATCH($A26,'Source 2026'!$B:$B,0)),IFERROR(INDEX('Source 2025'!$C:$C,MATCH($A26,'Source 2025'!$B:$B,0)),""))</f>
        <v>L מגן ברך לבן</v>
      </c>
      <c r="C26" s="8" t="n">
        <f aca="false">SUMIFS('Source 2025'!$H:$H,'Source 2025'!$B:$B,$A26,'Source 2025'!$A:$A,"Quantity (units)")</f>
        <v>6</v>
      </c>
      <c r="D26" s="8" t="n">
        <f aca="false">SUMIFS('Source 2026'!$H:$H,'Source 2026'!$B:$B,$A26,'Source 2026'!$A:$A,"Quantity (units)")</f>
        <v>1</v>
      </c>
      <c r="E26" s="8" t="n">
        <f aca="false">D26-C26</f>
        <v>-5</v>
      </c>
      <c r="F26" s="9" t="n">
        <f aca="false">IF(AND(C26=0,D26=0),0,IF(C26=0,"New",(D26-C26)/C26))</f>
        <v>-0.833333333333333</v>
      </c>
      <c r="G26" s="10" t="n">
        <f aca="false">SUMIFS('Source 2025'!$H:$H,'Source 2025'!$B:$B,$A26,'Source 2025'!$A:$A,"Amount (NIS)")</f>
        <v>160.6</v>
      </c>
      <c r="H26" s="10" t="n">
        <f aca="false">SUMIFS('Source 2026'!$H:$H,'Source 2026'!$B:$B,$A26,'Source 2026'!$A:$A,"Amount (NIS)")</f>
        <v>26.8</v>
      </c>
      <c r="I26" s="10" t="n">
        <f aca="false">H26-G26</f>
        <v>-133.8</v>
      </c>
      <c r="J26" s="9" t="n">
        <f aca="false">IF(AND(G26=0,H26=0),0,IF(G26=0,"New",(H26-G26)/G26))</f>
        <v>-0.833125778331258</v>
      </c>
    </row>
    <row r="27" customFormat="false" ht="15" hidden="false" customHeight="false" outlineLevel="0" collapsed="false">
      <c r="A27" s="7" t="s">
        <v>275</v>
      </c>
      <c r="B27" s="7" t="str">
        <f aca="false">IFERROR(INDEX('Source 2026'!$C:$C,MATCH($A27,'Source 2026'!$B:$B,0)),IFERROR(INDEX('Source 2025'!$C:$C,MATCH($A27,'Source 2025'!$B:$B,0)),""))</f>
        <v>חגורת בטן קלה</v>
      </c>
      <c r="C27" s="8" t="n">
        <f aca="false">SUMIFS('Source 2025'!$H:$H,'Source 2025'!$B:$B,$A27,'Source 2025'!$A:$A,"Quantity (units)")</f>
        <v>2</v>
      </c>
      <c r="D27" s="8" t="n">
        <f aca="false">SUMIFS('Source 2026'!$H:$H,'Source 2026'!$B:$B,$A27,'Source 2026'!$A:$A,"Quantity (units)")</f>
        <v>0</v>
      </c>
      <c r="E27" s="8" t="n">
        <f aca="false">D27-C27</f>
        <v>-2</v>
      </c>
      <c r="F27" s="9" t="n">
        <f aca="false">IF(AND(C27=0,D27=0),0,IF(C27=0,"New",(D27-C27)/C27))</f>
        <v>-1</v>
      </c>
      <c r="G27" s="10" t="n">
        <f aca="false">SUMIFS('Source 2025'!$H:$H,'Source 2025'!$B:$B,$A27,'Source 2025'!$A:$A,"Amount (NIS)")</f>
        <v>127.5</v>
      </c>
      <c r="H27" s="10" t="n">
        <f aca="false">SUMIFS('Source 2026'!$H:$H,'Source 2026'!$B:$B,$A27,'Source 2026'!$A:$A,"Amount (NIS)")</f>
        <v>0</v>
      </c>
      <c r="I27" s="10" t="n">
        <f aca="false">H27-G27</f>
        <v>-127.5</v>
      </c>
      <c r="J27" s="9" t="n">
        <f aca="false">IF(AND(G27=0,H27=0),0,IF(G27=0,"New",(H27-G27)/G27))</f>
        <v>-1</v>
      </c>
    </row>
    <row r="28" customFormat="false" ht="15" hidden="false" customHeight="false" outlineLevel="0" collapsed="false">
      <c r="A28" s="7" t="s">
        <v>133</v>
      </c>
      <c r="B28" s="7" t="str">
        <f aca="false">IFERROR(INDEX('Source 2026'!$C:$C,MATCH($A28,'Source 2026'!$B:$B,0)),IFERROR(INDEX('Source 2025'!$C:$C,MATCH($A28,'Source 2025'!$B:$B,0)),""))</f>
        <v>חגורת גב +סגירה כפולה</v>
      </c>
      <c r="C28" s="8" t="n">
        <f aca="false">SUMIFS('Source 2025'!$H:$H,'Source 2025'!$B:$B,$A28,'Source 2025'!$A:$A,"Quantity (units)")</f>
        <v>0</v>
      </c>
      <c r="D28" s="8" t="n">
        <f aca="false">SUMIFS('Source 2026'!$H:$H,'Source 2026'!$B:$B,$A28,'Source 2026'!$A:$A,"Quantity (units)")</f>
        <v>1</v>
      </c>
      <c r="E28" s="8" t="n">
        <f aca="false">D28-C28</f>
        <v>1</v>
      </c>
      <c r="F28" s="9" t="str">
        <f aca="false">IF(AND(C28=0,D28=0),0,IF(C28=0,"New",(D28-C28)/C28))</f>
        <v>New</v>
      </c>
      <c r="G28" s="10" t="n">
        <f aca="false">SUMIFS('Source 2025'!$H:$H,'Source 2025'!$B:$B,$A28,'Source 2025'!$A:$A,"Amount (NIS)")</f>
        <v>0</v>
      </c>
      <c r="H28" s="10" t="n">
        <f aca="false">SUMIFS('Source 2026'!$H:$H,'Source 2026'!$B:$B,$A28,'Source 2026'!$A:$A,"Amount (NIS)")</f>
        <v>101.5</v>
      </c>
      <c r="I28" s="10" t="n">
        <f aca="false">H28-G28</f>
        <v>101.5</v>
      </c>
      <c r="J28" s="9" t="str">
        <f aca="false">IF(AND(G28=0,H28=0),0,IF(G28=0,"New",(H28-G28)/G28))</f>
        <v>New</v>
      </c>
    </row>
    <row r="29" customFormat="false" ht="15" hidden="false" customHeight="false" outlineLevel="0" collapsed="false">
      <c r="A29" s="7" t="s">
        <v>55</v>
      </c>
      <c r="B29" s="7" t="str">
        <f aca="false">IFERROR(INDEX('Source 2026'!$C:$C,MATCH($A29,'Source 2026'!$B:$B,0)),IFERROR(INDEX('Source 2025'!$C:$C,MATCH($A29,'Source 2025'!$B:$B,0)),""))</f>
        <v>חגורת גב אפורה</v>
      </c>
      <c r="C29" s="8" t="n">
        <f aca="false">SUMIFS('Source 2025'!$H:$H,'Source 2025'!$B:$B,$A29,'Source 2025'!$A:$A,"Quantity (units)")</f>
        <v>1</v>
      </c>
      <c r="D29" s="8" t="n">
        <f aca="false">SUMIFS('Source 2026'!$H:$H,'Source 2026'!$B:$B,$A29,'Source 2026'!$A:$A,"Quantity (units)")</f>
        <v>0</v>
      </c>
      <c r="E29" s="8" t="n">
        <f aca="false">D29-C29</f>
        <v>-1</v>
      </c>
      <c r="F29" s="9" t="n">
        <f aca="false">IF(AND(C29=0,D29=0),0,IF(C29=0,"New",(D29-C29)/C29))</f>
        <v>-1</v>
      </c>
      <c r="G29" s="10" t="n">
        <f aca="false">SUMIFS('Source 2025'!$H:$H,'Source 2025'!$B:$B,$A29,'Source 2025'!$A:$A,"Amount (NIS)")</f>
        <v>101.5</v>
      </c>
      <c r="H29" s="10" t="n">
        <f aca="false">SUMIFS('Source 2026'!$H:$H,'Source 2026'!$B:$B,$A29,'Source 2026'!$A:$A,"Amount (NIS)")</f>
        <v>0</v>
      </c>
      <c r="I29" s="10" t="n">
        <f aca="false">H29-G29</f>
        <v>-101.5</v>
      </c>
      <c r="J29" s="9" t="n">
        <f aca="false">IF(AND(G29=0,H29=0),0,IF(G29=0,"New",(H29-G29)/G29))</f>
        <v>-1</v>
      </c>
    </row>
    <row r="30" customFormat="false" ht="15" hidden="false" customHeight="false" outlineLevel="0" collapsed="false">
      <c r="A30" s="7" t="s">
        <v>167</v>
      </c>
      <c r="B30" s="7" t="str">
        <f aca="false">IFERROR(INDEX('Source 2026'!$C:$C,MATCH($A30,'Source 2026'!$B:$B,0)),IFERROR(INDEX('Source 2025'!$C:$C,MATCH($A30,'Source 2025'!$B:$B,0)),""))</f>
        <v>S מגן ברך מחמם</v>
      </c>
      <c r="C30" s="8" t="n">
        <f aca="false">SUMIFS('Source 2025'!$H:$H,'Source 2025'!$B:$B,$A30,'Source 2025'!$A:$A,"Quantity (units)")</f>
        <v>2</v>
      </c>
      <c r="D30" s="8" t="n">
        <f aca="false">SUMIFS('Source 2026'!$H:$H,'Source 2026'!$B:$B,$A30,'Source 2026'!$A:$A,"Quantity (units)")</f>
        <v>0</v>
      </c>
      <c r="E30" s="8" t="n">
        <f aca="false">D30-C30</f>
        <v>-2</v>
      </c>
      <c r="F30" s="9" t="n">
        <f aca="false">IF(AND(C30=0,D30=0),0,IF(C30=0,"New",(D30-C30)/C30))</f>
        <v>-1</v>
      </c>
      <c r="G30" s="10" t="n">
        <f aca="false">SUMIFS('Source 2025'!$H:$H,'Source 2025'!$B:$B,$A30,'Source 2025'!$A:$A,"Amount (NIS)")</f>
        <v>98.2</v>
      </c>
      <c r="H30" s="10" t="n">
        <f aca="false">SUMIFS('Source 2026'!$H:$H,'Source 2026'!$B:$B,$A30,'Source 2026'!$A:$A,"Amount (NIS)")</f>
        <v>0</v>
      </c>
      <c r="I30" s="10" t="n">
        <f aca="false">H30-G30</f>
        <v>-98.2</v>
      </c>
      <c r="J30" s="9" t="n">
        <f aca="false">IF(AND(G30=0,H30=0),0,IF(G30=0,"New",(H30-G30)/G30))</f>
        <v>-1</v>
      </c>
    </row>
    <row r="31" customFormat="false" ht="15" hidden="false" customHeight="false" outlineLevel="0" collapsed="false">
      <c r="A31" s="7" t="s">
        <v>209</v>
      </c>
      <c r="B31" s="7" t="str">
        <f aca="false">IFERROR(INDEX('Source 2026'!$C:$C,MATCH($A31,'Source 2026'!$B:$B,0)),IFERROR(INDEX('Source 2025'!$C:$C,MATCH($A31,'Source 2025'!$B:$B,0)),""))</f>
        <v>S מתלה אשכים לאחר ניתוח</v>
      </c>
      <c r="C31" s="8" t="n">
        <f aca="false">SUMIFS('Source 2025'!$H:$H,'Source 2025'!$B:$B,$A31,'Source 2025'!$A:$A,"Quantity (units)")</f>
        <v>1</v>
      </c>
      <c r="D31" s="8" t="n">
        <f aca="false">SUMIFS('Source 2026'!$H:$H,'Source 2026'!$B:$B,$A31,'Source 2026'!$A:$A,"Quantity (units)")</f>
        <v>0</v>
      </c>
      <c r="E31" s="8" t="n">
        <f aca="false">D31-C31</f>
        <v>-1</v>
      </c>
      <c r="F31" s="9" t="n">
        <f aca="false">IF(AND(C31=0,D31=0),0,IF(C31=0,"New",(D31-C31)/C31))</f>
        <v>-1</v>
      </c>
      <c r="G31" s="10" t="n">
        <f aca="false">SUMIFS('Source 2025'!$H:$H,'Source 2025'!$B:$B,$A31,'Source 2025'!$A:$A,"Amount (NIS)")</f>
        <v>96.2</v>
      </c>
      <c r="H31" s="10" t="n">
        <f aca="false">SUMIFS('Source 2026'!$H:$H,'Source 2026'!$B:$B,$A31,'Source 2026'!$A:$A,"Amount (NIS)")</f>
        <v>0</v>
      </c>
      <c r="I31" s="10" t="n">
        <f aca="false">H31-G31</f>
        <v>-96.2</v>
      </c>
      <c r="J31" s="9" t="n">
        <f aca="false">IF(AND(G31=0,H31=0),0,IF(G31=0,"New",(H31-G31)/G31))</f>
        <v>-1</v>
      </c>
    </row>
    <row r="32" customFormat="false" ht="15" hidden="false" customHeight="false" outlineLevel="0" collapsed="false">
      <c r="A32" s="7" t="s">
        <v>52</v>
      </c>
      <c r="B32" s="7" t="str">
        <f aca="false">IFERROR(INDEX('Source 2026'!$C:$C,MATCH($A32,'Source 2026'!$B:$B,0)),IFERROR(INDEX('Source 2025'!$C:$C,MATCH($A32,'Source 2025'!$B:$B,0)),""))</f>
        <v>L סד לאגודל לאחר שבר</v>
      </c>
      <c r="C32" s="8" t="n">
        <f aca="false">SUMIFS('Source 2025'!$H:$H,'Source 2025'!$B:$B,$A32,'Source 2025'!$A:$A,"Quantity (units)")</f>
        <v>0</v>
      </c>
      <c r="D32" s="8" t="n">
        <f aca="false">SUMIFS('Source 2026'!$H:$H,'Source 2026'!$B:$B,$A32,'Source 2026'!$A:$A,"Quantity (units)")</f>
        <v>1</v>
      </c>
      <c r="E32" s="8" t="n">
        <f aca="false">D32-C32</f>
        <v>1</v>
      </c>
      <c r="F32" s="9" t="str">
        <f aca="false">IF(AND(C32=0,D32=0),0,IF(C32=0,"New",(D32-C32)/C32))</f>
        <v>New</v>
      </c>
      <c r="G32" s="10" t="n">
        <f aca="false">SUMIFS('Source 2025'!$H:$H,'Source 2025'!$B:$B,$A32,'Source 2025'!$A:$A,"Amount (NIS)")</f>
        <v>0</v>
      </c>
      <c r="H32" s="10" t="n">
        <f aca="false">SUMIFS('Source 2026'!$H:$H,'Source 2026'!$B:$B,$A32,'Source 2026'!$A:$A,"Amount (NIS)")</f>
        <v>89.3</v>
      </c>
      <c r="I32" s="10" t="n">
        <f aca="false">H32-G32</f>
        <v>89.3</v>
      </c>
      <c r="J32" s="9" t="str">
        <f aca="false">IF(AND(G32=0,H32=0),0,IF(G32=0,"New",(H32-G32)/G32))</f>
        <v>New</v>
      </c>
    </row>
    <row r="33" customFormat="false" ht="15" hidden="false" customHeight="false" outlineLevel="0" collapsed="false">
      <c r="A33" s="7" t="s">
        <v>283</v>
      </c>
      <c r="B33" s="7" t="str">
        <f aca="false">IFERROR(INDEX('Source 2026'!$C:$C,MATCH($A33,'Source 2026'!$B:$B,0)),IFERROR(INDEX('Source 2025'!$C:$C,MATCH($A33,'Source 2025'!$B:$B,0)),""))</f>
        <v>לחץ א.הבוניון</v>
      </c>
      <c r="C33" s="8" t="n">
        <f aca="false">SUMIFS('Source 2025'!$H:$H,'Source 2025'!$B:$B,$A33,'Source 2025'!$A:$A,"Quantity (units)")</f>
        <v>0</v>
      </c>
      <c r="D33" s="8" t="n">
        <f aca="false">SUMIFS('Source 2026'!$H:$H,'Source 2026'!$B:$B,$A33,'Source 2026'!$A:$A,"Quantity (units)")</f>
        <v>5</v>
      </c>
      <c r="E33" s="8" t="n">
        <f aca="false">D33-C33</f>
        <v>5</v>
      </c>
      <c r="F33" s="9" t="str">
        <f aca="false">IF(AND(C33=0,D33=0),0,IF(C33=0,"New",(D33-C33)/C33))</f>
        <v>New</v>
      </c>
      <c r="G33" s="10" t="n">
        <f aca="false">SUMIFS('Source 2025'!$H:$H,'Source 2025'!$B:$B,$A33,'Source 2025'!$A:$A,"Amount (NIS)")</f>
        <v>0</v>
      </c>
      <c r="H33" s="10" t="n">
        <f aca="false">SUMIFS('Source 2026'!$H:$H,'Source 2026'!$B:$B,$A33,'Source 2026'!$A:$A,"Amount (NIS)")</f>
        <v>89.1</v>
      </c>
      <c r="I33" s="10" t="n">
        <f aca="false">H33-G33</f>
        <v>89.1</v>
      </c>
      <c r="J33" s="9" t="str">
        <f aca="false">IF(AND(G33=0,H33=0),0,IF(G33=0,"New",(H33-G33)/G33))</f>
        <v>New</v>
      </c>
    </row>
    <row r="34" customFormat="false" ht="15" hidden="false" customHeight="false" outlineLevel="0" collapsed="false">
      <c r="A34" s="7" t="s">
        <v>194</v>
      </c>
      <c r="B34" s="7" t="str">
        <f aca="false">IFERROR(INDEX('Source 2026'!$C:$C,MATCH($A34,'Source 2026'!$B:$B,0)),IFERROR(INDEX('Source 2025'!$C:$C,MATCH($A34,'Source 2025'!$B:$B,0)),""))</f>
        <v>סכינים למקצוע</v>
      </c>
      <c r="C34" s="8" t="n">
        <f aca="false">SUMIFS('Source 2025'!$H:$H,'Source 2025'!$B:$B,$A34,'Source 2025'!$A:$A,"Quantity (units)")</f>
        <v>0</v>
      </c>
      <c r="D34" s="8" t="n">
        <f aca="false">SUMIFS('Source 2026'!$H:$H,'Source 2026'!$B:$B,$A34,'Source 2026'!$A:$A,"Quantity (units)")</f>
        <v>10</v>
      </c>
      <c r="E34" s="8" t="n">
        <f aca="false">D34-C34</f>
        <v>10</v>
      </c>
      <c r="F34" s="9" t="str">
        <f aca="false">IF(AND(C34=0,D34=0),0,IF(C34=0,"New",(D34-C34)/C34))</f>
        <v>New</v>
      </c>
      <c r="G34" s="10" t="n">
        <f aca="false">SUMIFS('Source 2025'!$H:$H,'Source 2025'!$B:$B,$A34,'Source 2025'!$A:$A,"Amount (NIS)")</f>
        <v>0</v>
      </c>
      <c r="H34" s="10" t="n">
        <f aca="false">SUMIFS('Source 2026'!$H:$H,'Source 2026'!$B:$B,$A34,'Source 2026'!$A:$A,"Amount (NIS)")</f>
        <v>84.9</v>
      </c>
      <c r="I34" s="10" t="n">
        <f aca="false">H34-G34</f>
        <v>84.9</v>
      </c>
      <c r="J34" s="9" t="str">
        <f aca="false">IF(AND(G34=0,H34=0),0,IF(G34=0,"New",(H34-G34)/G34))</f>
        <v>New</v>
      </c>
    </row>
    <row r="35" customFormat="false" ht="15" hidden="false" customHeight="false" outlineLevel="0" collapsed="false">
      <c r="A35" s="7" t="s">
        <v>254</v>
      </c>
      <c r="B35" s="7" t="str">
        <f aca="false">IFERROR(INDEX('Source 2026'!$C:$C,MATCH($A35,'Source 2026'!$B:$B,0)),IFERROR(INDEX('Source 2025'!$C:$C,MATCH($A35,'Source 2025'!$B:$B,0)),""))</f>
        <v>L מיצב פיקה</v>
      </c>
      <c r="C35" s="8" t="n">
        <f aca="false">SUMIFS('Source 2025'!$H:$H,'Source 2025'!$B:$B,$A35,'Source 2025'!$A:$A,"Quantity (units)")</f>
        <v>1</v>
      </c>
      <c r="D35" s="8" t="n">
        <f aca="false">SUMIFS('Source 2026'!$H:$H,'Source 2026'!$B:$B,$A35,'Source 2026'!$A:$A,"Quantity (units)")</f>
        <v>0</v>
      </c>
      <c r="E35" s="8" t="n">
        <f aca="false">D35-C35</f>
        <v>-1</v>
      </c>
      <c r="F35" s="9" t="n">
        <f aca="false">IF(AND(C35=0,D35=0),0,IF(C35=0,"New",(D35-C35)/C35))</f>
        <v>-1</v>
      </c>
      <c r="G35" s="10" t="n">
        <f aca="false">SUMIFS('Source 2025'!$H:$H,'Source 2025'!$B:$B,$A35,'Source 2025'!$A:$A,"Amount (NIS)")</f>
        <v>82</v>
      </c>
      <c r="H35" s="10" t="n">
        <f aca="false">SUMIFS('Source 2026'!$H:$H,'Source 2026'!$B:$B,$A35,'Source 2026'!$A:$A,"Amount (NIS)")</f>
        <v>0</v>
      </c>
      <c r="I35" s="10" t="n">
        <f aca="false">H35-G35</f>
        <v>-82</v>
      </c>
      <c r="J35" s="9" t="n">
        <f aca="false">IF(AND(G35=0,H35=0),0,IF(G35=0,"New",(H35-G35)/G35))</f>
        <v>-1</v>
      </c>
    </row>
    <row r="36" customFormat="false" ht="15" hidden="false" customHeight="false" outlineLevel="0" collapsed="false">
      <c r="A36" s="7" t="s">
        <v>271</v>
      </c>
      <c r="B36" s="7" t="str">
        <f aca="false">IFERROR(INDEX('Source 2026'!$C:$C,MATCH($A36,'Source 2026'!$B:$B,0)),IFERROR(INDEX('Source 2025'!$C:$C,MATCH($A36,'Source 2025'!$B:$B,0)),""))</f>
        <v>חבק יד אגודלי</v>
      </c>
      <c r="C36" s="8" t="n">
        <f aca="false">SUMIFS('Source 2025'!$H:$H,'Source 2025'!$B:$B,$A36,'Source 2025'!$A:$A,"Quantity (units)")</f>
        <v>0</v>
      </c>
      <c r="D36" s="8" t="n">
        <f aca="false">SUMIFS('Source 2026'!$H:$H,'Source 2026'!$B:$B,$A36,'Source 2026'!$A:$A,"Quantity (units)")</f>
        <v>2</v>
      </c>
      <c r="E36" s="8" t="n">
        <f aca="false">D36-C36</f>
        <v>2</v>
      </c>
      <c r="F36" s="9" t="str">
        <f aca="false">IF(AND(C36=0,D36=0),0,IF(C36=0,"New",(D36-C36)/C36))</f>
        <v>New</v>
      </c>
      <c r="G36" s="10" t="n">
        <f aca="false">SUMIFS('Source 2025'!$H:$H,'Source 2025'!$B:$B,$A36,'Source 2025'!$A:$A,"Amount (NIS)")</f>
        <v>0</v>
      </c>
      <c r="H36" s="10" t="n">
        <f aca="false">SUMIFS('Source 2026'!$H:$H,'Source 2026'!$B:$B,$A36,'Source 2026'!$A:$A,"Amount (NIS)")</f>
        <v>81.2</v>
      </c>
      <c r="I36" s="10" t="n">
        <f aca="false">H36-G36</f>
        <v>81.2</v>
      </c>
      <c r="J36" s="9" t="str">
        <f aca="false">IF(AND(G36=0,H36=0),0,IF(G36=0,"New",(H36-G36)/G36))</f>
        <v>New</v>
      </c>
    </row>
    <row r="37" customFormat="false" ht="15" hidden="false" customHeight="false" outlineLevel="0" collapsed="false">
      <c r="A37" s="7" t="s">
        <v>56</v>
      </c>
      <c r="B37" s="7" t="str">
        <f aca="false">IFERROR(INDEX('Source 2026'!$C:$C,MATCH($A37,'Source 2026'!$B:$B,0)),IFERROR(INDEX('Source 2025'!$C:$C,MATCH($A37,'Source 2025'!$B:$B,0)),""))</f>
        <v>S מגן קרסול לבן</v>
      </c>
      <c r="C37" s="8" t="n">
        <f aca="false">SUMIFS('Source 2025'!$H:$H,'Source 2025'!$B:$B,$A37,'Source 2025'!$A:$A,"Quantity (units)")</f>
        <v>4</v>
      </c>
      <c r="D37" s="8" t="n">
        <f aca="false">SUMIFS('Source 2026'!$H:$H,'Source 2026'!$B:$B,$A37,'Source 2026'!$A:$A,"Quantity (units)")</f>
        <v>1</v>
      </c>
      <c r="E37" s="8" t="n">
        <f aca="false">D37-C37</f>
        <v>-3</v>
      </c>
      <c r="F37" s="9" t="n">
        <f aca="false">IF(AND(C37=0,D37=0),0,IF(C37=0,"New",(D37-C37)/C37))</f>
        <v>-0.75</v>
      </c>
      <c r="G37" s="10" t="n">
        <f aca="false">SUMIFS('Source 2025'!$H:$H,'Source 2025'!$B:$B,$A37,'Source 2025'!$A:$A,"Amount (NIS)")</f>
        <v>107</v>
      </c>
      <c r="H37" s="10" t="n">
        <f aca="false">SUMIFS('Source 2026'!$H:$H,'Source 2026'!$B:$B,$A37,'Source 2026'!$A:$A,"Amount (NIS)")</f>
        <v>26.8</v>
      </c>
      <c r="I37" s="10" t="n">
        <f aca="false">H37-G37</f>
        <v>-80.2</v>
      </c>
      <c r="J37" s="9" t="n">
        <f aca="false">IF(AND(G37=0,H37=0),0,IF(G37=0,"New",(H37-G37)/G37))</f>
        <v>-0.749532710280374</v>
      </c>
    </row>
    <row r="38" customFormat="false" ht="15" hidden="false" customHeight="false" outlineLevel="0" collapsed="false">
      <c r="A38" s="7" t="s">
        <v>63</v>
      </c>
      <c r="B38" s="7" t="str">
        <f aca="false">IFERROR(INDEX('Source 2026'!$C:$C,MATCH($A38,'Source 2026'!$B:$B,0)),IFERROR(INDEX('Source 2025'!$C:$C,MATCH($A38,'Source 2025'!$B:$B,0)),""))</f>
        <v>L עקבים לדורבן-זוג כריות</v>
      </c>
      <c r="C38" s="8" t="n">
        <f aca="false">SUMIFS('Source 2025'!$H:$H,'Source 2025'!$B:$B,$A38,'Source 2025'!$A:$A,"Quantity (units)")</f>
        <v>0</v>
      </c>
      <c r="D38" s="8" t="n">
        <f aca="false">SUMIFS('Source 2026'!$H:$H,'Source 2026'!$B:$B,$A38,'Source 2026'!$A:$A,"Quantity (units)")</f>
        <v>1</v>
      </c>
      <c r="E38" s="8" t="n">
        <f aca="false">D38-C38</f>
        <v>1</v>
      </c>
      <c r="F38" s="9" t="str">
        <f aca="false">IF(AND(C38=0,D38=0),0,IF(C38=0,"New",(D38-C38)/C38))</f>
        <v>New</v>
      </c>
      <c r="G38" s="10" t="n">
        <f aca="false">SUMIFS('Source 2025'!$H:$H,'Source 2025'!$B:$B,$A38,'Source 2025'!$A:$A,"Amount (NIS)")</f>
        <v>0</v>
      </c>
      <c r="H38" s="10" t="n">
        <f aca="false">SUMIFS('Source 2026'!$H:$H,'Source 2026'!$B:$B,$A38,'Source 2026'!$A:$A,"Amount (NIS)")</f>
        <v>80</v>
      </c>
      <c r="I38" s="10" t="n">
        <f aca="false">H38-G38</f>
        <v>80</v>
      </c>
      <c r="J38" s="9" t="str">
        <f aca="false">IF(AND(G38=0,H38=0),0,IF(G38=0,"New",(H38-G38)/G38))</f>
        <v>New</v>
      </c>
    </row>
    <row r="39" customFormat="false" ht="15" hidden="false" customHeight="false" outlineLevel="0" collapsed="false">
      <c r="A39" s="7" t="s">
        <v>75</v>
      </c>
      <c r="B39" s="7" t="str">
        <f aca="false">IFERROR(INDEX('Source 2026'!$C:$C,MATCH($A39,'Source 2026'!$B:$B,0)),IFERROR(INDEX('Source 2025'!$C:$C,MATCH($A39,'Source 2025'!$B:$B,0)),""))</f>
        <v>חבק ""טניס אלבו רצועה</v>
      </c>
      <c r="C39" s="8" t="n">
        <f aca="false">SUMIFS('Source 2025'!$H:$H,'Source 2025'!$B:$B,$A39,'Source 2025'!$A:$A,"Quantity (units)")</f>
        <v>1</v>
      </c>
      <c r="D39" s="8" t="n">
        <f aca="false">SUMIFS('Source 2026'!$H:$H,'Source 2026'!$B:$B,$A39,'Source 2026'!$A:$A,"Quantity (units)")</f>
        <v>0</v>
      </c>
      <c r="E39" s="8" t="n">
        <f aca="false">D39-C39</f>
        <v>-1</v>
      </c>
      <c r="F39" s="9" t="n">
        <f aca="false">IF(AND(C39=0,D39=0),0,IF(C39=0,"New",(D39-C39)/C39))</f>
        <v>-1</v>
      </c>
      <c r="G39" s="10" t="n">
        <f aca="false">SUMIFS('Source 2025'!$H:$H,'Source 2025'!$B:$B,$A39,'Source 2025'!$A:$A,"Amount (NIS)")</f>
        <v>69.6</v>
      </c>
      <c r="H39" s="10" t="n">
        <f aca="false">SUMIFS('Source 2026'!$H:$H,'Source 2026'!$B:$B,$A39,'Source 2026'!$A:$A,"Amount (NIS)")</f>
        <v>0</v>
      </c>
      <c r="I39" s="10" t="n">
        <f aca="false">H39-G39</f>
        <v>-69.6</v>
      </c>
      <c r="J39" s="9" t="n">
        <f aca="false">IF(AND(G39=0,H39=0),0,IF(G39=0,"New",(H39-G39)/G39))</f>
        <v>-1</v>
      </c>
    </row>
    <row r="40" customFormat="false" ht="15" hidden="false" customHeight="false" outlineLevel="0" collapsed="false">
      <c r="A40" s="7" t="s">
        <v>211</v>
      </c>
      <c r="B40" s="7" t="str">
        <f aca="false">IFERROR(INDEX('Source 2026'!$C:$C,MATCH($A40,'Source 2026'!$B:$B,0)),IFERROR(INDEX('Source 2025'!$C:$C,MATCH($A40,'Source 2025'!$B:$B,0)),""))</f>
        <v>נגד פטרת הציפורן</v>
      </c>
      <c r="C40" s="8" t="n">
        <f aca="false">SUMIFS('Source 2025'!$H:$H,'Source 2025'!$B:$B,$A40,'Source 2025'!$A:$A,"Quantity (units)")</f>
        <v>-2</v>
      </c>
      <c r="D40" s="8" t="n">
        <f aca="false">SUMIFS('Source 2026'!$H:$H,'Source 2026'!$B:$B,$A40,'Source 2026'!$A:$A,"Quantity (units)")</f>
        <v>0</v>
      </c>
      <c r="E40" s="8" t="n">
        <f aca="false">D40-C40</f>
        <v>2</v>
      </c>
      <c r="F40" s="9" t="n">
        <f aca="false">IF(AND(C40=0,D40=0),0,IF(C40=0,"New",(D40-C40)/C40))</f>
        <v>-1</v>
      </c>
      <c r="G40" s="10" t="n">
        <f aca="false">SUMIFS('Source 2025'!$H:$H,'Source 2025'!$B:$B,$A40,'Source 2025'!$A:$A,"Amount (NIS)")</f>
        <v>-61.4</v>
      </c>
      <c r="H40" s="10" t="n">
        <f aca="false">SUMIFS('Source 2026'!$H:$H,'Source 2026'!$B:$B,$A40,'Source 2026'!$A:$A,"Amount (NIS)")</f>
        <v>0</v>
      </c>
      <c r="I40" s="10" t="n">
        <f aca="false">H40-G40</f>
        <v>61.4</v>
      </c>
      <c r="J40" s="9" t="n">
        <f aca="false">IF(AND(G40=0,H40=0),0,IF(G40=0,"New",(H40-G40)/G40))</f>
        <v>-1</v>
      </c>
    </row>
    <row r="41" customFormat="false" ht="15" hidden="false" customHeight="false" outlineLevel="0" collapsed="false">
      <c r="A41" s="7" t="s">
        <v>62</v>
      </c>
      <c r="B41" s="7" t="str">
        <f aca="false">IFERROR(INDEX('Source 2026'!$C:$C,MATCH($A41,'Source 2026'!$B:$B,0)),IFERROR(INDEX('Source 2025'!$C:$C,MATCH($A41,'Source 2025'!$B:$B,0)),""))</f>
        <v>L (מתלה ליד )כיס</v>
      </c>
      <c r="C41" s="8" t="n">
        <f aca="false">SUMIFS('Source 2025'!$H:$H,'Source 2025'!$B:$B,$A41,'Source 2025'!$A:$A,"Quantity (units)")</f>
        <v>1</v>
      </c>
      <c r="D41" s="8" t="n">
        <f aca="false">SUMIFS('Source 2026'!$H:$H,'Source 2026'!$B:$B,$A41,'Source 2026'!$A:$A,"Quantity (units)")</f>
        <v>2</v>
      </c>
      <c r="E41" s="8" t="n">
        <f aca="false">D41-C41</f>
        <v>1</v>
      </c>
      <c r="F41" s="9" t="n">
        <f aca="false">IF(AND(C41=0,D41=0),0,IF(C41=0,"New",(D41-C41)/C41))</f>
        <v>1</v>
      </c>
      <c r="G41" s="10" t="n">
        <f aca="false">SUMIFS('Source 2025'!$H:$H,'Source 2025'!$B:$B,$A41,'Source 2025'!$A:$A,"Amount (NIS)")</f>
        <v>49.1</v>
      </c>
      <c r="H41" s="10" t="n">
        <f aca="false">SUMIFS('Source 2026'!$H:$H,'Source 2026'!$B:$B,$A41,'Source 2026'!$A:$A,"Amount (NIS)")</f>
        <v>98.2</v>
      </c>
      <c r="I41" s="10" t="n">
        <f aca="false">H41-G41</f>
        <v>49.1</v>
      </c>
      <c r="J41" s="9" t="n">
        <f aca="false">IF(AND(G41=0,H41=0),0,IF(G41=0,"New",(H41-G41)/G41))</f>
        <v>1</v>
      </c>
    </row>
    <row r="42" customFormat="false" ht="15" hidden="false" customHeight="false" outlineLevel="0" collapsed="false">
      <c r="A42" s="7" t="s">
        <v>169</v>
      </c>
      <c r="B42" s="7" t="str">
        <f aca="false">IFERROR(INDEX('Source 2026'!$C:$C,MATCH($A42,'Source 2026'!$B:$B,0)),IFERROR(INDEX('Source 2025'!$C:$C,MATCH($A42,'Source 2025'!$B:$B,0)),""))</f>
        <v>S-Lטבעת אלסטית מסיליקון</v>
      </c>
      <c r="C42" s="8" t="n">
        <f aca="false">SUMIFS('Source 2025'!$H:$H,'Source 2025'!$B:$B,$A42,'Source 2025'!$A:$A,"Quantity (units)")</f>
        <v>3</v>
      </c>
      <c r="D42" s="8" t="n">
        <f aca="false">SUMIFS('Source 2026'!$H:$H,'Source 2026'!$B:$B,$A42,'Source 2026'!$A:$A,"Quantity (units)")</f>
        <v>0</v>
      </c>
      <c r="E42" s="8" t="n">
        <f aca="false">D42-C42</f>
        <v>-3</v>
      </c>
      <c r="F42" s="9" t="n">
        <f aca="false">IF(AND(C42=0,D42=0),0,IF(C42=0,"New",(D42-C42)/C42))</f>
        <v>-1</v>
      </c>
      <c r="G42" s="10" t="n">
        <f aca="false">SUMIFS('Source 2025'!$H:$H,'Source 2025'!$B:$B,$A42,'Source 2025'!$A:$A,"Amount (NIS)")</f>
        <v>36.4</v>
      </c>
      <c r="H42" s="10" t="n">
        <f aca="false">SUMIFS('Source 2026'!$H:$H,'Source 2026'!$B:$B,$A42,'Source 2026'!$A:$A,"Amount (NIS)")</f>
        <v>0</v>
      </c>
      <c r="I42" s="10" t="n">
        <f aca="false">H42-G42</f>
        <v>-36.4</v>
      </c>
      <c r="J42" s="9" t="n">
        <f aca="false">IF(AND(G42=0,H42=0),0,IF(G42=0,"New",(H42-G42)/G42))</f>
        <v>-1</v>
      </c>
    </row>
    <row r="43" customFormat="false" ht="15" hidden="false" customHeight="false" outlineLevel="0" collapsed="false">
      <c r="A43" s="7" t="s">
        <v>196</v>
      </c>
      <c r="B43" s="7" t="str">
        <f aca="false">IFERROR(INDEX('Source 2026'!$C:$C,MATCH($A43,'Source 2026'!$B:$B,0)),IFERROR(INDEX('Source 2025'!$C:$C,MATCH($A43,'Source 2025'!$B:$B,0)),""))</f>
        <v>מגן זרת מסיליקון</v>
      </c>
      <c r="C43" s="8" t="n">
        <f aca="false">SUMIFS('Source 2025'!$H:$H,'Source 2025'!$B:$B,$A43,'Source 2025'!$A:$A,"Quantity (units)")</f>
        <v>1</v>
      </c>
      <c r="D43" s="8" t="n">
        <f aca="false">SUMIFS('Source 2026'!$H:$H,'Source 2026'!$B:$B,$A43,'Source 2026'!$A:$A,"Quantity (units)")</f>
        <v>0</v>
      </c>
      <c r="E43" s="8" t="n">
        <f aca="false">D43-C43</f>
        <v>-1</v>
      </c>
      <c r="F43" s="9" t="n">
        <f aca="false">IF(AND(C43=0,D43=0),0,IF(C43=0,"New",(D43-C43)/C43))</f>
        <v>-1</v>
      </c>
      <c r="G43" s="10" t="n">
        <f aca="false">SUMIFS('Source 2025'!$H:$H,'Source 2025'!$B:$B,$A43,'Source 2025'!$A:$A,"Amount (NIS)")</f>
        <v>31.4</v>
      </c>
      <c r="H43" s="10" t="n">
        <f aca="false">SUMIFS('Source 2026'!$H:$H,'Source 2026'!$B:$B,$A43,'Source 2026'!$A:$A,"Amount (NIS)")</f>
        <v>0</v>
      </c>
      <c r="I43" s="10" t="n">
        <f aca="false">H43-G43</f>
        <v>-31.4</v>
      </c>
      <c r="J43" s="9" t="n">
        <f aca="false">IF(AND(G43=0,H43=0),0,IF(G43=0,"New",(H43-G43)/G43))</f>
        <v>-1</v>
      </c>
    </row>
    <row r="44" customFormat="false" ht="15" hidden="false" customHeight="false" outlineLevel="0" collapsed="false">
      <c r="A44" s="7" t="s">
        <v>284</v>
      </c>
      <c r="B44" s="7" t="str">
        <f aca="false">IFERROR(INDEX('Source 2026'!$C:$C,MATCH($A44,'Source 2026'!$B:$B,0)),IFERROR(INDEX('Source 2025'!$C:$C,MATCH($A44,'Source 2025'!$B:$B,0)),""))</f>
        <v>לחץ מיבלת2יח</v>
      </c>
      <c r="C44" s="8" t="n">
        <f aca="false">SUMIFS('Source 2025'!$H:$H,'Source 2025'!$B:$B,$A44,'Source 2025'!$A:$A,"Quantity (units)")</f>
        <v>2</v>
      </c>
      <c r="D44" s="8" t="n">
        <f aca="false">SUMIFS('Source 2026'!$H:$H,'Source 2026'!$B:$B,$A44,'Source 2026'!$A:$A,"Quantity (units)")</f>
        <v>4</v>
      </c>
      <c r="E44" s="8" t="n">
        <f aca="false">D44-C44</f>
        <v>2</v>
      </c>
      <c r="F44" s="9" t="n">
        <f aca="false">IF(AND(C44=0,D44=0),0,IF(C44=0,"New",(D44-C44)/C44))</f>
        <v>1</v>
      </c>
      <c r="G44" s="10" t="n">
        <f aca="false">SUMIFS('Source 2025'!$H:$H,'Source 2025'!$B:$B,$A44,'Source 2025'!$A:$A,"Amount (NIS)")</f>
        <v>35.2</v>
      </c>
      <c r="H44" s="10" t="n">
        <f aca="false">SUMIFS('Source 2026'!$H:$H,'Source 2026'!$B:$B,$A44,'Source 2026'!$A:$A,"Amount (NIS)")</f>
        <v>58.3</v>
      </c>
      <c r="I44" s="10" t="n">
        <f aca="false">H44-G44</f>
        <v>23.1</v>
      </c>
      <c r="J44" s="9" t="n">
        <f aca="false">IF(AND(G44=0,H44=0),0,IF(G44=0,"New",(H44-G44)/G44))</f>
        <v>0.65625</v>
      </c>
    </row>
    <row r="45" customFormat="false" ht="15" hidden="false" customHeight="false" outlineLevel="0" collapsed="false">
      <c r="A45" s="7" t="s">
        <v>82</v>
      </c>
      <c r="B45" s="7" t="str">
        <f aca="false">IFERROR(INDEX('Source 2026'!$C:$C,MATCH($A45,'Source 2026'!$B:$B,0)),IFERROR(INDEX('Source 2025'!$C:$C,MATCH($A45,'Source 2025'!$B:$B,0)),""))</f>
        <v>S-L אצבעון מסיליקון יחידה</v>
      </c>
      <c r="C45" s="8" t="n">
        <f aca="false">SUMIFS('Source 2025'!$H:$H,'Source 2025'!$B:$B,$A45,'Source 2025'!$A:$A,"Quantity (units)")</f>
        <v>0</v>
      </c>
      <c r="D45" s="8" t="n">
        <f aca="false">SUMIFS('Source 2026'!$H:$H,'Source 2026'!$B:$B,$A45,'Source 2026'!$A:$A,"Quantity (units)")</f>
        <v>1</v>
      </c>
      <c r="E45" s="8" t="n">
        <f aca="false">D45-C45</f>
        <v>1</v>
      </c>
      <c r="F45" s="9" t="str">
        <f aca="false">IF(AND(C45=0,D45=0),0,IF(C45=0,"New",(D45-C45)/C45))</f>
        <v>New</v>
      </c>
      <c r="G45" s="10" t="n">
        <f aca="false">SUMIFS('Source 2025'!$H:$H,'Source 2025'!$B:$B,$A45,'Source 2025'!$A:$A,"Amount (NIS)")</f>
        <v>0</v>
      </c>
      <c r="H45" s="10" t="n">
        <f aca="false">SUMIFS('Source 2026'!$H:$H,'Source 2026'!$B:$B,$A45,'Source 2026'!$A:$A,"Amount (NIS)")</f>
        <v>20.7</v>
      </c>
      <c r="I45" s="10" t="n">
        <f aca="false">H45-G45</f>
        <v>20.7</v>
      </c>
      <c r="J45" s="9" t="str">
        <f aca="false">IF(AND(G45=0,H45=0),0,IF(G45=0,"New",(H45-G45)/G45))</f>
        <v>New</v>
      </c>
    </row>
    <row r="46" customFormat="false" ht="15" hidden="false" customHeight="false" outlineLevel="0" collapsed="false">
      <c r="A46" s="7" t="s">
        <v>74</v>
      </c>
      <c r="B46" s="7" t="str">
        <f aca="false">IFERROR(INDEX('Source 2026'!$C:$C,MATCH($A46,'Source 2026'!$B:$B,0)),IFERROR(INDEX('Source 2025'!$C:$C,MATCH($A46,'Source 2025'!$B:$B,0)),""))</f>
        <v>L מגן מרפק רגיל לבן</v>
      </c>
      <c r="C46" s="8" t="n">
        <f aca="false">SUMIFS('Source 2025'!$H:$H,'Source 2025'!$B:$B,$A46,'Source 2025'!$A:$A,"Quantity (units)")</f>
        <v>1</v>
      </c>
      <c r="D46" s="8" t="n">
        <f aca="false">SUMIFS('Source 2026'!$H:$H,'Source 2026'!$B:$B,$A46,'Source 2026'!$A:$A,"Quantity (units)")</f>
        <v>1</v>
      </c>
      <c r="E46" s="8" t="n">
        <f aca="false">D46-C46</f>
        <v>0</v>
      </c>
      <c r="F46" s="9" t="n">
        <f aca="false">IF(AND(C46=0,D46=0),0,IF(C46=0,"New",(D46-C46)/C46))</f>
        <v>0</v>
      </c>
      <c r="G46" s="10" t="n">
        <f aca="false">SUMIFS('Source 2025'!$H:$H,'Source 2025'!$B:$B,$A46,'Source 2025'!$A:$A,"Amount (NIS)")</f>
        <v>25.8</v>
      </c>
      <c r="H46" s="10" t="n">
        <f aca="false">SUMIFS('Source 2026'!$H:$H,'Source 2026'!$B:$B,$A46,'Source 2026'!$A:$A,"Amount (NIS)")</f>
        <v>26.8</v>
      </c>
      <c r="I46" s="10" t="n">
        <f aca="false">H46-G46</f>
        <v>1</v>
      </c>
      <c r="J46" s="9" t="n">
        <f aca="false">IF(AND(G46=0,H46=0),0,IF(G46=0,"New",(H46-G46)/G46))</f>
        <v>0.0387596899224806</v>
      </c>
    </row>
    <row r="47" customFormat="false" ht="15" hidden="false" customHeight="false" outlineLevel="0" collapsed="false">
      <c r="A47" s="7" t="s">
        <v>84</v>
      </c>
      <c r="B47" s="7" t="str">
        <f aca="false">IFERROR(INDEX('Source 2026'!$C:$C,MATCH($A47,'Source 2026'!$B:$B,0)),IFERROR(INDEX('Source 2025'!$C:$C,MATCH($A47,'Source 2025'!$B:$B,0)),""))</f>
        <v>Sמיישר כתף יציב יישור גב צר</v>
      </c>
      <c r="C47" s="8" t="n">
        <f aca="false">SUMIFS('Source 2025'!$H:$H,'Source 2025'!$B:$B,$A47,'Source 2025'!$A:$A,"Quantity (units)")</f>
        <v>1</v>
      </c>
      <c r="D47" s="8" t="n">
        <f aca="false">SUMIFS('Source 2026'!$H:$H,'Source 2026'!$B:$B,$A47,'Source 2026'!$A:$A,"Quantity (units)")</f>
        <v>1</v>
      </c>
      <c r="E47" s="8" t="n">
        <f aca="false">D47-C47</f>
        <v>0</v>
      </c>
      <c r="F47" s="9" t="n">
        <f aca="false">IF(AND(C47=0,D47=0),0,IF(C47=0,"New",(D47-C47)/C47))</f>
        <v>0</v>
      </c>
      <c r="G47" s="10" t="n">
        <f aca="false">SUMIFS('Source 2025'!$H:$H,'Source 2025'!$B:$B,$A47,'Source 2025'!$A:$A,"Amount (NIS)")</f>
        <v>142.1</v>
      </c>
      <c r="H47" s="10" t="n">
        <f aca="false">SUMIFS('Source 2026'!$H:$H,'Source 2026'!$B:$B,$A47,'Source 2026'!$A:$A,"Amount (NIS)")</f>
        <v>142.1</v>
      </c>
      <c r="I47" s="10" t="n">
        <f aca="false">H47-G47</f>
        <v>0</v>
      </c>
      <c r="J47" s="9" t="n">
        <f aca="false">IF(AND(G47=0,H47=0),0,IF(G47=0,"New",(H47-G47)/G47))</f>
        <v>0</v>
      </c>
    </row>
    <row r="48" customFormat="false" ht="15" hidden="false" customHeight="false" outlineLevel="0" collapsed="false">
      <c r="A48" s="7" t="s">
        <v>87</v>
      </c>
      <c r="B48" s="7" t="str">
        <f aca="false">IFERROR(INDEX('Source 2026'!$C:$C,MATCH($A48,'Source 2026'!$B:$B,0)),IFERROR(INDEX('Source 2025'!$C:$C,MATCH($A48,'Source 2025'!$B:$B,0)),""))</f>
        <v>טלק מעושר באלוורה</v>
      </c>
      <c r="C48" s="8" t="n">
        <f aca="false">SUMIFS('Source 2025'!$H:$H,'Source 2025'!$B:$B,$A48,'Source 2025'!$A:$A,"Quantity (units)")</f>
        <v>11</v>
      </c>
      <c r="D48" s="8" t="n">
        <f aca="false">SUMIFS('Source 2026'!$H:$H,'Source 2026'!$B:$B,$A48,'Source 2026'!$A:$A,"Quantity (units)")</f>
        <v>11</v>
      </c>
      <c r="E48" s="8" t="n">
        <f aca="false">D48-C48</f>
        <v>0</v>
      </c>
      <c r="F48" s="9" t="n">
        <f aca="false">IF(AND(C48=0,D48=0),0,IF(C48=0,"New",(D48-C48)/C48))</f>
        <v>0</v>
      </c>
      <c r="G48" s="10" t="n">
        <f aca="false">SUMIFS('Source 2025'!$H:$H,'Source 2025'!$B:$B,$A48,'Source 2025'!$A:$A,"Amount (NIS)")</f>
        <v>223</v>
      </c>
      <c r="H48" s="10" t="n">
        <f aca="false">SUMIFS('Source 2026'!$H:$H,'Source 2026'!$B:$B,$A48,'Source 2026'!$A:$A,"Amount (NIS)")</f>
        <v>223</v>
      </c>
      <c r="I48" s="10" t="n">
        <f aca="false">H48-G48</f>
        <v>0</v>
      </c>
      <c r="J48" s="9" t="n">
        <f aca="false">IF(AND(G48=0,H48=0),0,IF(G48=0,"New",(H48-G48)/G48))</f>
        <v>0</v>
      </c>
    </row>
    <row r="50" customFormat="false" ht="15" hidden="false" customHeight="false" outlineLevel="0" collapsed="false">
      <c r="A50" s="11"/>
      <c r="B50" s="12" t="s">
        <v>257</v>
      </c>
      <c r="C50" s="13" t="n">
        <f aca="false">SUM(C6:C48)</f>
        <v>374</v>
      </c>
      <c r="D50" s="13" t="n">
        <f aca="false">SUM(D6:D48)</f>
        <v>175</v>
      </c>
      <c r="E50" s="13" t="n">
        <f aca="false">SUM(E6:E48)</f>
        <v>-199</v>
      </c>
      <c r="F50" s="14" t="n">
        <f aca="false">IF(C50=0,"N/A",E50/C50)</f>
        <v>-0.532085561497326</v>
      </c>
      <c r="G50" s="15" t="n">
        <f aca="false">SUM(G6:G48)</f>
        <v>9812.1</v>
      </c>
      <c r="H50" s="15" t="n">
        <f aca="false">SUM(H6:H48)</f>
        <v>4549.9</v>
      </c>
      <c r="I50" s="15" t="n">
        <f aca="false">SUM(I6:I48)</f>
        <v>-5262.2</v>
      </c>
      <c r="J50" s="14" t="n">
        <f aca="false">IF(G50=0,"N/A",I50/G50)</f>
        <v>-0.536297021025061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350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351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38</v>
      </c>
      <c r="B6" s="7" t="str">
        <f aca="false">IFERROR(INDEX('Source 2026'!$C:$C,MATCH($A6,'Source 2026'!$B:$B,0)),IFERROR(INDEX('Source 2025'!$C:$C,MATCH($A6,'Source 2025'!$B:$B,0)),""))</f>
        <v>אפיק ג'ל מולט.ספורט35-38</v>
      </c>
      <c r="C6" s="8" t="n">
        <f aca="false">SUMIFS('Source 2025'!$I:$I,'Source 2025'!$B:$B,$A6,'Source 2025'!$A:$A,"Quantity (units)")</f>
        <v>2855</v>
      </c>
      <c r="D6" s="8" t="n">
        <f aca="false">SUMIFS('Source 2026'!$I:$I,'Source 2026'!$B:$B,$A6,'Source 2026'!$A:$A,"Quantity (units)")</f>
        <v>481</v>
      </c>
      <c r="E6" s="8" t="n">
        <f aca="false">D6-C6</f>
        <v>-2374</v>
      </c>
      <c r="F6" s="9" t="n">
        <f aca="false">IF(AND(C6=0,D6=0),0,IF(C6=0,"New",(D6-C6)/C6))</f>
        <v>-0.831523642732049</v>
      </c>
      <c r="G6" s="10" t="n">
        <f aca="false">SUMIFS('Source 2025'!$I:$I,'Source 2025'!$B:$B,$A6,'Source 2025'!$A:$A,"Amount (NIS)")</f>
        <v>265726.2</v>
      </c>
      <c r="H6" s="10" t="n">
        <f aca="false">SUMIFS('Source 2026'!$I:$I,'Source 2026'!$B:$B,$A6,'Source 2026'!$A:$A,"Amount (NIS)")</f>
        <v>47626.6</v>
      </c>
      <c r="I6" s="10" t="n">
        <f aca="false">H6-G6</f>
        <v>-218099.6</v>
      </c>
      <c r="J6" s="9" t="n">
        <f aca="false">IF(AND(G6=0,H6=0),0,IF(G6=0,"New",(H6-G6)/G6))</f>
        <v>-0.820768144052036</v>
      </c>
    </row>
    <row r="7" customFormat="false" ht="15" hidden="false" customHeight="false" outlineLevel="0" collapsed="false">
      <c r="A7" s="7" t="s">
        <v>39</v>
      </c>
      <c r="B7" s="7" t="str">
        <f aca="false">IFERROR(INDEX('Source 2026'!$C:$C,MATCH($A7,'Source 2026'!$B:$B,0)),IFERROR(INDEX('Source 2025'!$C:$C,MATCH($A7,'Source 2025'!$B:$B,0)),""))</f>
        <v>מדרסי אפיק ג'ל נוחות</v>
      </c>
      <c r="C7" s="8" t="n">
        <f aca="false">SUMIFS('Source 2025'!$I:$I,'Source 2025'!$B:$B,$A7,'Source 2025'!$A:$A,"Quantity (units)")</f>
        <v>1776</v>
      </c>
      <c r="D7" s="8" t="n">
        <f aca="false">SUMIFS('Source 2026'!$I:$I,'Source 2026'!$B:$B,$A7,'Source 2026'!$A:$A,"Quantity (units)")</f>
        <v>112</v>
      </c>
      <c r="E7" s="8" t="n">
        <f aca="false">D7-C7</f>
        <v>-1664</v>
      </c>
      <c r="F7" s="9" t="n">
        <f aca="false">IF(AND(C7=0,D7=0),0,IF(C7=0,"New",(D7-C7)/C7))</f>
        <v>-0.936936936936937</v>
      </c>
      <c r="G7" s="10" t="n">
        <f aca="false">SUMIFS('Source 2025'!$I:$I,'Source 2025'!$B:$B,$A7,'Source 2025'!$A:$A,"Amount (NIS)")</f>
        <v>164431.7</v>
      </c>
      <c r="H7" s="10" t="n">
        <f aca="false">SUMIFS('Source 2026'!$I:$I,'Source 2026'!$B:$B,$A7,'Source 2026'!$A:$A,"Amount (NIS)")</f>
        <v>11519.9</v>
      </c>
      <c r="I7" s="10" t="n">
        <f aca="false">H7-G7</f>
        <v>-152911.8</v>
      </c>
      <c r="J7" s="9" t="n">
        <f aca="false">IF(AND(G7=0,H7=0),0,IF(G7=0,"New",(H7-G7)/G7))</f>
        <v>-0.929941124491202</v>
      </c>
    </row>
    <row r="8" customFormat="false" ht="15" hidden="false" customHeight="false" outlineLevel="0" collapsed="false">
      <c r="A8" s="7" t="s">
        <v>40</v>
      </c>
      <c r="B8" s="7" t="str">
        <f aca="false">IFERROR(INDEX('Source 2026'!$C:$C,MATCH($A8,'Source 2026'!$B:$B,0)),IFERROR(INDEX('Source 2025'!$C:$C,MATCH($A8,'Source 2025'!$B:$B,0)),""))</f>
        <v>מדרסי אפיק ג'ל נוחות</v>
      </c>
      <c r="C8" s="8" t="n">
        <f aca="false">SUMIFS('Source 2025'!$I:$I,'Source 2025'!$B:$B,$A8,'Source 2025'!$A:$A,"Quantity (units)")</f>
        <v>2025</v>
      </c>
      <c r="D8" s="8" t="n">
        <f aca="false">SUMIFS('Source 2026'!$I:$I,'Source 2026'!$B:$B,$A8,'Source 2026'!$A:$A,"Quantity (units)")</f>
        <v>522</v>
      </c>
      <c r="E8" s="8" t="n">
        <f aca="false">D8-C8</f>
        <v>-1503</v>
      </c>
      <c r="F8" s="9" t="n">
        <f aca="false">IF(AND(C8=0,D8=0),0,IF(C8=0,"New",(D8-C8)/C8))</f>
        <v>-0.742222222222222</v>
      </c>
      <c r="G8" s="10" t="n">
        <f aca="false">SUMIFS('Source 2025'!$I:$I,'Source 2025'!$B:$B,$A8,'Source 2025'!$A:$A,"Amount (NIS)")</f>
        <v>188767.1</v>
      </c>
      <c r="H8" s="10" t="n">
        <f aca="false">SUMIFS('Source 2026'!$I:$I,'Source 2026'!$B:$B,$A8,'Source 2026'!$A:$A,"Amount (NIS)")</f>
        <v>52314</v>
      </c>
      <c r="I8" s="10" t="n">
        <f aca="false">H8-G8</f>
        <v>-136453.1</v>
      </c>
      <c r="J8" s="9" t="n">
        <f aca="false">IF(AND(G8=0,H8=0),0,IF(G8=0,"New",(H8-G8)/G8))</f>
        <v>-0.722864842443413</v>
      </c>
    </row>
    <row r="9" customFormat="false" ht="15" hidden="false" customHeight="false" outlineLevel="0" collapsed="false">
      <c r="A9" s="7" t="s">
        <v>41</v>
      </c>
      <c r="B9" s="7" t="str">
        <f aca="false">IFERROR(INDEX('Source 2026'!$C:$C,MATCH($A9,'Source 2026'!$B:$B,0)),IFERROR(INDEX('Source 2025'!$C:$C,MATCH($A9,'Source 2025'!$B:$B,0)),""))</f>
        <v>מדרסי אפיק ג'ל נוחות</v>
      </c>
      <c r="C9" s="8" t="n">
        <f aca="false">SUMIFS('Source 2025'!$I:$I,'Source 2025'!$B:$B,$A9,'Source 2025'!$A:$A,"Quantity (units)")</f>
        <v>2122</v>
      </c>
      <c r="D9" s="8" t="n">
        <f aca="false">SUMIFS('Source 2026'!$I:$I,'Source 2026'!$B:$B,$A9,'Source 2026'!$A:$A,"Quantity (units)")</f>
        <v>789</v>
      </c>
      <c r="E9" s="8" t="n">
        <f aca="false">D9-C9</f>
        <v>-1333</v>
      </c>
      <c r="F9" s="9" t="n">
        <f aca="false">IF(AND(C9=0,D9=0),0,IF(C9=0,"New",(D9-C9)/C9))</f>
        <v>-0.62818096135721</v>
      </c>
      <c r="G9" s="10" t="n">
        <f aca="false">SUMIFS('Source 2025'!$I:$I,'Source 2025'!$B:$B,$A9,'Source 2025'!$A:$A,"Amount (NIS)")</f>
        <v>197774.9</v>
      </c>
      <c r="H9" s="10" t="n">
        <f aca="false">SUMIFS('Source 2026'!$I:$I,'Source 2026'!$B:$B,$A9,'Source 2026'!$A:$A,"Amount (NIS)")</f>
        <v>78734.4</v>
      </c>
      <c r="I9" s="10" t="n">
        <f aca="false">H9-G9</f>
        <v>-119040.5</v>
      </c>
      <c r="J9" s="9" t="n">
        <f aca="false">IF(AND(G9=0,H9=0),0,IF(G9=0,"New",(H9-G9)/G9))</f>
        <v>-0.601898926506852</v>
      </c>
    </row>
    <row r="10" customFormat="false" ht="15" hidden="false" customHeight="false" outlineLevel="0" collapsed="false">
      <c r="A10" s="7" t="s">
        <v>42</v>
      </c>
      <c r="B10" s="7" t="str">
        <f aca="false">IFERROR(INDEX('Source 2026'!$C:$C,MATCH($A10,'Source 2026'!$B:$B,0)),IFERROR(INDEX('Source 2025'!$C:$C,MATCH($A10,'Source 2025'!$B:$B,0)),""))</f>
        <v>L סד ליד דו צדדי לאחר שבר</v>
      </c>
      <c r="C10" s="8" t="n">
        <f aca="false">SUMIFS('Source 2025'!$I:$I,'Source 2025'!$B:$B,$A10,'Source 2025'!$A:$A,"Quantity (units)")</f>
        <v>2734</v>
      </c>
      <c r="D10" s="8" t="n">
        <f aca="false">SUMIFS('Source 2026'!$I:$I,'Source 2026'!$B:$B,$A10,'Source 2026'!$A:$A,"Quantity (units)")</f>
        <v>1361</v>
      </c>
      <c r="E10" s="8" t="n">
        <f aca="false">D10-C10</f>
        <v>-1373</v>
      </c>
      <c r="F10" s="9" t="n">
        <f aca="false">IF(AND(C10=0,D10=0),0,IF(C10=0,"New",(D10-C10)/C10))</f>
        <v>-0.502194586686174</v>
      </c>
      <c r="G10" s="10" t="n">
        <f aca="false">SUMIFS('Source 2025'!$I:$I,'Source 2025'!$B:$B,$A10,'Source 2025'!$A:$A,"Amount (NIS)")</f>
        <v>224663.9</v>
      </c>
      <c r="H10" s="10" t="n">
        <f aca="false">SUMIFS('Source 2026'!$I:$I,'Source 2026'!$B:$B,$A10,'Source 2026'!$A:$A,"Amount (NIS)")</f>
        <v>113662.8</v>
      </c>
      <c r="I10" s="10" t="n">
        <f aca="false">H10-G10</f>
        <v>-111001.1</v>
      </c>
      <c r="J10" s="9" t="n">
        <f aca="false">IF(AND(G10=0,H10=0),0,IF(G10=0,"New",(H10-G10)/G10))</f>
        <v>-0.494076262363468</v>
      </c>
    </row>
    <row r="11" customFormat="false" ht="15" hidden="false" customHeight="false" outlineLevel="0" collapsed="false">
      <c r="A11" s="7" t="s">
        <v>46</v>
      </c>
      <c r="B11" s="7" t="str">
        <f aca="false">IFERROR(INDEX('Source 2026'!$C:$C,MATCH($A11,'Source 2026'!$B:$B,0)),IFERROR(INDEX('Source 2025'!$C:$C,MATCH($A11,'Source 2025'!$B:$B,0)),""))</f>
        <v>35-38 גרבי טיסה מידה</v>
      </c>
      <c r="C11" s="8" t="n">
        <f aca="false">SUMIFS('Source 2025'!$I:$I,'Source 2025'!$B:$B,$A11,'Source 2025'!$A:$A,"Quantity (units)")</f>
        <v>2048</v>
      </c>
      <c r="D11" s="8" t="n">
        <f aca="false">SUMIFS('Source 2026'!$I:$I,'Source 2026'!$B:$B,$A11,'Source 2026'!$A:$A,"Quantity (units)")</f>
        <v>-9</v>
      </c>
      <c r="E11" s="8" t="n">
        <f aca="false">D11-C11</f>
        <v>-2057</v>
      </c>
      <c r="F11" s="9" t="n">
        <f aca="false">IF(AND(C11=0,D11=0),0,IF(C11=0,"New",(D11-C11)/C11))</f>
        <v>-1.00439453125</v>
      </c>
      <c r="G11" s="10" t="n">
        <f aca="false">SUMIFS('Source 2025'!$I:$I,'Source 2025'!$B:$B,$A11,'Source 2025'!$A:$A,"Amount (NIS)")</f>
        <v>110040.8</v>
      </c>
      <c r="H11" s="10" t="n">
        <f aca="false">SUMIFS('Source 2026'!$I:$I,'Source 2026'!$B:$B,$A11,'Source 2026'!$A:$A,"Amount (NIS)")</f>
        <v>-457.7</v>
      </c>
      <c r="I11" s="10" t="n">
        <f aca="false">H11-G11</f>
        <v>-110498.5</v>
      </c>
      <c r="J11" s="9" t="n">
        <f aca="false">IF(AND(G11=0,H11=0),0,IF(G11=0,"New",(H11-G11)/G11))</f>
        <v>-1.00415936634412</v>
      </c>
    </row>
    <row r="12" customFormat="false" ht="15" hidden="false" customHeight="false" outlineLevel="0" collapsed="false">
      <c r="A12" s="7" t="s">
        <v>43</v>
      </c>
      <c r="B12" s="7" t="str">
        <f aca="false">IFERROR(INDEX('Source 2026'!$C:$C,MATCH($A12,'Source 2026'!$B:$B,0)),IFERROR(INDEX('Source 2025'!$C:$C,MATCH($A12,'Source 2025'!$B:$B,0)),""))</f>
        <v>S מגן קרסול חום</v>
      </c>
      <c r="C12" s="8" t="n">
        <f aca="false">SUMIFS('Source 2025'!$I:$I,'Source 2025'!$B:$B,$A12,'Source 2025'!$A:$A,"Quantity (units)")</f>
        <v>11682</v>
      </c>
      <c r="D12" s="8" t="n">
        <f aca="false">SUMIFS('Source 2026'!$I:$I,'Source 2026'!$B:$B,$A12,'Source 2026'!$A:$A,"Quantity (units)")</f>
        <v>7746</v>
      </c>
      <c r="E12" s="8" t="n">
        <f aca="false">D12-C12</f>
        <v>-3936</v>
      </c>
      <c r="F12" s="9" t="n">
        <f aca="false">IF(AND(C12=0,D12=0),0,IF(C12=0,"New",(D12-C12)/C12))</f>
        <v>-0.336928608115049</v>
      </c>
      <c r="G12" s="10" t="n">
        <f aca="false">SUMIFS('Source 2025'!$I:$I,'Source 2025'!$B:$B,$A12,'Source 2025'!$A:$A,"Amount (NIS)")</f>
        <v>302519</v>
      </c>
      <c r="H12" s="10" t="n">
        <f aca="false">SUMIFS('Source 2026'!$I:$I,'Source 2026'!$B:$B,$A12,'Source 2026'!$A:$A,"Amount (NIS)")</f>
        <v>203753.2</v>
      </c>
      <c r="I12" s="10" t="n">
        <f aca="false">H12-G12</f>
        <v>-98765.8</v>
      </c>
      <c r="J12" s="9" t="n">
        <f aca="false">IF(AND(G12=0,H12=0),0,IF(G12=0,"New",(H12-G12)/G12))</f>
        <v>-0.326478006340098</v>
      </c>
    </row>
    <row r="13" customFormat="false" ht="15" hidden="false" customHeight="false" outlineLevel="0" collapsed="false">
      <c r="A13" s="7" t="s">
        <v>44</v>
      </c>
      <c r="B13" s="7" t="str">
        <f aca="false">IFERROR(INDEX('Source 2026'!$C:$C,MATCH($A13,'Source 2026'!$B:$B,0)),IFERROR(INDEX('Source 2025'!$C:$C,MATCH($A13,'Source 2025'!$B:$B,0)),""))</f>
        <v>S  חבק יד ארוך</v>
      </c>
      <c r="C13" s="8" t="n">
        <f aca="false">SUMIFS('Source 2025'!$I:$I,'Source 2025'!$B:$B,$A13,'Source 2025'!$A:$A,"Quantity (units)")</f>
        <v>9023</v>
      </c>
      <c r="D13" s="8" t="n">
        <f aca="false">SUMIFS('Source 2026'!$I:$I,'Source 2026'!$B:$B,$A13,'Source 2026'!$A:$A,"Quantity (units)")</f>
        <v>6005</v>
      </c>
      <c r="E13" s="8" t="n">
        <f aca="false">D13-C13</f>
        <v>-3018</v>
      </c>
      <c r="F13" s="9" t="n">
        <f aca="false">IF(AND(C13=0,D13=0),0,IF(C13=0,"New",(D13-C13)/C13))</f>
        <v>-0.334478554804389</v>
      </c>
      <c r="G13" s="10" t="n">
        <f aca="false">SUMIFS('Source 2025'!$I:$I,'Source 2025'!$B:$B,$A13,'Source 2025'!$A:$A,"Amount (NIS)")</f>
        <v>296880.7</v>
      </c>
      <c r="H13" s="10" t="n">
        <f aca="false">SUMIFS('Source 2026'!$I:$I,'Source 2026'!$B:$B,$A13,'Source 2026'!$A:$A,"Amount (NIS)")</f>
        <v>199190.1</v>
      </c>
      <c r="I13" s="10" t="n">
        <f aca="false">H13-G13</f>
        <v>-97690.6</v>
      </c>
      <c r="J13" s="9" t="n">
        <f aca="false">IF(AND(G13=0,H13=0),0,IF(G13=0,"New",(H13-G13)/G13))</f>
        <v>-0.329056755794499</v>
      </c>
    </row>
    <row r="14" customFormat="false" ht="15" hidden="false" customHeight="false" outlineLevel="0" collapsed="false">
      <c r="A14" s="7" t="s">
        <v>45</v>
      </c>
      <c r="B14" s="7" t="str">
        <f aca="false">IFERROR(INDEX('Source 2026'!$C:$C,MATCH($A14,'Source 2026'!$B:$B,0)),IFERROR(INDEX('Source 2025'!$C:$C,MATCH($A14,'Source 2025'!$B:$B,0)),""))</f>
        <v>טיסה אנטי בקטרי35-38</v>
      </c>
      <c r="C14" s="8" t="n">
        <f aca="false">SUMIFS('Source 2025'!$I:$I,'Source 2025'!$B:$B,$A14,'Source 2025'!$A:$A,"Quantity (units)")</f>
        <v>0</v>
      </c>
      <c r="D14" s="8" t="n">
        <f aca="false">SUMIFS('Source 2026'!$I:$I,'Source 2026'!$B:$B,$A14,'Source 2026'!$A:$A,"Quantity (units)")</f>
        <v>1552</v>
      </c>
      <c r="E14" s="8" t="n">
        <f aca="false">D14-C14</f>
        <v>1552</v>
      </c>
      <c r="F14" s="9" t="str">
        <f aca="false">IF(AND(C14=0,D14=0),0,IF(C14=0,"New",(D14-C14)/C14))</f>
        <v>New</v>
      </c>
      <c r="G14" s="10" t="n">
        <f aca="false">SUMIFS('Source 2025'!$I:$I,'Source 2025'!$B:$B,$A14,'Source 2025'!$A:$A,"Amount (NIS)")</f>
        <v>0</v>
      </c>
      <c r="H14" s="10" t="n">
        <f aca="false">SUMIFS('Source 2026'!$I:$I,'Source 2026'!$B:$B,$A14,'Source 2026'!$A:$A,"Amount (NIS)")</f>
        <v>84761</v>
      </c>
      <c r="I14" s="10" t="n">
        <f aca="false">H14-G14</f>
        <v>84761</v>
      </c>
      <c r="J14" s="9" t="str">
        <f aca="false">IF(AND(G14=0,H14=0),0,IF(G14=0,"New",(H14-G14)/G14))</f>
        <v>New</v>
      </c>
    </row>
    <row r="15" customFormat="false" ht="15" hidden="false" customHeight="false" outlineLevel="0" collapsed="false">
      <c r="A15" s="7" t="s">
        <v>47</v>
      </c>
      <c r="B15" s="7" t="str">
        <f aca="false">IFERROR(INDEX('Source 2026'!$C:$C,MATCH($A15,'Source 2026'!$B:$B,0)),IFERROR(INDEX('Source 2025'!$C:$C,MATCH($A15,'Source 2025'!$B:$B,0)),""))</f>
        <v>M מגן קרסול עקב סגור</v>
      </c>
      <c r="C15" s="8" t="n">
        <f aca="false">SUMIFS('Source 2025'!$I:$I,'Source 2025'!$B:$B,$A15,'Source 2025'!$A:$A,"Quantity (units)")</f>
        <v>6872</v>
      </c>
      <c r="D15" s="8" t="n">
        <f aca="false">SUMIFS('Source 2026'!$I:$I,'Source 2026'!$B:$B,$A15,'Source 2026'!$A:$A,"Quantity (units)")</f>
        <v>4609</v>
      </c>
      <c r="E15" s="8" t="n">
        <f aca="false">D15-C15</f>
        <v>-2263</v>
      </c>
      <c r="F15" s="9" t="n">
        <f aca="false">IF(AND(C15=0,D15=0),0,IF(C15=0,"New",(D15-C15)/C15))</f>
        <v>-0.32930733410943</v>
      </c>
      <c r="G15" s="10" t="n">
        <f aca="false">SUMIFS('Source 2025'!$I:$I,'Source 2025'!$B:$B,$A15,'Source 2025'!$A:$A,"Amount (NIS)")</f>
        <v>260017.5</v>
      </c>
      <c r="H15" s="10" t="n">
        <f aca="false">SUMIFS('Source 2026'!$I:$I,'Source 2026'!$B:$B,$A15,'Source 2026'!$A:$A,"Amount (NIS)")</f>
        <v>176444.8</v>
      </c>
      <c r="I15" s="10" t="n">
        <f aca="false">H15-G15</f>
        <v>-83572.7</v>
      </c>
      <c r="J15" s="9" t="n">
        <f aca="false">IF(AND(G15=0,H15=0),0,IF(G15=0,"New",(H15-G15)/G15))</f>
        <v>-0.321411828050035</v>
      </c>
    </row>
    <row r="16" customFormat="false" ht="15" hidden="false" customHeight="false" outlineLevel="0" collapsed="false">
      <c r="A16" s="7" t="s">
        <v>49</v>
      </c>
      <c r="B16" s="7" t="str">
        <f aca="false">IFERROR(INDEX('Source 2026'!$C:$C,MATCH($A16,'Source 2026'!$B:$B,0)),IFERROR(INDEX('Source 2025'!$C:$C,MATCH($A16,'Source 2025'!$B:$B,0)),""))</f>
        <v>S מגן ברך חום</v>
      </c>
      <c r="C16" s="8" t="n">
        <f aca="false">SUMIFS('Source 2025'!$I:$I,'Source 2025'!$B:$B,$A16,'Source 2025'!$A:$A,"Quantity (units)")</f>
        <v>11105</v>
      </c>
      <c r="D16" s="8" t="n">
        <f aca="false">SUMIFS('Source 2026'!$I:$I,'Source 2026'!$B:$B,$A16,'Source 2026'!$A:$A,"Quantity (units)")</f>
        <v>8013</v>
      </c>
      <c r="E16" s="8" t="n">
        <f aca="false">D16-C16</f>
        <v>-3092</v>
      </c>
      <c r="F16" s="9" t="n">
        <f aca="false">IF(AND(C16=0,D16=0),0,IF(C16=0,"New",(D16-C16)/C16))</f>
        <v>-0.278433138226024</v>
      </c>
      <c r="G16" s="10" t="n">
        <f aca="false">SUMIFS('Source 2025'!$I:$I,'Source 2025'!$B:$B,$A16,'Source 2025'!$A:$A,"Amount (NIS)")</f>
        <v>287948.7</v>
      </c>
      <c r="H16" s="10" t="n">
        <f aca="false">SUMIFS('Source 2026'!$I:$I,'Source 2026'!$B:$B,$A16,'Source 2026'!$A:$A,"Amount (NIS)")</f>
        <v>209745.6</v>
      </c>
      <c r="I16" s="10" t="n">
        <f aca="false">H16-G16</f>
        <v>-78203.1</v>
      </c>
      <c r="J16" s="9" t="n">
        <f aca="false">IF(AND(G16=0,H16=0),0,IF(G16=0,"New",(H16-G16)/G16))</f>
        <v>-0.271586918086451</v>
      </c>
    </row>
    <row r="17" customFormat="false" ht="15" hidden="false" customHeight="false" outlineLevel="0" collapsed="false">
      <c r="A17" s="7" t="s">
        <v>48</v>
      </c>
      <c r="B17" s="7" t="str">
        <f aca="false">IFERROR(INDEX('Source 2026'!$C:$C,MATCH($A17,'Source 2026'!$B:$B,0)),IFERROR(INDEX('Source 2025'!$C:$C,MATCH($A17,'Source 2025'!$B:$B,0)),""))</f>
        <v>מישר כתפיים אקטיב</v>
      </c>
      <c r="C17" s="8" t="n">
        <f aca="false">SUMIFS('Source 2025'!$I:$I,'Source 2025'!$B:$B,$A17,'Source 2025'!$A:$A,"Quantity (units)")</f>
        <v>738</v>
      </c>
      <c r="D17" s="8" t="n">
        <f aca="false">SUMIFS('Source 2026'!$I:$I,'Source 2026'!$B:$B,$A17,'Source 2026'!$A:$A,"Quantity (units)")</f>
        <v>1790</v>
      </c>
      <c r="E17" s="8" t="n">
        <f aca="false">D17-C17</f>
        <v>1052</v>
      </c>
      <c r="F17" s="9" t="n">
        <f aca="false">IF(AND(C17=0,D17=0),0,IF(C17=0,"New",(D17-C17)/C17))</f>
        <v>1.42547425474255</v>
      </c>
      <c r="G17" s="10" t="n">
        <f aca="false">SUMIFS('Source 2025'!$I:$I,'Source 2025'!$B:$B,$A17,'Source 2025'!$A:$A,"Amount (NIS)")</f>
        <v>46423.4</v>
      </c>
      <c r="H17" s="10" t="n">
        <f aca="false">SUMIFS('Source 2026'!$I:$I,'Source 2026'!$B:$B,$A17,'Source 2026'!$A:$A,"Amount (NIS)")</f>
        <v>116307.2</v>
      </c>
      <c r="I17" s="10" t="n">
        <f aca="false">H17-G17</f>
        <v>69883.8</v>
      </c>
      <c r="J17" s="9" t="n">
        <f aca="false">IF(AND(G17=0,H17=0),0,IF(G17=0,"New",(H17-G17)/G17))</f>
        <v>1.50535721209562</v>
      </c>
    </row>
    <row r="18" customFormat="false" ht="15" hidden="false" customHeight="false" outlineLevel="0" collapsed="false">
      <c r="A18" s="7" t="s">
        <v>51</v>
      </c>
      <c r="B18" s="7" t="str">
        <f aca="false">IFERROR(INDEX('Source 2026'!$C:$C,MATCH($A18,'Source 2026'!$B:$B,0)),IFERROR(INDEX('Source 2025'!$C:$C,MATCH($A18,'Source 2025'!$B:$B,0)),""))</f>
        <v>Sמגן ברך ארוך לבן</v>
      </c>
      <c r="C18" s="8" t="n">
        <f aca="false">SUMIFS('Source 2025'!$I:$I,'Source 2025'!$B:$B,$A18,'Source 2025'!$A:$A,"Quantity (units)")</f>
        <v>5513</v>
      </c>
      <c r="D18" s="8" t="n">
        <f aca="false">SUMIFS('Source 2026'!$I:$I,'Source 2026'!$B:$B,$A18,'Source 2026'!$A:$A,"Quantity (units)")</f>
        <v>3324</v>
      </c>
      <c r="E18" s="8" t="n">
        <f aca="false">D18-C18</f>
        <v>-2189</v>
      </c>
      <c r="F18" s="9" t="n">
        <f aca="false">IF(AND(C18=0,D18=0),0,IF(C18=0,"New",(D18-C18)/C18))</f>
        <v>-0.397061491021223</v>
      </c>
      <c r="G18" s="10" t="n">
        <f aca="false">SUMIFS('Source 2025'!$I:$I,'Source 2025'!$B:$B,$A18,'Source 2025'!$A:$A,"Amount (NIS)")</f>
        <v>173295.8</v>
      </c>
      <c r="H18" s="10" t="n">
        <f aca="false">SUMIFS('Source 2026'!$I:$I,'Source 2026'!$B:$B,$A18,'Source 2026'!$A:$A,"Amount (NIS)")</f>
        <v>105234.2</v>
      </c>
      <c r="I18" s="10" t="n">
        <f aca="false">H18-G18</f>
        <v>-68061.6</v>
      </c>
      <c r="J18" s="9" t="n">
        <f aca="false">IF(AND(G18=0,H18=0),0,IF(G18=0,"New",(H18-G18)/G18))</f>
        <v>-0.392748121997186</v>
      </c>
    </row>
    <row r="19" customFormat="false" ht="15" hidden="false" customHeight="false" outlineLevel="0" collapsed="false">
      <c r="A19" s="7" t="s">
        <v>50</v>
      </c>
      <c r="B19" s="7" t="str">
        <f aca="false">IFERROR(INDEX('Source 2026'!$C:$C,MATCH($A19,'Source 2026'!$B:$B,0)),IFERROR(INDEX('Source 2025'!$C:$C,MATCH($A19,'Source 2025'!$B:$B,0)),""))</f>
        <v>S 'מגן ברך ארוך בז</v>
      </c>
      <c r="C19" s="8" t="n">
        <f aca="false">SUMIFS('Source 2025'!$I:$I,'Source 2025'!$B:$B,$A19,'Source 2025'!$A:$A,"Quantity (units)")</f>
        <v>9351</v>
      </c>
      <c r="D19" s="8" t="n">
        <f aca="false">SUMIFS('Source 2026'!$I:$I,'Source 2026'!$B:$B,$A19,'Source 2026'!$A:$A,"Quantity (units)")</f>
        <v>7130</v>
      </c>
      <c r="E19" s="8" t="n">
        <f aca="false">D19-C19</f>
        <v>-2221</v>
      </c>
      <c r="F19" s="9" t="n">
        <f aca="false">IF(AND(C19=0,D19=0),0,IF(C19=0,"New",(D19-C19)/C19))</f>
        <v>-0.2375147043097</v>
      </c>
      <c r="G19" s="10" t="n">
        <f aca="false">SUMIFS('Source 2025'!$I:$I,'Source 2025'!$B:$B,$A19,'Source 2025'!$A:$A,"Amount (NIS)")</f>
        <v>290388.7</v>
      </c>
      <c r="H19" s="10" t="n">
        <f aca="false">SUMIFS('Source 2026'!$I:$I,'Source 2026'!$B:$B,$A19,'Source 2026'!$A:$A,"Amount (NIS)")</f>
        <v>222926.7</v>
      </c>
      <c r="I19" s="10" t="n">
        <f aca="false">H19-G19</f>
        <v>-67462</v>
      </c>
      <c r="J19" s="9" t="n">
        <f aca="false">IF(AND(G19=0,H19=0),0,IF(G19=0,"New",(H19-G19)/G19))</f>
        <v>-0.232316202386663</v>
      </c>
    </row>
    <row r="20" customFormat="false" ht="15" hidden="false" customHeight="false" outlineLevel="0" collapsed="false">
      <c r="A20" s="7" t="s">
        <v>52</v>
      </c>
      <c r="B20" s="7" t="str">
        <f aca="false">IFERROR(INDEX('Source 2026'!$C:$C,MATCH($A20,'Source 2026'!$B:$B,0)),IFERROR(INDEX('Source 2025'!$C:$C,MATCH($A20,'Source 2025'!$B:$B,0)),""))</f>
        <v>L סד לאגודל לאחר שבר</v>
      </c>
      <c r="C20" s="8" t="n">
        <f aca="false">SUMIFS('Source 2025'!$I:$I,'Source 2025'!$B:$B,$A20,'Source 2025'!$A:$A,"Quantity (units)")</f>
        <v>2198</v>
      </c>
      <c r="D20" s="8" t="n">
        <f aca="false">SUMIFS('Source 2026'!$I:$I,'Source 2026'!$B:$B,$A20,'Source 2026'!$A:$A,"Quantity (units)")</f>
        <v>1421</v>
      </c>
      <c r="E20" s="8" t="n">
        <f aca="false">D20-C20</f>
        <v>-777</v>
      </c>
      <c r="F20" s="9" t="n">
        <f aca="false">IF(AND(C20=0,D20=0),0,IF(C20=0,"New",(D20-C20)/C20))</f>
        <v>-0.353503184713376</v>
      </c>
      <c r="G20" s="10" t="n">
        <f aca="false">SUMIFS('Source 2025'!$I:$I,'Source 2025'!$B:$B,$A20,'Source 2025'!$A:$A,"Amount (NIS)")</f>
        <v>181024.5</v>
      </c>
      <c r="H20" s="10" t="n">
        <f aca="false">SUMIFS('Source 2026'!$I:$I,'Source 2026'!$B:$B,$A20,'Source 2026'!$A:$A,"Amount (NIS)")</f>
        <v>117841.5</v>
      </c>
      <c r="I20" s="10" t="n">
        <f aca="false">H20-G20</f>
        <v>-63183</v>
      </c>
      <c r="J20" s="9" t="n">
        <f aca="false">IF(AND(G20=0,H20=0),0,IF(G20=0,"New",(H20-G20)/G20))</f>
        <v>-0.349030103660002</v>
      </c>
    </row>
    <row r="21" customFormat="false" ht="15" hidden="false" customHeight="false" outlineLevel="0" collapsed="false">
      <c r="A21" s="7" t="s">
        <v>53</v>
      </c>
      <c r="B21" s="7" t="str">
        <f aca="false">IFERROR(INDEX('Source 2026'!$C:$C,MATCH($A21,'Source 2026'!$B:$B,0)),IFERROR(INDEX('Source 2025'!$C:$C,MATCH($A21,'Source 2025'!$B:$B,0)),""))</f>
        <v>סד ליד דו צדדי</v>
      </c>
      <c r="C21" s="8" t="n">
        <f aca="false">SUMIFS('Source 2025'!$I:$I,'Source 2025'!$B:$B,$A21,'Source 2025'!$A:$A,"Quantity (units)")</f>
        <v>4888</v>
      </c>
      <c r="D21" s="8" t="n">
        <f aca="false">SUMIFS('Source 2026'!$I:$I,'Source 2026'!$B:$B,$A21,'Source 2026'!$A:$A,"Quantity (units)")</f>
        <v>3963</v>
      </c>
      <c r="E21" s="8" t="n">
        <f aca="false">D21-C21</f>
        <v>-925</v>
      </c>
      <c r="F21" s="9" t="n">
        <f aca="false">IF(AND(C21=0,D21=0),0,IF(C21=0,"New",(D21-C21)/C21))</f>
        <v>-0.189238952536825</v>
      </c>
      <c r="G21" s="10" t="n">
        <f aca="false">SUMIFS('Source 2025'!$I:$I,'Source 2025'!$B:$B,$A21,'Source 2025'!$A:$A,"Amount (NIS)")</f>
        <v>331446.1</v>
      </c>
      <c r="H21" s="10" t="n">
        <f aca="false">SUMIFS('Source 2026'!$I:$I,'Source 2026'!$B:$B,$A21,'Source 2026'!$A:$A,"Amount (NIS)")</f>
        <v>269878.4</v>
      </c>
      <c r="I21" s="10" t="n">
        <f aca="false">H21-G21</f>
        <v>-61567.7</v>
      </c>
      <c r="J21" s="9" t="n">
        <f aca="false">IF(AND(G21=0,H21=0),0,IF(G21=0,"New",(H21-G21)/G21))</f>
        <v>-0.185754787882555</v>
      </c>
    </row>
    <row r="22" customFormat="false" ht="15" hidden="false" customHeight="false" outlineLevel="0" collapsed="false">
      <c r="A22" s="7" t="s">
        <v>56</v>
      </c>
      <c r="B22" s="7" t="str">
        <f aca="false">IFERROR(INDEX('Source 2026'!$C:$C,MATCH($A22,'Source 2026'!$B:$B,0)),IFERROR(INDEX('Source 2025'!$C:$C,MATCH($A22,'Source 2025'!$B:$B,0)),""))</f>
        <v>S מגן קרסול לבן</v>
      </c>
      <c r="C22" s="8" t="n">
        <f aca="false">SUMIFS('Source 2025'!$I:$I,'Source 2025'!$B:$B,$A22,'Source 2025'!$A:$A,"Quantity (units)")</f>
        <v>6813</v>
      </c>
      <c r="D22" s="8" t="n">
        <f aca="false">SUMIFS('Source 2026'!$I:$I,'Source 2026'!$B:$B,$A22,'Source 2026'!$A:$A,"Quantity (units)")</f>
        <v>4496</v>
      </c>
      <c r="E22" s="8" t="n">
        <f aca="false">D22-C22</f>
        <v>-2317</v>
      </c>
      <c r="F22" s="9" t="n">
        <f aca="false">IF(AND(C22=0,D22=0),0,IF(C22=0,"New",(D22-C22)/C22))</f>
        <v>-0.340085131366505</v>
      </c>
      <c r="G22" s="10" t="n">
        <f aca="false">SUMIFS('Source 2025'!$I:$I,'Source 2025'!$B:$B,$A22,'Source 2025'!$A:$A,"Amount (NIS)")</f>
        <v>177028.3</v>
      </c>
      <c r="H22" s="10" t="n">
        <f aca="false">SUMIFS('Source 2026'!$I:$I,'Source 2026'!$B:$B,$A22,'Source 2026'!$A:$A,"Amount (NIS)")</f>
        <v>118238.6</v>
      </c>
      <c r="I22" s="10" t="n">
        <f aca="false">H22-G22</f>
        <v>-58789.7</v>
      </c>
      <c r="J22" s="9" t="n">
        <f aca="false">IF(AND(G22=0,H22=0),0,IF(G22=0,"New",(H22-G22)/G22))</f>
        <v>-0.33209210052856</v>
      </c>
    </row>
    <row r="23" customFormat="false" ht="15" hidden="false" customHeight="false" outlineLevel="0" collapsed="false">
      <c r="A23" s="7" t="s">
        <v>58</v>
      </c>
      <c r="B23" s="7" t="str">
        <f aca="false">IFERROR(INDEX('Source 2026'!$C:$C,MATCH($A23,'Source 2026'!$B:$B,0)),IFERROR(INDEX('Source 2025'!$C:$C,MATCH($A23,'Source 2025'!$B:$B,0)),""))</f>
        <v>L מגן ברך לבן</v>
      </c>
      <c r="C23" s="8" t="n">
        <f aca="false">SUMIFS('Source 2025'!$I:$I,'Source 2025'!$B:$B,$A23,'Source 2025'!$A:$A,"Quantity (units)")</f>
        <v>6259</v>
      </c>
      <c r="D23" s="8" t="n">
        <f aca="false">SUMIFS('Source 2026'!$I:$I,'Source 2026'!$B:$B,$A23,'Source 2026'!$A:$A,"Quantity (units)")</f>
        <v>4006</v>
      </c>
      <c r="E23" s="8" t="n">
        <f aca="false">D23-C23</f>
        <v>-2253</v>
      </c>
      <c r="F23" s="9" t="n">
        <f aca="false">IF(AND(C23=0,D23=0),0,IF(C23=0,"New",(D23-C23)/C23))</f>
        <v>-0.359961655216488</v>
      </c>
      <c r="G23" s="10" t="n">
        <f aca="false">SUMIFS('Source 2025'!$I:$I,'Source 2025'!$B:$B,$A23,'Source 2025'!$A:$A,"Amount (NIS)")</f>
        <v>162645.6</v>
      </c>
      <c r="H23" s="10" t="n">
        <f aca="false">SUMIFS('Source 2026'!$I:$I,'Source 2026'!$B:$B,$A23,'Source 2026'!$A:$A,"Amount (NIS)")</f>
        <v>105352.3</v>
      </c>
      <c r="I23" s="10" t="n">
        <f aca="false">H23-G23</f>
        <v>-57293.3</v>
      </c>
      <c r="J23" s="9" t="n">
        <f aca="false">IF(AND(G23=0,H23=0),0,IF(G23=0,"New",(H23-G23)/G23))</f>
        <v>-0.352258530203092</v>
      </c>
    </row>
    <row r="24" customFormat="false" ht="15" hidden="false" customHeight="false" outlineLevel="0" collapsed="false">
      <c r="A24" s="7" t="s">
        <v>54</v>
      </c>
      <c r="B24" s="7" t="str">
        <f aca="false">IFERROR(INDEX('Source 2026'!$C:$C,MATCH($A24,'Source 2026'!$B:$B,0)),IFERROR(INDEX('Source 2025'!$C:$C,MATCH($A24,'Source 2025'!$B:$B,0)),""))</f>
        <v>גב אפורה</v>
      </c>
      <c r="C24" s="8" t="n">
        <f aca="false">SUMIFS('Source 2025'!$I:$I,'Source 2025'!$B:$B,$A24,'Source 2025'!$A:$A,"Quantity (units)")</f>
        <v>1596</v>
      </c>
      <c r="D24" s="8" t="n">
        <f aca="false">SUMIFS('Source 2026'!$I:$I,'Source 2026'!$B:$B,$A24,'Source 2026'!$A:$A,"Quantity (units)")</f>
        <v>1002</v>
      </c>
      <c r="E24" s="8" t="n">
        <f aca="false">D24-C24</f>
        <v>-594</v>
      </c>
      <c r="F24" s="9" t="n">
        <f aca="false">IF(AND(C24=0,D24=0),0,IF(C24=0,"New",(D24-C24)/C24))</f>
        <v>-0.37218045112782</v>
      </c>
      <c r="G24" s="10" t="n">
        <f aca="false">SUMIFS('Source 2025'!$I:$I,'Source 2025'!$B:$B,$A24,'Source 2025'!$A:$A,"Amount (NIS)")</f>
        <v>147542.2</v>
      </c>
      <c r="H24" s="10" t="n">
        <f aca="false">SUMIFS('Source 2026'!$I:$I,'Source 2026'!$B:$B,$A24,'Source 2026'!$A:$A,"Amount (NIS)")</f>
        <v>94468</v>
      </c>
      <c r="I24" s="10" t="n">
        <f aca="false">H24-G24</f>
        <v>-53074.2</v>
      </c>
      <c r="J24" s="9" t="n">
        <f aca="false">IF(AND(G24=0,H24=0),0,IF(G24=0,"New",(H24-G24)/G24))</f>
        <v>-0.359722167623907</v>
      </c>
    </row>
    <row r="25" customFormat="false" ht="15" hidden="false" customHeight="false" outlineLevel="0" collapsed="false">
      <c r="A25" s="7" t="s">
        <v>57</v>
      </c>
      <c r="B25" s="7" t="str">
        <f aca="false">IFERROR(INDEX('Source 2026'!$C:$C,MATCH($A25,'Source 2026'!$B:$B,0)),IFERROR(INDEX('Source 2025'!$C:$C,MATCH($A25,'Source 2025'!$B:$B,0)),""))</f>
        <v>S""חגורת בטן""אורירית</v>
      </c>
      <c r="C25" s="8" t="n">
        <f aca="false">SUMIFS('Source 2025'!$I:$I,'Source 2025'!$B:$B,$A25,'Source 2025'!$A:$A,"Quantity (units)")</f>
        <v>1596</v>
      </c>
      <c r="D25" s="8" t="n">
        <f aca="false">SUMIFS('Source 2026'!$I:$I,'Source 2026'!$B:$B,$A25,'Source 2026'!$A:$A,"Quantity (units)")</f>
        <v>1000</v>
      </c>
      <c r="E25" s="8" t="n">
        <f aca="false">D25-C25</f>
        <v>-596</v>
      </c>
      <c r="F25" s="9" t="n">
        <f aca="false">IF(AND(C25=0,D25=0),0,IF(C25=0,"New",(D25-C25)/C25))</f>
        <v>-0.3734335839599</v>
      </c>
      <c r="G25" s="10" t="n">
        <f aca="false">SUMIFS('Source 2025'!$I:$I,'Source 2025'!$B:$B,$A25,'Source 2025'!$A:$A,"Amount (NIS)")</f>
        <v>144702.3</v>
      </c>
      <c r="H25" s="10" t="n">
        <f aca="false">SUMIFS('Source 2026'!$I:$I,'Source 2026'!$B:$B,$A25,'Source 2026'!$A:$A,"Amount (NIS)")</f>
        <v>91878</v>
      </c>
      <c r="I25" s="10" t="n">
        <f aca="false">H25-G25</f>
        <v>-52824.3</v>
      </c>
      <c r="J25" s="9" t="n">
        <f aca="false">IF(AND(G25=0,H25=0),0,IF(G25=0,"New",(H25-G25)/G25))</f>
        <v>-0.365055012947272</v>
      </c>
    </row>
    <row r="26" customFormat="false" ht="15" hidden="false" customHeight="false" outlineLevel="0" collapsed="false">
      <c r="A26" s="7" t="s">
        <v>55</v>
      </c>
      <c r="B26" s="7" t="str">
        <f aca="false">IFERROR(INDEX('Source 2026'!$C:$C,MATCH($A26,'Source 2026'!$B:$B,0)),IFERROR(INDEX('Source 2025'!$C:$C,MATCH($A26,'Source 2025'!$B:$B,0)),""))</f>
        <v>חגורת גב אפורה</v>
      </c>
      <c r="C26" s="8" t="n">
        <f aca="false">SUMIFS('Source 2025'!$I:$I,'Source 2025'!$B:$B,$A26,'Source 2025'!$A:$A,"Quantity (units)")</f>
        <v>1906</v>
      </c>
      <c r="D26" s="8" t="n">
        <f aca="false">SUMIFS('Source 2026'!$I:$I,'Source 2026'!$B:$B,$A26,'Source 2026'!$A:$A,"Quantity (units)")</f>
        <v>1326</v>
      </c>
      <c r="E26" s="8" t="n">
        <f aca="false">D26-C26</f>
        <v>-580</v>
      </c>
      <c r="F26" s="9" t="n">
        <f aca="false">IF(AND(C26=0,D26=0),0,IF(C26=0,"New",(D26-C26)/C26))</f>
        <v>-0.304302203567681</v>
      </c>
      <c r="G26" s="10" t="n">
        <f aca="false">SUMIFS('Source 2025'!$I:$I,'Source 2025'!$B:$B,$A26,'Source 2025'!$A:$A,"Amount (NIS)")</f>
        <v>176482.5</v>
      </c>
      <c r="H26" s="10" t="n">
        <f aca="false">SUMIFS('Source 2026'!$I:$I,'Source 2026'!$B:$B,$A26,'Source 2026'!$A:$A,"Amount (NIS)")</f>
        <v>124925.3</v>
      </c>
      <c r="I26" s="10" t="n">
        <f aca="false">H26-G26</f>
        <v>-51557.2</v>
      </c>
      <c r="J26" s="9" t="n">
        <f aca="false">IF(AND(G26=0,H26=0),0,IF(G26=0,"New",(H26-G26)/G26))</f>
        <v>-0.292137747368719</v>
      </c>
    </row>
    <row r="27" customFormat="false" ht="15" hidden="false" customHeight="false" outlineLevel="0" collapsed="false">
      <c r="A27" s="7" t="s">
        <v>62</v>
      </c>
      <c r="B27" s="7" t="str">
        <f aca="false">IFERROR(INDEX('Source 2026'!$C:$C,MATCH($A27,'Source 2026'!$B:$B,0)),IFERROR(INDEX('Source 2025'!$C:$C,MATCH($A27,'Source 2025'!$B:$B,0)),""))</f>
        <v>L (מתלה ליד )כיס</v>
      </c>
      <c r="C27" s="8" t="n">
        <f aca="false">SUMIFS('Source 2025'!$I:$I,'Source 2025'!$B:$B,$A27,'Source 2025'!$A:$A,"Quantity (units)")</f>
        <v>2869</v>
      </c>
      <c r="D27" s="8" t="n">
        <f aca="false">SUMIFS('Source 2026'!$I:$I,'Source 2026'!$B:$B,$A27,'Source 2026'!$A:$A,"Quantity (units)")</f>
        <v>1893</v>
      </c>
      <c r="E27" s="8" t="n">
        <f aca="false">D27-C27</f>
        <v>-976</v>
      </c>
      <c r="F27" s="9" t="n">
        <f aca="false">IF(AND(C27=0,D27=0),0,IF(C27=0,"New",(D27-C27)/C27))</f>
        <v>-0.3401882188916</v>
      </c>
      <c r="G27" s="10" t="n">
        <f aca="false">SUMIFS('Source 2025'!$I:$I,'Source 2025'!$B:$B,$A27,'Source 2025'!$A:$A,"Amount (NIS)")</f>
        <v>142560.8</v>
      </c>
      <c r="H27" s="10" t="n">
        <f aca="false">SUMIFS('Source 2026'!$I:$I,'Source 2026'!$B:$B,$A27,'Source 2026'!$A:$A,"Amount (NIS)")</f>
        <v>94031.4</v>
      </c>
      <c r="I27" s="10" t="n">
        <f aca="false">H27-G27</f>
        <v>-48529.4</v>
      </c>
      <c r="J27" s="9" t="n">
        <f aca="false">IF(AND(G27=0,H27=0),0,IF(G27=0,"New",(H27-G27)/G27))</f>
        <v>-0.340411950550221</v>
      </c>
    </row>
    <row r="28" customFormat="false" ht="15" hidden="false" customHeight="false" outlineLevel="0" collapsed="false">
      <c r="A28" s="7" t="s">
        <v>59</v>
      </c>
      <c r="B28" s="7" t="str">
        <f aca="false">IFERROR(INDEX('Source 2026'!$C:$C,MATCH($A28,'Source 2026'!$B:$B,0)),IFERROR(INDEX('Source 2025'!$C:$C,MATCH($A28,'Source 2025'!$B:$B,0)),""))</f>
        <v>יד אגודלי</v>
      </c>
      <c r="C28" s="8" t="n">
        <f aca="false">SUMIFS('Source 2025'!$I:$I,'Source 2025'!$B:$B,$A28,'Source 2025'!$A:$A,"Quantity (units)")</f>
        <v>5745</v>
      </c>
      <c r="D28" s="8" t="n">
        <f aca="false">SUMIFS('Source 2026'!$I:$I,'Source 2026'!$B:$B,$A28,'Source 2026'!$A:$A,"Quantity (units)")</f>
        <v>4378</v>
      </c>
      <c r="E28" s="8" t="n">
        <f aca="false">D28-C28</f>
        <v>-1367</v>
      </c>
      <c r="F28" s="9" t="n">
        <f aca="false">IF(AND(C28=0,D28=0),0,IF(C28=0,"New",(D28-C28)/C28))</f>
        <v>-0.237946040034813</v>
      </c>
      <c r="G28" s="10" t="n">
        <f aca="false">SUMIFS('Source 2025'!$I:$I,'Source 2025'!$B:$B,$A28,'Source 2025'!$A:$A,"Amount (NIS)")</f>
        <v>212254.7</v>
      </c>
      <c r="H28" s="10" t="n">
        <f aca="false">SUMIFS('Source 2026'!$I:$I,'Source 2026'!$B:$B,$A28,'Source 2026'!$A:$A,"Amount (NIS)")</f>
        <v>164101.8</v>
      </c>
      <c r="I28" s="10" t="n">
        <f aca="false">H28-G28</f>
        <v>-48152.9</v>
      </c>
      <c r="J28" s="9" t="n">
        <f aca="false">IF(AND(G28=0,H28=0),0,IF(G28=0,"New",(H28-G28)/G28))</f>
        <v>-0.226863763205244</v>
      </c>
    </row>
    <row r="29" customFormat="false" ht="15" hidden="false" customHeight="false" outlineLevel="0" collapsed="false">
      <c r="A29" s="7" t="s">
        <v>60</v>
      </c>
      <c r="B29" s="7" t="str">
        <f aca="false">IFERROR(INDEX('Source 2026'!$C:$C,MATCH($A29,'Source 2026'!$B:$B,0)),IFERROR(INDEX('Source 2025'!$C:$C,MATCH($A29,'Source 2025'!$B:$B,0)),""))</f>
        <v>יד אגודלי</v>
      </c>
      <c r="C29" s="8" t="n">
        <f aca="false">SUMIFS('Source 2025'!$I:$I,'Source 2025'!$B:$B,$A29,'Source 2025'!$A:$A,"Quantity (units)")</f>
        <v>4789</v>
      </c>
      <c r="D29" s="8" t="n">
        <f aca="false">SUMIFS('Source 2026'!$I:$I,'Source 2026'!$B:$B,$A29,'Source 2026'!$A:$A,"Quantity (units)")</f>
        <v>3578</v>
      </c>
      <c r="E29" s="8" t="n">
        <f aca="false">D29-C29</f>
        <v>-1211</v>
      </c>
      <c r="F29" s="9" t="n">
        <f aca="false">IF(AND(C29=0,D29=0),0,IF(C29=0,"New",(D29-C29)/C29))</f>
        <v>-0.252871163082063</v>
      </c>
      <c r="G29" s="10" t="n">
        <f aca="false">SUMIFS('Source 2025'!$I:$I,'Source 2025'!$B:$B,$A29,'Source 2025'!$A:$A,"Amount (NIS)")</f>
        <v>177353.6</v>
      </c>
      <c r="H29" s="10" t="n">
        <f aca="false">SUMIFS('Source 2026'!$I:$I,'Source 2026'!$B:$B,$A29,'Source 2026'!$A:$A,"Amount (NIS)")</f>
        <v>134216.9</v>
      </c>
      <c r="I29" s="10" t="n">
        <f aca="false">H29-G29</f>
        <v>-43136.7</v>
      </c>
      <c r="J29" s="9" t="n">
        <f aca="false">IF(AND(G29=0,H29=0),0,IF(G29=0,"New",(H29-G29)/G29))</f>
        <v>-0.243224270609675</v>
      </c>
    </row>
    <row r="30" customFormat="false" ht="15" hidden="false" customHeight="false" outlineLevel="0" collapsed="false">
      <c r="A30" s="7" t="s">
        <v>61</v>
      </c>
      <c r="B30" s="7" t="str">
        <f aca="false">IFERROR(INDEX('Source 2026'!$C:$C,MATCH($A30,'Source 2026'!$B:$B,0)),IFERROR(INDEX('Source 2025'!$C:$C,MATCH($A30,'Source 2025'!$B:$B,0)),""))</f>
        <v>חגורת גב אפורה</v>
      </c>
      <c r="C30" s="8" t="n">
        <f aca="false">SUMIFS('Source 2025'!$I:$I,'Source 2025'!$B:$B,$A30,'Source 2025'!$A:$A,"Quantity (units)")</f>
        <v>1282</v>
      </c>
      <c r="D30" s="8" t="n">
        <f aca="false">SUMIFS('Source 2026'!$I:$I,'Source 2026'!$B:$B,$A30,'Source 2026'!$A:$A,"Quantity (units)")</f>
        <v>866</v>
      </c>
      <c r="E30" s="8" t="n">
        <f aca="false">D30-C30</f>
        <v>-416</v>
      </c>
      <c r="F30" s="9" t="n">
        <f aca="false">IF(AND(C30=0,D30=0),0,IF(C30=0,"New",(D30-C30)/C30))</f>
        <v>-0.324492979719189</v>
      </c>
      <c r="G30" s="10" t="n">
        <f aca="false">SUMIFS('Source 2025'!$I:$I,'Source 2025'!$B:$B,$A30,'Source 2025'!$A:$A,"Amount (NIS)")</f>
        <v>118489.3</v>
      </c>
      <c r="H30" s="10" t="n">
        <f aca="false">SUMIFS('Source 2026'!$I:$I,'Source 2026'!$B:$B,$A30,'Source 2026'!$A:$A,"Amount (NIS)")</f>
        <v>81426.9</v>
      </c>
      <c r="I30" s="10" t="n">
        <f aca="false">H30-G30</f>
        <v>-37062.4</v>
      </c>
      <c r="J30" s="9" t="n">
        <f aca="false">IF(AND(G30=0,H30=0),0,IF(G30=0,"New",(H30-G30)/G30))</f>
        <v>-0.312791112784024</v>
      </c>
    </row>
    <row r="31" customFormat="false" ht="15" hidden="false" customHeight="false" outlineLevel="0" collapsed="false">
      <c r="A31" s="7" t="s">
        <v>63</v>
      </c>
      <c r="B31" s="7" t="str">
        <f aca="false">IFERROR(INDEX('Source 2026'!$C:$C,MATCH($A31,'Source 2026'!$B:$B,0)),IFERROR(INDEX('Source 2025'!$C:$C,MATCH($A31,'Source 2025'!$B:$B,0)),""))</f>
        <v>L עקבים לדורבן-זוג כריות</v>
      </c>
      <c r="C31" s="8" t="n">
        <f aca="false">SUMIFS('Source 2025'!$I:$I,'Source 2025'!$B:$B,$A31,'Source 2025'!$A:$A,"Quantity (units)")</f>
        <v>1599</v>
      </c>
      <c r="D31" s="8" t="n">
        <f aca="false">SUMIFS('Source 2026'!$I:$I,'Source 2026'!$B:$B,$A31,'Source 2026'!$A:$A,"Quantity (units)")</f>
        <v>1219</v>
      </c>
      <c r="E31" s="8" t="n">
        <f aca="false">D31-C31</f>
        <v>-380</v>
      </c>
      <c r="F31" s="9" t="n">
        <f aca="false">IF(AND(C31=0,D31=0),0,IF(C31=0,"New",(D31-C31)/C31))</f>
        <v>-0.237648530331457</v>
      </c>
      <c r="G31" s="10" t="n">
        <f aca="false">SUMIFS('Source 2025'!$I:$I,'Source 2025'!$B:$B,$A31,'Source 2025'!$A:$A,"Amount (NIS)")</f>
        <v>131658.1</v>
      </c>
      <c r="H31" s="10" t="n">
        <f aca="false">SUMIFS('Source 2026'!$I:$I,'Source 2026'!$B:$B,$A31,'Source 2026'!$A:$A,"Amount (NIS)")</f>
        <v>100335.9</v>
      </c>
      <c r="I31" s="10" t="n">
        <f aca="false">H31-G31</f>
        <v>-31322.2</v>
      </c>
      <c r="J31" s="9" t="n">
        <f aca="false">IF(AND(G31=0,H31=0),0,IF(G31=0,"New",(H31-G31)/G31))</f>
        <v>-0.237905605503953</v>
      </c>
    </row>
    <row r="32" customFormat="false" ht="15" hidden="false" customHeight="false" outlineLevel="0" collapsed="false">
      <c r="A32" s="7" t="s">
        <v>65</v>
      </c>
      <c r="B32" s="7" t="str">
        <f aca="false">IFERROR(INDEX('Source 2026'!$C:$C,MATCH($A32,'Source 2026'!$B:$B,0)),IFERROR(INDEX('Source 2025'!$C:$C,MATCH($A32,'Source 2025'!$B:$B,0)),""))</f>
        <v>M 'מגן מרפק בז</v>
      </c>
      <c r="C32" s="8" t="n">
        <f aca="false">SUMIFS('Source 2025'!$I:$I,'Source 2025'!$B:$B,$A32,'Source 2025'!$A:$A,"Quantity (units)")</f>
        <v>3430</v>
      </c>
      <c r="D32" s="8" t="n">
        <f aca="false">SUMIFS('Source 2026'!$I:$I,'Source 2026'!$B:$B,$A32,'Source 2026'!$A:$A,"Quantity (units)")</f>
        <v>2324</v>
      </c>
      <c r="E32" s="8" t="n">
        <f aca="false">D32-C32</f>
        <v>-1106</v>
      </c>
      <c r="F32" s="9" t="n">
        <f aca="false">IF(AND(C32=0,D32=0),0,IF(C32=0,"New",(D32-C32)/C32))</f>
        <v>-0.322448979591837</v>
      </c>
      <c r="G32" s="10" t="n">
        <f aca="false">SUMIFS('Source 2025'!$I:$I,'Source 2025'!$B:$B,$A32,'Source 2025'!$A:$A,"Amount (NIS)")</f>
        <v>89082.3</v>
      </c>
      <c r="H32" s="10" t="n">
        <f aca="false">SUMIFS('Source 2026'!$I:$I,'Source 2026'!$B:$B,$A32,'Source 2026'!$A:$A,"Amount (NIS)")</f>
        <v>61292</v>
      </c>
      <c r="I32" s="10" t="n">
        <f aca="false">H32-G32</f>
        <v>-27790.3</v>
      </c>
      <c r="J32" s="9" t="n">
        <f aca="false">IF(AND(G32=0,H32=0),0,IF(G32=0,"New",(H32-G32)/G32))</f>
        <v>-0.31196208449939</v>
      </c>
    </row>
    <row r="33" customFormat="false" ht="15" hidden="false" customHeight="false" outlineLevel="0" collapsed="false">
      <c r="A33" s="7" t="s">
        <v>64</v>
      </c>
      <c r="B33" s="7" t="str">
        <f aca="false">IFERROR(INDEX('Source 2026'!$C:$C,MATCH($A33,'Source 2026'!$B:$B,0)),IFERROR(INDEX('Source 2025'!$C:$C,MATCH($A33,'Source 2025'!$B:$B,0)),""))</f>
        <v>1 תומך ברך גנושילד</v>
      </c>
      <c r="C33" s="8" t="n">
        <f aca="false">SUMIFS('Source 2025'!$I:$I,'Source 2025'!$B:$B,$A33,'Source 2025'!$A:$A,"Quantity (units)")</f>
        <v>0</v>
      </c>
      <c r="D33" s="8" t="n">
        <f aca="false">SUMIFS('Source 2026'!$I:$I,'Source 2026'!$B:$B,$A33,'Source 2026'!$A:$A,"Quantity (units)")</f>
        <v>149</v>
      </c>
      <c r="E33" s="8" t="n">
        <f aca="false">D33-C33</f>
        <v>149</v>
      </c>
      <c r="F33" s="9" t="str">
        <f aca="false">IF(AND(C33=0,D33=0),0,IF(C33=0,"New",(D33-C33)/C33))</f>
        <v>New</v>
      </c>
      <c r="G33" s="10" t="n">
        <f aca="false">SUMIFS('Source 2025'!$I:$I,'Source 2025'!$B:$B,$A33,'Source 2025'!$A:$A,"Amount (NIS)")</f>
        <v>0</v>
      </c>
      <c r="H33" s="10" t="n">
        <f aca="false">SUMIFS('Source 2026'!$I:$I,'Source 2026'!$B:$B,$A33,'Source 2026'!$A:$A,"Amount (NIS)")</f>
        <v>26893.1</v>
      </c>
      <c r="I33" s="10" t="n">
        <f aca="false">H33-G33</f>
        <v>26893.1</v>
      </c>
      <c r="J33" s="9" t="str">
        <f aca="false">IF(AND(G33=0,H33=0),0,IF(G33=0,"New",(H33-G33)/G33))</f>
        <v>New</v>
      </c>
    </row>
    <row r="34" customFormat="false" ht="15" hidden="false" customHeight="false" outlineLevel="0" collapsed="false">
      <c r="A34" s="7" t="s">
        <v>70</v>
      </c>
      <c r="B34" s="7" t="str">
        <f aca="false">IFERROR(INDEX('Source 2026'!$C:$C,MATCH($A34,'Source 2026'!$B:$B,0)),IFERROR(INDEX('Source 2025'!$C:$C,MATCH($A34,'Source 2025'!$B:$B,0)),""))</f>
        <v>תחבושת א.נצמ</v>
      </c>
      <c r="C34" s="8" t="n">
        <f aca="false">SUMIFS('Source 2025'!$I:$I,'Source 2025'!$B:$B,$A34,'Source 2025'!$A:$A,"Quantity (units)")</f>
        <v>4000</v>
      </c>
      <c r="D34" s="8" t="n">
        <f aca="false">SUMIFS('Source 2026'!$I:$I,'Source 2026'!$B:$B,$A34,'Source 2026'!$A:$A,"Quantity (units)")</f>
        <v>1460</v>
      </c>
      <c r="E34" s="8" t="n">
        <f aca="false">D34-C34</f>
        <v>-2540</v>
      </c>
      <c r="F34" s="9" t="n">
        <f aca="false">IF(AND(C34=0,D34=0),0,IF(C34=0,"New",(D34-C34)/C34))</f>
        <v>-0.635</v>
      </c>
      <c r="G34" s="10" t="n">
        <f aca="false">SUMIFS('Source 2025'!$I:$I,'Source 2025'!$B:$B,$A34,'Source 2025'!$A:$A,"Amount (NIS)")</f>
        <v>41284.6</v>
      </c>
      <c r="H34" s="10" t="n">
        <f aca="false">SUMIFS('Source 2026'!$I:$I,'Source 2026'!$B:$B,$A34,'Source 2026'!$A:$A,"Amount (NIS)")</f>
        <v>15123.4</v>
      </c>
      <c r="I34" s="10" t="n">
        <f aca="false">H34-G34</f>
        <v>-26161.2</v>
      </c>
      <c r="J34" s="9" t="n">
        <f aca="false">IF(AND(G34=0,H34=0),0,IF(G34=0,"New",(H34-G34)/G34))</f>
        <v>-0.633679386502473</v>
      </c>
    </row>
    <row r="35" customFormat="false" ht="15" hidden="false" customHeight="false" outlineLevel="0" collapsed="false">
      <c r="A35" s="7" t="s">
        <v>66</v>
      </c>
      <c r="B35" s="7" t="str">
        <f aca="false">IFERROR(INDEX('Source 2026'!$C:$C,MATCH($A35,'Source 2026'!$B:$B,0)),IFERROR(INDEX('Source 2025'!$C:$C,MATCH($A35,'Source 2025'!$B:$B,0)),""))</f>
        <v>מגן ברך עם תמיכות</v>
      </c>
      <c r="C35" s="8" t="n">
        <f aca="false">SUMIFS('Source 2025'!$I:$I,'Source 2025'!$B:$B,$A35,'Source 2025'!$A:$A,"Quantity (units)")</f>
        <v>100</v>
      </c>
      <c r="D35" s="8" t="n">
        <f aca="false">SUMIFS('Source 2026'!$I:$I,'Source 2026'!$B:$B,$A35,'Source 2026'!$A:$A,"Quantity (units)")</f>
        <v>496</v>
      </c>
      <c r="E35" s="8" t="n">
        <f aca="false">D35-C35</f>
        <v>396</v>
      </c>
      <c r="F35" s="9" t="n">
        <f aca="false">IF(AND(C35=0,D35=0),0,IF(C35=0,"New",(D35-C35)/C35))</f>
        <v>3.96</v>
      </c>
      <c r="G35" s="10" t="n">
        <f aca="false">SUMIFS('Source 2025'!$I:$I,'Source 2025'!$B:$B,$A35,'Source 2025'!$A:$A,"Amount (NIS)")</f>
        <v>6000.1</v>
      </c>
      <c r="H35" s="10" t="n">
        <f aca="false">SUMIFS('Source 2026'!$I:$I,'Source 2026'!$B:$B,$A35,'Source 2026'!$A:$A,"Amount (NIS)")</f>
        <v>31792.8</v>
      </c>
      <c r="I35" s="10" t="n">
        <f aca="false">H35-G35</f>
        <v>25792.7</v>
      </c>
      <c r="J35" s="9" t="n">
        <f aca="false">IF(AND(G35=0,H35=0),0,IF(G35=0,"New",(H35-G35)/G35))</f>
        <v>4.29871168813853</v>
      </c>
    </row>
    <row r="36" customFormat="false" ht="15" hidden="false" customHeight="false" outlineLevel="0" collapsed="false">
      <c r="A36" s="7" t="s">
        <v>67</v>
      </c>
      <c r="B36" s="7" t="str">
        <f aca="false">IFERROR(INDEX('Source 2026'!$C:$C,MATCH($A36,'Source 2026'!$B:$B,0)),IFERROR(INDEX('Source 2025'!$C:$C,MATCH($A36,'Source 2025'!$B:$B,0)),""))</f>
        <v>שרוול מטטרזלי מסיליקון</v>
      </c>
      <c r="C36" s="8" t="n">
        <f aca="false">SUMIFS('Source 2025'!$I:$I,'Source 2025'!$B:$B,$A36,'Source 2025'!$A:$A,"Quantity (units)")</f>
        <v>1239</v>
      </c>
      <c r="D36" s="8" t="n">
        <f aca="false">SUMIFS('Source 2026'!$I:$I,'Source 2026'!$B:$B,$A36,'Source 2026'!$A:$A,"Quantity (units)")</f>
        <v>769</v>
      </c>
      <c r="E36" s="8" t="n">
        <f aca="false">D36-C36</f>
        <v>-470</v>
      </c>
      <c r="F36" s="9" t="n">
        <f aca="false">IF(AND(C36=0,D36=0),0,IF(C36=0,"New",(D36-C36)/C36))</f>
        <v>-0.379338175948345</v>
      </c>
      <c r="G36" s="10" t="n">
        <f aca="false">SUMIFS('Source 2025'!$I:$I,'Source 2025'!$B:$B,$A36,'Source 2025'!$A:$A,"Amount (NIS)")</f>
        <v>64494.5</v>
      </c>
      <c r="H36" s="10" t="n">
        <f aca="false">SUMIFS('Source 2026'!$I:$I,'Source 2026'!$B:$B,$A36,'Source 2026'!$A:$A,"Amount (NIS)")</f>
        <v>40241</v>
      </c>
      <c r="I36" s="10" t="n">
        <f aca="false">H36-G36</f>
        <v>-24253.5</v>
      </c>
      <c r="J36" s="9" t="n">
        <f aca="false">IF(AND(G36=0,H36=0),0,IF(G36=0,"New",(H36-G36)/G36))</f>
        <v>-0.376055322546884</v>
      </c>
    </row>
    <row r="37" customFormat="false" ht="15" hidden="false" customHeight="false" outlineLevel="0" collapsed="false">
      <c r="A37" s="7" t="s">
        <v>68</v>
      </c>
      <c r="B37" s="7" t="str">
        <f aca="false">IFERROR(INDEX('Source 2026'!$C:$C,MATCH($A37,'Source 2026'!$B:$B,0)),IFERROR(INDEX('Source 2025'!$C:$C,MATCH($A37,'Source 2025'!$B:$B,0)),""))</f>
        <v>פיקה לברך</v>
      </c>
      <c r="C37" s="8" t="n">
        <f aca="false">SUMIFS('Source 2025'!$I:$I,'Source 2025'!$B:$B,$A37,'Source 2025'!$A:$A,"Quantity (units)")</f>
        <v>1021</v>
      </c>
      <c r="D37" s="8" t="n">
        <f aca="false">SUMIFS('Source 2026'!$I:$I,'Source 2026'!$B:$B,$A37,'Source 2026'!$A:$A,"Quantity (units)")</f>
        <v>494</v>
      </c>
      <c r="E37" s="8" t="n">
        <f aca="false">D37-C37</f>
        <v>-527</v>
      </c>
      <c r="F37" s="9" t="n">
        <f aca="false">IF(AND(C37=0,D37=0),0,IF(C37=0,"New",(D37-C37)/C37))</f>
        <v>-0.516160626836435</v>
      </c>
      <c r="G37" s="10" t="n">
        <f aca="false">SUMIFS('Source 2025'!$I:$I,'Source 2025'!$B:$B,$A37,'Source 2025'!$A:$A,"Amount (NIS)")</f>
        <v>46100.5</v>
      </c>
      <c r="H37" s="10" t="n">
        <f aca="false">SUMIFS('Source 2026'!$I:$I,'Source 2026'!$B:$B,$A37,'Source 2026'!$A:$A,"Amount (NIS)")</f>
        <v>22307.3</v>
      </c>
      <c r="I37" s="10" t="n">
        <f aca="false">H37-G37</f>
        <v>-23793.2</v>
      </c>
      <c r="J37" s="9" t="n">
        <f aca="false">IF(AND(G37=0,H37=0),0,IF(G37=0,"New",(H37-G37)/G37))</f>
        <v>-0.516115877268143</v>
      </c>
    </row>
    <row r="38" customFormat="false" ht="15" hidden="false" customHeight="false" outlineLevel="0" collapsed="false">
      <c r="A38" s="7" t="s">
        <v>87</v>
      </c>
      <c r="B38" s="7" t="str">
        <f aca="false">IFERROR(INDEX('Source 2026'!$C:$C,MATCH($A38,'Source 2026'!$B:$B,0)),IFERROR(INDEX('Source 2025'!$C:$C,MATCH($A38,'Source 2025'!$B:$B,0)),""))</f>
        <v>טלק מעושר באלוורה</v>
      </c>
      <c r="C38" s="8" t="n">
        <f aca="false">SUMIFS('Source 2025'!$I:$I,'Source 2025'!$B:$B,$A38,'Source 2025'!$A:$A,"Quantity (units)")</f>
        <v>2669</v>
      </c>
      <c r="D38" s="8" t="n">
        <f aca="false">SUMIFS('Source 2026'!$I:$I,'Source 2026'!$B:$B,$A38,'Source 2026'!$A:$A,"Quantity (units)")</f>
        <v>1303</v>
      </c>
      <c r="E38" s="8" t="n">
        <f aca="false">D38-C38</f>
        <v>-1366</v>
      </c>
      <c r="F38" s="9" t="n">
        <f aca="false">IF(AND(C38=0,D38=0),0,IF(C38=0,"New",(D38-C38)/C38))</f>
        <v>-0.511802173098539</v>
      </c>
      <c r="G38" s="10" t="n">
        <f aca="false">SUMIFS('Source 2025'!$I:$I,'Source 2025'!$B:$B,$A38,'Source 2025'!$A:$A,"Amount (NIS)")</f>
        <v>45083.3</v>
      </c>
      <c r="H38" s="10" t="n">
        <f aca="false">SUMIFS('Source 2026'!$I:$I,'Source 2026'!$B:$B,$A38,'Source 2026'!$A:$A,"Amount (NIS)")</f>
        <v>22114.5</v>
      </c>
      <c r="I38" s="10" t="n">
        <f aca="false">H38-G38</f>
        <v>-22968.8</v>
      </c>
      <c r="J38" s="9" t="n">
        <f aca="false">IF(AND(G38=0,H38=0),0,IF(G38=0,"New",(H38-G38)/G38))</f>
        <v>-0.509474683530265</v>
      </c>
    </row>
    <row r="39" customFormat="false" ht="15" hidden="false" customHeight="false" outlineLevel="0" collapsed="false">
      <c r="A39" s="7" t="s">
        <v>69</v>
      </c>
      <c r="B39" s="7" t="str">
        <f aca="false">IFERROR(INDEX('Source 2026'!$C:$C,MATCH($A39,'Source 2026'!$B:$B,0)),IFERROR(INDEX('Source 2025'!$C:$C,MATCH($A39,'Source 2025'!$B:$B,0)),""))</f>
        <v>לציפורן חודרנית</v>
      </c>
      <c r="C39" s="8" t="n">
        <f aca="false">SUMIFS('Source 2025'!$I:$I,'Source 2025'!$B:$B,$A39,'Source 2025'!$A:$A,"Quantity (units)")</f>
        <v>2328</v>
      </c>
      <c r="D39" s="8" t="n">
        <f aca="false">SUMIFS('Source 2026'!$I:$I,'Source 2026'!$B:$B,$A39,'Source 2026'!$A:$A,"Quantity (units)")</f>
        <v>1600</v>
      </c>
      <c r="E39" s="8" t="n">
        <f aca="false">D39-C39</f>
        <v>-728</v>
      </c>
      <c r="F39" s="9" t="n">
        <f aca="false">IF(AND(C39=0,D39=0),0,IF(C39=0,"New",(D39-C39)/C39))</f>
        <v>-0.312714776632302</v>
      </c>
      <c r="G39" s="10" t="n">
        <f aca="false">SUMIFS('Source 2025'!$I:$I,'Source 2025'!$B:$B,$A39,'Source 2025'!$A:$A,"Amount (NIS)")</f>
        <v>73148</v>
      </c>
      <c r="H39" s="10" t="n">
        <f aca="false">SUMIFS('Source 2026'!$I:$I,'Source 2026'!$B:$B,$A39,'Source 2026'!$A:$A,"Amount (NIS)")</f>
        <v>50431.7</v>
      </c>
      <c r="I39" s="10" t="n">
        <f aca="false">H39-G39</f>
        <v>-22716.3</v>
      </c>
      <c r="J39" s="9" t="n">
        <f aca="false">IF(AND(G39=0,H39=0),0,IF(G39=0,"New",(H39-G39)/G39))</f>
        <v>-0.310552578334336</v>
      </c>
    </row>
    <row r="40" customFormat="false" ht="15" hidden="false" customHeight="false" outlineLevel="0" collapsed="false">
      <c r="A40" s="7" t="s">
        <v>73</v>
      </c>
      <c r="B40" s="7" t="str">
        <f aca="false">IFERROR(INDEX('Source 2026'!$C:$C,MATCH($A40,'Source 2026'!$B:$B,0)),IFERROR(INDEX('Source 2025'!$C:$C,MATCH($A40,'Source 2025'!$B:$B,0)),""))</f>
        <v>L צוארון ספוגי</v>
      </c>
      <c r="C40" s="8" t="n">
        <f aca="false">SUMIFS('Source 2025'!$I:$I,'Source 2025'!$B:$B,$A40,'Source 2025'!$A:$A,"Quantity (units)")</f>
        <v>2500</v>
      </c>
      <c r="D40" s="8" t="n">
        <f aca="false">SUMIFS('Source 2026'!$I:$I,'Source 2026'!$B:$B,$A40,'Source 2026'!$A:$A,"Quantity (units)")</f>
        <v>1675</v>
      </c>
      <c r="E40" s="8" t="n">
        <f aca="false">D40-C40</f>
        <v>-825</v>
      </c>
      <c r="F40" s="9" t="n">
        <f aca="false">IF(AND(C40=0,D40=0),0,IF(C40=0,"New",(D40-C40)/C40))</f>
        <v>-0.33</v>
      </c>
      <c r="G40" s="10" t="n">
        <f aca="false">SUMIFS('Source 2025'!$I:$I,'Source 2025'!$B:$B,$A40,'Source 2025'!$A:$A,"Amount (NIS)")</f>
        <v>75752.2</v>
      </c>
      <c r="H40" s="10" t="n">
        <f aca="false">SUMIFS('Source 2026'!$I:$I,'Source 2026'!$B:$B,$A40,'Source 2026'!$A:$A,"Amount (NIS)")</f>
        <v>53058.3</v>
      </c>
      <c r="I40" s="10" t="n">
        <f aca="false">H40-G40</f>
        <v>-22693.9</v>
      </c>
      <c r="J40" s="9" t="n">
        <f aca="false">IF(AND(G40=0,H40=0),0,IF(G40=0,"New",(H40-G40)/G40))</f>
        <v>-0.299580738249186</v>
      </c>
    </row>
    <row r="41" customFormat="false" ht="15" hidden="false" customHeight="false" outlineLevel="0" collapsed="false">
      <c r="A41" s="7" t="s">
        <v>75</v>
      </c>
      <c r="B41" s="7" t="str">
        <f aca="false">IFERROR(INDEX('Source 2026'!$C:$C,MATCH($A41,'Source 2026'!$B:$B,0)),IFERROR(INDEX('Source 2025'!$C:$C,MATCH($A41,'Source 2025'!$B:$B,0)),""))</f>
        <v>חבק ""טניס אלבו רצועה</v>
      </c>
      <c r="C41" s="8" t="n">
        <f aca="false">SUMIFS('Source 2025'!$I:$I,'Source 2025'!$B:$B,$A41,'Source 2025'!$A:$A,"Quantity (units)")</f>
        <v>259</v>
      </c>
      <c r="D41" s="8" t="n">
        <f aca="false">SUMIFS('Source 2026'!$I:$I,'Source 2026'!$B:$B,$A41,'Source 2026'!$A:$A,"Quantity (units)")</f>
        <v>-31</v>
      </c>
      <c r="E41" s="8" t="n">
        <f aca="false">D41-C41</f>
        <v>-290</v>
      </c>
      <c r="F41" s="9" t="n">
        <f aca="false">IF(AND(C41=0,D41=0),0,IF(C41=0,"New",(D41-C41)/C41))</f>
        <v>-1.11969111969112</v>
      </c>
      <c r="G41" s="10" t="n">
        <f aca="false">SUMIFS('Source 2025'!$I:$I,'Source 2025'!$B:$B,$A41,'Source 2025'!$A:$A,"Amount (NIS)")</f>
        <v>18291</v>
      </c>
      <c r="H41" s="10" t="n">
        <f aca="false">SUMIFS('Source 2026'!$I:$I,'Source 2026'!$B:$B,$A41,'Source 2026'!$A:$A,"Amount (NIS)")</f>
        <v>-2165</v>
      </c>
      <c r="I41" s="10" t="n">
        <f aca="false">H41-G41</f>
        <v>-20456</v>
      </c>
      <c r="J41" s="9" t="n">
        <f aca="false">IF(AND(G41=0,H41=0),0,IF(G41=0,"New",(H41-G41)/G41))</f>
        <v>-1.11836422284183</v>
      </c>
    </row>
    <row r="42" customFormat="false" ht="15" hidden="false" customHeight="false" outlineLevel="0" collapsed="false">
      <c r="A42" s="7" t="s">
        <v>78</v>
      </c>
      <c r="B42" s="7" t="str">
        <f aca="false">IFERROR(INDEX('Source 2026'!$C:$C,MATCH($A42,'Source 2026'!$B:$B,0)),IFERROR(INDEX('Source 2025'!$C:$C,MATCH($A42,'Source 2025'!$B:$B,0)),""))</f>
        <v>טייפ קינזיולוגי</v>
      </c>
      <c r="C42" s="8" t="n">
        <f aca="false">SUMIFS('Source 2025'!$I:$I,'Source 2025'!$B:$B,$A42,'Source 2025'!$A:$A,"Quantity (units)")</f>
        <v>1052</v>
      </c>
      <c r="D42" s="8" t="n">
        <f aca="false">SUMIFS('Source 2026'!$I:$I,'Source 2026'!$B:$B,$A42,'Source 2026'!$A:$A,"Quantity (units)")</f>
        <v>563</v>
      </c>
      <c r="E42" s="8" t="n">
        <f aca="false">D42-C42</f>
        <v>-489</v>
      </c>
      <c r="F42" s="9" t="n">
        <f aca="false">IF(AND(C42=0,D42=0),0,IF(C42=0,"New",(D42-C42)/C42))</f>
        <v>-0.464828897338403</v>
      </c>
      <c r="G42" s="10" t="n">
        <f aca="false">SUMIFS('Source 2025'!$I:$I,'Source 2025'!$B:$B,$A42,'Source 2025'!$A:$A,"Amount (NIS)")</f>
        <v>43432.7</v>
      </c>
      <c r="H42" s="10" t="n">
        <f aca="false">SUMIFS('Source 2026'!$I:$I,'Source 2026'!$B:$B,$A42,'Source 2026'!$A:$A,"Amount (NIS)")</f>
        <v>23392.6</v>
      </c>
      <c r="I42" s="10" t="n">
        <f aca="false">H42-G42</f>
        <v>-20040.1</v>
      </c>
      <c r="J42" s="9" t="n">
        <f aca="false">IF(AND(G42=0,H42=0),0,IF(G42=0,"New",(H42-G42)/G42))</f>
        <v>-0.461405807145308</v>
      </c>
    </row>
    <row r="43" customFormat="false" ht="15" hidden="false" customHeight="false" outlineLevel="0" collapsed="false">
      <c r="A43" s="7" t="s">
        <v>71</v>
      </c>
      <c r="B43" s="7" t="str">
        <f aca="false">IFERROR(INDEX('Source 2026'!$C:$C,MATCH($A43,'Source 2026'!$B:$B,0)),IFERROR(INDEX('Source 2025'!$C:$C,MATCH($A43,'Source 2025'!$B:$B,0)),""))</f>
        <v>טייפ קינזיולוגי</v>
      </c>
      <c r="C43" s="8" t="n">
        <f aca="false">SUMIFS('Source 2025'!$I:$I,'Source 2025'!$B:$B,$A43,'Source 2025'!$A:$A,"Quantity (units)")</f>
        <v>1200</v>
      </c>
      <c r="D43" s="8" t="n">
        <f aca="false">SUMIFS('Source 2026'!$I:$I,'Source 2026'!$B:$B,$A43,'Source 2026'!$A:$A,"Quantity (units)")</f>
        <v>711</v>
      </c>
      <c r="E43" s="8" t="n">
        <f aca="false">D43-C43</f>
        <v>-489</v>
      </c>
      <c r="F43" s="9" t="n">
        <f aca="false">IF(AND(C43=0,D43=0),0,IF(C43=0,"New",(D43-C43)/C43))</f>
        <v>-0.4075</v>
      </c>
      <c r="G43" s="10" t="n">
        <f aca="false">SUMIFS('Source 2025'!$I:$I,'Source 2025'!$B:$B,$A43,'Source 2025'!$A:$A,"Amount (NIS)")</f>
        <v>48495.6</v>
      </c>
      <c r="H43" s="10" t="n">
        <f aca="false">SUMIFS('Source 2026'!$I:$I,'Source 2026'!$B:$B,$A43,'Source 2026'!$A:$A,"Amount (NIS)")</f>
        <v>28682.6</v>
      </c>
      <c r="I43" s="10" t="n">
        <f aca="false">H43-G43</f>
        <v>-19813</v>
      </c>
      <c r="J43" s="9" t="n">
        <f aca="false">IF(AND(G43=0,H43=0),0,IF(G43=0,"New",(H43-G43)/G43))</f>
        <v>-0.40855252847681</v>
      </c>
    </row>
    <row r="44" customFormat="false" ht="15" hidden="false" customHeight="false" outlineLevel="0" collapsed="false">
      <c r="A44" s="7" t="s">
        <v>74</v>
      </c>
      <c r="B44" s="7" t="str">
        <f aca="false">IFERROR(INDEX('Source 2026'!$C:$C,MATCH($A44,'Source 2026'!$B:$B,0)),IFERROR(INDEX('Source 2025'!$C:$C,MATCH($A44,'Source 2025'!$B:$B,0)),""))</f>
        <v>L מגן מרפק רגיל לבן</v>
      </c>
      <c r="C44" s="8" t="n">
        <f aca="false">SUMIFS('Source 2025'!$I:$I,'Source 2025'!$B:$B,$A44,'Source 2025'!$A:$A,"Quantity (units)")</f>
        <v>1944</v>
      </c>
      <c r="D44" s="8" t="n">
        <f aca="false">SUMIFS('Source 2026'!$I:$I,'Source 2026'!$B:$B,$A44,'Source 2026'!$A:$A,"Quantity (units)")</f>
        <v>1193</v>
      </c>
      <c r="E44" s="8" t="n">
        <f aca="false">D44-C44</f>
        <v>-751</v>
      </c>
      <c r="F44" s="9" t="n">
        <f aca="false">IF(AND(C44=0,D44=0),0,IF(C44=0,"New",(D44-C44)/C44))</f>
        <v>-0.386316872427984</v>
      </c>
      <c r="G44" s="10" t="n">
        <f aca="false">SUMIFS('Source 2025'!$I:$I,'Source 2025'!$B:$B,$A44,'Source 2025'!$A:$A,"Amount (NIS)")</f>
        <v>50757.7</v>
      </c>
      <c r="H44" s="10" t="n">
        <f aca="false">SUMIFS('Source 2026'!$I:$I,'Source 2026'!$B:$B,$A44,'Source 2026'!$A:$A,"Amount (NIS)")</f>
        <v>31560.2</v>
      </c>
      <c r="I44" s="10" t="n">
        <f aca="false">H44-G44</f>
        <v>-19197.5</v>
      </c>
      <c r="J44" s="9" t="n">
        <f aca="false">IF(AND(G44=0,H44=0),0,IF(G44=0,"New",(H44-G44)/G44))</f>
        <v>-0.378218477196563</v>
      </c>
    </row>
    <row r="45" customFormat="false" ht="15" hidden="false" customHeight="false" outlineLevel="0" collapsed="false">
      <c r="A45" s="7" t="s">
        <v>72</v>
      </c>
      <c r="B45" s="7" t="str">
        <f aca="false">IFERROR(INDEX('Source 2026'!$C:$C,MATCH($A45,'Source 2026'!$B:$B,0)),IFERROR(INDEX('Source 2025'!$C:$C,MATCH($A45,'Source 2025'!$B:$B,0)),""))</f>
        <v>טייפ קינזיולוגי</v>
      </c>
      <c r="C45" s="8" t="n">
        <f aca="false">SUMIFS('Source 2025'!$I:$I,'Source 2025'!$B:$B,$A45,'Source 2025'!$A:$A,"Quantity (units)")</f>
        <v>1250</v>
      </c>
      <c r="D45" s="8" t="n">
        <f aca="false">SUMIFS('Source 2026'!$I:$I,'Source 2026'!$B:$B,$A45,'Source 2026'!$A:$A,"Quantity (units)")</f>
        <v>779</v>
      </c>
      <c r="E45" s="8" t="n">
        <f aca="false">D45-C45</f>
        <v>-471</v>
      </c>
      <c r="F45" s="9" t="n">
        <f aca="false">IF(AND(C45=0,D45=0),0,IF(C45=0,"New",(D45-C45)/C45))</f>
        <v>-0.3768</v>
      </c>
      <c r="G45" s="10" t="n">
        <f aca="false">SUMIFS('Source 2025'!$I:$I,'Source 2025'!$B:$B,$A45,'Source 2025'!$A:$A,"Amount (NIS)")</f>
        <v>49625.3</v>
      </c>
      <c r="H45" s="10" t="n">
        <f aca="false">SUMIFS('Source 2026'!$I:$I,'Source 2026'!$B:$B,$A45,'Source 2026'!$A:$A,"Amount (NIS)")</f>
        <v>31161.7</v>
      </c>
      <c r="I45" s="10" t="n">
        <f aca="false">H45-G45</f>
        <v>-18463.6</v>
      </c>
      <c r="J45" s="9" t="n">
        <f aca="false">IF(AND(G45=0,H45=0),0,IF(G45=0,"New",(H45-G45)/G45))</f>
        <v>-0.372060219283309</v>
      </c>
    </row>
    <row r="46" customFormat="false" ht="15" hidden="false" customHeight="false" outlineLevel="0" collapsed="false">
      <c r="A46" s="7" t="s">
        <v>77</v>
      </c>
      <c r="B46" s="7" t="str">
        <f aca="false">IFERROR(INDEX('Source 2026'!$C:$C,MATCH($A46,'Source 2026'!$B:$B,0)),IFERROR(INDEX('Source 2025'!$C:$C,MATCH($A46,'Source 2025'!$B:$B,0)),""))</f>
        <v>S מקבע כתף ויד</v>
      </c>
      <c r="C46" s="8" t="n">
        <f aca="false">SUMIFS('Source 2025'!$I:$I,'Source 2025'!$B:$B,$A46,'Source 2025'!$A:$A,"Quantity (units)")</f>
        <v>574</v>
      </c>
      <c r="D46" s="8" t="n">
        <f aca="false">SUMIFS('Source 2026'!$I:$I,'Source 2026'!$B:$B,$A46,'Source 2026'!$A:$A,"Quantity (units)")</f>
        <v>463</v>
      </c>
      <c r="E46" s="8" t="n">
        <f aca="false">D46-C46</f>
        <v>-111</v>
      </c>
      <c r="F46" s="9" t="n">
        <f aca="false">IF(AND(C46=0,D46=0),0,IF(C46=0,"New",(D46-C46)/C46))</f>
        <v>-0.193379790940767</v>
      </c>
      <c r="G46" s="10" t="n">
        <f aca="false">SUMIFS('Source 2025'!$I:$I,'Source 2025'!$B:$B,$A46,'Source 2025'!$A:$A,"Amount (NIS)")</f>
        <v>92968.5</v>
      </c>
      <c r="H46" s="10" t="n">
        <f aca="false">SUMIFS('Source 2026'!$I:$I,'Source 2026'!$B:$B,$A46,'Source 2026'!$A:$A,"Amount (NIS)")</f>
        <v>75091.9</v>
      </c>
      <c r="I46" s="10" t="n">
        <f aca="false">H46-G46</f>
        <v>-17876.6</v>
      </c>
      <c r="J46" s="9" t="n">
        <f aca="false">IF(AND(G46=0,H46=0),0,IF(G46=0,"New",(H46-G46)/G46))</f>
        <v>-0.192286634720362</v>
      </c>
    </row>
    <row r="47" customFormat="false" ht="15" hidden="false" customHeight="false" outlineLevel="0" collapsed="false">
      <c r="A47" s="7" t="s">
        <v>76</v>
      </c>
      <c r="B47" s="7" t="str">
        <f aca="false">IFERROR(INDEX('Source 2026'!$C:$C,MATCH($A47,'Source 2026'!$B:$B,0)),IFERROR(INDEX('Source 2025'!$C:$C,MATCH($A47,'Source 2025'!$B:$B,0)),""))</f>
        <v>טייפ קינזיולוגי</v>
      </c>
      <c r="C47" s="8" t="n">
        <f aca="false">SUMIFS('Source 2025'!$I:$I,'Source 2025'!$B:$B,$A47,'Source 2025'!$A:$A,"Quantity (units)")</f>
        <v>1150</v>
      </c>
      <c r="D47" s="8" t="n">
        <f aca="false">SUMIFS('Source 2026'!$I:$I,'Source 2026'!$B:$B,$A47,'Source 2026'!$A:$A,"Quantity (units)")</f>
        <v>704</v>
      </c>
      <c r="E47" s="8" t="n">
        <f aca="false">D47-C47</f>
        <v>-446</v>
      </c>
      <c r="F47" s="9" t="n">
        <f aca="false">IF(AND(C47=0,D47=0),0,IF(C47=0,"New",(D47-C47)/C47))</f>
        <v>-0.387826086956522</v>
      </c>
      <c r="G47" s="10" t="n">
        <f aca="false">SUMIFS('Source 2025'!$I:$I,'Source 2025'!$B:$B,$A47,'Source 2025'!$A:$A,"Amount (NIS)")</f>
        <v>45598.1</v>
      </c>
      <c r="H47" s="10" t="n">
        <f aca="false">SUMIFS('Source 2026'!$I:$I,'Source 2026'!$B:$B,$A47,'Source 2026'!$A:$A,"Amount (NIS)")</f>
        <v>28209.3</v>
      </c>
      <c r="I47" s="10" t="n">
        <f aca="false">H47-G47</f>
        <v>-17388.8</v>
      </c>
      <c r="J47" s="9" t="n">
        <f aca="false">IF(AND(G47=0,H47=0),0,IF(G47=0,"New",(H47-G47)/G47))</f>
        <v>-0.381349222884287</v>
      </c>
    </row>
    <row r="48" customFormat="false" ht="15" hidden="false" customHeight="false" outlineLevel="0" collapsed="false">
      <c r="A48" s="7" t="s">
        <v>81</v>
      </c>
      <c r="B48" s="7" t="str">
        <f aca="false">IFERROR(INDEX('Source 2026'!$C:$C,MATCH($A48,'Source 2026'!$B:$B,0)),IFERROR(INDEX('Source 2025'!$C:$C,MATCH($A48,'Source 2025'!$B:$B,0)),""))</f>
        <v>0 מ.בוניון+מפריד אצבע</v>
      </c>
      <c r="C48" s="8" t="n">
        <f aca="false">SUMIFS('Source 2025'!$I:$I,'Source 2025'!$B:$B,$A48,'Source 2025'!$A:$A,"Quantity (units)")</f>
        <v>1966</v>
      </c>
      <c r="D48" s="8" t="n">
        <f aca="false">SUMIFS('Source 2026'!$I:$I,'Source 2026'!$B:$B,$A48,'Source 2026'!$A:$A,"Quantity (units)")</f>
        <v>1490</v>
      </c>
      <c r="E48" s="8" t="n">
        <f aca="false">D48-C48</f>
        <v>-476</v>
      </c>
      <c r="F48" s="9" t="n">
        <f aca="false">IF(AND(C48=0,D48=0),0,IF(C48=0,"New",(D48-C48)/C48))</f>
        <v>-0.242115971515768</v>
      </c>
      <c r="G48" s="10" t="n">
        <f aca="false">SUMIFS('Source 2025'!$I:$I,'Source 2025'!$B:$B,$A48,'Source 2025'!$A:$A,"Amount (NIS)")</f>
        <v>68574.3</v>
      </c>
      <c r="H48" s="10" t="n">
        <f aca="false">SUMIFS('Source 2026'!$I:$I,'Source 2026'!$B:$B,$A48,'Source 2026'!$A:$A,"Amount (NIS)")</f>
        <v>51711.1</v>
      </c>
      <c r="I48" s="10" t="n">
        <f aca="false">H48-G48</f>
        <v>-16863.2</v>
      </c>
      <c r="J48" s="9" t="n">
        <f aca="false">IF(AND(G48=0,H48=0),0,IF(G48=0,"New",(H48-G48)/G48))</f>
        <v>-0.245911369128084</v>
      </c>
    </row>
    <row r="49" customFormat="false" ht="15" hidden="false" customHeight="false" outlineLevel="0" collapsed="false">
      <c r="A49" s="7" t="s">
        <v>82</v>
      </c>
      <c r="B49" s="7" t="str">
        <f aca="false">IFERROR(INDEX('Source 2026'!$C:$C,MATCH($A49,'Source 2026'!$B:$B,0)),IFERROR(INDEX('Source 2025'!$C:$C,MATCH($A49,'Source 2025'!$B:$B,0)),""))</f>
        <v>S-L אצבעון מסיליקון יחידה</v>
      </c>
      <c r="C49" s="8" t="n">
        <f aca="false">SUMIFS('Source 2025'!$I:$I,'Source 2025'!$B:$B,$A49,'Source 2025'!$A:$A,"Quantity (units)")</f>
        <v>2474</v>
      </c>
      <c r="D49" s="8" t="n">
        <f aca="false">SUMIFS('Source 2026'!$I:$I,'Source 2026'!$B:$B,$A49,'Source 2026'!$A:$A,"Quantity (units)")</f>
        <v>1747</v>
      </c>
      <c r="E49" s="8" t="n">
        <f aca="false">D49-C49</f>
        <v>-727</v>
      </c>
      <c r="F49" s="9" t="n">
        <f aca="false">IF(AND(C49=0,D49=0),0,IF(C49=0,"New",(D49-C49)/C49))</f>
        <v>-0.293856103476152</v>
      </c>
      <c r="G49" s="10" t="n">
        <f aca="false">SUMIFS('Source 2025'!$I:$I,'Source 2025'!$B:$B,$A49,'Source 2025'!$A:$A,"Amount (NIS)")</f>
        <v>54688.9</v>
      </c>
      <c r="H49" s="10" t="n">
        <f aca="false">SUMIFS('Source 2026'!$I:$I,'Source 2026'!$B:$B,$A49,'Source 2026'!$A:$A,"Amount (NIS)")</f>
        <v>38938.5</v>
      </c>
      <c r="I49" s="10" t="n">
        <f aca="false">H49-G49</f>
        <v>-15750.4</v>
      </c>
      <c r="J49" s="9" t="n">
        <f aca="false">IF(AND(G49=0,H49=0),0,IF(G49=0,"New",(H49-G49)/G49))</f>
        <v>-0.287999941487212</v>
      </c>
    </row>
    <row r="50" customFormat="false" ht="15" hidden="false" customHeight="false" outlineLevel="0" collapsed="false">
      <c r="A50" s="7" t="s">
        <v>79</v>
      </c>
      <c r="B50" s="7" t="str">
        <f aca="false">IFERROR(INDEX('Source 2026'!$C:$C,MATCH($A50,'Source 2026'!$B:$B,0)),IFERROR(INDEX('Source 2025'!$C:$C,MATCH($A50,'Source 2025'!$B:$B,0)),""))</f>
        <v>S ""חגורת גב ""לומבו</v>
      </c>
      <c r="C50" s="8" t="n">
        <f aca="false">SUMIFS('Source 2025'!$I:$I,'Source 2025'!$B:$B,$A50,'Source 2025'!$A:$A,"Quantity (units)")</f>
        <v>177</v>
      </c>
      <c r="D50" s="8" t="n">
        <f aca="false">SUMIFS('Source 2026'!$I:$I,'Source 2026'!$B:$B,$A50,'Source 2026'!$A:$A,"Quantity (units)")</f>
        <v>57</v>
      </c>
      <c r="E50" s="8" t="n">
        <f aca="false">D50-C50</f>
        <v>-120</v>
      </c>
      <c r="F50" s="9" t="n">
        <f aca="false">IF(AND(C50=0,D50=0),0,IF(C50=0,"New",(D50-C50)/C50))</f>
        <v>-0.677966101694915</v>
      </c>
      <c r="G50" s="10" t="n">
        <f aca="false">SUMIFS('Source 2025'!$I:$I,'Source 2025'!$B:$B,$A50,'Source 2025'!$A:$A,"Amount (NIS)")</f>
        <v>23269.9</v>
      </c>
      <c r="H50" s="10" t="n">
        <f aca="false">SUMIFS('Source 2026'!$I:$I,'Source 2026'!$B:$B,$A50,'Source 2026'!$A:$A,"Amount (NIS)")</f>
        <v>7725.5</v>
      </c>
      <c r="I50" s="10" t="n">
        <f aca="false">H50-G50</f>
        <v>-15544.4</v>
      </c>
      <c r="J50" s="9" t="n">
        <f aca="false">IF(AND(G50=0,H50=0),0,IF(G50=0,"New",(H50-G50)/G50))</f>
        <v>-0.668004589620067</v>
      </c>
    </row>
    <row r="51" customFormat="false" ht="15" hidden="false" customHeight="false" outlineLevel="0" collapsed="false">
      <c r="A51" s="7" t="s">
        <v>80</v>
      </c>
      <c r="B51" s="7" t="str">
        <f aca="false">IFERROR(INDEX('Source 2026'!$C:$C,MATCH($A51,'Source 2026'!$B:$B,0)),IFERROR(INDEX('Source 2025'!$C:$C,MATCH($A51,'Source 2025'!$B:$B,0)),""))</f>
        <v>45 M מגן ברך רגיל</v>
      </c>
      <c r="C51" s="8" t="n">
        <f aca="false">SUMIFS('Source 2025'!$I:$I,'Source 2025'!$B:$B,$A51,'Source 2025'!$A:$A,"Quantity (units)")</f>
        <v>302</v>
      </c>
      <c r="D51" s="8" t="n">
        <f aca="false">SUMIFS('Source 2026'!$I:$I,'Source 2026'!$B:$B,$A51,'Source 2026'!$A:$A,"Quantity (units)")</f>
        <v>132</v>
      </c>
      <c r="E51" s="8" t="n">
        <f aca="false">D51-C51</f>
        <v>-170</v>
      </c>
      <c r="F51" s="9" t="n">
        <f aca="false">IF(AND(C51=0,D51=0),0,IF(C51=0,"New",(D51-C51)/C51))</f>
        <v>-0.562913907284768</v>
      </c>
      <c r="G51" s="10" t="n">
        <f aca="false">SUMIFS('Source 2025'!$I:$I,'Source 2025'!$B:$B,$A51,'Source 2025'!$A:$A,"Amount (NIS)")</f>
        <v>27486.1</v>
      </c>
      <c r="H51" s="10" t="n">
        <f aca="false">SUMIFS('Source 2026'!$I:$I,'Source 2026'!$B:$B,$A51,'Source 2026'!$A:$A,"Amount (NIS)")</f>
        <v>12246.5</v>
      </c>
      <c r="I51" s="10" t="n">
        <f aca="false">H51-G51</f>
        <v>-15239.6</v>
      </c>
      <c r="J51" s="9" t="n">
        <f aca="false">IF(AND(G51=0,H51=0),0,IF(G51=0,"New",(H51-G51)/G51))</f>
        <v>-0.55444752074685</v>
      </c>
    </row>
    <row r="52" customFormat="false" ht="15" hidden="false" customHeight="false" outlineLevel="0" collapsed="false">
      <c r="A52" s="7" t="s">
        <v>88</v>
      </c>
      <c r="B52" s="7" t="str">
        <f aca="false">IFERROR(INDEX('Source 2026'!$C:$C,MATCH($A52,'Source 2026'!$B:$B,0)),IFERROR(INDEX('Source 2025'!$C:$C,MATCH($A52,'Source 2025'!$B:$B,0)),""))</f>
        <v>למניעת שפשוף 5 יח</v>
      </c>
      <c r="C52" s="8" t="n">
        <f aca="false">SUMIFS('Source 2025'!$I:$I,'Source 2025'!$B:$B,$A52,'Source 2025'!$A:$A,"Quantity (units)")</f>
        <v>4630</v>
      </c>
      <c r="D52" s="8" t="n">
        <f aca="false">SUMIFS('Source 2026'!$I:$I,'Source 2026'!$B:$B,$A52,'Source 2026'!$A:$A,"Quantity (units)")</f>
        <v>3276</v>
      </c>
      <c r="E52" s="8" t="n">
        <f aca="false">D52-C52</f>
        <v>-1354</v>
      </c>
      <c r="F52" s="9" t="n">
        <f aca="false">IF(AND(C52=0,D52=0),0,IF(C52=0,"New",(D52-C52)/C52))</f>
        <v>-0.29244060475162</v>
      </c>
      <c r="G52" s="10" t="n">
        <f aca="false">SUMIFS('Source 2025'!$I:$I,'Source 2025'!$B:$B,$A52,'Source 2025'!$A:$A,"Amount (NIS)")</f>
        <v>57852</v>
      </c>
      <c r="H52" s="10" t="n">
        <f aca="false">SUMIFS('Source 2026'!$I:$I,'Source 2026'!$B:$B,$A52,'Source 2026'!$A:$A,"Amount (NIS)")</f>
        <v>44217.4</v>
      </c>
      <c r="I52" s="10" t="n">
        <f aca="false">H52-G52</f>
        <v>-13634.6</v>
      </c>
      <c r="J52" s="9" t="n">
        <f aca="false">IF(AND(G52=0,H52=0),0,IF(G52=0,"New",(H52-G52)/G52))</f>
        <v>-0.235680702482196</v>
      </c>
    </row>
    <row r="53" customFormat="false" ht="15" hidden="false" customHeight="false" outlineLevel="0" collapsed="false">
      <c r="A53" s="7" t="s">
        <v>83</v>
      </c>
      <c r="B53" s="7" t="str">
        <f aca="false">IFERROR(INDEX('Source 2026'!$C:$C,MATCH($A53,'Source 2026'!$B:$B,0)),IFERROR(INDEX('Source 2025'!$C:$C,MATCH($A53,'Source 2025'!$B:$B,0)),""))</f>
        <v>XS חגורת פאבליק</v>
      </c>
      <c r="C53" s="8" t="n">
        <f aca="false">SUMIFS('Source 2025'!$I:$I,'Source 2025'!$B:$B,$A53,'Source 2025'!$A:$A,"Quantity (units)")</f>
        <v>0</v>
      </c>
      <c r="D53" s="8" t="n">
        <f aca="false">SUMIFS('Source 2026'!$I:$I,'Source 2026'!$B:$B,$A53,'Source 2026'!$A:$A,"Quantity (units)")</f>
        <v>47</v>
      </c>
      <c r="E53" s="8" t="n">
        <f aca="false">D53-C53</f>
        <v>47</v>
      </c>
      <c r="F53" s="9" t="str">
        <f aca="false">IF(AND(C53=0,D53=0),0,IF(C53=0,"New",(D53-C53)/C53))</f>
        <v>New</v>
      </c>
      <c r="G53" s="10" t="n">
        <f aca="false">SUMIFS('Source 2025'!$I:$I,'Source 2025'!$B:$B,$A53,'Source 2025'!$A:$A,"Amount (NIS)")</f>
        <v>0</v>
      </c>
      <c r="H53" s="10" t="n">
        <f aca="false">SUMIFS('Source 2026'!$I:$I,'Source 2026'!$B:$B,$A53,'Source 2026'!$A:$A,"Amount (NIS)")</f>
        <v>13130.3</v>
      </c>
      <c r="I53" s="10" t="n">
        <f aca="false">H53-G53</f>
        <v>13130.3</v>
      </c>
      <c r="J53" s="9" t="str">
        <f aca="false">IF(AND(G53=0,H53=0),0,IF(G53=0,"New",(H53-G53)/G53))</f>
        <v>New</v>
      </c>
    </row>
    <row r="54" customFormat="false" ht="15" hidden="false" customHeight="false" outlineLevel="0" collapsed="false">
      <c r="A54" s="7" t="s">
        <v>89</v>
      </c>
      <c r="B54" s="7" t="str">
        <f aca="false">IFERROR(INDEX('Source 2026'!$C:$C,MATCH($A54,'Source 2026'!$B:$B,0)),IFERROR(INDEX('Source 2025'!$C:$C,MATCH($A54,'Source 2025'!$B:$B,0)),""))</f>
        <v>מדרס אורטופ.מתכוון35-36</v>
      </c>
      <c r="C54" s="8" t="n">
        <f aca="false">SUMIFS('Source 2025'!$I:$I,'Source 2025'!$B:$B,$A54,'Source 2025'!$A:$A,"Quantity (units)")</f>
        <v>573</v>
      </c>
      <c r="D54" s="8" t="n">
        <f aca="false">SUMIFS('Source 2026'!$I:$I,'Source 2026'!$B:$B,$A54,'Source 2026'!$A:$A,"Quantity (units)")</f>
        <v>386</v>
      </c>
      <c r="E54" s="8" t="n">
        <f aca="false">D54-C54</f>
        <v>-187</v>
      </c>
      <c r="F54" s="9" t="n">
        <f aca="false">IF(AND(C54=0,D54=0),0,IF(C54=0,"New",(D54-C54)/C54))</f>
        <v>-0.326352530541012</v>
      </c>
      <c r="G54" s="10" t="n">
        <f aca="false">SUMIFS('Source 2025'!$I:$I,'Source 2025'!$B:$B,$A54,'Source 2025'!$A:$A,"Amount (NIS)")</f>
        <v>38173.9</v>
      </c>
      <c r="H54" s="10" t="n">
        <f aca="false">SUMIFS('Source 2026'!$I:$I,'Source 2026'!$B:$B,$A54,'Source 2026'!$A:$A,"Amount (NIS)")</f>
        <v>25266.8</v>
      </c>
      <c r="I54" s="10" t="n">
        <f aca="false">H54-G54</f>
        <v>-12907.1</v>
      </c>
      <c r="J54" s="9" t="n">
        <f aca="false">IF(AND(G54=0,H54=0),0,IF(G54=0,"New",(H54-G54)/G54))</f>
        <v>-0.338113213478319</v>
      </c>
    </row>
    <row r="55" customFormat="false" ht="15" hidden="false" customHeight="false" outlineLevel="0" collapsed="false">
      <c r="A55" s="7" t="s">
        <v>85</v>
      </c>
      <c r="B55" s="7" t="str">
        <f aca="false">IFERROR(INDEX('Source 2026'!$C:$C,MATCH($A55,'Source 2026'!$B:$B,0)),IFERROR(INDEX('Source 2025'!$C:$C,MATCH($A55,'Source 2025'!$B:$B,0)),""))</f>
        <v>נצמדת שחור 20 מ""מ</v>
      </c>
      <c r="C55" s="8" t="n">
        <f aca="false">SUMIFS('Source 2025'!$I:$I,'Source 2025'!$B:$B,$A55,'Source 2025'!$A:$A,"Quantity (units)")</f>
        <v>1790</v>
      </c>
      <c r="D55" s="8" t="n">
        <f aca="false">SUMIFS('Source 2026'!$I:$I,'Source 2026'!$B:$B,$A55,'Source 2026'!$A:$A,"Quantity (units)")</f>
        <v>580</v>
      </c>
      <c r="E55" s="8" t="n">
        <f aca="false">D55-C55</f>
        <v>-1210</v>
      </c>
      <c r="F55" s="9" t="n">
        <f aca="false">IF(AND(C55=0,D55=0),0,IF(C55=0,"New",(D55-C55)/C55))</f>
        <v>-0.675977653631285</v>
      </c>
      <c r="G55" s="10" t="n">
        <f aca="false">SUMIFS('Source 2025'!$I:$I,'Source 2025'!$B:$B,$A55,'Source 2025'!$A:$A,"Amount (NIS)")</f>
        <v>18164.7</v>
      </c>
      <c r="H55" s="10" t="n">
        <f aca="false">SUMIFS('Source 2026'!$I:$I,'Source 2026'!$B:$B,$A55,'Source 2026'!$A:$A,"Amount (NIS)")</f>
        <v>5942.1</v>
      </c>
      <c r="I55" s="10" t="n">
        <f aca="false">H55-G55</f>
        <v>-12222.6</v>
      </c>
      <c r="J55" s="9" t="n">
        <f aca="false">IF(AND(G55=0,H55=0),0,IF(G55=0,"New",(H55-G55)/G55))</f>
        <v>-0.672876513237213</v>
      </c>
    </row>
    <row r="56" customFormat="false" ht="15" hidden="false" customHeight="false" outlineLevel="0" collapsed="false">
      <c r="A56" s="7" t="s">
        <v>86</v>
      </c>
      <c r="B56" s="7" t="str">
        <f aca="false">IFERROR(INDEX('Source 2026'!$C:$C,MATCH($A56,'Source 2026'!$B:$B,0)),IFERROR(INDEX('Source 2025'!$C:$C,MATCH($A56,'Source 2025'!$B:$B,0)),""))</f>
        <v>נצמדת כחול20מ""מ</v>
      </c>
      <c r="C56" s="8" t="n">
        <f aca="false">SUMIFS('Source 2025'!$I:$I,'Source 2025'!$B:$B,$A56,'Source 2025'!$A:$A,"Quantity (units)")</f>
        <v>1556</v>
      </c>
      <c r="D56" s="8" t="n">
        <f aca="false">SUMIFS('Source 2026'!$I:$I,'Source 2026'!$B:$B,$A56,'Source 2026'!$A:$A,"Quantity (units)")</f>
        <v>358</v>
      </c>
      <c r="E56" s="8" t="n">
        <f aca="false">D56-C56</f>
        <v>-1198</v>
      </c>
      <c r="F56" s="9" t="n">
        <f aca="false">IF(AND(C56=0,D56=0),0,IF(C56=0,"New",(D56-C56)/C56))</f>
        <v>-0.769922879177378</v>
      </c>
      <c r="G56" s="10" t="n">
        <f aca="false">SUMIFS('Source 2025'!$I:$I,'Source 2025'!$B:$B,$A56,'Source 2025'!$A:$A,"Amount (NIS)")</f>
        <v>15795.7</v>
      </c>
      <c r="H56" s="10" t="n">
        <f aca="false">SUMIFS('Source 2026'!$I:$I,'Source 2026'!$B:$B,$A56,'Source 2026'!$A:$A,"Amount (NIS)")</f>
        <v>3674.8</v>
      </c>
      <c r="I56" s="10" t="n">
        <f aca="false">H56-G56</f>
        <v>-12120.9</v>
      </c>
      <c r="J56" s="9" t="n">
        <f aca="false">IF(AND(G56=0,H56=0),0,IF(G56=0,"New",(H56-G56)/G56))</f>
        <v>-0.767354406579006</v>
      </c>
    </row>
    <row r="57" customFormat="false" ht="15" hidden="false" customHeight="false" outlineLevel="0" collapsed="false">
      <c r="A57" s="7" t="s">
        <v>91</v>
      </c>
      <c r="B57" s="7" t="str">
        <f aca="false">IFERROR(INDEX('Source 2026'!$C:$C,MATCH($A57,'Source 2026'!$B:$B,0)),IFERROR(INDEX('Source 2025'!$C:$C,MATCH($A57,'Source 2025'!$B:$B,0)),""))</f>
        <v>בליסטר פלסטר</v>
      </c>
      <c r="C57" s="8" t="n">
        <f aca="false">SUMIFS('Source 2025'!$I:$I,'Source 2025'!$B:$B,$A57,'Source 2025'!$A:$A,"Quantity (units)")</f>
        <v>2062</v>
      </c>
      <c r="D57" s="8" t="n">
        <f aca="false">SUMIFS('Source 2026'!$I:$I,'Source 2026'!$B:$B,$A57,'Source 2026'!$A:$A,"Quantity (units)")</f>
        <v>1386</v>
      </c>
      <c r="E57" s="8" t="n">
        <f aca="false">D57-C57</f>
        <v>-676</v>
      </c>
      <c r="F57" s="9" t="n">
        <f aca="false">IF(AND(C57=0,D57=0),0,IF(C57=0,"New",(D57-C57)/C57))</f>
        <v>-0.327837051406402</v>
      </c>
      <c r="G57" s="10" t="n">
        <f aca="false">SUMIFS('Source 2025'!$I:$I,'Source 2025'!$B:$B,$A57,'Source 2025'!$A:$A,"Amount (NIS)")</f>
        <v>36835</v>
      </c>
      <c r="H57" s="10" t="n">
        <f aca="false">SUMIFS('Source 2026'!$I:$I,'Source 2026'!$B:$B,$A57,'Source 2026'!$A:$A,"Amount (NIS)")</f>
        <v>24943.6</v>
      </c>
      <c r="I57" s="10" t="n">
        <f aca="false">H57-G57</f>
        <v>-11891.4</v>
      </c>
      <c r="J57" s="9" t="n">
        <f aca="false">IF(AND(G57=0,H57=0),0,IF(G57=0,"New",(H57-G57)/G57))</f>
        <v>-0.322828831274603</v>
      </c>
    </row>
    <row r="58" customFormat="false" ht="15" hidden="false" customHeight="false" outlineLevel="0" collapsed="false">
      <c r="A58" s="7" t="s">
        <v>90</v>
      </c>
      <c r="B58" s="7" t="str">
        <f aca="false">IFERROR(INDEX('Source 2026'!$C:$C,MATCH($A58,'Source 2026'!$B:$B,0)),IFERROR(INDEX('Source 2025'!$C:$C,MATCH($A58,'Source 2025'!$B:$B,0)),""))</f>
        <v>מטטרזלי סיליקון362</v>
      </c>
      <c r="C58" s="8" t="n">
        <f aca="false">SUMIFS('Source 2025'!$I:$I,'Source 2025'!$B:$B,$A58,'Source 2025'!$A:$A,"Quantity (units)")</f>
        <v>2372</v>
      </c>
      <c r="D58" s="8" t="n">
        <f aca="false">SUMIFS('Source 2026'!$I:$I,'Source 2026'!$B:$B,$A58,'Source 2026'!$A:$A,"Quantity (units)")</f>
        <v>1832</v>
      </c>
      <c r="E58" s="8" t="n">
        <f aca="false">D58-C58</f>
        <v>-540</v>
      </c>
      <c r="F58" s="9" t="n">
        <f aca="false">IF(AND(C58=0,D58=0),0,IF(C58=0,"New",(D58-C58)/C58))</f>
        <v>-0.227655986509275</v>
      </c>
      <c r="G58" s="10" t="n">
        <f aca="false">SUMIFS('Source 2025'!$I:$I,'Source 2025'!$B:$B,$A58,'Source 2025'!$A:$A,"Amount (NIS)")</f>
        <v>55348</v>
      </c>
      <c r="H58" s="10" t="n">
        <f aca="false">SUMIFS('Source 2026'!$I:$I,'Source 2026'!$B:$B,$A58,'Source 2026'!$A:$A,"Amount (NIS)")</f>
        <v>43701.2</v>
      </c>
      <c r="I58" s="10" t="n">
        <f aca="false">H58-G58</f>
        <v>-11646.8</v>
      </c>
      <c r="J58" s="9" t="n">
        <f aca="false">IF(AND(G58=0,H58=0),0,IF(G58=0,"New",(H58-G58)/G58))</f>
        <v>-0.210428561104286</v>
      </c>
    </row>
    <row r="59" customFormat="false" ht="15" hidden="false" customHeight="false" outlineLevel="0" collapsed="false">
      <c r="A59" s="7" t="s">
        <v>84</v>
      </c>
      <c r="B59" s="7" t="str">
        <f aca="false">IFERROR(INDEX('Source 2026'!$C:$C,MATCH($A59,'Source 2026'!$B:$B,0)),IFERROR(INDEX('Source 2025'!$C:$C,MATCH($A59,'Source 2025'!$B:$B,0)),""))</f>
        <v>Sמיישר כתף יציב יישור גב צר</v>
      </c>
      <c r="C59" s="8" t="n">
        <f aca="false">SUMIFS('Source 2025'!$I:$I,'Source 2025'!$B:$B,$A59,'Source 2025'!$A:$A,"Quantity (units)")</f>
        <v>267</v>
      </c>
      <c r="D59" s="8" t="n">
        <f aca="false">SUMIFS('Source 2026'!$I:$I,'Source 2026'!$B:$B,$A59,'Source 2026'!$A:$A,"Quantity (units)")</f>
        <v>171</v>
      </c>
      <c r="E59" s="8" t="n">
        <f aca="false">D59-C59</f>
        <v>-96</v>
      </c>
      <c r="F59" s="9" t="n">
        <f aca="false">IF(AND(C59=0,D59=0),0,IF(C59=0,"New",(D59-C59)/C59))</f>
        <v>-0.359550561797753</v>
      </c>
      <c r="G59" s="10" t="n">
        <f aca="false">SUMIFS('Source 2025'!$I:$I,'Source 2025'!$B:$B,$A59,'Source 2025'!$A:$A,"Amount (NIS)")</f>
        <v>36138.1</v>
      </c>
      <c r="H59" s="10" t="n">
        <f aca="false">SUMIFS('Source 2026'!$I:$I,'Source 2026'!$B:$B,$A59,'Source 2026'!$A:$A,"Amount (NIS)")</f>
        <v>24630.6</v>
      </c>
      <c r="I59" s="10" t="n">
        <f aca="false">H59-G59</f>
        <v>-11507.5</v>
      </c>
      <c r="J59" s="9" t="n">
        <f aca="false">IF(AND(G59=0,H59=0),0,IF(G59=0,"New",(H59-G59)/G59))</f>
        <v>-0.318431240159278</v>
      </c>
    </row>
    <row r="60" customFormat="false" ht="15" hidden="false" customHeight="false" outlineLevel="0" collapsed="false">
      <c r="A60" s="7" t="s">
        <v>116</v>
      </c>
      <c r="B60" s="7" t="str">
        <f aca="false">IFERROR(INDEX('Source 2026'!$C:$C,MATCH($A60,'Source 2026'!$B:$B,0)),IFERROR(INDEX('Source 2025'!$C:$C,MATCH($A60,'Source 2025'!$B:$B,0)),""))</f>
        <v>S חגורה למנותחי בית החזה</v>
      </c>
      <c r="C60" s="8" t="n">
        <f aca="false">SUMIFS('Source 2025'!$I:$I,'Source 2025'!$B:$B,$A60,'Source 2025'!$A:$A,"Quantity (units)")</f>
        <v>247</v>
      </c>
      <c r="D60" s="8" t="n">
        <f aca="false">SUMIFS('Source 2026'!$I:$I,'Source 2026'!$B:$B,$A60,'Source 2026'!$A:$A,"Quantity (units)")</f>
        <v>324</v>
      </c>
      <c r="E60" s="8" t="n">
        <f aca="false">D60-C60</f>
        <v>77</v>
      </c>
      <c r="F60" s="9" t="n">
        <f aca="false">IF(AND(C60=0,D60=0),0,IF(C60=0,"New",(D60-C60)/C60))</f>
        <v>0.311740890688259</v>
      </c>
      <c r="G60" s="10" t="n">
        <f aca="false">SUMIFS('Source 2025'!$I:$I,'Source 2025'!$B:$B,$A60,'Source 2025'!$A:$A,"Amount (NIS)")</f>
        <v>34609.9</v>
      </c>
      <c r="H60" s="10" t="n">
        <f aca="false">SUMIFS('Source 2026'!$I:$I,'Source 2026'!$B:$B,$A60,'Source 2026'!$A:$A,"Amount (NIS)")</f>
        <v>45987.8</v>
      </c>
      <c r="I60" s="10" t="n">
        <f aca="false">H60-G60</f>
        <v>11377.9</v>
      </c>
      <c r="J60" s="9" t="n">
        <f aca="false">IF(AND(G60=0,H60=0),0,IF(G60=0,"New",(H60-G60)/G60))</f>
        <v>0.328746977021026</v>
      </c>
    </row>
    <row r="61" customFormat="false" ht="15" hidden="false" customHeight="false" outlineLevel="0" collapsed="false">
      <c r="A61" s="7" t="s">
        <v>92</v>
      </c>
      <c r="B61" s="7" t="str">
        <f aca="false">IFERROR(INDEX('Source 2026'!$C:$C,MATCH($A61,'Source 2026'!$B:$B,0)),IFERROR(INDEX('Source 2025'!$C:$C,MATCH($A61,'Source 2025'!$B:$B,0)),""))</f>
        <v>תחבושת א.נצמ</v>
      </c>
      <c r="C61" s="8" t="n">
        <f aca="false">SUMIFS('Source 2025'!$I:$I,'Source 2025'!$B:$B,$A61,'Source 2025'!$A:$A,"Quantity (units)")</f>
        <v>2036</v>
      </c>
      <c r="D61" s="8" t="n">
        <f aca="false">SUMIFS('Source 2026'!$I:$I,'Source 2026'!$B:$B,$A61,'Source 2026'!$A:$A,"Quantity (units)")</f>
        <v>954</v>
      </c>
      <c r="E61" s="8" t="n">
        <f aca="false">D61-C61</f>
        <v>-1082</v>
      </c>
      <c r="F61" s="9" t="n">
        <f aca="false">IF(AND(C61=0,D61=0),0,IF(C61=0,"New",(D61-C61)/C61))</f>
        <v>-0.531434184675835</v>
      </c>
      <c r="G61" s="10" t="n">
        <f aca="false">SUMIFS('Source 2025'!$I:$I,'Source 2025'!$B:$B,$A61,'Source 2025'!$A:$A,"Amount (NIS)")</f>
        <v>21006.6</v>
      </c>
      <c r="H61" s="10" t="n">
        <f aca="false">SUMIFS('Source 2026'!$I:$I,'Source 2026'!$B:$B,$A61,'Source 2026'!$A:$A,"Amount (NIS)")</f>
        <v>9939.5</v>
      </c>
      <c r="I61" s="10" t="n">
        <f aca="false">H61-G61</f>
        <v>-11067.1</v>
      </c>
      <c r="J61" s="9" t="n">
        <f aca="false">IF(AND(G61=0,H61=0),0,IF(G61=0,"New",(H61-G61)/G61))</f>
        <v>-0.526839183875544</v>
      </c>
    </row>
    <row r="62" customFormat="false" ht="15" hidden="false" customHeight="false" outlineLevel="0" collapsed="false">
      <c r="A62" s="7" t="s">
        <v>96</v>
      </c>
      <c r="B62" s="7" t="str">
        <f aca="false">IFERROR(INDEX('Source 2026'!$C:$C,MATCH($A62,'Source 2026'!$B:$B,0)),IFERROR(INDEX('Source 2025'!$C:$C,MATCH($A62,'Source 2025'!$B:$B,0)),""))</f>
        <v>שרוול מגן לבוניון</v>
      </c>
      <c r="C62" s="8" t="n">
        <f aca="false">SUMIFS('Source 2025'!$I:$I,'Source 2025'!$B:$B,$A62,'Source 2025'!$A:$A,"Quantity (units)")</f>
        <v>1069</v>
      </c>
      <c r="D62" s="8" t="n">
        <f aca="false">SUMIFS('Source 2026'!$I:$I,'Source 2026'!$B:$B,$A62,'Source 2026'!$A:$A,"Quantity (units)")</f>
        <v>680</v>
      </c>
      <c r="E62" s="8" t="n">
        <f aca="false">D62-C62</f>
        <v>-389</v>
      </c>
      <c r="F62" s="9" t="n">
        <f aca="false">IF(AND(C62=0,D62=0),0,IF(C62=0,"New",(D62-C62)/C62))</f>
        <v>-0.363891487371375</v>
      </c>
      <c r="G62" s="10" t="n">
        <f aca="false">SUMIFS('Source 2025'!$I:$I,'Source 2025'!$B:$B,$A62,'Source 2025'!$A:$A,"Amount (NIS)")</f>
        <v>30816.1</v>
      </c>
      <c r="H62" s="10" t="n">
        <f aca="false">SUMIFS('Source 2026'!$I:$I,'Source 2026'!$B:$B,$A62,'Source 2026'!$A:$A,"Amount (NIS)")</f>
        <v>19986</v>
      </c>
      <c r="I62" s="10" t="n">
        <f aca="false">H62-G62</f>
        <v>-10830.1</v>
      </c>
      <c r="J62" s="9" t="n">
        <f aca="false">IF(AND(G62=0,H62=0),0,IF(G62=0,"New",(H62-G62)/G62))</f>
        <v>-0.351442914580365</v>
      </c>
    </row>
    <row r="63" customFormat="false" ht="15" hidden="false" customHeight="false" outlineLevel="0" collapsed="false">
      <c r="A63" s="7" t="s">
        <v>93</v>
      </c>
      <c r="B63" s="7" t="str">
        <f aca="false">IFERROR(INDEX('Source 2026'!$C:$C,MATCH($A63,'Source 2026'!$B:$B,0)),IFERROR(INDEX('Source 2025'!$C:$C,MATCH($A63,'Source 2025'!$B:$B,0)),""))</f>
        <v>תחבושת א.נצמ</v>
      </c>
      <c r="C63" s="8" t="n">
        <f aca="false">SUMIFS('Source 2025'!$I:$I,'Source 2025'!$B:$B,$A63,'Source 2025'!$A:$A,"Quantity (units)")</f>
        <v>3355</v>
      </c>
      <c r="D63" s="8" t="n">
        <f aca="false">SUMIFS('Source 2026'!$I:$I,'Source 2026'!$B:$B,$A63,'Source 2026'!$A:$A,"Quantity (units)")</f>
        <v>2312</v>
      </c>
      <c r="E63" s="8" t="n">
        <f aca="false">D63-C63</f>
        <v>-1043</v>
      </c>
      <c r="F63" s="9" t="n">
        <f aca="false">IF(AND(C63=0,D63=0),0,IF(C63=0,"New",(D63-C63)/C63))</f>
        <v>-0.310879284649776</v>
      </c>
      <c r="G63" s="10" t="n">
        <f aca="false">SUMIFS('Source 2025'!$I:$I,'Source 2025'!$B:$B,$A63,'Source 2025'!$A:$A,"Amount (NIS)")</f>
        <v>34596.7</v>
      </c>
      <c r="H63" s="10" t="n">
        <f aca="false">SUMIFS('Source 2026'!$I:$I,'Source 2026'!$B:$B,$A63,'Source 2026'!$A:$A,"Amount (NIS)")</f>
        <v>24034.3</v>
      </c>
      <c r="I63" s="10" t="n">
        <f aca="false">H63-G63</f>
        <v>-10562.4</v>
      </c>
      <c r="J63" s="9" t="n">
        <f aca="false">IF(AND(G63=0,H63=0),0,IF(G63=0,"New",(H63-G63)/G63))</f>
        <v>-0.305300794584455</v>
      </c>
    </row>
    <row r="64" customFormat="false" ht="15" hidden="false" customHeight="false" outlineLevel="0" collapsed="false">
      <c r="A64" s="7" t="s">
        <v>101</v>
      </c>
      <c r="B64" s="7" t="str">
        <f aca="false">IFERROR(INDEX('Source 2026'!$C:$C,MATCH($A64,'Source 2026'!$B:$B,0)),IFERROR(INDEX('Source 2025'!$C:$C,MATCH($A64,'Source 2025'!$B:$B,0)),""))</f>
        <v>S מגן קרסול מתכוון עם סקוטש</v>
      </c>
      <c r="C64" s="8" t="n">
        <f aca="false">SUMIFS('Source 2025'!$I:$I,'Source 2025'!$B:$B,$A64,'Source 2025'!$A:$A,"Quantity (units)")</f>
        <v>136</v>
      </c>
      <c r="D64" s="8" t="n">
        <f aca="false">SUMIFS('Source 2026'!$I:$I,'Source 2026'!$B:$B,$A64,'Source 2026'!$A:$A,"Quantity (units)")</f>
        <v>-45</v>
      </c>
      <c r="E64" s="8" t="n">
        <f aca="false">D64-C64</f>
        <v>-181</v>
      </c>
      <c r="F64" s="9" t="n">
        <f aca="false">IF(AND(C64=0,D64=0),0,IF(C64=0,"New",(D64-C64)/C64))</f>
        <v>-1.33088235294118</v>
      </c>
      <c r="G64" s="10" t="n">
        <f aca="false">SUMIFS('Source 2025'!$I:$I,'Source 2025'!$B:$B,$A64,'Source 2025'!$A:$A,"Amount (NIS)")</f>
        <v>7975.8</v>
      </c>
      <c r="H64" s="10" t="n">
        <f aca="false">SUMIFS('Source 2026'!$I:$I,'Source 2026'!$B:$B,$A64,'Source 2026'!$A:$A,"Amount (NIS)")</f>
        <v>-2538.3</v>
      </c>
      <c r="I64" s="10" t="n">
        <f aca="false">H64-G64</f>
        <v>-10514.1</v>
      </c>
      <c r="J64" s="9" t="n">
        <f aca="false">IF(AND(G64=0,H64=0),0,IF(G64=0,"New",(H64-G64)/G64))</f>
        <v>-1.3182502068758</v>
      </c>
    </row>
    <row r="65" customFormat="false" ht="15" hidden="false" customHeight="false" outlineLevel="0" collapsed="false">
      <c r="A65" s="7" t="s">
        <v>100</v>
      </c>
      <c r="B65" s="7" t="str">
        <f aca="false">IFERROR(INDEX('Source 2026'!$C:$C,MATCH($A65,'Source 2026'!$B:$B,0)),IFERROR(INDEX('Source 2025'!$C:$C,MATCH($A65,'Source 2025'!$B:$B,0)),""))</f>
        <v>L חבק יד מתכוון עם צמדן</v>
      </c>
      <c r="C65" s="8" t="n">
        <f aca="false">SUMIFS('Source 2025'!$I:$I,'Source 2025'!$B:$B,$A65,'Source 2025'!$A:$A,"Quantity (units)")</f>
        <v>1092</v>
      </c>
      <c r="D65" s="8" t="n">
        <f aca="false">SUMIFS('Source 2026'!$I:$I,'Source 2026'!$B:$B,$A65,'Source 2026'!$A:$A,"Quantity (units)")</f>
        <v>688</v>
      </c>
      <c r="E65" s="8" t="n">
        <f aca="false">D65-C65</f>
        <v>-404</v>
      </c>
      <c r="F65" s="9" t="n">
        <f aca="false">IF(AND(C65=0,D65=0),0,IF(C65=0,"New",(D65-C65)/C65))</f>
        <v>-0.36996336996337</v>
      </c>
      <c r="G65" s="10" t="n">
        <f aca="false">SUMIFS('Source 2025'!$I:$I,'Source 2025'!$B:$B,$A65,'Source 2025'!$A:$A,"Amount (NIS)")</f>
        <v>28193.9</v>
      </c>
      <c r="H65" s="10" t="n">
        <f aca="false">SUMIFS('Source 2026'!$I:$I,'Source 2026'!$B:$B,$A65,'Source 2026'!$A:$A,"Amount (NIS)")</f>
        <v>18222.6</v>
      </c>
      <c r="I65" s="10" t="n">
        <f aca="false">H65-G65</f>
        <v>-9971.3</v>
      </c>
      <c r="J65" s="9" t="n">
        <f aca="false">IF(AND(G65=0,H65=0),0,IF(G65=0,"New",(H65-G65)/G65))</f>
        <v>-0.353668701385761</v>
      </c>
    </row>
    <row r="66" customFormat="false" ht="15" hidden="false" customHeight="false" outlineLevel="0" collapsed="false">
      <c r="A66" s="7" t="s">
        <v>94</v>
      </c>
      <c r="B66" s="7" t="str">
        <f aca="false">IFERROR(INDEX('Source 2026'!$C:$C,MATCH($A66,'Source 2026'!$B:$B,0)),IFERROR(INDEX('Source 2025'!$C:$C,MATCH($A66,'Source 2025'!$B:$B,0)),""))</f>
        <v>L שמאל CTS כפפות</v>
      </c>
      <c r="C66" s="8" t="n">
        <f aca="false">SUMIFS('Source 2025'!$I:$I,'Source 2025'!$B:$B,$A66,'Source 2025'!$A:$A,"Quantity (units)")</f>
        <v>0</v>
      </c>
      <c r="D66" s="8" t="n">
        <f aca="false">SUMIFS('Source 2026'!$I:$I,'Source 2026'!$B:$B,$A66,'Source 2026'!$A:$A,"Quantity (units)")</f>
        <v>93</v>
      </c>
      <c r="E66" s="8" t="n">
        <f aca="false">D66-C66</f>
        <v>93</v>
      </c>
      <c r="F66" s="9" t="str">
        <f aca="false">IF(AND(C66=0,D66=0),0,IF(C66=0,"New",(D66-C66)/C66))</f>
        <v>New</v>
      </c>
      <c r="G66" s="10" t="n">
        <f aca="false">SUMIFS('Source 2025'!$I:$I,'Source 2025'!$B:$B,$A66,'Source 2025'!$A:$A,"Amount (NIS)")</f>
        <v>0</v>
      </c>
      <c r="H66" s="10" t="n">
        <f aca="false">SUMIFS('Source 2026'!$I:$I,'Source 2026'!$B:$B,$A66,'Source 2026'!$A:$A,"Amount (NIS)")</f>
        <v>9344.9</v>
      </c>
      <c r="I66" s="10" t="n">
        <f aca="false">H66-G66</f>
        <v>9344.9</v>
      </c>
      <c r="J66" s="9" t="str">
        <f aca="false">IF(AND(G66=0,H66=0),0,IF(G66=0,"New",(H66-G66)/G66))</f>
        <v>New</v>
      </c>
    </row>
    <row r="67" customFormat="false" ht="15" hidden="false" customHeight="false" outlineLevel="0" collapsed="false">
      <c r="A67" s="7" t="s">
        <v>98</v>
      </c>
      <c r="B67" s="7" t="str">
        <f aca="false">IFERROR(INDEX('Source 2026'!$C:$C,MATCH($A67,'Source 2026'!$B:$B,0)),IFERROR(INDEX('Source 2025'!$C:$C,MATCH($A67,'Source 2025'!$B:$B,0)),""))</f>
        <v>דאודורנט אנטיבק.נעל333</v>
      </c>
      <c r="C67" s="8" t="n">
        <f aca="false">SUMIFS('Source 2025'!$I:$I,'Source 2025'!$B:$B,$A67,'Source 2025'!$A:$A,"Quantity (units)")</f>
        <v>1681</v>
      </c>
      <c r="D67" s="8" t="n">
        <f aca="false">SUMIFS('Source 2026'!$I:$I,'Source 2026'!$B:$B,$A67,'Source 2026'!$A:$A,"Quantity (units)")</f>
        <v>1283</v>
      </c>
      <c r="E67" s="8" t="n">
        <f aca="false">D67-C67</f>
        <v>-398</v>
      </c>
      <c r="F67" s="9" t="n">
        <f aca="false">IF(AND(C67=0,D67=0),0,IF(C67=0,"New",(D67-C67)/C67))</f>
        <v>-0.236763831052945</v>
      </c>
      <c r="G67" s="10" t="n">
        <f aca="false">SUMIFS('Source 2025'!$I:$I,'Source 2025'!$B:$B,$A67,'Source 2025'!$A:$A,"Amount (NIS)")</f>
        <v>30910.4</v>
      </c>
      <c r="H67" s="10" t="n">
        <f aca="false">SUMIFS('Source 2026'!$I:$I,'Source 2026'!$B:$B,$A67,'Source 2026'!$A:$A,"Amount (NIS)")</f>
        <v>22225.7</v>
      </c>
      <c r="I67" s="10" t="n">
        <f aca="false">H67-G67</f>
        <v>-8684.7</v>
      </c>
      <c r="J67" s="9" t="n">
        <f aca="false">IF(AND(G67=0,H67=0),0,IF(G67=0,"New",(H67-G67)/G67))</f>
        <v>-0.280963688596718</v>
      </c>
    </row>
    <row r="68" customFormat="false" ht="15" hidden="false" customHeight="false" outlineLevel="0" collapsed="false">
      <c r="A68" s="7" t="s">
        <v>95</v>
      </c>
      <c r="B68" s="7" t="str">
        <f aca="false">IFERROR(INDEX('Source 2026'!$C:$C,MATCH($A68,'Source 2026'!$B:$B,0)),IFERROR(INDEX('Source 2025'!$C:$C,MATCH($A68,'Source 2025'!$B:$B,0)),""))</f>
        <v>תחבושת נצמדת ורוד 20ממ</v>
      </c>
      <c r="C68" s="8" t="n">
        <f aca="false">SUMIFS('Source 2025'!$I:$I,'Source 2025'!$B:$B,$A68,'Source 2025'!$A:$A,"Quantity (units)")</f>
        <v>1134</v>
      </c>
      <c r="D68" s="8" t="n">
        <f aca="false">SUMIFS('Source 2026'!$I:$I,'Source 2026'!$B:$B,$A68,'Source 2026'!$A:$A,"Quantity (units)")</f>
        <v>283</v>
      </c>
      <c r="E68" s="8" t="n">
        <f aca="false">D68-C68</f>
        <v>-851</v>
      </c>
      <c r="F68" s="9" t="n">
        <f aca="false">IF(AND(C68=0,D68=0),0,IF(C68=0,"New",(D68-C68)/C68))</f>
        <v>-0.750440917107584</v>
      </c>
      <c r="G68" s="10" t="n">
        <f aca="false">SUMIFS('Source 2025'!$I:$I,'Source 2025'!$B:$B,$A68,'Source 2025'!$A:$A,"Amount (NIS)")</f>
        <v>11512.2</v>
      </c>
      <c r="H68" s="10" t="n">
        <f aca="false">SUMIFS('Source 2026'!$I:$I,'Source 2026'!$B:$B,$A68,'Source 2026'!$A:$A,"Amount (NIS)")</f>
        <v>2916</v>
      </c>
      <c r="I68" s="10" t="n">
        <f aca="false">H68-G68</f>
        <v>-8596.2</v>
      </c>
      <c r="J68" s="9" t="n">
        <f aca="false">IF(AND(G68=0,H68=0),0,IF(G68=0,"New",(H68-G68)/G68))</f>
        <v>-0.746703497159535</v>
      </c>
    </row>
    <row r="69" customFormat="false" ht="15" hidden="false" customHeight="false" outlineLevel="0" collapsed="false">
      <c r="A69" s="7" t="s">
        <v>99</v>
      </c>
      <c r="B69" s="7" t="str">
        <f aca="false">IFERROR(INDEX('Source 2026'!$C:$C,MATCH($A69,'Source 2026'!$B:$B,0)),IFERROR(INDEX('Source 2025'!$C:$C,MATCH($A69,'Source 2025'!$B:$B,0)),""))</f>
        <v>חגורת גב +סגירה כפולה</v>
      </c>
      <c r="C69" s="8" t="n">
        <f aca="false">SUMIFS('Source 2025'!$I:$I,'Source 2025'!$B:$B,$A69,'Source 2025'!$A:$A,"Quantity (units)")</f>
        <v>132</v>
      </c>
      <c r="D69" s="8" t="n">
        <f aca="false">SUMIFS('Source 2026'!$I:$I,'Source 2026'!$B:$B,$A69,'Source 2026'!$A:$A,"Quantity (units)")</f>
        <v>42</v>
      </c>
      <c r="E69" s="8" t="n">
        <f aca="false">D69-C69</f>
        <v>-90</v>
      </c>
      <c r="F69" s="9" t="n">
        <f aca="false">IF(AND(C69=0,D69=0),0,IF(C69=0,"New",(D69-C69)/C69))</f>
        <v>-0.681818181818182</v>
      </c>
      <c r="G69" s="10" t="n">
        <f aca="false">SUMIFS('Source 2025'!$I:$I,'Source 2025'!$B:$B,$A69,'Source 2025'!$A:$A,"Amount (NIS)")</f>
        <v>12600.2</v>
      </c>
      <c r="H69" s="10" t="n">
        <f aca="false">SUMIFS('Source 2026'!$I:$I,'Source 2026'!$B:$B,$A69,'Source 2026'!$A:$A,"Amount (NIS)")</f>
        <v>4263.8</v>
      </c>
      <c r="I69" s="10" t="n">
        <f aca="false">H69-G69</f>
        <v>-8336.4</v>
      </c>
      <c r="J69" s="9" t="n">
        <f aca="false">IF(AND(G69=0,H69=0),0,IF(G69=0,"New",(H69-G69)/G69))</f>
        <v>-0.661608545896097</v>
      </c>
    </row>
    <row r="70" customFormat="false" ht="15" hidden="false" customHeight="false" outlineLevel="0" collapsed="false">
      <c r="A70" s="7" t="s">
        <v>102</v>
      </c>
      <c r="B70" s="7" t="str">
        <f aca="false">IFERROR(INDEX('Source 2026'!$C:$C,MATCH($A70,'Source 2026'!$B:$B,0)),IFERROR(INDEX('Source 2025'!$C:$C,MATCH($A70,'Source 2025'!$B:$B,0)),""))</f>
        <v>3667 מגן בוניון</v>
      </c>
      <c r="C70" s="8" t="n">
        <f aca="false">SUMIFS('Source 2025'!$I:$I,'Source 2025'!$B:$B,$A70,'Source 2025'!$A:$A,"Quantity (units)")</f>
        <v>1043</v>
      </c>
      <c r="D70" s="8" t="n">
        <f aca="false">SUMIFS('Source 2026'!$I:$I,'Source 2026'!$B:$B,$A70,'Source 2026'!$A:$A,"Quantity (units)")</f>
        <v>740</v>
      </c>
      <c r="E70" s="8" t="n">
        <f aca="false">D70-C70</f>
        <v>-303</v>
      </c>
      <c r="F70" s="9" t="n">
        <f aca="false">IF(AND(C70=0,D70=0),0,IF(C70=0,"New",(D70-C70)/C70))</f>
        <v>-0.290508149568552</v>
      </c>
      <c r="G70" s="10" t="n">
        <f aca="false">SUMIFS('Source 2025'!$I:$I,'Source 2025'!$B:$B,$A70,'Source 2025'!$A:$A,"Amount (NIS)")</f>
        <v>28034.3</v>
      </c>
      <c r="H70" s="10" t="n">
        <f aca="false">SUMIFS('Source 2026'!$I:$I,'Source 2026'!$B:$B,$A70,'Source 2026'!$A:$A,"Amount (NIS)")</f>
        <v>20141.7</v>
      </c>
      <c r="I70" s="10" t="n">
        <f aca="false">H70-G70</f>
        <v>-7892.6</v>
      </c>
      <c r="J70" s="9" t="n">
        <f aca="false">IF(AND(G70=0,H70=0),0,IF(G70=0,"New",(H70-G70)/G70))</f>
        <v>-0.281533692655069</v>
      </c>
    </row>
    <row r="71" customFormat="false" ht="15" hidden="false" customHeight="false" outlineLevel="0" collapsed="false">
      <c r="A71" s="7" t="s">
        <v>104</v>
      </c>
      <c r="B71" s="7" t="str">
        <f aca="false">IFERROR(INDEX('Source 2026'!$C:$C,MATCH($A71,'Source 2026'!$B:$B,0)),IFERROR(INDEX('Source 2025'!$C:$C,MATCH($A71,'Source 2025'!$B:$B,0)),""))</f>
        <v>מיישר בוניון-האלוקס ולגוס</v>
      </c>
      <c r="C71" s="8" t="n">
        <f aca="false">SUMIFS('Source 2025'!$I:$I,'Source 2025'!$B:$B,$A71,'Source 2025'!$A:$A,"Quantity (units)")</f>
        <v>864</v>
      </c>
      <c r="D71" s="8" t="n">
        <f aca="false">SUMIFS('Source 2026'!$I:$I,'Source 2026'!$B:$B,$A71,'Source 2026'!$A:$A,"Quantity (units)")</f>
        <v>681</v>
      </c>
      <c r="E71" s="8" t="n">
        <f aca="false">D71-C71</f>
        <v>-183</v>
      </c>
      <c r="F71" s="9" t="n">
        <f aca="false">IF(AND(C71=0,D71=0),0,IF(C71=0,"New",(D71-C71)/C71))</f>
        <v>-0.211805555555556</v>
      </c>
      <c r="G71" s="10" t="n">
        <f aca="false">SUMIFS('Source 2025'!$I:$I,'Source 2025'!$B:$B,$A71,'Source 2025'!$A:$A,"Amount (NIS)")</f>
        <v>35507.8</v>
      </c>
      <c r="H71" s="10" t="n">
        <f aca="false">SUMIFS('Source 2026'!$I:$I,'Source 2026'!$B:$B,$A71,'Source 2026'!$A:$A,"Amount (NIS)")</f>
        <v>27867.7</v>
      </c>
      <c r="I71" s="10" t="n">
        <f aca="false">H71-G71</f>
        <v>-7640.1</v>
      </c>
      <c r="J71" s="9" t="n">
        <f aca="false">IF(AND(G71=0,H71=0),0,IF(G71=0,"New",(H71-G71)/G71))</f>
        <v>-0.215166808419559</v>
      </c>
    </row>
    <row r="72" customFormat="false" ht="15" hidden="false" customHeight="false" outlineLevel="0" collapsed="false">
      <c r="A72" s="7" t="s">
        <v>103</v>
      </c>
      <c r="B72" s="7" t="str">
        <f aca="false">IFERROR(INDEX('Source 2026'!$C:$C,MATCH($A72,'Source 2026'!$B:$B,0)),IFERROR(INDEX('Source 2025'!$C:$C,MATCH($A72,'Source 2025'!$B:$B,0)),""))</f>
        <v>L חגורת גב +סגירה</v>
      </c>
      <c r="C72" s="8" t="n">
        <f aca="false">SUMIFS('Source 2025'!$I:$I,'Source 2025'!$B:$B,$A72,'Source 2025'!$A:$A,"Quantity (units)")</f>
        <v>164</v>
      </c>
      <c r="D72" s="8" t="n">
        <f aca="false">SUMIFS('Source 2026'!$I:$I,'Source 2026'!$B:$B,$A72,'Source 2026'!$A:$A,"Quantity (units)")</f>
        <v>82</v>
      </c>
      <c r="E72" s="8" t="n">
        <f aca="false">D72-C72</f>
        <v>-82</v>
      </c>
      <c r="F72" s="9" t="n">
        <f aca="false">IF(AND(C72=0,D72=0),0,IF(C72=0,"New",(D72-C72)/C72))</f>
        <v>-0.5</v>
      </c>
      <c r="G72" s="10" t="n">
        <f aca="false">SUMIFS('Source 2025'!$I:$I,'Source 2025'!$B:$B,$A72,'Source 2025'!$A:$A,"Amount (NIS)")</f>
        <v>15702.7</v>
      </c>
      <c r="H72" s="10" t="n">
        <f aca="false">SUMIFS('Source 2026'!$I:$I,'Source 2026'!$B:$B,$A72,'Source 2026'!$A:$A,"Amount (NIS)")</f>
        <v>8230.7</v>
      </c>
      <c r="I72" s="10" t="n">
        <f aca="false">H72-G72</f>
        <v>-7472</v>
      </c>
      <c r="J72" s="9" t="n">
        <f aca="false">IF(AND(G72=0,H72=0),0,IF(G72=0,"New",(H72-G72)/G72))</f>
        <v>-0.475841734224051</v>
      </c>
    </row>
    <row r="73" customFormat="false" ht="15" hidden="false" customHeight="false" outlineLevel="0" collapsed="false">
      <c r="A73" s="7" t="s">
        <v>97</v>
      </c>
      <c r="B73" s="7" t="str">
        <f aca="false">IFERROR(INDEX('Source 2026'!$C:$C,MATCH($A73,'Source 2026'!$B:$B,0)),IFERROR(INDEX('Source 2025'!$C:$C,MATCH($A73,'Source 2025'!$B:$B,0)),""))</f>
        <v>חגורת גב אפורה</v>
      </c>
      <c r="C73" s="8" t="n">
        <f aca="false">SUMIFS('Source 2025'!$I:$I,'Source 2025'!$B:$B,$A73,'Source 2025'!$A:$A,"Quantity (units)")</f>
        <v>377</v>
      </c>
      <c r="D73" s="8" t="n">
        <f aca="false">SUMIFS('Source 2026'!$I:$I,'Source 2026'!$B:$B,$A73,'Source 2026'!$A:$A,"Quantity (units)")</f>
        <v>290</v>
      </c>
      <c r="E73" s="8" t="n">
        <f aca="false">D73-C73</f>
        <v>-87</v>
      </c>
      <c r="F73" s="9" t="n">
        <f aca="false">IF(AND(C73=0,D73=0),0,IF(C73=0,"New",(D73-C73)/C73))</f>
        <v>-0.230769230769231</v>
      </c>
      <c r="G73" s="10" t="n">
        <f aca="false">SUMIFS('Source 2025'!$I:$I,'Source 2025'!$B:$B,$A73,'Source 2025'!$A:$A,"Amount (NIS)")</f>
        <v>34663.2</v>
      </c>
      <c r="H73" s="10" t="n">
        <f aca="false">SUMIFS('Source 2026'!$I:$I,'Source 2026'!$B:$B,$A73,'Source 2026'!$A:$A,"Amount (NIS)")</f>
        <v>27286.9</v>
      </c>
      <c r="I73" s="10" t="n">
        <f aca="false">H73-G73</f>
        <v>-7376.3</v>
      </c>
      <c r="J73" s="9" t="n">
        <f aca="false">IF(AND(G73=0,H73=0),0,IF(G73=0,"New",(H73-G73)/G73))</f>
        <v>-0.212799164531838</v>
      </c>
    </row>
    <row r="74" customFormat="false" ht="15" hidden="false" customHeight="false" outlineLevel="0" collapsed="false">
      <c r="A74" s="7" t="s">
        <v>108</v>
      </c>
      <c r="B74" s="7" t="str">
        <f aca="false">IFERROR(INDEX('Source 2026'!$C:$C,MATCH($A74,'Source 2026'!$B:$B,0)),IFERROR(INDEX('Source 2025'!$C:$C,MATCH($A74,'Source 2025'!$B:$B,0)),""))</f>
        <v>גב אפורה</v>
      </c>
      <c r="C74" s="8" t="n">
        <f aca="false">SUMIFS('Source 2025'!$I:$I,'Source 2025'!$B:$B,$A74,'Source 2025'!$A:$A,"Quantity (units)")</f>
        <v>221</v>
      </c>
      <c r="D74" s="8" t="n">
        <f aca="false">SUMIFS('Source 2026'!$I:$I,'Source 2026'!$B:$B,$A74,'Source 2026'!$A:$A,"Quantity (units)")</f>
        <v>141</v>
      </c>
      <c r="E74" s="8" t="n">
        <f aca="false">D74-C74</f>
        <v>-80</v>
      </c>
      <c r="F74" s="9" t="n">
        <f aca="false">IF(AND(C74=0,D74=0),0,IF(C74=0,"New",(D74-C74)/C74))</f>
        <v>-0.361990950226244</v>
      </c>
      <c r="G74" s="10" t="n">
        <f aca="false">SUMIFS('Source 2025'!$I:$I,'Source 2025'!$B:$B,$A74,'Source 2025'!$A:$A,"Amount (NIS)")</f>
        <v>20730.3</v>
      </c>
      <c r="H74" s="10" t="n">
        <f aca="false">SUMIFS('Source 2026'!$I:$I,'Source 2026'!$B:$B,$A74,'Source 2026'!$A:$A,"Amount (NIS)")</f>
        <v>13459.4</v>
      </c>
      <c r="I74" s="10" t="n">
        <f aca="false">H74-G74</f>
        <v>-7270.9</v>
      </c>
      <c r="J74" s="9" t="n">
        <f aca="false">IF(AND(G74=0,H74=0),0,IF(G74=0,"New",(H74-G74)/G74))</f>
        <v>-0.350737808907734</v>
      </c>
    </row>
    <row r="75" customFormat="false" ht="15" hidden="false" customHeight="false" outlineLevel="0" collapsed="false">
      <c r="A75" s="7" t="s">
        <v>105</v>
      </c>
      <c r="B75" s="7" t="str">
        <f aca="false">IFERROR(INDEX('Source 2026'!$C:$C,MATCH($A75,'Source 2026'!$B:$B,0)),IFERROR(INDEX('Source 2025'!$C:$C,MATCH($A75,'Source 2025'!$B:$B,0)),""))</f>
        <v>S-M סד לאגודל</v>
      </c>
      <c r="C75" s="8" t="n">
        <f aca="false">SUMIFS('Source 2025'!$I:$I,'Source 2025'!$B:$B,$A75,'Source 2025'!$A:$A,"Quantity (units)")</f>
        <v>485</v>
      </c>
      <c r="D75" s="8" t="n">
        <f aca="false">SUMIFS('Source 2026'!$I:$I,'Source 2026'!$B:$B,$A75,'Source 2026'!$A:$A,"Quantity (units)")</f>
        <v>360</v>
      </c>
      <c r="E75" s="8" t="n">
        <f aca="false">D75-C75</f>
        <v>-125</v>
      </c>
      <c r="F75" s="9" t="n">
        <f aca="false">IF(AND(C75=0,D75=0),0,IF(C75=0,"New",(D75-C75)/C75))</f>
        <v>-0.257731958762887</v>
      </c>
      <c r="G75" s="10" t="n">
        <f aca="false">SUMIFS('Source 2025'!$I:$I,'Source 2025'!$B:$B,$A75,'Source 2025'!$A:$A,"Amount (NIS)")</f>
        <v>28234.1</v>
      </c>
      <c r="H75" s="10" t="n">
        <f aca="false">SUMIFS('Source 2026'!$I:$I,'Source 2026'!$B:$B,$A75,'Source 2026'!$A:$A,"Amount (NIS)")</f>
        <v>21127.7</v>
      </c>
      <c r="I75" s="10" t="n">
        <f aca="false">H75-G75</f>
        <v>-7106.4</v>
      </c>
      <c r="J75" s="9" t="n">
        <f aca="false">IF(AND(G75=0,H75=0),0,IF(G75=0,"New",(H75-G75)/G75))</f>
        <v>-0.251695644628304</v>
      </c>
    </row>
    <row r="76" customFormat="false" ht="15" hidden="false" customHeight="false" outlineLevel="0" collapsed="false">
      <c r="A76" s="7" t="s">
        <v>113</v>
      </c>
      <c r="B76" s="7" t="str">
        <f aca="false">IFERROR(INDEX('Source 2026'!$C:$C,MATCH($A76,'Source 2026'!$B:$B,0)),IFERROR(INDEX('Source 2025'!$C:$C,MATCH($A76,'Source 2025'!$B:$B,0)),""))</f>
        <v>S מגן קרסול עקב סגור+רצוע</v>
      </c>
      <c r="C76" s="8" t="n">
        <f aca="false">SUMIFS('Source 2025'!$I:$I,'Source 2025'!$B:$B,$A76,'Source 2025'!$A:$A,"Quantity (units)")</f>
        <v>594</v>
      </c>
      <c r="D76" s="8" t="n">
        <f aca="false">SUMIFS('Source 2026'!$I:$I,'Source 2026'!$B:$B,$A76,'Source 2026'!$A:$A,"Quantity (units)")</f>
        <v>466</v>
      </c>
      <c r="E76" s="8" t="n">
        <f aca="false">D76-C76</f>
        <v>-128</v>
      </c>
      <c r="F76" s="9" t="n">
        <f aca="false">IF(AND(C76=0,D76=0),0,IF(C76=0,"New",(D76-C76)/C76))</f>
        <v>-0.215488215488215</v>
      </c>
      <c r="G76" s="10" t="n">
        <f aca="false">SUMIFS('Source 2025'!$I:$I,'Source 2025'!$B:$B,$A76,'Source 2025'!$A:$A,"Amount (NIS)")</f>
        <v>32796.7</v>
      </c>
      <c r="H76" s="10" t="n">
        <f aca="false">SUMIFS('Source 2026'!$I:$I,'Source 2026'!$B:$B,$A76,'Source 2026'!$A:$A,"Amount (NIS)")</f>
        <v>26002.3</v>
      </c>
      <c r="I76" s="10" t="n">
        <f aca="false">H76-G76</f>
        <v>-6794.4</v>
      </c>
      <c r="J76" s="9" t="n">
        <f aca="false">IF(AND(G76=0,H76=0),0,IF(G76=0,"New",(H76-G76)/G76))</f>
        <v>-0.207167184503319</v>
      </c>
    </row>
    <row r="77" customFormat="false" ht="15" hidden="false" customHeight="false" outlineLevel="0" collapsed="false">
      <c r="A77" s="7" t="s">
        <v>106</v>
      </c>
      <c r="B77" s="7" t="str">
        <f aca="false">IFERROR(INDEX('Source 2026'!$C:$C,MATCH($A77,'Source 2026'!$B:$B,0)),IFERROR(INDEX('Source 2025'!$C:$C,MATCH($A77,'Source 2025'!$B:$B,0)),""))</f>
        <v>S-M STRAP4U</v>
      </c>
      <c r="C77" s="8" t="n">
        <f aca="false">SUMIFS('Source 2025'!$I:$I,'Source 2025'!$B:$B,$A77,'Source 2025'!$A:$A,"Quantity (units)")</f>
        <v>496</v>
      </c>
      <c r="D77" s="8" t="n">
        <f aca="false">SUMIFS('Source 2026'!$I:$I,'Source 2026'!$B:$B,$A77,'Source 2026'!$A:$A,"Quantity (units)")</f>
        <v>89</v>
      </c>
      <c r="E77" s="8" t="n">
        <f aca="false">D77-C77</f>
        <v>-407</v>
      </c>
      <c r="F77" s="9" t="n">
        <f aca="false">IF(AND(C77=0,D77=0),0,IF(C77=0,"New",(D77-C77)/C77))</f>
        <v>-0.820564516129032</v>
      </c>
      <c r="G77" s="10" t="n">
        <f aca="false">SUMIFS('Source 2025'!$I:$I,'Source 2025'!$B:$B,$A77,'Source 2025'!$A:$A,"Amount (NIS)")</f>
        <v>8292.2</v>
      </c>
      <c r="H77" s="10" t="n">
        <f aca="false">SUMIFS('Source 2026'!$I:$I,'Source 2026'!$B:$B,$A77,'Source 2026'!$A:$A,"Amount (NIS)")</f>
        <v>1612.2</v>
      </c>
      <c r="I77" s="10" t="n">
        <f aca="false">H77-G77</f>
        <v>-6680</v>
      </c>
      <c r="J77" s="9" t="n">
        <f aca="false">IF(AND(G77=0,H77=0),0,IF(G77=0,"New",(H77-G77)/G77))</f>
        <v>-0.805576324738911</v>
      </c>
    </row>
    <row r="78" customFormat="false" ht="15" hidden="false" customHeight="false" outlineLevel="0" collapsed="false">
      <c r="A78" s="7" t="s">
        <v>109</v>
      </c>
      <c r="B78" s="7" t="str">
        <f aca="false">IFERROR(INDEX('Source 2026'!$C:$C,MATCH($A78,'Source 2026'!$B:$B,0)),IFERROR(INDEX('Source 2025'!$C:$C,MATCH($A78,'Source 2025'!$B:$B,0)),""))</f>
        <v>גרב.כסף לסכרתים שחור35-38</v>
      </c>
      <c r="C78" s="8" t="n">
        <f aca="false">SUMIFS('Source 2025'!$I:$I,'Source 2025'!$B:$B,$A78,'Source 2025'!$A:$A,"Quantity (units)")</f>
        <v>473</v>
      </c>
      <c r="D78" s="8" t="n">
        <f aca="false">SUMIFS('Source 2026'!$I:$I,'Source 2026'!$B:$B,$A78,'Source 2026'!$A:$A,"Quantity (units)")</f>
        <v>178</v>
      </c>
      <c r="E78" s="8" t="n">
        <f aca="false">D78-C78</f>
        <v>-295</v>
      </c>
      <c r="F78" s="9" t="n">
        <f aca="false">IF(AND(C78=0,D78=0),0,IF(C78=0,"New",(D78-C78)/C78))</f>
        <v>-0.623678646934461</v>
      </c>
      <c r="G78" s="10" t="n">
        <f aca="false">SUMIFS('Source 2025'!$I:$I,'Source 2025'!$B:$B,$A78,'Source 2025'!$A:$A,"Amount (NIS)")</f>
        <v>10594.9</v>
      </c>
      <c r="H78" s="10" t="n">
        <f aca="false">SUMIFS('Source 2026'!$I:$I,'Source 2026'!$B:$B,$A78,'Source 2026'!$A:$A,"Amount (NIS)")</f>
        <v>3940.9</v>
      </c>
      <c r="I78" s="10" t="n">
        <f aca="false">H78-G78</f>
        <v>-6654</v>
      </c>
      <c r="J78" s="9" t="n">
        <f aca="false">IF(AND(G78=0,H78=0),0,IF(G78=0,"New",(H78-G78)/G78))</f>
        <v>-0.62803801829182</v>
      </c>
    </row>
    <row r="79" customFormat="false" ht="15" hidden="false" customHeight="false" outlineLevel="0" collapsed="false">
      <c r="A79" s="7" t="s">
        <v>107</v>
      </c>
      <c r="B79" s="7" t="str">
        <f aca="false">IFERROR(INDEX('Source 2026'!$C:$C,MATCH($A79,'Source 2026'!$B:$B,0)),IFERROR(INDEX('Source 2025'!$C:$C,MATCH($A79,'Source 2025'!$B:$B,0)),""))</f>
        <v>L ימין CTS כפפות</v>
      </c>
      <c r="C79" s="8" t="n">
        <f aca="false">SUMIFS('Source 2025'!$I:$I,'Source 2025'!$B:$B,$A79,'Source 2025'!$A:$A,"Quantity (units)")</f>
        <v>0</v>
      </c>
      <c r="D79" s="8" t="n">
        <f aca="false">SUMIFS('Source 2026'!$I:$I,'Source 2026'!$B:$B,$A79,'Source 2026'!$A:$A,"Quantity (units)")</f>
        <v>64</v>
      </c>
      <c r="E79" s="8" t="n">
        <f aca="false">D79-C79</f>
        <v>64</v>
      </c>
      <c r="F79" s="9" t="str">
        <f aca="false">IF(AND(C79=0,D79=0),0,IF(C79=0,"New",(D79-C79)/C79))</f>
        <v>New</v>
      </c>
      <c r="G79" s="10" t="n">
        <f aca="false">SUMIFS('Source 2025'!$I:$I,'Source 2025'!$B:$B,$A79,'Source 2025'!$A:$A,"Amount (NIS)")</f>
        <v>0</v>
      </c>
      <c r="H79" s="10" t="n">
        <f aca="false">SUMIFS('Source 2026'!$I:$I,'Source 2026'!$B:$B,$A79,'Source 2026'!$A:$A,"Amount (NIS)")</f>
        <v>6431.2</v>
      </c>
      <c r="I79" s="10" t="n">
        <f aca="false">H79-G79</f>
        <v>6431.2</v>
      </c>
      <c r="J79" s="9" t="str">
        <f aca="false">IF(AND(G79=0,H79=0),0,IF(G79=0,"New",(H79-G79)/G79))</f>
        <v>New</v>
      </c>
    </row>
    <row r="80" customFormat="false" ht="15" hidden="false" customHeight="false" outlineLevel="0" collapsed="false">
      <c r="A80" s="7" t="s">
        <v>112</v>
      </c>
      <c r="B80" s="7" t="str">
        <f aca="false">IFERROR(INDEX('Source 2026'!$C:$C,MATCH($A80,'Source 2026'!$B:$B,0)),IFERROR(INDEX('Source 2025'!$C:$C,MATCH($A80,'Source 2025'!$B:$B,0)),""))</f>
        <v>אמבט לכף הרגל</v>
      </c>
      <c r="C80" s="8" t="n">
        <f aca="false">SUMIFS('Source 2025'!$I:$I,'Source 2025'!$B:$B,$A80,'Source 2025'!$A:$A,"Quantity (units)")</f>
        <v>1085</v>
      </c>
      <c r="D80" s="8" t="n">
        <f aca="false">SUMIFS('Source 2026'!$I:$I,'Source 2026'!$B:$B,$A80,'Source 2026'!$A:$A,"Quantity (units)")</f>
        <v>477</v>
      </c>
      <c r="E80" s="8" t="n">
        <f aca="false">D80-C80</f>
        <v>-608</v>
      </c>
      <c r="F80" s="9" t="n">
        <f aca="false">IF(AND(C80=0,D80=0),0,IF(C80=0,"New",(D80-C80)/C80))</f>
        <v>-0.56036866359447</v>
      </c>
      <c r="G80" s="10" t="n">
        <f aca="false">SUMIFS('Source 2025'!$I:$I,'Source 2025'!$B:$B,$A80,'Source 2025'!$A:$A,"Amount (NIS)")</f>
        <v>11157.6</v>
      </c>
      <c r="H80" s="10" t="n">
        <f aca="false">SUMIFS('Source 2026'!$I:$I,'Source 2026'!$B:$B,$A80,'Source 2026'!$A:$A,"Amount (NIS)")</f>
        <v>4958.1</v>
      </c>
      <c r="I80" s="10" t="n">
        <f aca="false">H80-G80</f>
        <v>-6199.5</v>
      </c>
      <c r="J80" s="9" t="n">
        <f aca="false">IF(AND(G80=0,H80=0),0,IF(G80=0,"New",(H80-G80)/G80))</f>
        <v>-0.555630243063024</v>
      </c>
    </row>
    <row r="81" customFormat="false" ht="15" hidden="false" customHeight="false" outlineLevel="0" collapsed="false">
      <c r="A81" s="7" t="s">
        <v>110</v>
      </c>
      <c r="B81" s="7" t="str">
        <f aca="false">IFERROR(INDEX('Source 2026'!$C:$C,MATCH($A81,'Source 2026'!$B:$B,0)),IFERROR(INDEX('Source 2025'!$C:$C,MATCH($A81,'Source 2025'!$B:$B,0)),""))</f>
        <v>חבק טניס</v>
      </c>
      <c r="C81" s="8" t="n">
        <f aca="false">SUMIFS('Source 2025'!$I:$I,'Source 2025'!$B:$B,$A81,'Source 2025'!$A:$A,"Quantity (units)")</f>
        <v>934</v>
      </c>
      <c r="D81" s="8" t="n">
        <f aca="false">SUMIFS('Source 2026'!$I:$I,'Source 2026'!$B:$B,$A81,'Source 2026'!$A:$A,"Quantity (units)")</f>
        <v>687</v>
      </c>
      <c r="E81" s="8" t="n">
        <f aca="false">D81-C81</f>
        <v>-247</v>
      </c>
      <c r="F81" s="9" t="n">
        <f aca="false">IF(AND(C81=0,D81=0),0,IF(C81=0,"New",(D81-C81)/C81))</f>
        <v>-0.264453961456103</v>
      </c>
      <c r="G81" s="10" t="n">
        <f aca="false">SUMIFS('Source 2025'!$I:$I,'Source 2025'!$B:$B,$A81,'Source 2025'!$A:$A,"Amount (NIS)")</f>
        <v>25227.4</v>
      </c>
      <c r="H81" s="10" t="n">
        <f aca="false">SUMIFS('Source 2026'!$I:$I,'Source 2026'!$B:$B,$A81,'Source 2026'!$A:$A,"Amount (NIS)")</f>
        <v>19060.4</v>
      </c>
      <c r="I81" s="10" t="n">
        <f aca="false">H81-G81</f>
        <v>-6167</v>
      </c>
      <c r="J81" s="9" t="n">
        <f aca="false">IF(AND(G81=0,H81=0),0,IF(G81=0,"New",(H81-G81)/G81))</f>
        <v>-0.244456424363985</v>
      </c>
    </row>
    <row r="82" customFormat="false" ht="15" hidden="false" customHeight="false" outlineLevel="0" collapsed="false">
      <c r="A82" s="7" t="s">
        <v>111</v>
      </c>
      <c r="B82" s="7" t="str">
        <f aca="false">IFERROR(INDEX('Source 2026'!$C:$C,MATCH($A82,'Source 2026'!$B:$B,0)),IFERROR(INDEX('Source 2025'!$C:$C,MATCH($A82,'Source 2025'!$B:$B,0)),""))</f>
        <v>מקבע קרסול</v>
      </c>
      <c r="C82" s="8" t="n">
        <f aca="false">SUMIFS('Source 2025'!$I:$I,'Source 2025'!$B:$B,$A82,'Source 2025'!$A:$A,"Quantity (units)")</f>
        <v>0</v>
      </c>
      <c r="D82" s="8" t="n">
        <f aca="false">SUMIFS('Source 2026'!$I:$I,'Source 2026'!$B:$B,$A82,'Source 2026'!$A:$A,"Quantity (units)")</f>
        <v>40</v>
      </c>
      <c r="E82" s="8" t="n">
        <f aca="false">D82-C82</f>
        <v>40</v>
      </c>
      <c r="F82" s="9" t="str">
        <f aca="false">IF(AND(C82=0,D82=0),0,IF(C82=0,"New",(D82-C82)/C82))</f>
        <v>New</v>
      </c>
      <c r="G82" s="10" t="n">
        <f aca="false">SUMIFS('Source 2025'!$I:$I,'Source 2025'!$B:$B,$A82,'Source 2025'!$A:$A,"Amount (NIS)")</f>
        <v>0</v>
      </c>
      <c r="H82" s="10" t="n">
        <f aca="false">SUMIFS('Source 2026'!$I:$I,'Source 2026'!$B:$B,$A82,'Source 2026'!$A:$A,"Amount (NIS)")</f>
        <v>5635.8</v>
      </c>
      <c r="I82" s="10" t="n">
        <f aca="false">H82-G82</f>
        <v>5635.8</v>
      </c>
      <c r="J82" s="9" t="str">
        <f aca="false">IF(AND(G82=0,H82=0),0,IF(G82=0,"New",(H82-G82)/G82))</f>
        <v>New</v>
      </c>
    </row>
    <row r="83" customFormat="false" ht="15" hidden="false" customHeight="false" outlineLevel="0" collapsed="false">
      <c r="A83" s="7" t="s">
        <v>246</v>
      </c>
      <c r="B83" s="7" t="str">
        <f aca="false">IFERROR(INDEX('Source 2026'!$C:$C,MATCH($A83,'Source 2026'!$B:$B,0)),IFERROR(INDEX('Source 2025'!$C:$C,MATCH($A83,'Source 2025'!$B:$B,0)),""))</f>
        <v>ציפורניים</v>
      </c>
      <c r="C83" s="8" t="n">
        <f aca="false">SUMIFS('Source 2025'!$I:$I,'Source 2025'!$B:$B,$A83,'Source 2025'!$A:$A,"Quantity (units)")</f>
        <v>937</v>
      </c>
      <c r="D83" s="8" t="n">
        <f aca="false">SUMIFS('Source 2026'!$I:$I,'Source 2026'!$B:$B,$A83,'Source 2026'!$A:$A,"Quantity (units)")</f>
        <v>515</v>
      </c>
      <c r="E83" s="8" t="n">
        <f aca="false">D83-C83</f>
        <v>-422</v>
      </c>
      <c r="F83" s="9" t="n">
        <f aca="false">IF(AND(C83=0,D83=0),0,IF(C83=0,"New",(D83-C83)/C83))</f>
        <v>-0.450373532550694</v>
      </c>
      <c r="G83" s="10" t="n">
        <f aca="false">SUMIFS('Source 2025'!$I:$I,'Source 2025'!$B:$B,$A83,'Source 2025'!$A:$A,"Amount (NIS)")</f>
        <v>12313.6</v>
      </c>
      <c r="H83" s="10" t="n">
        <f aca="false">SUMIFS('Source 2026'!$I:$I,'Source 2026'!$B:$B,$A83,'Source 2026'!$A:$A,"Amount (NIS)")</f>
        <v>6779.2</v>
      </c>
      <c r="I83" s="10" t="n">
        <f aca="false">H83-G83</f>
        <v>-5534.4</v>
      </c>
      <c r="J83" s="9" t="n">
        <f aca="false">IF(AND(G83=0,H83=0),0,IF(G83=0,"New",(H83-G83)/G83))</f>
        <v>-0.449454261954262</v>
      </c>
    </row>
    <row r="84" customFormat="false" ht="15" hidden="false" customHeight="false" outlineLevel="0" collapsed="false">
      <c r="A84" s="7" t="s">
        <v>180</v>
      </c>
      <c r="B84" s="7" t="str">
        <f aca="false">IFERROR(INDEX('Source 2026'!$C:$C,MATCH($A84,'Source 2026'!$B:$B,0)),IFERROR(INDEX('Source 2025'!$C:$C,MATCH($A84,'Source 2025'!$B:$B,0)),""))</f>
        <v>S מגן ברך</v>
      </c>
      <c r="C84" s="8" t="n">
        <f aca="false">SUMIFS('Source 2025'!$I:$I,'Source 2025'!$B:$B,$A84,'Source 2025'!$A:$A,"Quantity (units)")</f>
        <v>96</v>
      </c>
      <c r="D84" s="8" t="n">
        <f aca="false">SUMIFS('Source 2026'!$I:$I,'Source 2026'!$B:$B,$A84,'Source 2026'!$A:$A,"Quantity (units)")</f>
        <v>133</v>
      </c>
      <c r="E84" s="8" t="n">
        <f aca="false">D84-C84</f>
        <v>37</v>
      </c>
      <c r="F84" s="9" t="n">
        <f aca="false">IF(AND(C84=0,D84=0),0,IF(C84=0,"New",(D84-C84)/C84))</f>
        <v>0.385416666666667</v>
      </c>
      <c r="G84" s="10" t="n">
        <f aca="false">SUMIFS('Source 2025'!$I:$I,'Source 2025'!$B:$B,$A84,'Source 2025'!$A:$A,"Amount (NIS)")</f>
        <v>12515</v>
      </c>
      <c r="H84" s="10" t="n">
        <f aca="false">SUMIFS('Source 2026'!$I:$I,'Source 2026'!$B:$B,$A84,'Source 2026'!$A:$A,"Amount (NIS)")</f>
        <v>17764.4</v>
      </c>
      <c r="I84" s="10" t="n">
        <f aca="false">H84-G84</f>
        <v>5249.4</v>
      </c>
      <c r="J84" s="9" t="n">
        <f aca="false">IF(AND(G84=0,H84=0),0,IF(G84=0,"New",(H84-G84)/G84))</f>
        <v>0.419448661606073</v>
      </c>
    </row>
    <row r="85" customFormat="false" ht="15" hidden="false" customHeight="false" outlineLevel="0" collapsed="false">
      <c r="A85" s="7" t="s">
        <v>114</v>
      </c>
      <c r="B85" s="7" t="str">
        <f aca="false">IFERROR(INDEX('Source 2026'!$C:$C,MATCH($A85,'Source 2026'!$B:$B,0)),IFERROR(INDEX('Source 2025'!$C:$C,MATCH($A85,'Source 2025'!$B:$B,0)),""))</f>
        <v>מדבקה לשחרור לחץ 2 יח</v>
      </c>
      <c r="C85" s="8" t="n">
        <f aca="false">SUMIFS('Source 2025'!$I:$I,'Source 2025'!$B:$B,$A85,'Source 2025'!$A:$A,"Quantity (units)")</f>
        <v>655</v>
      </c>
      <c r="D85" s="8" t="n">
        <f aca="false">SUMIFS('Source 2026'!$I:$I,'Source 2026'!$B:$B,$A85,'Source 2026'!$A:$A,"Quantity (units)")</f>
        <v>459</v>
      </c>
      <c r="E85" s="8" t="n">
        <f aca="false">D85-C85</f>
        <v>-196</v>
      </c>
      <c r="F85" s="9" t="n">
        <f aca="false">IF(AND(C85=0,D85=0),0,IF(C85=0,"New",(D85-C85)/C85))</f>
        <v>-0.299236641221374</v>
      </c>
      <c r="G85" s="10" t="n">
        <f aca="false">SUMIFS('Source 2025'!$I:$I,'Source 2025'!$B:$B,$A85,'Source 2025'!$A:$A,"Amount (NIS)")</f>
        <v>17718.3</v>
      </c>
      <c r="H85" s="10" t="n">
        <f aca="false">SUMIFS('Source 2026'!$I:$I,'Source 2026'!$B:$B,$A85,'Source 2026'!$A:$A,"Amount (NIS)")</f>
        <v>12492.2</v>
      </c>
      <c r="I85" s="10" t="n">
        <f aca="false">H85-G85</f>
        <v>-5226.1</v>
      </c>
      <c r="J85" s="9" t="n">
        <f aca="false">IF(AND(G85=0,H85=0),0,IF(G85=0,"New",(H85-G85)/G85))</f>
        <v>-0.294954933599725</v>
      </c>
    </row>
    <row r="86" customFormat="false" ht="15" hidden="false" customHeight="false" outlineLevel="0" collapsed="false">
      <c r="A86" s="7" t="s">
        <v>118</v>
      </c>
      <c r="B86" s="7" t="str">
        <f aca="false">IFERROR(INDEX('Source 2026'!$C:$C,MATCH($A86,'Source 2026'!$B:$B,0)),IFERROR(INDEX('Source 2025'!$C:$C,MATCH($A86,'Source 2025'!$B:$B,0)),""))</f>
        <v>S-M חבק יד עם צמדן</v>
      </c>
      <c r="C86" s="8" t="n">
        <f aca="false">SUMIFS('Source 2025'!$I:$I,'Source 2025'!$B:$B,$A86,'Source 2025'!$A:$A,"Quantity (units)")</f>
        <v>381</v>
      </c>
      <c r="D86" s="8" t="n">
        <f aca="false">SUMIFS('Source 2026'!$I:$I,'Source 2026'!$B:$B,$A86,'Source 2026'!$A:$A,"Quantity (units)")</f>
        <v>235</v>
      </c>
      <c r="E86" s="8" t="n">
        <f aca="false">D86-C86</f>
        <v>-146</v>
      </c>
      <c r="F86" s="9" t="n">
        <f aca="false">IF(AND(C86=0,D86=0),0,IF(C86=0,"New",(D86-C86)/C86))</f>
        <v>-0.383202099737533</v>
      </c>
      <c r="G86" s="10" t="n">
        <f aca="false">SUMIFS('Source 2025'!$I:$I,'Source 2025'!$B:$B,$A86,'Source 2025'!$A:$A,"Amount (NIS)")</f>
        <v>12313.2</v>
      </c>
      <c r="H86" s="10" t="n">
        <f aca="false">SUMIFS('Source 2026'!$I:$I,'Source 2026'!$B:$B,$A86,'Source 2026'!$A:$A,"Amount (NIS)")</f>
        <v>7532.1</v>
      </c>
      <c r="I86" s="10" t="n">
        <f aca="false">H86-G86</f>
        <v>-4781.1</v>
      </c>
      <c r="J86" s="9" t="n">
        <f aca="false">IF(AND(G86=0,H86=0),0,IF(G86=0,"New",(H86-G86)/G86))</f>
        <v>-0.38829061494981</v>
      </c>
    </row>
    <row r="87" customFormat="false" ht="15" hidden="false" customHeight="false" outlineLevel="0" collapsed="false">
      <c r="A87" s="7" t="s">
        <v>119</v>
      </c>
      <c r="B87" s="7" t="str">
        <f aca="false">IFERROR(INDEX('Source 2026'!$C:$C,MATCH($A87,'Source 2026'!$B:$B,0)),IFERROR(INDEX('Source 2025'!$C:$C,MATCH($A87,'Source 2025'!$B:$B,0)),""))</f>
        <v>גרב.כסף לסכרתים שחור35-38</v>
      </c>
      <c r="C87" s="8" t="n">
        <f aca="false">SUMIFS('Source 2025'!$I:$I,'Source 2025'!$B:$B,$A87,'Source 2025'!$A:$A,"Quantity (units)")</f>
        <v>233</v>
      </c>
      <c r="D87" s="8" t="n">
        <f aca="false">SUMIFS('Source 2026'!$I:$I,'Source 2026'!$B:$B,$A87,'Source 2026'!$A:$A,"Quantity (units)")</f>
        <v>73</v>
      </c>
      <c r="E87" s="8" t="n">
        <f aca="false">D87-C87</f>
        <v>-160</v>
      </c>
      <c r="F87" s="9" t="n">
        <f aca="false">IF(AND(C87=0,D87=0),0,IF(C87=0,"New",(D87-C87)/C87))</f>
        <v>-0.686695278969957</v>
      </c>
      <c r="G87" s="10" t="n">
        <f aca="false">SUMIFS('Source 2025'!$I:$I,'Source 2025'!$B:$B,$A87,'Source 2025'!$A:$A,"Amount (NIS)")</f>
        <v>6859.5</v>
      </c>
      <c r="H87" s="10" t="n">
        <f aca="false">SUMIFS('Source 2026'!$I:$I,'Source 2026'!$B:$B,$A87,'Source 2026'!$A:$A,"Amount (NIS)")</f>
        <v>2170.3</v>
      </c>
      <c r="I87" s="10" t="n">
        <f aca="false">H87-G87</f>
        <v>-4689.2</v>
      </c>
      <c r="J87" s="9" t="n">
        <f aca="false">IF(AND(G87=0,H87=0),0,IF(G87=0,"New",(H87-G87)/G87))</f>
        <v>-0.683606676871492</v>
      </c>
    </row>
    <row r="88" customFormat="false" ht="15" hidden="false" customHeight="false" outlineLevel="0" collapsed="false">
      <c r="A88" s="7" t="s">
        <v>269</v>
      </c>
      <c r="B88" s="7" t="str">
        <f aca="false">IFERROR(INDEX('Source 2026'!$C:$C,MATCH($A88,'Source 2026'!$B:$B,0)),IFERROR(INDEX('Source 2025'!$C:$C,MATCH($A88,'Source 2025'!$B:$B,0)),""))</f>
        <v>שרוול מסיליקון לאצבע</v>
      </c>
      <c r="C88" s="8" t="n">
        <f aca="false">SUMIFS('Source 2025'!$I:$I,'Source 2025'!$B:$B,$A88,'Source 2025'!$A:$A,"Quantity (units)")</f>
        <v>905</v>
      </c>
      <c r="D88" s="8" t="n">
        <f aca="false">SUMIFS('Source 2026'!$I:$I,'Source 2026'!$B:$B,$A88,'Source 2026'!$A:$A,"Quantity (units)")</f>
        <v>638</v>
      </c>
      <c r="E88" s="8" t="n">
        <f aca="false">D88-C88</f>
        <v>-267</v>
      </c>
      <c r="F88" s="9" t="n">
        <f aca="false">IF(AND(C88=0,D88=0),0,IF(C88=0,"New",(D88-C88)/C88))</f>
        <v>-0.295027624309392</v>
      </c>
      <c r="G88" s="10" t="n">
        <f aca="false">SUMIFS('Source 2025'!$I:$I,'Source 2025'!$B:$B,$A88,'Source 2025'!$A:$A,"Amount (NIS)")</f>
        <v>15182</v>
      </c>
      <c r="H88" s="10" t="n">
        <f aca="false">SUMIFS('Source 2026'!$I:$I,'Source 2026'!$B:$B,$A88,'Source 2026'!$A:$A,"Amount (NIS)")</f>
        <v>10783.3</v>
      </c>
      <c r="I88" s="10" t="n">
        <f aca="false">H88-G88</f>
        <v>-4398.7</v>
      </c>
      <c r="J88" s="9" t="n">
        <f aca="false">IF(AND(G88=0,H88=0),0,IF(G88=0,"New",(H88-G88)/G88))</f>
        <v>-0.289731260703465</v>
      </c>
    </row>
    <row r="89" customFormat="false" ht="15" hidden="false" customHeight="false" outlineLevel="0" collapsed="false">
      <c r="A89" s="7" t="s">
        <v>265</v>
      </c>
      <c r="B89" s="7" t="str">
        <f aca="false">IFERROR(INDEX('Source 2026'!$C:$C,MATCH($A89,'Source 2026'!$B:$B,0)),IFERROR(INDEX('Source 2025'!$C:$C,MATCH($A89,'Source 2025'!$B:$B,0)),""))</f>
        <v>מדרס ג'ל לגבר</v>
      </c>
      <c r="C89" s="8" t="n">
        <f aca="false">SUMIFS('Source 2025'!$I:$I,'Source 2025'!$B:$B,$A89,'Source 2025'!$A:$A,"Quantity (units)")</f>
        <v>287</v>
      </c>
      <c r="D89" s="8" t="n">
        <f aca="false">SUMIFS('Source 2026'!$I:$I,'Source 2026'!$B:$B,$A89,'Source 2026'!$A:$A,"Quantity (units)")</f>
        <v>219</v>
      </c>
      <c r="E89" s="8" t="n">
        <f aca="false">D89-C89</f>
        <v>-68</v>
      </c>
      <c r="F89" s="9" t="n">
        <f aca="false">IF(AND(C89=0,D89=0),0,IF(C89=0,"New",(D89-C89)/C89))</f>
        <v>-0.236933797909408</v>
      </c>
      <c r="G89" s="10" t="n">
        <f aca="false">SUMIFS('Source 2025'!$I:$I,'Source 2025'!$B:$B,$A89,'Source 2025'!$A:$A,"Amount (NIS)")</f>
        <v>18523.3</v>
      </c>
      <c r="H89" s="10" t="n">
        <f aca="false">SUMIFS('Source 2026'!$I:$I,'Source 2026'!$B:$B,$A89,'Source 2026'!$A:$A,"Amount (NIS)")</f>
        <v>14287.6</v>
      </c>
      <c r="I89" s="10" t="n">
        <f aca="false">H89-G89</f>
        <v>-4235.7</v>
      </c>
      <c r="J89" s="9" t="n">
        <f aca="false">IF(AND(G89=0,H89=0),0,IF(G89=0,"New",(H89-G89)/G89))</f>
        <v>-0.228668757726755</v>
      </c>
    </row>
    <row r="90" customFormat="false" ht="15" hidden="false" customHeight="false" outlineLevel="0" collapsed="false">
      <c r="A90" s="7" t="s">
        <v>117</v>
      </c>
      <c r="B90" s="7" t="str">
        <f aca="false">IFERROR(INDEX('Source 2026'!$C:$C,MATCH($A90,'Source 2026'!$B:$B,0)),IFERROR(INDEX('Source 2025'!$C:$C,MATCH($A90,'Source 2025'!$B:$B,0)),""))</f>
        <v>כפפות אגודל לחץ</v>
      </c>
      <c r="C90" s="8" t="n">
        <f aca="false">SUMIFS('Source 2025'!$I:$I,'Source 2025'!$B:$B,$A90,'Source 2025'!$A:$A,"Quantity (units)")</f>
        <v>395</v>
      </c>
      <c r="D90" s="8" t="n">
        <f aca="false">SUMIFS('Source 2026'!$I:$I,'Source 2026'!$B:$B,$A90,'Source 2026'!$A:$A,"Quantity (units)")</f>
        <v>247</v>
      </c>
      <c r="E90" s="8" t="n">
        <f aca="false">D90-C90</f>
        <v>-148</v>
      </c>
      <c r="F90" s="9" t="n">
        <f aca="false">IF(AND(C90=0,D90=0),0,IF(C90=0,"New",(D90-C90)/C90))</f>
        <v>-0.374683544303797</v>
      </c>
      <c r="G90" s="10" t="n">
        <f aca="false">SUMIFS('Source 2025'!$I:$I,'Source 2025'!$B:$B,$A90,'Source 2025'!$A:$A,"Amount (NIS)")</f>
        <v>11254.2</v>
      </c>
      <c r="H90" s="10" t="n">
        <f aca="false">SUMIFS('Source 2026'!$I:$I,'Source 2026'!$B:$B,$A90,'Source 2026'!$A:$A,"Amount (NIS)")</f>
        <v>7189.1</v>
      </c>
      <c r="I90" s="10" t="n">
        <f aca="false">H90-G90</f>
        <v>-4065.1</v>
      </c>
      <c r="J90" s="9" t="n">
        <f aca="false">IF(AND(G90=0,H90=0),0,IF(G90=0,"New",(H90-G90)/G90))</f>
        <v>-0.361207371470207</v>
      </c>
    </row>
    <row r="91" customFormat="false" ht="15" hidden="false" customHeight="false" outlineLevel="0" collapsed="false">
      <c r="A91" s="7" t="s">
        <v>125</v>
      </c>
      <c r="B91" s="7" t="str">
        <f aca="false">IFERROR(INDEX('Source 2026'!$C:$C,MATCH($A91,'Source 2026'!$B:$B,0)),IFERROR(INDEX('Source 2025'!$C:$C,MATCH($A91,'Source 2025'!$B:$B,0)),""))</f>
        <v>S מגן ירך</v>
      </c>
      <c r="C91" s="8" t="n">
        <f aca="false">SUMIFS('Source 2025'!$I:$I,'Source 2025'!$B:$B,$A91,'Source 2025'!$A:$A,"Quantity (units)")</f>
        <v>283</v>
      </c>
      <c r="D91" s="8" t="n">
        <f aca="false">SUMIFS('Source 2026'!$I:$I,'Source 2026'!$B:$B,$A91,'Source 2026'!$A:$A,"Quantity (units)")</f>
        <v>143</v>
      </c>
      <c r="E91" s="8" t="n">
        <f aca="false">D91-C91</f>
        <v>-140</v>
      </c>
      <c r="F91" s="9" t="n">
        <f aca="false">IF(AND(C91=0,D91=0),0,IF(C91=0,"New",(D91-C91)/C91))</f>
        <v>-0.49469964664311</v>
      </c>
      <c r="G91" s="10" t="n">
        <f aca="false">SUMIFS('Source 2025'!$I:$I,'Source 2025'!$B:$B,$A91,'Source 2025'!$A:$A,"Amount (NIS)")</f>
        <v>8222.9</v>
      </c>
      <c r="H91" s="10" t="n">
        <f aca="false">SUMIFS('Source 2026'!$I:$I,'Source 2026'!$B:$B,$A91,'Source 2026'!$A:$A,"Amount (NIS)")</f>
        <v>4174.9</v>
      </c>
      <c r="I91" s="10" t="n">
        <f aca="false">H91-G91</f>
        <v>-4048</v>
      </c>
      <c r="J91" s="9" t="n">
        <f aca="false">IF(AND(G91=0,H91=0),0,IF(G91=0,"New",(H91-G91)/G91))</f>
        <v>-0.492283744177845</v>
      </c>
    </row>
    <row r="92" customFormat="false" ht="15" hidden="false" customHeight="false" outlineLevel="0" collapsed="false">
      <c r="A92" s="7" t="s">
        <v>120</v>
      </c>
      <c r="B92" s="7" t="str">
        <f aca="false">IFERROR(INDEX('Source 2026'!$C:$C,MATCH($A92,'Source 2026'!$B:$B,0)),IFERROR(INDEX('Source 2025'!$C:$C,MATCH($A92,'Source 2025'!$B:$B,0)),""))</f>
        <v>גרב.כסף לסכרתים אפור35-38</v>
      </c>
      <c r="C92" s="8" t="n">
        <f aca="false">SUMIFS('Source 2025'!$I:$I,'Source 2025'!$B:$B,$A92,'Source 2025'!$A:$A,"Quantity (units)")</f>
        <v>161</v>
      </c>
      <c r="D92" s="8" t="n">
        <f aca="false">SUMIFS('Source 2026'!$I:$I,'Source 2026'!$B:$B,$A92,'Source 2026'!$A:$A,"Quantity (units)")</f>
        <v>-13</v>
      </c>
      <c r="E92" s="8" t="n">
        <f aca="false">D92-C92</f>
        <v>-174</v>
      </c>
      <c r="F92" s="9" t="n">
        <f aca="false">IF(AND(C92=0,D92=0),0,IF(C92=0,"New",(D92-C92)/C92))</f>
        <v>-1.08074534161491</v>
      </c>
      <c r="G92" s="10" t="n">
        <f aca="false">SUMIFS('Source 2025'!$I:$I,'Source 2025'!$B:$B,$A92,'Source 2025'!$A:$A,"Amount (NIS)")</f>
        <v>3595.8</v>
      </c>
      <c r="H92" s="10" t="n">
        <f aca="false">SUMIFS('Source 2026'!$I:$I,'Source 2026'!$B:$B,$A92,'Source 2026'!$A:$A,"Amount (NIS)")</f>
        <v>-328.2</v>
      </c>
      <c r="I92" s="10" t="n">
        <f aca="false">H92-G92</f>
        <v>-3924</v>
      </c>
      <c r="J92" s="9" t="n">
        <f aca="false">IF(AND(G92=0,H92=0),0,IF(G92=0,"New",(H92-G92)/G92))</f>
        <v>-1.09127315201068</v>
      </c>
    </row>
    <row r="93" customFormat="false" ht="15" hidden="false" customHeight="false" outlineLevel="0" collapsed="false">
      <c r="A93" s="7" t="s">
        <v>129</v>
      </c>
      <c r="B93" s="7" t="str">
        <f aca="false">IFERROR(INDEX('Source 2026'!$C:$C,MATCH($A93,'Source 2026'!$B:$B,0)),IFERROR(INDEX('Source 2025'!$C:$C,MATCH($A93,'Source 2025'!$B:$B,0)),""))</f>
        <v>תחבושת א.נצמ</v>
      </c>
      <c r="C93" s="8" t="n">
        <f aca="false">SUMIFS('Source 2025'!$I:$I,'Source 2025'!$B:$B,$A93,'Source 2025'!$A:$A,"Quantity (units)")</f>
        <v>1335</v>
      </c>
      <c r="D93" s="8" t="n">
        <f aca="false">SUMIFS('Source 2026'!$I:$I,'Source 2026'!$B:$B,$A93,'Source 2026'!$A:$A,"Quantity (units)")</f>
        <v>980</v>
      </c>
      <c r="E93" s="8" t="n">
        <f aca="false">D93-C93</f>
        <v>-355</v>
      </c>
      <c r="F93" s="9" t="n">
        <f aca="false">IF(AND(C93=0,D93=0),0,IF(C93=0,"New",(D93-C93)/C93))</f>
        <v>-0.265917602996255</v>
      </c>
      <c r="G93" s="10" t="n">
        <f aca="false">SUMIFS('Source 2025'!$I:$I,'Source 2025'!$B:$B,$A93,'Source 2025'!$A:$A,"Amount (NIS)")</f>
        <v>13834.2</v>
      </c>
      <c r="H93" s="10" t="n">
        <f aca="false">SUMIFS('Source 2026'!$I:$I,'Source 2026'!$B:$B,$A93,'Source 2026'!$A:$A,"Amount (NIS)")</f>
        <v>10274</v>
      </c>
      <c r="I93" s="10" t="n">
        <f aca="false">H93-G93</f>
        <v>-3560.2</v>
      </c>
      <c r="J93" s="9" t="n">
        <f aca="false">IF(AND(G93=0,H93=0),0,IF(G93=0,"New",(H93-G93)/G93))</f>
        <v>-0.257347732431221</v>
      </c>
    </row>
    <row r="94" customFormat="false" ht="15" hidden="false" customHeight="false" outlineLevel="0" collapsed="false">
      <c r="A94" s="7" t="s">
        <v>121</v>
      </c>
      <c r="B94" s="7" t="str">
        <f aca="false">IFERROR(INDEX('Source 2026'!$C:$C,MATCH($A94,'Source 2026'!$B:$B,0)),IFERROR(INDEX('Source 2025'!$C:$C,MATCH($A94,'Source 2025'!$B:$B,0)),""))</f>
        <v>L-XL STRAP4U</v>
      </c>
      <c r="C94" s="8" t="n">
        <f aca="false">SUMIFS('Source 2025'!$I:$I,'Source 2025'!$B:$B,$A94,'Source 2025'!$A:$A,"Quantity (units)")</f>
        <v>328</v>
      </c>
      <c r="D94" s="8" t="n">
        <f aca="false">SUMIFS('Source 2026'!$I:$I,'Source 2026'!$B:$B,$A94,'Source 2026'!$A:$A,"Quantity (units)")</f>
        <v>118</v>
      </c>
      <c r="E94" s="8" t="n">
        <f aca="false">D94-C94</f>
        <v>-210</v>
      </c>
      <c r="F94" s="9" t="n">
        <f aca="false">IF(AND(C94=0,D94=0),0,IF(C94=0,"New",(D94-C94)/C94))</f>
        <v>-0.640243902439024</v>
      </c>
      <c r="G94" s="10" t="n">
        <f aca="false">SUMIFS('Source 2025'!$I:$I,'Source 2025'!$B:$B,$A94,'Source 2025'!$A:$A,"Amount (NIS)")</f>
        <v>5450</v>
      </c>
      <c r="H94" s="10" t="n">
        <f aca="false">SUMIFS('Source 2026'!$I:$I,'Source 2026'!$B:$B,$A94,'Source 2026'!$A:$A,"Amount (NIS)")</f>
        <v>1978.2</v>
      </c>
      <c r="I94" s="10" t="n">
        <f aca="false">H94-G94</f>
        <v>-3471.8</v>
      </c>
      <c r="J94" s="9" t="n">
        <f aca="false">IF(AND(G94=0,H94=0),0,IF(G94=0,"New",(H94-G94)/G94))</f>
        <v>-0.63702752293578</v>
      </c>
    </row>
    <row r="95" customFormat="false" ht="15" hidden="false" customHeight="false" outlineLevel="0" collapsed="false">
      <c r="A95" s="7" t="s">
        <v>122</v>
      </c>
      <c r="B95" s="7" t="str">
        <f aca="false">IFERROR(INDEX('Source 2026'!$C:$C,MATCH($A95,'Source 2026'!$B:$B,0)),IFERROR(INDEX('Source 2025'!$C:$C,MATCH($A95,'Source 2025'!$B:$B,0)),""))</f>
        <v>חבק טניס אלבו</v>
      </c>
      <c r="C95" s="8" t="n">
        <f aca="false">SUMIFS('Source 2025'!$I:$I,'Source 2025'!$B:$B,$A95,'Source 2025'!$A:$A,"Quantity (units)")</f>
        <v>922</v>
      </c>
      <c r="D95" s="8" t="n">
        <f aca="false">SUMIFS('Source 2026'!$I:$I,'Source 2026'!$B:$B,$A95,'Source 2026'!$A:$A,"Quantity (units)")</f>
        <v>909</v>
      </c>
      <c r="E95" s="8" t="n">
        <f aca="false">D95-C95</f>
        <v>-13</v>
      </c>
      <c r="F95" s="9" t="n">
        <f aca="false">IF(AND(C95=0,D95=0),0,IF(C95=0,"New",(D95-C95)/C95))</f>
        <v>-0.0140997830802603</v>
      </c>
      <c r="G95" s="10" t="n">
        <f aca="false">SUMIFS('Source 2025'!$I:$I,'Source 2025'!$B:$B,$A95,'Source 2025'!$A:$A,"Amount (NIS)")</f>
        <v>62831.2</v>
      </c>
      <c r="H95" s="10" t="n">
        <f aca="false">SUMIFS('Source 2026'!$I:$I,'Source 2026'!$B:$B,$A95,'Source 2026'!$A:$A,"Amount (NIS)")</f>
        <v>66257.5</v>
      </c>
      <c r="I95" s="10" t="n">
        <f aca="false">H95-G95</f>
        <v>3426.3</v>
      </c>
      <c r="J95" s="9" t="n">
        <f aca="false">IF(AND(G95=0,H95=0),0,IF(G95=0,"New",(H95-G95)/G95))</f>
        <v>0.054531824953208</v>
      </c>
    </row>
    <row r="96" customFormat="false" ht="15" hidden="false" customHeight="false" outlineLevel="0" collapsed="false">
      <c r="A96" s="7" t="s">
        <v>123</v>
      </c>
      <c r="B96" s="7" t="str">
        <f aca="false">IFERROR(INDEX('Source 2026'!$C:$C,MATCH($A96,'Source 2026'!$B:$B,0)),IFERROR(INDEX('Source 2025'!$C:$C,MATCH($A96,'Source 2025'!$B:$B,0)),""))</f>
        <v>11 אפורUG חגורת בטן</v>
      </c>
      <c r="C96" s="8" t="n">
        <f aca="false">SUMIFS('Source 2025'!$I:$I,'Source 2025'!$B:$B,$A96,'Source 2025'!$A:$A,"Quantity (units)")</f>
        <v>45</v>
      </c>
      <c r="D96" s="8" t="n">
        <f aca="false">SUMIFS('Source 2026'!$I:$I,'Source 2026'!$B:$B,$A96,'Source 2026'!$A:$A,"Quantity (units)")</f>
        <v>2</v>
      </c>
      <c r="E96" s="8" t="n">
        <f aca="false">D96-C96</f>
        <v>-43</v>
      </c>
      <c r="F96" s="9" t="n">
        <f aca="false">IF(AND(C96=0,D96=0),0,IF(C96=0,"New",(D96-C96)/C96))</f>
        <v>-0.955555555555556</v>
      </c>
      <c r="G96" s="10" t="n">
        <f aca="false">SUMIFS('Source 2025'!$I:$I,'Source 2025'!$B:$B,$A96,'Source 2025'!$A:$A,"Amount (NIS)")</f>
        <v>3611.3</v>
      </c>
      <c r="H96" s="10" t="n">
        <f aca="false">SUMIFS('Source 2026'!$I:$I,'Source 2026'!$B:$B,$A96,'Source 2026'!$A:$A,"Amount (NIS)")</f>
        <v>203.1</v>
      </c>
      <c r="I96" s="10" t="n">
        <f aca="false">H96-G96</f>
        <v>-3408.2</v>
      </c>
      <c r="J96" s="9" t="n">
        <f aca="false">IF(AND(G96=0,H96=0),0,IF(G96=0,"New",(H96-G96)/G96))</f>
        <v>-0.943759864868607</v>
      </c>
    </row>
    <row r="97" customFormat="false" ht="15" hidden="false" customHeight="false" outlineLevel="0" collapsed="false">
      <c r="A97" s="7" t="s">
        <v>169</v>
      </c>
      <c r="B97" s="7" t="str">
        <f aca="false">IFERROR(INDEX('Source 2026'!$C:$C,MATCH($A97,'Source 2026'!$B:$B,0)),IFERROR(INDEX('Source 2025'!$C:$C,MATCH($A97,'Source 2025'!$B:$B,0)),""))</f>
        <v>S-Lטבעת אלסטית מסיליקון</v>
      </c>
      <c r="C97" s="8" t="n">
        <f aca="false">SUMIFS('Source 2025'!$I:$I,'Source 2025'!$B:$B,$A97,'Source 2025'!$A:$A,"Quantity (units)")</f>
        <v>614</v>
      </c>
      <c r="D97" s="8" t="n">
        <f aca="false">SUMIFS('Source 2026'!$I:$I,'Source 2026'!$B:$B,$A97,'Source 2026'!$A:$A,"Quantity (units)")</f>
        <v>328</v>
      </c>
      <c r="E97" s="8" t="n">
        <f aca="false">D97-C97</f>
        <v>-286</v>
      </c>
      <c r="F97" s="9" t="n">
        <f aca="false">IF(AND(C97=0,D97=0),0,IF(C97=0,"New",(D97-C97)/C97))</f>
        <v>-0.465798045602606</v>
      </c>
      <c r="G97" s="10" t="n">
        <f aca="false">SUMIFS('Source 2025'!$I:$I,'Source 2025'!$B:$B,$A97,'Source 2025'!$A:$A,"Amount (NIS)")</f>
        <v>7226.6</v>
      </c>
      <c r="H97" s="10" t="n">
        <f aca="false">SUMIFS('Source 2026'!$I:$I,'Source 2026'!$B:$B,$A97,'Source 2026'!$A:$A,"Amount (NIS)")</f>
        <v>3846.2</v>
      </c>
      <c r="I97" s="10" t="n">
        <f aca="false">H97-G97</f>
        <v>-3380.4</v>
      </c>
      <c r="J97" s="9" t="n">
        <f aca="false">IF(AND(G97=0,H97=0),0,IF(G97=0,"New",(H97-G97)/G97))</f>
        <v>-0.46777184291368</v>
      </c>
    </row>
    <row r="98" customFormat="false" ht="15" hidden="false" customHeight="false" outlineLevel="0" collapsed="false">
      <c r="A98" s="7" t="s">
        <v>167</v>
      </c>
      <c r="B98" s="7" t="str">
        <f aca="false">IFERROR(INDEX('Source 2026'!$C:$C,MATCH($A98,'Source 2026'!$B:$B,0)),IFERROR(INDEX('Source 2025'!$C:$C,MATCH($A98,'Source 2025'!$B:$B,0)),""))</f>
        <v>S מגן ברך מחמם</v>
      </c>
      <c r="C98" s="8" t="n">
        <f aca="false">SUMIFS('Source 2025'!$I:$I,'Source 2025'!$B:$B,$A98,'Source 2025'!$A:$A,"Quantity (units)")</f>
        <v>73</v>
      </c>
      <c r="D98" s="8" t="n">
        <f aca="false">SUMIFS('Source 2026'!$I:$I,'Source 2026'!$B:$B,$A98,'Source 2026'!$A:$A,"Quantity (units)")</f>
        <v>8</v>
      </c>
      <c r="E98" s="8" t="n">
        <f aca="false">D98-C98</f>
        <v>-65</v>
      </c>
      <c r="F98" s="9" t="n">
        <f aca="false">IF(AND(C98=0,D98=0),0,IF(C98=0,"New",(D98-C98)/C98))</f>
        <v>-0.89041095890411</v>
      </c>
      <c r="G98" s="10" t="n">
        <f aca="false">SUMIFS('Source 2025'!$I:$I,'Source 2025'!$B:$B,$A98,'Source 2025'!$A:$A,"Amount (NIS)")</f>
        <v>3710.1</v>
      </c>
      <c r="H98" s="10" t="n">
        <f aca="false">SUMIFS('Source 2026'!$I:$I,'Source 2026'!$B:$B,$A98,'Source 2026'!$A:$A,"Amount (NIS)")</f>
        <v>395.8</v>
      </c>
      <c r="I98" s="10" t="n">
        <f aca="false">H98-G98</f>
        <v>-3314.3</v>
      </c>
      <c r="J98" s="9" t="n">
        <f aca="false">IF(AND(G98=0,H98=0),0,IF(G98=0,"New",(H98-G98)/G98))</f>
        <v>-0.893318239400555</v>
      </c>
    </row>
    <row r="99" customFormat="false" ht="15" hidden="false" customHeight="false" outlineLevel="0" collapsed="false">
      <c r="A99" s="7" t="s">
        <v>124</v>
      </c>
      <c r="B99" s="7" t="str">
        <f aca="false">IFERROR(INDEX('Source 2026'!$C:$C,MATCH($A99,'Source 2026'!$B:$B,0)),IFERROR(INDEX('Source 2025'!$C:$C,MATCH($A99,'Source 2025'!$B:$B,0)),""))</f>
        <v>S-M חבק יד עם צמדןחום</v>
      </c>
      <c r="C99" s="8" t="n">
        <f aca="false">SUMIFS('Source 2025'!$I:$I,'Source 2025'!$B:$B,$A99,'Source 2025'!$A:$A,"Quantity (units)")</f>
        <v>218</v>
      </c>
      <c r="D99" s="8" t="n">
        <f aca="false">SUMIFS('Source 2026'!$I:$I,'Source 2026'!$B:$B,$A99,'Source 2026'!$A:$A,"Quantity (units)")</f>
        <v>118</v>
      </c>
      <c r="E99" s="8" t="n">
        <f aca="false">D99-C99</f>
        <v>-100</v>
      </c>
      <c r="F99" s="9" t="n">
        <f aca="false">IF(AND(C99=0,D99=0),0,IF(C99=0,"New",(D99-C99)/C99))</f>
        <v>-0.458715596330275</v>
      </c>
      <c r="G99" s="10" t="n">
        <f aca="false">SUMIFS('Source 2025'!$I:$I,'Source 2025'!$B:$B,$A99,'Source 2025'!$A:$A,"Amount (NIS)")</f>
        <v>6935.2</v>
      </c>
      <c r="H99" s="10" t="n">
        <f aca="false">SUMIFS('Source 2026'!$I:$I,'Source 2026'!$B:$B,$A99,'Source 2026'!$A:$A,"Amount (NIS)")</f>
        <v>3707.3</v>
      </c>
      <c r="I99" s="10" t="n">
        <f aca="false">H99-G99</f>
        <v>-3227.9</v>
      </c>
      <c r="J99" s="9" t="n">
        <f aca="false">IF(AND(G99=0,H99=0),0,IF(G99=0,"New",(H99-G99)/G99))</f>
        <v>-0.465437189987311</v>
      </c>
    </row>
    <row r="100" customFormat="false" ht="15" hidden="false" customHeight="false" outlineLevel="0" collapsed="false">
      <c r="A100" s="7" t="s">
        <v>149</v>
      </c>
      <c r="B100" s="7" t="str">
        <f aca="false">IFERROR(INDEX('Source 2026'!$C:$C,MATCH($A100,'Source 2026'!$B:$B,0)),IFERROR(INDEX('Source 2025'!$C:$C,MATCH($A100,'Source 2025'!$B:$B,0)),""))</f>
        <v>סד לאגודל</v>
      </c>
      <c r="C100" s="8" t="n">
        <f aca="false">SUMIFS('Source 2025'!$I:$I,'Source 2025'!$B:$B,$A100,'Source 2025'!$A:$A,"Quantity (units)")</f>
        <v>188</v>
      </c>
      <c r="D100" s="8" t="n">
        <f aca="false">SUMIFS('Source 2026'!$I:$I,'Source 2026'!$B:$B,$A100,'Source 2026'!$A:$A,"Quantity (units)")</f>
        <v>158</v>
      </c>
      <c r="E100" s="8" t="n">
        <f aca="false">D100-C100</f>
        <v>-30</v>
      </c>
      <c r="F100" s="9" t="n">
        <f aca="false">IF(AND(C100=0,D100=0),0,IF(C100=0,"New",(D100-C100)/C100))</f>
        <v>-0.159574468085106</v>
      </c>
      <c r="G100" s="10" t="n">
        <f aca="false">SUMIFS('Source 2025'!$I:$I,'Source 2025'!$B:$B,$A100,'Source 2025'!$A:$A,"Amount (NIS)")</f>
        <v>19519.4</v>
      </c>
      <c r="H100" s="10" t="n">
        <f aca="false">SUMIFS('Source 2026'!$I:$I,'Source 2026'!$B:$B,$A100,'Source 2026'!$A:$A,"Amount (NIS)")</f>
        <v>16330.7</v>
      </c>
      <c r="I100" s="10" t="n">
        <f aca="false">H100-G100</f>
        <v>-3188.7</v>
      </c>
      <c r="J100" s="9" t="n">
        <f aca="false">IF(AND(G100=0,H100=0),0,IF(G100=0,"New",(H100-G100)/G100))</f>
        <v>-0.163360554115393</v>
      </c>
    </row>
    <row r="101" customFormat="false" ht="15" hidden="false" customHeight="false" outlineLevel="0" collapsed="false">
      <c r="A101" s="7" t="s">
        <v>126</v>
      </c>
      <c r="B101" s="7" t="str">
        <f aca="false">IFERROR(INDEX('Source 2026'!$C:$C,MATCH($A101,'Source 2026'!$B:$B,0)),IFERROR(INDEX('Source 2025'!$C:$C,MATCH($A101,'Source 2025'!$B:$B,0)),""))</f>
        <v>S ימין CTS כפפות</v>
      </c>
      <c r="C101" s="8" t="n">
        <f aca="false">SUMIFS('Source 2025'!$I:$I,'Source 2025'!$B:$B,$A101,'Source 2025'!$A:$A,"Quantity (units)")</f>
        <v>0</v>
      </c>
      <c r="D101" s="8" t="n">
        <f aca="false">SUMIFS('Source 2026'!$I:$I,'Source 2026'!$B:$B,$A101,'Source 2026'!$A:$A,"Quantity (units)")</f>
        <v>31</v>
      </c>
      <c r="E101" s="8" t="n">
        <f aca="false">D101-C101</f>
        <v>31</v>
      </c>
      <c r="F101" s="9" t="str">
        <f aca="false">IF(AND(C101=0,D101=0),0,IF(C101=0,"New",(D101-C101)/C101))</f>
        <v>New</v>
      </c>
      <c r="G101" s="10" t="n">
        <f aca="false">SUMIFS('Source 2025'!$I:$I,'Source 2025'!$B:$B,$A101,'Source 2025'!$A:$A,"Amount (NIS)")</f>
        <v>0</v>
      </c>
      <c r="H101" s="10" t="n">
        <f aca="false">SUMIFS('Source 2026'!$I:$I,'Source 2026'!$B:$B,$A101,'Source 2026'!$A:$A,"Amount (NIS)")</f>
        <v>3111.6</v>
      </c>
      <c r="I101" s="10" t="n">
        <f aca="false">H101-G101</f>
        <v>3111.6</v>
      </c>
      <c r="J101" s="9" t="str">
        <f aca="false">IF(AND(G101=0,H101=0),0,IF(G101=0,"New",(H101-G101)/G101))</f>
        <v>New</v>
      </c>
    </row>
    <row r="102" customFormat="false" ht="15" hidden="false" customHeight="false" outlineLevel="0" collapsed="false">
      <c r="A102" s="7" t="s">
        <v>127</v>
      </c>
      <c r="B102" s="7" t="str">
        <f aca="false">IFERROR(INDEX('Source 2026'!$C:$C,MATCH($A102,'Source 2026'!$B:$B,0)),IFERROR(INDEX('Source 2025'!$C:$C,MATCH($A102,'Source 2025'!$B:$B,0)),""))</f>
        <v>מתלה ליד לילדים</v>
      </c>
      <c r="C102" s="8" t="n">
        <f aca="false">SUMIFS('Source 2025'!$I:$I,'Source 2025'!$B:$B,$A102,'Source 2025'!$A:$A,"Quantity (units)")</f>
        <v>320</v>
      </c>
      <c r="D102" s="8" t="n">
        <f aca="false">SUMIFS('Source 2026'!$I:$I,'Source 2026'!$B:$B,$A102,'Source 2026'!$A:$A,"Quantity (units)")</f>
        <v>253</v>
      </c>
      <c r="E102" s="8" t="n">
        <f aca="false">D102-C102</f>
        <v>-67</v>
      </c>
      <c r="F102" s="9" t="n">
        <f aca="false">IF(AND(C102=0,D102=0),0,IF(C102=0,"New",(D102-C102)/C102))</f>
        <v>-0.209375</v>
      </c>
      <c r="G102" s="10" t="n">
        <f aca="false">SUMIFS('Source 2025'!$I:$I,'Source 2025'!$B:$B,$A102,'Source 2025'!$A:$A,"Amount (NIS)")</f>
        <v>14406.4</v>
      </c>
      <c r="H102" s="10" t="n">
        <f aca="false">SUMIFS('Source 2026'!$I:$I,'Source 2026'!$B:$B,$A102,'Source 2026'!$A:$A,"Amount (NIS)")</f>
        <v>11372.4</v>
      </c>
      <c r="I102" s="10" t="n">
        <f aca="false">H102-G102</f>
        <v>-3034</v>
      </c>
      <c r="J102" s="9" t="n">
        <f aca="false">IF(AND(G102=0,H102=0),0,IF(G102=0,"New",(H102-G102)/G102))</f>
        <v>-0.210600844069303</v>
      </c>
    </row>
    <row r="103" customFormat="false" ht="15" hidden="false" customHeight="false" outlineLevel="0" collapsed="false">
      <c r="A103" s="7" t="s">
        <v>159</v>
      </c>
      <c r="B103" s="7" t="str">
        <f aca="false">IFERROR(INDEX('Source 2026'!$C:$C,MATCH($A103,'Source 2026'!$B:$B,0)),IFERROR(INDEX('Source 2025'!$C:$C,MATCH($A103,'Source 2025'!$B:$B,0)),""))</f>
        <v>S מגן שוק</v>
      </c>
      <c r="C103" s="8" t="n">
        <f aca="false">SUMIFS('Source 2025'!$I:$I,'Source 2025'!$B:$B,$A103,'Source 2025'!$A:$A,"Quantity (units)")</f>
        <v>29</v>
      </c>
      <c r="D103" s="8" t="n">
        <f aca="false">SUMIFS('Source 2026'!$I:$I,'Source 2026'!$B:$B,$A103,'Source 2026'!$A:$A,"Quantity (units)")</f>
        <v>49</v>
      </c>
      <c r="E103" s="8" t="n">
        <f aca="false">D103-C103</f>
        <v>20</v>
      </c>
      <c r="F103" s="9" t="n">
        <f aca="false">IF(AND(C103=0,D103=0),0,IF(C103=0,"New",(D103-C103)/C103))</f>
        <v>0.689655172413793</v>
      </c>
      <c r="G103" s="10" t="n">
        <f aca="false">SUMIFS('Source 2025'!$I:$I,'Source 2025'!$B:$B,$A103,'Source 2025'!$A:$A,"Amount (NIS)")</f>
        <v>3655.3</v>
      </c>
      <c r="H103" s="10" t="n">
        <f aca="false">SUMIFS('Source 2026'!$I:$I,'Source 2026'!$B:$B,$A103,'Source 2026'!$A:$A,"Amount (NIS)")</f>
        <v>6612.2</v>
      </c>
      <c r="I103" s="10" t="n">
        <f aca="false">H103-G103</f>
        <v>2956.9</v>
      </c>
      <c r="J103" s="9" t="n">
        <f aca="false">IF(AND(G103=0,H103=0),0,IF(G103=0,"New",(H103-G103)/G103))</f>
        <v>0.8089349711378</v>
      </c>
    </row>
    <row r="104" customFormat="false" ht="15" hidden="false" customHeight="false" outlineLevel="0" collapsed="false">
      <c r="A104" s="7" t="s">
        <v>188</v>
      </c>
      <c r="B104" s="7" t="str">
        <f aca="false">IFERROR(INDEX('Source 2026'!$C:$C,MATCH($A104,'Source 2026'!$B:$B,0)),IFERROR(INDEX('Source 2025'!$C:$C,MATCH($A104,'Source 2025'!$B:$B,0)),""))</f>
        <v>Sחגורה למנותחי בטן</v>
      </c>
      <c r="C104" s="8" t="n">
        <f aca="false">SUMIFS('Source 2025'!$I:$I,'Source 2025'!$B:$B,$A104,'Source 2025'!$A:$A,"Quantity (units)")</f>
        <v>29</v>
      </c>
      <c r="D104" s="8" t="n">
        <f aca="false">SUMIFS('Source 2026'!$I:$I,'Source 2026'!$B:$B,$A104,'Source 2026'!$A:$A,"Quantity (units)")</f>
        <v>4</v>
      </c>
      <c r="E104" s="8" t="n">
        <f aca="false">D104-C104</f>
        <v>-25</v>
      </c>
      <c r="F104" s="9" t="n">
        <f aca="false">IF(AND(C104=0,D104=0),0,IF(C104=0,"New",(D104-C104)/C104))</f>
        <v>-0.862068965517241</v>
      </c>
      <c r="G104" s="10" t="n">
        <f aca="false">SUMIFS('Source 2025'!$I:$I,'Source 2025'!$B:$B,$A104,'Source 2025'!$A:$A,"Amount (NIS)")</f>
        <v>3359.1</v>
      </c>
      <c r="H104" s="10" t="n">
        <f aca="false">SUMIFS('Source 2026'!$I:$I,'Source 2026'!$B:$B,$A104,'Source 2026'!$A:$A,"Amount (NIS)")</f>
        <v>455.1</v>
      </c>
      <c r="I104" s="10" t="n">
        <f aca="false">H104-G104</f>
        <v>-2904</v>
      </c>
      <c r="J104" s="9" t="n">
        <f aca="false">IF(AND(G104=0,H104=0),0,IF(G104=0,"New",(H104-G104)/G104))</f>
        <v>-0.864517281414665</v>
      </c>
    </row>
    <row r="105" customFormat="false" ht="15" hidden="false" customHeight="false" outlineLevel="0" collapsed="false">
      <c r="A105" s="7" t="s">
        <v>153</v>
      </c>
      <c r="B105" s="7" t="str">
        <f aca="false">IFERROR(INDEX('Source 2026'!$C:$C,MATCH($A105,'Source 2026'!$B:$B,0)),IFERROR(INDEX('Source 2025'!$C:$C,MATCH($A105,'Source 2025'!$B:$B,0)),""))</f>
        <v>S-M סד לאגודל</v>
      </c>
      <c r="C105" s="8" t="n">
        <f aca="false">SUMIFS('Source 2025'!$I:$I,'Source 2025'!$B:$B,$A105,'Source 2025'!$A:$A,"Quantity (units)")</f>
        <v>2404</v>
      </c>
      <c r="D105" s="8" t="n">
        <f aca="false">SUMIFS('Source 2026'!$I:$I,'Source 2026'!$B:$B,$A105,'Source 2026'!$A:$A,"Quantity (units)")</f>
        <v>2342</v>
      </c>
      <c r="E105" s="8" t="n">
        <f aca="false">D105-C105</f>
        <v>-62</v>
      </c>
      <c r="F105" s="9" t="n">
        <f aca="false">IF(AND(C105=0,D105=0),0,IF(C105=0,"New",(D105-C105)/C105))</f>
        <v>-0.0257903494176373</v>
      </c>
      <c r="G105" s="10" t="n">
        <f aca="false">SUMIFS('Source 2025'!$I:$I,'Source 2025'!$B:$B,$A105,'Source 2025'!$A:$A,"Amount (NIS)")</f>
        <v>141502.4</v>
      </c>
      <c r="H105" s="10" t="n">
        <f aca="false">SUMIFS('Source 2026'!$I:$I,'Source 2026'!$B:$B,$A105,'Source 2026'!$A:$A,"Amount (NIS)")</f>
        <v>138664.5</v>
      </c>
      <c r="I105" s="10" t="n">
        <f aca="false">H105-G105</f>
        <v>-2837.90000000002</v>
      </c>
      <c r="J105" s="9" t="n">
        <f aca="false">IF(AND(G105=0,H105=0),0,IF(G105=0,"New",(H105-G105)/G105))</f>
        <v>-0.0200554902249009</v>
      </c>
    </row>
    <row r="106" customFormat="false" ht="15" hidden="false" customHeight="false" outlineLevel="0" collapsed="false">
      <c r="A106" s="7" t="s">
        <v>115</v>
      </c>
      <c r="B106" s="7" t="str">
        <f aca="false">IFERROR(INDEX('Source 2026'!$C:$C,MATCH($A106,'Source 2026'!$B:$B,0)),IFERROR(INDEX('Source 2025'!$C:$C,MATCH($A106,'Source 2025'!$B:$B,0)),""))</f>
        <v>סד ליישור אצבע</v>
      </c>
      <c r="C106" s="8" t="n">
        <f aca="false">SUMIFS('Source 2025'!$I:$I,'Source 2025'!$B:$B,$A106,'Source 2025'!$A:$A,"Quantity (units)")</f>
        <v>1778</v>
      </c>
      <c r="D106" s="8" t="n">
        <f aca="false">SUMIFS('Source 2026'!$I:$I,'Source 2026'!$B:$B,$A106,'Source 2026'!$A:$A,"Quantity (units)")</f>
        <v>1904</v>
      </c>
      <c r="E106" s="8" t="n">
        <f aca="false">D106-C106</f>
        <v>126</v>
      </c>
      <c r="F106" s="9" t="n">
        <f aca="false">IF(AND(C106=0,D106=0),0,IF(C106=0,"New",(D106-C106)/C106))</f>
        <v>0.0708661417322835</v>
      </c>
      <c r="G106" s="10" t="n">
        <f aca="false">SUMIFS('Source 2025'!$I:$I,'Source 2025'!$B:$B,$A106,'Source 2025'!$A:$A,"Amount (NIS)")</f>
        <v>25918.2</v>
      </c>
      <c r="H106" s="10" t="n">
        <f aca="false">SUMIFS('Source 2026'!$I:$I,'Source 2026'!$B:$B,$A106,'Source 2026'!$A:$A,"Amount (NIS)")</f>
        <v>28720.8</v>
      </c>
      <c r="I106" s="10" t="n">
        <f aca="false">H106-G106</f>
        <v>2802.6</v>
      </c>
      <c r="J106" s="9" t="n">
        <f aca="false">IF(AND(G106=0,H106=0),0,IF(G106=0,"New",(H106-G106)/G106))</f>
        <v>0.108132509202028</v>
      </c>
    </row>
    <row r="107" customFormat="false" ht="15" hidden="false" customHeight="false" outlineLevel="0" collapsed="false">
      <c r="A107" s="7" t="s">
        <v>128</v>
      </c>
      <c r="B107" s="7" t="str">
        <f aca="false">IFERROR(INDEX('Source 2026'!$C:$C,MATCH($A107,'Source 2026'!$B:$B,0)),IFERROR(INDEX('Source 2025'!$C:$C,MATCH($A107,'Source 2025'!$B:$B,0)),""))</f>
        <v>L מתלה רשת לזרוע שחור</v>
      </c>
      <c r="C107" s="8" t="n">
        <f aca="false">SUMIFS('Source 2025'!$I:$I,'Source 2025'!$B:$B,$A107,'Source 2025'!$A:$A,"Quantity (units)")</f>
        <v>2789</v>
      </c>
      <c r="D107" s="8" t="n">
        <f aca="false">SUMIFS('Source 2026'!$I:$I,'Source 2026'!$B:$B,$A107,'Source 2026'!$A:$A,"Quantity (units)")</f>
        <v>2847</v>
      </c>
      <c r="E107" s="8" t="n">
        <f aca="false">D107-C107</f>
        <v>58</v>
      </c>
      <c r="F107" s="9" t="n">
        <f aca="false">IF(AND(C107=0,D107=0),0,IF(C107=0,"New",(D107-C107)/C107))</f>
        <v>0.0207959842237361</v>
      </c>
      <c r="G107" s="10" t="n">
        <f aca="false">SUMIFS('Source 2025'!$I:$I,'Source 2025'!$B:$B,$A107,'Source 2025'!$A:$A,"Amount (NIS)")</f>
        <v>136637.6</v>
      </c>
      <c r="H107" s="10" t="n">
        <f aca="false">SUMIFS('Source 2026'!$I:$I,'Source 2026'!$B:$B,$A107,'Source 2026'!$A:$A,"Amount (NIS)")</f>
        <v>139434.1</v>
      </c>
      <c r="I107" s="10" t="n">
        <f aca="false">H107-G107</f>
        <v>2796.5</v>
      </c>
      <c r="J107" s="9" t="n">
        <f aca="false">IF(AND(G107=0,H107=0),0,IF(G107=0,"New",(H107-G107)/G107))</f>
        <v>0.0204665480072835</v>
      </c>
    </row>
    <row r="108" customFormat="false" ht="15" hidden="false" customHeight="false" outlineLevel="0" collapsed="false">
      <c r="A108" s="7" t="s">
        <v>146</v>
      </c>
      <c r="B108" s="7" t="str">
        <f aca="false">IFERROR(INDEX('Source 2026'!$C:$C,MATCH($A108,'Source 2026'!$B:$B,0)),IFERROR(INDEX('Source 2025'!$C:$C,MATCH($A108,'Source 2025'!$B:$B,0)),""))</f>
        <v>מפריד הלוקס</v>
      </c>
      <c r="C108" s="8" t="n">
        <f aca="false">SUMIFS('Source 2025'!$I:$I,'Source 2025'!$B:$B,$A108,'Source 2025'!$A:$A,"Quantity (units)")</f>
        <v>137</v>
      </c>
      <c r="D108" s="8" t="n">
        <f aca="false">SUMIFS('Source 2026'!$I:$I,'Source 2026'!$B:$B,$A108,'Source 2026'!$A:$A,"Quantity (units)")</f>
        <v>65</v>
      </c>
      <c r="E108" s="8" t="n">
        <f aca="false">D108-C108</f>
        <v>-72</v>
      </c>
      <c r="F108" s="9" t="n">
        <f aca="false">IF(AND(C108=0,D108=0),0,IF(C108=0,"New",(D108-C108)/C108))</f>
        <v>-0.525547445255475</v>
      </c>
      <c r="G108" s="10" t="n">
        <f aca="false">SUMIFS('Source 2025'!$I:$I,'Source 2025'!$B:$B,$A108,'Source 2025'!$A:$A,"Amount (NIS)")</f>
        <v>5560</v>
      </c>
      <c r="H108" s="10" t="n">
        <f aca="false">SUMIFS('Source 2026'!$I:$I,'Source 2026'!$B:$B,$A108,'Source 2026'!$A:$A,"Amount (NIS)")</f>
        <v>2802.7</v>
      </c>
      <c r="I108" s="10" t="n">
        <f aca="false">H108-G108</f>
        <v>-2757.3</v>
      </c>
      <c r="J108" s="9" t="n">
        <f aca="false">IF(AND(G108=0,H108=0),0,IF(G108=0,"New",(H108-G108)/G108))</f>
        <v>-0.49591726618705</v>
      </c>
    </row>
    <row r="109" customFormat="false" ht="15" hidden="false" customHeight="false" outlineLevel="0" collapsed="false">
      <c r="A109" s="7" t="s">
        <v>143</v>
      </c>
      <c r="B109" s="7" t="str">
        <f aca="false">IFERROR(INDEX('Source 2026'!$C:$C,MATCH($A109,'Source 2026'!$B:$B,0)),IFERROR(INDEX('Source 2025'!$C:$C,MATCH($A109,'Source 2025'!$B:$B,0)),""))</f>
        <v>בננה לתמיכת אצבעות ז.כרית</v>
      </c>
      <c r="C109" s="8" t="n">
        <f aca="false">SUMIFS('Source 2025'!$I:$I,'Source 2025'!$B:$B,$A109,'Source 2025'!$A:$A,"Quantity (units)")</f>
        <v>252</v>
      </c>
      <c r="D109" s="8" t="n">
        <f aca="false">SUMIFS('Source 2026'!$I:$I,'Source 2026'!$B:$B,$A109,'Source 2026'!$A:$A,"Quantity (units)")</f>
        <v>125</v>
      </c>
      <c r="E109" s="8" t="n">
        <f aca="false">D109-C109</f>
        <v>-127</v>
      </c>
      <c r="F109" s="9" t="n">
        <f aca="false">IF(AND(C109=0,D109=0),0,IF(C109=0,"New",(D109-C109)/C109))</f>
        <v>-0.503968253968254</v>
      </c>
      <c r="G109" s="10" t="n">
        <f aca="false">SUMIFS('Source 2025'!$I:$I,'Source 2025'!$B:$B,$A109,'Source 2025'!$A:$A,"Amount (NIS)")</f>
        <v>5544.2</v>
      </c>
      <c r="H109" s="10" t="n">
        <f aca="false">SUMIFS('Source 2026'!$I:$I,'Source 2026'!$B:$B,$A109,'Source 2026'!$A:$A,"Amount (NIS)")</f>
        <v>2790.2</v>
      </c>
      <c r="I109" s="10" t="n">
        <f aca="false">H109-G109</f>
        <v>-2754</v>
      </c>
      <c r="J109" s="9" t="n">
        <f aca="false">IF(AND(G109=0,H109=0),0,IF(G109=0,"New",(H109-G109)/G109))</f>
        <v>-0.496735327008405</v>
      </c>
    </row>
    <row r="110" customFormat="false" ht="15" hidden="false" customHeight="false" outlineLevel="0" collapsed="false">
      <c r="A110" s="7" t="s">
        <v>174</v>
      </c>
      <c r="B110" s="7" t="str">
        <f aca="false">IFERROR(INDEX('Source 2026'!$C:$C,MATCH($A110,'Source 2026'!$B:$B,0)),IFERROR(INDEX('Source 2025'!$C:$C,MATCH($A110,'Source 2025'!$B:$B,0)),""))</f>
        <v>סד ליישור אצבע</v>
      </c>
      <c r="C110" s="8" t="n">
        <f aca="false">SUMIFS('Source 2025'!$I:$I,'Source 2025'!$B:$B,$A110,'Source 2025'!$A:$A,"Quantity (units)")</f>
        <v>2441</v>
      </c>
      <c r="D110" s="8" t="n">
        <f aca="false">SUMIFS('Source 2026'!$I:$I,'Source 2026'!$B:$B,$A110,'Source 2026'!$A:$A,"Quantity (units)")</f>
        <v>2182</v>
      </c>
      <c r="E110" s="8" t="n">
        <f aca="false">D110-C110</f>
        <v>-259</v>
      </c>
      <c r="F110" s="9" t="n">
        <f aca="false">IF(AND(C110=0,D110=0),0,IF(C110=0,"New",(D110-C110)/C110))</f>
        <v>-0.106104055714871</v>
      </c>
      <c r="G110" s="10" t="n">
        <f aca="false">SUMIFS('Source 2025'!$I:$I,'Source 2025'!$B:$B,$A110,'Source 2025'!$A:$A,"Amount (NIS)")</f>
        <v>35520.6</v>
      </c>
      <c r="H110" s="10" t="n">
        <f aca="false">SUMIFS('Source 2026'!$I:$I,'Source 2026'!$B:$B,$A110,'Source 2026'!$A:$A,"Amount (NIS)")</f>
        <v>32850.6</v>
      </c>
      <c r="I110" s="10" t="n">
        <f aca="false">H110-G110</f>
        <v>-2670</v>
      </c>
      <c r="J110" s="9" t="n">
        <f aca="false">IF(AND(G110=0,H110=0),0,IF(G110=0,"New",(H110-G110)/G110))</f>
        <v>-0.075167649195115</v>
      </c>
    </row>
    <row r="111" customFormat="false" ht="15" hidden="false" customHeight="false" outlineLevel="0" collapsed="false">
      <c r="A111" s="7" t="s">
        <v>130</v>
      </c>
      <c r="B111" s="7" t="str">
        <f aca="false">IFERROR(INDEX('Source 2026'!$C:$C,MATCH($A111,'Source 2026'!$B:$B,0)),IFERROR(INDEX('Source 2025'!$C:$C,MATCH($A111,'Source 2025'!$B:$B,0)),""))</f>
        <v>11 אפורUG חגורת בטן</v>
      </c>
      <c r="C111" s="8" t="n">
        <f aca="false">SUMIFS('Source 2025'!$I:$I,'Source 2025'!$B:$B,$A111,'Source 2025'!$A:$A,"Quantity (units)")</f>
        <v>34</v>
      </c>
      <c r="D111" s="8" t="n">
        <f aca="false">SUMIFS('Source 2026'!$I:$I,'Source 2026'!$B:$B,$A111,'Source 2026'!$A:$A,"Quantity (units)")</f>
        <v>0</v>
      </c>
      <c r="E111" s="8" t="n">
        <f aca="false">D111-C111</f>
        <v>-34</v>
      </c>
      <c r="F111" s="9" t="n">
        <f aca="false">IF(AND(C111=0,D111=0),0,IF(C111=0,"New",(D111-C111)/C111))</f>
        <v>-1</v>
      </c>
      <c r="G111" s="10" t="n">
        <f aca="false">SUMIFS('Source 2025'!$I:$I,'Source 2025'!$B:$B,$A111,'Source 2025'!$A:$A,"Amount (NIS)")</f>
        <v>2730.6</v>
      </c>
      <c r="H111" s="10" t="n">
        <f aca="false">SUMIFS('Source 2026'!$I:$I,'Source 2026'!$B:$B,$A111,'Source 2026'!$A:$A,"Amount (NIS)")</f>
        <v>68.2</v>
      </c>
      <c r="I111" s="10" t="n">
        <f aca="false">H111-G111</f>
        <v>-2662.4</v>
      </c>
      <c r="J111" s="9" t="n">
        <f aca="false">IF(AND(G111=0,H111=0),0,IF(G111=0,"New",(H111-G111)/G111))</f>
        <v>-0.975023804292097</v>
      </c>
    </row>
    <row r="112" customFormat="false" ht="15" hidden="false" customHeight="false" outlineLevel="0" collapsed="false">
      <c r="A112" s="7" t="s">
        <v>131</v>
      </c>
      <c r="B112" s="7" t="str">
        <f aca="false">IFERROR(INDEX('Source 2026'!$C:$C,MATCH($A112,'Source 2026'!$B:$B,0)),IFERROR(INDEX('Source 2025'!$C:$C,MATCH($A112,'Source 2025'!$B:$B,0)),""))</f>
        <v>כפפות לחץ</v>
      </c>
      <c r="C112" s="8" t="n">
        <f aca="false">SUMIFS('Source 2025'!$I:$I,'Source 2025'!$B:$B,$A112,'Source 2025'!$A:$A,"Quantity (units)")</f>
        <v>258</v>
      </c>
      <c r="D112" s="8" t="n">
        <f aca="false">SUMIFS('Source 2026'!$I:$I,'Source 2026'!$B:$B,$A112,'Source 2026'!$A:$A,"Quantity (units)")</f>
        <v>162</v>
      </c>
      <c r="E112" s="8" t="n">
        <f aca="false">D112-C112</f>
        <v>-96</v>
      </c>
      <c r="F112" s="9" t="n">
        <f aca="false">IF(AND(C112=0,D112=0),0,IF(C112=0,"New",(D112-C112)/C112))</f>
        <v>-0.372093023255814</v>
      </c>
      <c r="G112" s="10" t="n">
        <f aca="false">SUMIFS('Source 2025'!$I:$I,'Source 2025'!$B:$B,$A112,'Source 2025'!$A:$A,"Amount (NIS)")</f>
        <v>7344.8</v>
      </c>
      <c r="H112" s="10" t="n">
        <f aca="false">SUMIFS('Source 2026'!$I:$I,'Source 2026'!$B:$B,$A112,'Source 2026'!$A:$A,"Amount (NIS)")</f>
        <v>4690.8</v>
      </c>
      <c r="I112" s="10" t="n">
        <f aca="false">H112-G112</f>
        <v>-2654</v>
      </c>
      <c r="J112" s="9" t="n">
        <f aca="false">IF(AND(G112=0,H112=0),0,IF(G112=0,"New",(H112-G112)/G112))</f>
        <v>-0.361344080165559</v>
      </c>
    </row>
    <row r="113" customFormat="false" ht="15" hidden="false" customHeight="false" outlineLevel="0" collapsed="false">
      <c r="A113" s="7" t="s">
        <v>279</v>
      </c>
      <c r="B113" s="7" t="str">
        <f aca="false">IFERROR(INDEX('Source 2026'!$C:$C,MATCH($A113,'Source 2026'!$B:$B,0)),IFERROR(INDEX('Source 2025'!$C:$C,MATCH($A113,'Source 2025'!$B:$B,0)),""))</f>
        <v>בוהן סיליקון קשיח</v>
      </c>
      <c r="C113" s="8" t="n">
        <f aca="false">SUMIFS('Source 2025'!$I:$I,'Source 2025'!$B:$B,$A113,'Source 2025'!$A:$A,"Quantity (units)")</f>
        <v>157</v>
      </c>
      <c r="D113" s="8" t="n">
        <f aca="false">SUMIFS('Source 2026'!$I:$I,'Source 2026'!$B:$B,$A113,'Source 2026'!$A:$A,"Quantity (units)")</f>
        <v>25</v>
      </c>
      <c r="E113" s="8" t="n">
        <f aca="false">D113-C113</f>
        <v>-132</v>
      </c>
      <c r="F113" s="9" t="n">
        <f aca="false">IF(AND(C113=0,D113=0),0,IF(C113=0,"New",(D113-C113)/C113))</f>
        <v>-0.840764331210191</v>
      </c>
      <c r="G113" s="10" t="n">
        <f aca="false">SUMIFS('Source 2025'!$I:$I,'Source 2025'!$B:$B,$A113,'Source 2025'!$A:$A,"Amount (NIS)")</f>
        <v>3108.4</v>
      </c>
      <c r="H113" s="10" t="n">
        <f aca="false">SUMIFS('Source 2026'!$I:$I,'Source 2026'!$B:$B,$A113,'Source 2026'!$A:$A,"Amount (NIS)")</f>
        <v>493.6</v>
      </c>
      <c r="I113" s="10" t="n">
        <f aca="false">H113-G113</f>
        <v>-2614.8</v>
      </c>
      <c r="J113" s="9" t="n">
        <f aca="false">IF(AND(G113=0,H113=0),0,IF(G113=0,"New",(H113-G113)/G113))</f>
        <v>-0.841204478188135</v>
      </c>
    </row>
    <row r="114" customFormat="false" ht="15" hidden="false" customHeight="false" outlineLevel="0" collapsed="false">
      <c r="A114" s="7" t="s">
        <v>132</v>
      </c>
      <c r="B114" s="7" t="str">
        <f aca="false">IFERROR(INDEX('Source 2026'!$C:$C,MATCH($A114,'Source 2026'!$B:$B,0)),IFERROR(INDEX('Source 2025'!$C:$C,MATCH($A114,'Source 2025'!$B:$B,0)),""))</f>
        <v>L סד לילה שחור לבוהן שמאל</v>
      </c>
      <c r="C114" s="8" t="n">
        <f aca="false">SUMIFS('Source 2025'!$I:$I,'Source 2025'!$B:$B,$A114,'Source 2025'!$A:$A,"Quantity (units)")</f>
        <v>87</v>
      </c>
      <c r="D114" s="8" t="n">
        <f aca="false">SUMIFS('Source 2026'!$I:$I,'Source 2026'!$B:$B,$A114,'Source 2026'!$A:$A,"Quantity (units)")</f>
        <v>40</v>
      </c>
      <c r="E114" s="8" t="n">
        <f aca="false">D114-C114</f>
        <v>-47</v>
      </c>
      <c r="F114" s="9" t="n">
        <f aca="false">IF(AND(C114=0,D114=0),0,IF(C114=0,"New",(D114-C114)/C114))</f>
        <v>-0.540229885057471</v>
      </c>
      <c r="G114" s="10" t="n">
        <f aca="false">SUMIFS('Source 2025'!$I:$I,'Source 2025'!$B:$B,$A114,'Source 2025'!$A:$A,"Amount (NIS)")</f>
        <v>5148.8</v>
      </c>
      <c r="H114" s="10" t="n">
        <f aca="false">SUMIFS('Source 2026'!$I:$I,'Source 2026'!$B:$B,$A114,'Source 2026'!$A:$A,"Amount (NIS)")</f>
        <v>2571.3</v>
      </c>
      <c r="I114" s="10" t="n">
        <f aca="false">H114-G114</f>
        <v>-2577.5</v>
      </c>
      <c r="J114" s="9" t="n">
        <f aca="false">IF(AND(G114=0,H114=0),0,IF(G114=0,"New",(H114-G114)/G114))</f>
        <v>-0.500602082038533</v>
      </c>
    </row>
    <row r="115" customFormat="false" ht="15" hidden="false" customHeight="false" outlineLevel="0" collapsed="false">
      <c r="A115" s="7" t="s">
        <v>133</v>
      </c>
      <c r="B115" s="7" t="str">
        <f aca="false">IFERROR(INDEX('Source 2026'!$C:$C,MATCH($A115,'Source 2026'!$B:$B,0)),IFERROR(INDEX('Source 2025'!$C:$C,MATCH($A115,'Source 2025'!$B:$B,0)),""))</f>
        <v>חגורת גב +סגירה כפולה</v>
      </c>
      <c r="C115" s="8" t="n">
        <f aca="false">SUMIFS('Source 2025'!$I:$I,'Source 2025'!$B:$B,$A115,'Source 2025'!$A:$A,"Quantity (units)")</f>
        <v>65</v>
      </c>
      <c r="D115" s="8" t="n">
        <f aca="false">SUMIFS('Source 2026'!$I:$I,'Source 2026'!$B:$B,$A115,'Source 2026'!$A:$A,"Quantity (units)")</f>
        <v>36</v>
      </c>
      <c r="E115" s="8" t="n">
        <f aca="false">D115-C115</f>
        <v>-29</v>
      </c>
      <c r="F115" s="9" t="n">
        <f aca="false">IF(AND(C115=0,D115=0),0,IF(C115=0,"New",(D115-C115)/C115))</f>
        <v>-0.446153846153846</v>
      </c>
      <c r="G115" s="10" t="n">
        <f aca="false">SUMIFS('Source 2025'!$I:$I,'Source 2025'!$B:$B,$A115,'Source 2025'!$A:$A,"Amount (NIS)")</f>
        <v>6213.6</v>
      </c>
      <c r="H115" s="10" t="n">
        <f aca="false">SUMIFS('Source 2026'!$I:$I,'Source 2026'!$B:$B,$A115,'Source 2026'!$A:$A,"Amount (NIS)")</f>
        <v>3644.6</v>
      </c>
      <c r="I115" s="10" t="n">
        <f aca="false">H115-G115</f>
        <v>-2569</v>
      </c>
      <c r="J115" s="9" t="n">
        <f aca="false">IF(AND(G115=0,H115=0),0,IF(G115=0,"New",(H115-G115)/G115))</f>
        <v>-0.413447920690099</v>
      </c>
    </row>
    <row r="116" customFormat="false" ht="15" hidden="false" customHeight="false" outlineLevel="0" collapsed="false">
      <c r="A116" s="7" t="s">
        <v>134</v>
      </c>
      <c r="B116" s="7" t="str">
        <f aca="false">IFERROR(INDEX('Source 2026'!$C:$C,MATCH($A116,'Source 2026'!$B:$B,0)),IFERROR(INDEX('Source 2025'!$C:$C,MATCH($A116,'Source 2025'!$B:$B,0)),""))</f>
        <v>רצועת ""פיקה""+כרית</v>
      </c>
      <c r="C116" s="8" t="n">
        <f aca="false">SUMIFS('Source 2025'!$I:$I,'Source 2025'!$B:$B,$A116,'Source 2025'!$A:$A,"Quantity (units)")</f>
        <v>40</v>
      </c>
      <c r="D116" s="8" t="n">
        <f aca="false">SUMIFS('Source 2026'!$I:$I,'Source 2026'!$B:$B,$A116,'Source 2026'!$A:$A,"Quantity (units)")</f>
        <v>12</v>
      </c>
      <c r="E116" s="8" t="n">
        <f aca="false">D116-C116</f>
        <v>-28</v>
      </c>
      <c r="F116" s="9" t="n">
        <f aca="false">IF(AND(C116=0,D116=0),0,IF(C116=0,"New",(D116-C116)/C116))</f>
        <v>-0.7</v>
      </c>
      <c r="G116" s="10" t="n">
        <f aca="false">SUMIFS('Source 2025'!$I:$I,'Source 2025'!$B:$B,$A116,'Source 2025'!$A:$A,"Amount (NIS)")</f>
        <v>3726.4</v>
      </c>
      <c r="H116" s="10" t="n">
        <f aca="false">SUMIFS('Source 2026'!$I:$I,'Source 2026'!$B:$B,$A116,'Source 2026'!$A:$A,"Amount (NIS)")</f>
        <v>1185.3</v>
      </c>
      <c r="I116" s="10" t="n">
        <f aca="false">H116-G116</f>
        <v>-2541.1</v>
      </c>
      <c r="J116" s="9" t="n">
        <f aca="false">IF(AND(G116=0,H116=0),0,IF(G116=0,"New",(H116-G116)/G116))</f>
        <v>-0.6819182052383</v>
      </c>
    </row>
    <row r="117" customFormat="false" ht="15" hidden="false" customHeight="false" outlineLevel="0" collapsed="false">
      <c r="A117" s="7" t="s">
        <v>135</v>
      </c>
      <c r="B117" s="7" t="str">
        <f aca="false">IFERROR(INDEX('Source 2026'!$C:$C,MATCH($A117,'Source 2026'!$B:$B,0)),IFERROR(INDEX('Source 2025'!$C:$C,MATCH($A117,'Source 2025'!$B:$B,0)),""))</f>
        <v>כפפות לחץ</v>
      </c>
      <c r="C117" s="8" t="n">
        <f aca="false">SUMIFS('Source 2025'!$I:$I,'Source 2025'!$B:$B,$A117,'Source 2025'!$A:$A,"Quantity (units)")</f>
        <v>246</v>
      </c>
      <c r="D117" s="8" t="n">
        <f aca="false">SUMIFS('Source 2026'!$I:$I,'Source 2026'!$B:$B,$A117,'Source 2026'!$A:$A,"Quantity (units)")</f>
        <v>156</v>
      </c>
      <c r="E117" s="8" t="n">
        <f aca="false">D117-C117</f>
        <v>-90</v>
      </c>
      <c r="F117" s="9" t="n">
        <f aca="false">IF(AND(C117=0,D117=0),0,IF(C117=0,"New",(D117-C117)/C117))</f>
        <v>-0.365853658536585</v>
      </c>
      <c r="G117" s="10" t="n">
        <f aca="false">SUMIFS('Source 2025'!$I:$I,'Source 2025'!$B:$B,$A117,'Source 2025'!$A:$A,"Amount (NIS)")</f>
        <v>6998.3</v>
      </c>
      <c r="H117" s="10" t="n">
        <f aca="false">SUMIFS('Source 2026'!$I:$I,'Source 2026'!$B:$B,$A117,'Source 2026'!$A:$A,"Amount (NIS)")</f>
        <v>4514.3</v>
      </c>
      <c r="I117" s="10" t="n">
        <f aca="false">H117-G117</f>
        <v>-2484</v>
      </c>
      <c r="J117" s="9" t="n">
        <f aca="false">IF(AND(G117=0,H117=0),0,IF(G117=0,"New",(H117-G117)/G117))</f>
        <v>-0.354943343383393</v>
      </c>
    </row>
    <row r="118" customFormat="false" ht="15" hidden="false" customHeight="false" outlineLevel="0" collapsed="false">
      <c r="A118" s="7" t="s">
        <v>137</v>
      </c>
      <c r="B118" s="7" t="str">
        <f aca="false">IFERROR(INDEX('Source 2026'!$C:$C,MATCH($A118,'Source 2026'!$B:$B,0)),IFERROR(INDEX('Source 2025'!$C:$C,MATCH($A118,'Source 2025'!$B:$B,0)),""))</f>
        <v>נצמדת בז' 20 מ""מ</v>
      </c>
      <c r="C118" s="8" t="n">
        <f aca="false">SUMIFS('Source 2025'!$I:$I,'Source 2025'!$B:$B,$A118,'Source 2025'!$A:$A,"Quantity (units)")</f>
        <v>1235</v>
      </c>
      <c r="D118" s="8" t="n">
        <f aca="false">SUMIFS('Source 2026'!$I:$I,'Source 2026'!$B:$B,$A118,'Source 2026'!$A:$A,"Quantity (units)")</f>
        <v>988</v>
      </c>
      <c r="E118" s="8" t="n">
        <f aca="false">D118-C118</f>
        <v>-247</v>
      </c>
      <c r="F118" s="9" t="n">
        <f aca="false">IF(AND(C118=0,D118=0),0,IF(C118=0,"New",(D118-C118)/C118))</f>
        <v>-0.2</v>
      </c>
      <c r="G118" s="10" t="n">
        <f aca="false">SUMIFS('Source 2025'!$I:$I,'Source 2025'!$B:$B,$A118,'Source 2025'!$A:$A,"Amount (NIS)")</f>
        <v>12532.2</v>
      </c>
      <c r="H118" s="10" t="n">
        <f aca="false">SUMIFS('Source 2026'!$I:$I,'Source 2026'!$B:$B,$A118,'Source 2026'!$A:$A,"Amount (NIS)")</f>
        <v>10070.6</v>
      </c>
      <c r="I118" s="10" t="n">
        <f aca="false">H118-G118</f>
        <v>-2461.6</v>
      </c>
      <c r="J118" s="9" t="n">
        <f aca="false">IF(AND(G118=0,H118=0),0,IF(G118=0,"New",(H118-G118)/G118))</f>
        <v>-0.196422016884506</v>
      </c>
    </row>
    <row r="119" customFormat="false" ht="15" hidden="false" customHeight="false" outlineLevel="0" collapsed="false">
      <c r="A119" s="7" t="s">
        <v>138</v>
      </c>
      <c r="B119" s="7" t="str">
        <f aca="false">IFERROR(INDEX('Source 2026'!$C:$C,MATCH($A119,'Source 2026'!$B:$B,0)),IFERROR(INDEX('Source 2025'!$C:$C,MATCH($A119,'Source 2025'!$B:$B,0)),""))</f>
        <v>11 אפורUG חגורת בטן</v>
      </c>
      <c r="C119" s="8" t="n">
        <f aca="false">SUMIFS('Source 2025'!$I:$I,'Source 2025'!$B:$B,$A119,'Source 2025'!$A:$A,"Quantity (units)")</f>
        <v>32</v>
      </c>
      <c r="D119" s="8" t="n">
        <f aca="false">SUMIFS('Source 2026'!$I:$I,'Source 2026'!$B:$B,$A119,'Source 2026'!$A:$A,"Quantity (units)")</f>
        <v>1</v>
      </c>
      <c r="E119" s="8" t="n">
        <f aca="false">D119-C119</f>
        <v>-31</v>
      </c>
      <c r="F119" s="9" t="n">
        <f aca="false">IF(AND(C119=0,D119=0),0,IF(C119=0,"New",(D119-C119)/C119))</f>
        <v>-0.96875</v>
      </c>
      <c r="G119" s="10" t="n">
        <f aca="false">SUMIFS('Source 2025'!$I:$I,'Source 2025'!$B:$B,$A119,'Source 2025'!$A:$A,"Amount (NIS)")</f>
        <v>2549.6</v>
      </c>
      <c r="H119" s="10" t="n">
        <f aca="false">SUMIFS('Source 2026'!$I:$I,'Source 2026'!$B:$B,$A119,'Source 2026'!$A:$A,"Amount (NIS)")</f>
        <v>132.3</v>
      </c>
      <c r="I119" s="10" t="n">
        <f aca="false">H119-G119</f>
        <v>-2417.3</v>
      </c>
      <c r="J119" s="9" t="n">
        <f aca="false">IF(AND(G119=0,H119=0),0,IF(G119=0,"New",(H119-G119)/G119))</f>
        <v>-0.948109507373706</v>
      </c>
    </row>
    <row r="120" customFormat="false" ht="15" hidden="false" customHeight="false" outlineLevel="0" collapsed="false">
      <c r="A120" s="7" t="s">
        <v>139</v>
      </c>
      <c r="B120" s="7" t="str">
        <f aca="false">IFERROR(INDEX('Source 2026'!$C:$C,MATCH($A120,'Source 2026'!$B:$B,0)),IFERROR(INDEX('Source 2025'!$C:$C,MATCH($A120,'Source 2025'!$B:$B,0)),""))</f>
        <v>כפפות אגודל לחץ</v>
      </c>
      <c r="C120" s="8" t="n">
        <f aca="false">SUMIFS('Source 2025'!$I:$I,'Source 2025'!$B:$B,$A120,'Source 2025'!$A:$A,"Quantity (units)")</f>
        <v>419</v>
      </c>
      <c r="D120" s="8" t="n">
        <f aca="false">SUMIFS('Source 2026'!$I:$I,'Source 2026'!$B:$B,$A120,'Source 2026'!$A:$A,"Quantity (units)")</f>
        <v>324</v>
      </c>
      <c r="E120" s="8" t="n">
        <f aca="false">D120-C120</f>
        <v>-95</v>
      </c>
      <c r="F120" s="9" t="n">
        <f aca="false">IF(AND(C120=0,D120=0),0,IF(C120=0,"New",(D120-C120)/C120))</f>
        <v>-0.22673031026253</v>
      </c>
      <c r="G120" s="10" t="n">
        <f aca="false">SUMIFS('Source 2025'!$I:$I,'Source 2025'!$B:$B,$A120,'Source 2025'!$A:$A,"Amount (NIS)")</f>
        <v>11927.2</v>
      </c>
      <c r="H120" s="10" t="n">
        <f aca="false">SUMIFS('Source 2026'!$I:$I,'Source 2026'!$B:$B,$A120,'Source 2026'!$A:$A,"Amount (NIS)")</f>
        <v>9579</v>
      </c>
      <c r="I120" s="10" t="n">
        <f aca="false">H120-G120</f>
        <v>-2348.2</v>
      </c>
      <c r="J120" s="9" t="n">
        <f aca="false">IF(AND(G120=0,H120=0),0,IF(G120=0,"New",(H120-G120)/G120))</f>
        <v>-0.196877724864176</v>
      </c>
    </row>
    <row r="121" customFormat="false" ht="15" hidden="false" customHeight="false" outlineLevel="0" collapsed="false">
      <c r="A121" s="7" t="s">
        <v>141</v>
      </c>
      <c r="B121" s="7" t="str">
        <f aca="false">IFERROR(INDEX('Source 2026'!$C:$C,MATCH($A121,'Source 2026'!$B:$B,0)),IFERROR(INDEX('Source 2025'!$C:$C,MATCH($A121,'Source 2025'!$B:$B,0)),""))</f>
        <v>ג.כסף לסכרתיים אפור35-38</v>
      </c>
      <c r="C121" s="8" t="n">
        <f aca="false">SUMIFS('Source 2025'!$I:$I,'Source 2025'!$B:$B,$A121,'Source 2025'!$A:$A,"Quantity (units)")</f>
        <v>78</v>
      </c>
      <c r="D121" s="8" t="n">
        <f aca="false">SUMIFS('Source 2026'!$I:$I,'Source 2026'!$B:$B,$A121,'Source 2026'!$A:$A,"Quantity (units)")</f>
        <v>1</v>
      </c>
      <c r="E121" s="8" t="n">
        <f aca="false">D121-C121</f>
        <v>-77</v>
      </c>
      <c r="F121" s="9" t="n">
        <f aca="false">IF(AND(C121=0,D121=0),0,IF(C121=0,"New",(D121-C121)/C121))</f>
        <v>-0.987179487179487</v>
      </c>
      <c r="G121" s="10" t="n">
        <f aca="false">SUMIFS('Source 2025'!$I:$I,'Source 2025'!$B:$B,$A121,'Source 2025'!$A:$A,"Amount (NIS)")</f>
        <v>2287.4</v>
      </c>
      <c r="H121" s="10" t="n">
        <f aca="false">SUMIFS('Source 2026'!$I:$I,'Source 2026'!$B:$B,$A121,'Source 2026'!$A:$A,"Amount (NIS)")</f>
        <v>35</v>
      </c>
      <c r="I121" s="10" t="n">
        <f aca="false">H121-G121</f>
        <v>-2252.4</v>
      </c>
      <c r="J121" s="9" t="n">
        <f aca="false">IF(AND(G121=0,H121=0),0,IF(G121=0,"New",(H121-G121)/G121))</f>
        <v>-0.984698784646323</v>
      </c>
    </row>
    <row r="122" customFormat="false" ht="15" hidden="false" customHeight="false" outlineLevel="0" collapsed="false">
      <c r="A122" s="7" t="s">
        <v>160</v>
      </c>
      <c r="B122" s="7" t="str">
        <f aca="false">IFERROR(INDEX('Source 2026'!$C:$C,MATCH($A122,'Source 2026'!$B:$B,0)),IFERROR(INDEX('Source 2025'!$C:$C,MATCH($A122,'Source 2025'!$B:$B,0)),""))</f>
        <v>סד ליישור אצבע</v>
      </c>
      <c r="C122" s="8" t="n">
        <f aca="false">SUMIFS('Source 2025'!$I:$I,'Source 2025'!$B:$B,$A122,'Source 2025'!$A:$A,"Quantity (units)")</f>
        <v>2616</v>
      </c>
      <c r="D122" s="8" t="n">
        <f aca="false">SUMIFS('Source 2026'!$I:$I,'Source 2026'!$B:$B,$A122,'Source 2026'!$A:$A,"Quantity (units)")</f>
        <v>2382</v>
      </c>
      <c r="E122" s="8" t="n">
        <f aca="false">D122-C122</f>
        <v>-234</v>
      </c>
      <c r="F122" s="9" t="n">
        <f aca="false">IF(AND(C122=0,D122=0),0,IF(C122=0,"New",(D122-C122)/C122))</f>
        <v>-0.0894495412844037</v>
      </c>
      <c r="G122" s="10" t="n">
        <f aca="false">SUMIFS('Source 2025'!$I:$I,'Source 2025'!$B:$B,$A122,'Source 2025'!$A:$A,"Amount (NIS)")</f>
        <v>38080.5</v>
      </c>
      <c r="H122" s="10" t="n">
        <f aca="false">SUMIFS('Source 2026'!$I:$I,'Source 2026'!$B:$B,$A122,'Source 2026'!$A:$A,"Amount (NIS)")</f>
        <v>35836</v>
      </c>
      <c r="I122" s="10" t="n">
        <f aca="false">H122-G122</f>
        <v>-2244.5</v>
      </c>
      <c r="J122" s="9" t="n">
        <f aca="false">IF(AND(G122=0,H122=0),0,IF(G122=0,"New",(H122-G122)/G122))</f>
        <v>-0.0589409277714316</v>
      </c>
    </row>
    <row r="123" customFormat="false" ht="15" hidden="false" customHeight="false" outlineLevel="0" collapsed="false">
      <c r="A123" s="7" t="s">
        <v>140</v>
      </c>
      <c r="B123" s="7" t="str">
        <f aca="false">IFERROR(INDEX('Source 2026'!$C:$C,MATCH($A123,'Source 2026'!$B:$B,0)),IFERROR(INDEX('Source 2025'!$C:$C,MATCH($A123,'Source 2025'!$B:$B,0)),""))</f>
        <v>S-M STRAP4U</v>
      </c>
      <c r="C123" s="8" t="n">
        <f aca="false">SUMIFS('Source 2025'!$I:$I,'Source 2025'!$B:$B,$A123,'Source 2025'!$A:$A,"Quantity (units)")</f>
        <v>95</v>
      </c>
      <c r="D123" s="8" t="n">
        <f aca="false">SUMIFS('Source 2026'!$I:$I,'Source 2026'!$B:$B,$A123,'Source 2026'!$A:$A,"Quantity (units)")</f>
        <v>-57</v>
      </c>
      <c r="E123" s="8" t="n">
        <f aca="false">D123-C123</f>
        <v>-152</v>
      </c>
      <c r="F123" s="9" t="n">
        <f aca="false">IF(AND(C123=0,D123=0),0,IF(C123=0,"New",(D123-C123)/C123))</f>
        <v>-1.6</v>
      </c>
      <c r="G123" s="10" t="n">
        <f aca="false">SUMIFS('Source 2025'!$I:$I,'Source 2025'!$B:$B,$A123,'Source 2025'!$A:$A,"Amount (NIS)")</f>
        <v>1673</v>
      </c>
      <c r="H123" s="10" t="n">
        <f aca="false">SUMIFS('Source 2026'!$I:$I,'Source 2026'!$B:$B,$A123,'Source 2026'!$A:$A,"Amount (NIS)")</f>
        <v>-564.6</v>
      </c>
      <c r="I123" s="10" t="n">
        <f aca="false">H123-G123</f>
        <v>-2237.6</v>
      </c>
      <c r="J123" s="9" t="n">
        <f aca="false">IF(AND(G123=0,H123=0),0,IF(G123=0,"New",(H123-G123)/G123))</f>
        <v>-1.33747758517633</v>
      </c>
    </row>
    <row r="124" customFormat="false" ht="15" hidden="false" customHeight="false" outlineLevel="0" collapsed="false">
      <c r="A124" s="7" t="s">
        <v>142</v>
      </c>
      <c r="B124" s="7" t="str">
        <f aca="false">IFERROR(INDEX('Source 2026'!$C:$C,MATCH($A124,'Source 2026'!$B:$B,0)),IFERROR(INDEX('Source 2025'!$C:$C,MATCH($A124,'Source 2025'!$B:$B,0)),""))</f>
        <v>9 מ""ס להתאמהX5 מדבקה גדולה</v>
      </c>
      <c r="C124" s="8" t="n">
        <f aca="false">SUMIFS('Source 2025'!$I:$I,'Source 2025'!$B:$B,$A124,'Source 2025'!$A:$A,"Quantity (units)")</f>
        <v>253</v>
      </c>
      <c r="D124" s="8" t="n">
        <f aca="false">SUMIFS('Source 2026'!$I:$I,'Source 2026'!$B:$B,$A124,'Source 2026'!$A:$A,"Quantity (units)")</f>
        <v>143</v>
      </c>
      <c r="E124" s="8" t="n">
        <f aca="false">D124-C124</f>
        <v>-110</v>
      </c>
      <c r="F124" s="9" t="n">
        <f aca="false">IF(AND(C124=0,D124=0),0,IF(C124=0,"New",(D124-C124)/C124))</f>
        <v>-0.434782608695652</v>
      </c>
      <c r="G124" s="10" t="n">
        <f aca="false">SUMIFS('Source 2025'!$I:$I,'Source 2025'!$B:$B,$A124,'Source 2025'!$A:$A,"Amount (NIS)")</f>
        <v>5080.7</v>
      </c>
      <c r="H124" s="10" t="n">
        <f aca="false">SUMIFS('Source 2026'!$I:$I,'Source 2026'!$B:$B,$A124,'Source 2026'!$A:$A,"Amount (NIS)")</f>
        <v>2862.2</v>
      </c>
      <c r="I124" s="10" t="n">
        <f aca="false">H124-G124</f>
        <v>-2218.5</v>
      </c>
      <c r="J124" s="9" t="n">
        <f aca="false">IF(AND(G124=0,H124=0),0,IF(G124=0,"New",(H124-G124)/G124))</f>
        <v>-0.436652429783298</v>
      </c>
    </row>
    <row r="125" customFormat="false" ht="15" hidden="false" customHeight="false" outlineLevel="0" collapsed="false">
      <c r="A125" s="7" t="s">
        <v>192</v>
      </c>
      <c r="B125" s="7" t="str">
        <f aca="false">IFERROR(INDEX('Source 2026'!$C:$C,MATCH($A125,'Source 2026'!$B:$B,0)),IFERROR(INDEX('Source 2025'!$C:$C,MATCH($A125,'Source 2025'!$B:$B,0)),""))</f>
        <v>להסרת עור קשה</v>
      </c>
      <c r="C125" s="8" t="n">
        <f aca="false">SUMIFS('Source 2025'!$I:$I,'Source 2025'!$B:$B,$A125,'Source 2025'!$A:$A,"Quantity (units)")</f>
        <v>179</v>
      </c>
      <c r="D125" s="8" t="n">
        <f aca="false">SUMIFS('Source 2026'!$I:$I,'Source 2026'!$B:$B,$A125,'Source 2026'!$A:$A,"Quantity (units)")</f>
        <v>96</v>
      </c>
      <c r="E125" s="8" t="n">
        <f aca="false">D125-C125</f>
        <v>-83</v>
      </c>
      <c r="F125" s="9" t="n">
        <f aca="false">IF(AND(C125=0,D125=0),0,IF(C125=0,"New",(D125-C125)/C125))</f>
        <v>-0.463687150837989</v>
      </c>
      <c r="G125" s="10" t="n">
        <f aca="false">SUMIFS('Source 2025'!$I:$I,'Source 2025'!$B:$B,$A125,'Source 2025'!$A:$A,"Amount (NIS)")</f>
        <v>4648.5</v>
      </c>
      <c r="H125" s="10" t="n">
        <f aca="false">SUMIFS('Source 2026'!$I:$I,'Source 2026'!$B:$B,$A125,'Source 2026'!$A:$A,"Amount (NIS)")</f>
        <v>2465</v>
      </c>
      <c r="I125" s="10" t="n">
        <f aca="false">H125-G125</f>
        <v>-2183.5</v>
      </c>
      <c r="J125" s="9" t="n">
        <f aca="false">IF(AND(G125=0,H125=0),0,IF(G125=0,"New",(H125-G125)/G125))</f>
        <v>-0.46972141551038</v>
      </c>
    </row>
    <row r="126" customFormat="false" ht="15" hidden="false" customHeight="false" outlineLevel="0" collapsed="false">
      <c r="A126" s="7" t="s">
        <v>234</v>
      </c>
      <c r="B126" s="7" t="str">
        <f aca="false">IFERROR(INDEX('Source 2026'!$C:$C,MATCH($A126,'Source 2026'!$B:$B,0)),IFERROR(INDEX('Source 2025'!$C:$C,MATCH($A126,'Source 2025'!$B:$B,0)),""))</f>
        <v>להסרת עור קשה</v>
      </c>
      <c r="C126" s="8" t="n">
        <f aca="false">SUMIFS('Source 2025'!$I:$I,'Source 2025'!$B:$B,$A126,'Source 2025'!$A:$A,"Quantity (units)")</f>
        <v>200</v>
      </c>
      <c r="D126" s="8" t="n">
        <f aca="false">SUMIFS('Source 2026'!$I:$I,'Source 2026'!$B:$B,$A126,'Source 2026'!$A:$A,"Quantity (units)")</f>
        <v>101</v>
      </c>
      <c r="E126" s="8" t="n">
        <f aca="false">D126-C126</f>
        <v>-99</v>
      </c>
      <c r="F126" s="9" t="n">
        <f aca="false">IF(AND(C126=0,D126=0),0,IF(C126=0,"New",(D126-C126)/C126))</f>
        <v>-0.495</v>
      </c>
      <c r="G126" s="10" t="n">
        <f aca="false">SUMIFS('Source 2025'!$I:$I,'Source 2025'!$B:$B,$A126,'Source 2025'!$A:$A,"Amount (NIS)")</f>
        <v>4371.1</v>
      </c>
      <c r="H126" s="10" t="n">
        <f aca="false">SUMIFS('Source 2026'!$I:$I,'Source 2026'!$B:$B,$A126,'Source 2026'!$A:$A,"Amount (NIS)")</f>
        <v>2222.3</v>
      </c>
      <c r="I126" s="10" t="n">
        <f aca="false">H126-G126</f>
        <v>-2148.8</v>
      </c>
      <c r="J126" s="9" t="n">
        <f aca="false">IF(AND(G126=0,H126=0),0,IF(G126=0,"New",(H126-G126)/G126))</f>
        <v>-0.491592505319027</v>
      </c>
    </row>
    <row r="127" customFormat="false" ht="15" hidden="false" customHeight="false" outlineLevel="0" collapsed="false">
      <c r="A127" s="7" t="s">
        <v>144</v>
      </c>
      <c r="B127" s="7" t="str">
        <f aca="false">IFERROR(INDEX('Source 2026'!$C:$C,MATCH($A127,'Source 2026'!$B:$B,0)),IFERROR(INDEX('Source 2025'!$C:$C,MATCH($A127,'Source 2025'!$B:$B,0)),""))</f>
        <v>תרסיס דאודורנט לכף הרגל</v>
      </c>
      <c r="C127" s="8" t="n">
        <f aca="false">SUMIFS('Source 2025'!$I:$I,'Source 2025'!$B:$B,$A127,'Source 2025'!$A:$A,"Quantity (units)")</f>
        <v>583</v>
      </c>
      <c r="D127" s="8" t="n">
        <f aca="false">SUMIFS('Source 2026'!$I:$I,'Source 2026'!$B:$B,$A127,'Source 2026'!$A:$A,"Quantity (units)")</f>
        <v>536</v>
      </c>
      <c r="E127" s="8" t="n">
        <f aca="false">D127-C127</f>
        <v>-47</v>
      </c>
      <c r="F127" s="9" t="n">
        <f aca="false">IF(AND(C127=0,D127=0),0,IF(C127=0,"New",(D127-C127)/C127))</f>
        <v>-0.0806174957118353</v>
      </c>
      <c r="G127" s="10" t="n">
        <f aca="false">SUMIFS('Source 2025'!$I:$I,'Source 2025'!$B:$B,$A127,'Source 2025'!$A:$A,"Amount (NIS)")</f>
        <v>12662</v>
      </c>
      <c r="H127" s="10" t="n">
        <f aca="false">SUMIFS('Source 2026'!$I:$I,'Source 2026'!$B:$B,$A127,'Source 2026'!$A:$A,"Amount (NIS)")</f>
        <v>10680.7</v>
      </c>
      <c r="I127" s="10" t="n">
        <f aca="false">H127-G127</f>
        <v>-1981.3</v>
      </c>
      <c r="J127" s="9" t="n">
        <f aca="false">IF(AND(G127=0,H127=0),0,IF(G127=0,"New",(H127-G127)/G127))</f>
        <v>-0.156476070131101</v>
      </c>
    </row>
    <row r="128" customFormat="false" ht="15" hidden="false" customHeight="false" outlineLevel="0" collapsed="false">
      <c r="A128" s="7" t="s">
        <v>152</v>
      </c>
      <c r="B128" s="7" t="str">
        <f aca="false">IFERROR(INDEX('Source 2026'!$C:$C,MATCH($A128,'Source 2026'!$B:$B,0)),IFERROR(INDEX('Source 2025'!$C:$C,MATCH($A128,'Source 2025'!$B:$B,0)),""))</f>
        <v>S  חגורת גב פוג'יאמה</v>
      </c>
      <c r="C128" s="8" t="n">
        <f aca="false">SUMIFS('Source 2025'!$I:$I,'Source 2025'!$B:$B,$A128,'Source 2025'!$A:$A,"Quantity (units)")</f>
        <v>40</v>
      </c>
      <c r="D128" s="8" t="n">
        <f aca="false">SUMIFS('Source 2026'!$I:$I,'Source 2026'!$B:$B,$A128,'Source 2026'!$A:$A,"Quantity (units)")</f>
        <v>16</v>
      </c>
      <c r="E128" s="8" t="n">
        <f aca="false">D128-C128</f>
        <v>-24</v>
      </c>
      <c r="F128" s="9" t="n">
        <f aca="false">IF(AND(C128=0,D128=0),0,IF(C128=0,"New",(D128-C128)/C128))</f>
        <v>-0.6</v>
      </c>
      <c r="G128" s="10" t="n">
        <f aca="false">SUMIFS('Source 2025'!$I:$I,'Source 2025'!$B:$B,$A128,'Source 2025'!$A:$A,"Amount (NIS)")</f>
        <v>3331.1</v>
      </c>
      <c r="H128" s="10" t="n">
        <f aca="false">SUMIFS('Source 2026'!$I:$I,'Source 2026'!$B:$B,$A128,'Source 2026'!$A:$A,"Amount (NIS)")</f>
        <v>1352.7</v>
      </c>
      <c r="I128" s="10" t="n">
        <f aca="false">H128-G128</f>
        <v>-1978.4</v>
      </c>
      <c r="J128" s="9" t="n">
        <f aca="false">IF(AND(G128=0,H128=0),0,IF(G128=0,"New",(H128-G128)/G128))</f>
        <v>-0.593917925009757</v>
      </c>
    </row>
    <row r="129" customFormat="false" ht="15" hidden="false" customHeight="false" outlineLevel="0" collapsed="false">
      <c r="A129" s="7" t="s">
        <v>155</v>
      </c>
      <c r="B129" s="7" t="str">
        <f aca="false">IFERROR(INDEX('Source 2026'!$C:$C,MATCH($A129,'Source 2026'!$B:$B,0)),IFERROR(INDEX('Source 2025'!$C:$C,MATCH($A129,'Source 2025'!$B:$B,0)),""))</f>
        <v>0 חגורה למנותחי בית חזה</v>
      </c>
      <c r="C129" s="8" t="n">
        <f aca="false">SUMIFS('Source 2025'!$I:$I,'Source 2025'!$B:$B,$A129,'Source 2025'!$A:$A,"Quantity (units)")</f>
        <v>2</v>
      </c>
      <c r="D129" s="8" t="n">
        <f aca="false">SUMIFS('Source 2026'!$I:$I,'Source 2026'!$B:$B,$A129,'Source 2026'!$A:$A,"Quantity (units)")</f>
        <v>13</v>
      </c>
      <c r="E129" s="8" t="n">
        <f aca="false">D129-C129</f>
        <v>11</v>
      </c>
      <c r="F129" s="9" t="n">
        <f aca="false">IF(AND(C129=0,D129=0),0,IF(C129=0,"New",(D129-C129)/C129))</f>
        <v>5.5</v>
      </c>
      <c r="G129" s="10" t="n">
        <f aca="false">SUMIFS('Source 2025'!$I:$I,'Source 2025'!$B:$B,$A129,'Source 2025'!$A:$A,"Amount (NIS)")</f>
        <v>442.1</v>
      </c>
      <c r="H129" s="10" t="n">
        <f aca="false">SUMIFS('Source 2026'!$I:$I,'Source 2026'!$B:$B,$A129,'Source 2026'!$A:$A,"Amount (NIS)")</f>
        <v>2399.3</v>
      </c>
      <c r="I129" s="10" t="n">
        <f aca="false">H129-G129</f>
        <v>1957.2</v>
      </c>
      <c r="J129" s="9" t="n">
        <f aca="false">IF(AND(G129=0,H129=0),0,IF(G129=0,"New",(H129-G129)/G129))</f>
        <v>4.42705270300837</v>
      </c>
    </row>
    <row r="130" customFormat="false" ht="15" hidden="false" customHeight="false" outlineLevel="0" collapsed="false">
      <c r="A130" s="7" t="s">
        <v>145</v>
      </c>
      <c r="B130" s="7" t="str">
        <f aca="false">IFERROR(INDEX('Source 2026'!$C:$C,MATCH($A130,'Source 2026'!$B:$B,0)),IFERROR(INDEX('Source 2025'!$C:$C,MATCH($A130,'Source 2025'!$B:$B,0)),""))</f>
        <v>לגבס קצר יד</v>
      </c>
      <c r="C130" s="8" t="n">
        <f aca="false">SUMIFS('Source 2025'!$I:$I,'Source 2025'!$B:$B,$A130,'Source 2025'!$A:$A,"Quantity (units)")</f>
        <v>1526</v>
      </c>
      <c r="D130" s="8" t="n">
        <f aca="false">SUMIFS('Source 2026'!$I:$I,'Source 2026'!$B:$B,$A130,'Source 2026'!$A:$A,"Quantity (units)")</f>
        <v>1595</v>
      </c>
      <c r="E130" s="8" t="n">
        <f aca="false">D130-C130</f>
        <v>69</v>
      </c>
      <c r="F130" s="9" t="n">
        <f aca="false">IF(AND(C130=0,D130=0),0,IF(C130=0,"New",(D130-C130)/C130))</f>
        <v>0.04521625163827</v>
      </c>
      <c r="G130" s="10" t="n">
        <f aca="false">SUMIFS('Source 2025'!$I:$I,'Source 2025'!$B:$B,$A130,'Source 2025'!$A:$A,"Amount (NIS)")</f>
        <v>50607.4</v>
      </c>
      <c r="H130" s="10" t="n">
        <f aca="false">SUMIFS('Source 2026'!$I:$I,'Source 2026'!$B:$B,$A130,'Source 2026'!$A:$A,"Amount (NIS)")</f>
        <v>52502.9</v>
      </c>
      <c r="I130" s="10" t="n">
        <f aca="false">H130-G130</f>
        <v>1895.50000000001</v>
      </c>
      <c r="J130" s="9" t="n">
        <f aca="false">IF(AND(G130=0,H130=0),0,IF(G130=0,"New",(H130-G130)/G130))</f>
        <v>0.0374549967000875</v>
      </c>
    </row>
    <row r="131" customFormat="false" ht="15" hidden="false" customHeight="false" outlineLevel="0" collapsed="false">
      <c r="A131" s="7" t="s">
        <v>242</v>
      </c>
      <c r="B131" s="7" t="str">
        <f aca="false">IFERROR(INDEX('Source 2026'!$C:$C,MATCH($A131,'Source 2026'!$B:$B,0)),IFERROR(INDEX('Source 2025'!$C:$C,MATCH($A131,'Source 2025'!$B:$B,0)),""))</f>
        <v>Lמפר.אצבע סיליק. ליבל.זוג</v>
      </c>
      <c r="C131" s="8" t="n">
        <f aca="false">SUMIFS('Source 2025'!$I:$I,'Source 2025'!$B:$B,$A131,'Source 2025'!$A:$A,"Quantity (units)")</f>
        <v>686</v>
      </c>
      <c r="D131" s="8" t="n">
        <f aca="false">SUMIFS('Source 2026'!$I:$I,'Source 2026'!$B:$B,$A131,'Source 2026'!$A:$A,"Quantity (units)")</f>
        <v>545</v>
      </c>
      <c r="E131" s="8" t="n">
        <f aca="false">D131-C131</f>
        <v>-141</v>
      </c>
      <c r="F131" s="9" t="n">
        <f aca="false">IF(AND(C131=0,D131=0),0,IF(C131=0,"New",(D131-C131)/C131))</f>
        <v>-0.205539358600583</v>
      </c>
      <c r="G131" s="10" t="n">
        <f aca="false">SUMIFS('Source 2025'!$I:$I,'Source 2025'!$B:$B,$A131,'Source 2025'!$A:$A,"Amount (NIS)")</f>
        <v>9256.5</v>
      </c>
      <c r="H131" s="10" t="n">
        <f aca="false">SUMIFS('Source 2026'!$I:$I,'Source 2026'!$B:$B,$A131,'Source 2026'!$A:$A,"Amount (NIS)")</f>
        <v>7409.3</v>
      </c>
      <c r="I131" s="10" t="n">
        <f aca="false">H131-G131</f>
        <v>-1847.2</v>
      </c>
      <c r="J131" s="9" t="n">
        <f aca="false">IF(AND(G131=0,H131=0),0,IF(G131=0,"New",(H131-G131)/G131))</f>
        <v>-0.199557068006266</v>
      </c>
    </row>
    <row r="132" customFormat="false" ht="15" hidden="false" customHeight="false" outlineLevel="0" collapsed="false">
      <c r="A132" s="7" t="s">
        <v>197</v>
      </c>
      <c r="B132" s="7" t="str">
        <f aca="false">IFERROR(INDEX('Source 2026'!$C:$C,MATCH($A132,'Source 2026'!$B:$B,0)),IFERROR(INDEX('Source 2025'!$C:$C,MATCH($A132,'Source 2025'!$B:$B,0)),""))</f>
        <v>S ח.בטן לאחר ניתוח</v>
      </c>
      <c r="C132" s="8" t="n">
        <f aca="false">SUMIFS('Source 2025'!$I:$I,'Source 2025'!$B:$B,$A132,'Source 2025'!$A:$A,"Quantity (units)")</f>
        <v>84</v>
      </c>
      <c r="D132" s="8" t="n">
        <f aca="false">SUMIFS('Source 2026'!$I:$I,'Source 2026'!$B:$B,$A132,'Source 2026'!$A:$A,"Quantity (units)")</f>
        <v>103</v>
      </c>
      <c r="E132" s="8" t="n">
        <f aca="false">D132-C132</f>
        <v>19</v>
      </c>
      <c r="F132" s="9" t="n">
        <f aca="false">IF(AND(C132=0,D132=0),0,IF(C132=0,"New",(D132-C132)/C132))</f>
        <v>0.226190476190476</v>
      </c>
      <c r="G132" s="10" t="n">
        <f aca="false">SUMIFS('Source 2025'!$I:$I,'Source 2025'!$B:$B,$A132,'Source 2025'!$A:$A,"Amount (NIS)")</f>
        <v>7998.2</v>
      </c>
      <c r="H132" s="10" t="n">
        <f aca="false">SUMIFS('Source 2026'!$I:$I,'Source 2026'!$B:$B,$A132,'Source 2026'!$A:$A,"Amount (NIS)")</f>
        <v>9818.5</v>
      </c>
      <c r="I132" s="10" t="n">
        <f aca="false">H132-G132</f>
        <v>1820.3</v>
      </c>
      <c r="J132" s="9" t="n">
        <f aca="false">IF(AND(G132=0,H132=0),0,IF(G132=0,"New",(H132-G132)/G132))</f>
        <v>0.227588707459178</v>
      </c>
    </row>
    <row r="133" customFormat="false" ht="15" hidden="false" customHeight="false" outlineLevel="0" collapsed="false">
      <c r="A133" s="7" t="s">
        <v>147</v>
      </c>
      <c r="B133" s="7" t="str">
        <f aca="false">IFERROR(INDEX('Source 2026'!$C:$C,MATCH($A133,'Source 2026'!$B:$B,0)),IFERROR(INDEX('Source 2025'!$C:$C,MATCH($A133,'Source 2025'!$B:$B,0)),""))</f>
        <v>כפפות לחץ</v>
      </c>
      <c r="C133" s="8" t="n">
        <f aca="false">SUMIFS('Source 2025'!$I:$I,'Source 2025'!$B:$B,$A133,'Source 2025'!$A:$A,"Quantity (units)")</f>
        <v>180</v>
      </c>
      <c r="D133" s="8" t="n">
        <f aca="false">SUMIFS('Source 2026'!$I:$I,'Source 2026'!$B:$B,$A133,'Source 2026'!$A:$A,"Quantity (units)")</f>
        <v>113</v>
      </c>
      <c r="E133" s="8" t="n">
        <f aca="false">D133-C133</f>
        <v>-67</v>
      </c>
      <c r="F133" s="9" t="n">
        <f aca="false">IF(AND(C133=0,D133=0),0,IF(C133=0,"New",(D133-C133)/C133))</f>
        <v>-0.372222222222222</v>
      </c>
      <c r="G133" s="10" t="n">
        <f aca="false">SUMIFS('Source 2025'!$I:$I,'Source 2025'!$B:$B,$A133,'Source 2025'!$A:$A,"Amount (NIS)")</f>
        <v>5113.7</v>
      </c>
      <c r="H133" s="10" t="n">
        <f aca="false">SUMIFS('Source 2026'!$I:$I,'Source 2026'!$B:$B,$A133,'Source 2026'!$A:$A,"Amount (NIS)")</f>
        <v>3300.4</v>
      </c>
      <c r="I133" s="10" t="n">
        <f aca="false">H133-G133</f>
        <v>-1813.3</v>
      </c>
      <c r="J133" s="9" t="n">
        <f aca="false">IF(AND(G133=0,H133=0),0,IF(G133=0,"New",(H133-G133)/G133))</f>
        <v>-0.354596476132741</v>
      </c>
    </row>
    <row r="134" customFormat="false" ht="15" hidden="false" customHeight="false" outlineLevel="0" collapsed="false">
      <c r="A134" s="7" t="s">
        <v>193</v>
      </c>
      <c r="B134" s="7" t="str">
        <f aca="false">IFERROR(INDEX('Source 2026'!$C:$C,MATCH($A134,'Source 2026'!$B:$B,0)),IFERROR(INDEX('Source 2025'!$C:$C,MATCH($A134,'Source 2025'!$B:$B,0)),""))</f>
        <v>Sמ.ברך מוצלב+ספירלות בצדדים</v>
      </c>
      <c r="C134" s="8" t="n">
        <f aca="false">SUMIFS('Source 2025'!$I:$I,'Source 2025'!$B:$B,$A134,'Source 2025'!$A:$A,"Quantity (units)")</f>
        <v>25</v>
      </c>
      <c r="D134" s="8" t="n">
        <f aca="false">SUMIFS('Source 2026'!$I:$I,'Source 2026'!$B:$B,$A134,'Source 2026'!$A:$A,"Quantity (units)")</f>
        <v>10</v>
      </c>
      <c r="E134" s="8" t="n">
        <f aca="false">D134-C134</f>
        <v>-15</v>
      </c>
      <c r="F134" s="9" t="n">
        <f aca="false">IF(AND(C134=0,D134=0),0,IF(C134=0,"New",(D134-C134)/C134))</f>
        <v>-0.6</v>
      </c>
      <c r="G134" s="10" t="n">
        <f aca="false">SUMIFS('Source 2025'!$I:$I,'Source 2025'!$B:$B,$A134,'Source 2025'!$A:$A,"Amount (NIS)")</f>
        <v>2809.4</v>
      </c>
      <c r="H134" s="10" t="n">
        <f aca="false">SUMIFS('Source 2026'!$I:$I,'Source 2026'!$B:$B,$A134,'Source 2026'!$A:$A,"Amount (NIS)")</f>
        <v>1017.3</v>
      </c>
      <c r="I134" s="10" t="n">
        <f aca="false">H134-G134</f>
        <v>-1792.1</v>
      </c>
      <c r="J134" s="9" t="n">
        <f aca="false">IF(AND(G134=0,H134=0),0,IF(G134=0,"New",(H134-G134)/G134))</f>
        <v>-0.637894212287321</v>
      </c>
    </row>
    <row r="135" customFormat="false" ht="15" hidden="false" customHeight="false" outlineLevel="0" collapsed="false">
      <c r="A135" s="7" t="s">
        <v>148</v>
      </c>
      <c r="B135" s="7" t="str">
        <f aca="false">IFERROR(INDEX('Source 2026'!$C:$C,MATCH($A135,'Source 2026'!$B:$B,0)),IFERROR(INDEX('Source 2025'!$C:$C,MATCH($A135,'Source 2025'!$B:$B,0)),""))</f>
        <v>0 כרית חום וקור</v>
      </c>
      <c r="C135" s="8" t="n">
        <f aca="false">SUMIFS('Source 2025'!$I:$I,'Source 2025'!$B:$B,$A135,'Source 2025'!$A:$A,"Quantity (units)")</f>
        <v>21</v>
      </c>
      <c r="D135" s="8" t="n">
        <f aca="false">SUMIFS('Source 2026'!$I:$I,'Source 2026'!$B:$B,$A135,'Source 2026'!$A:$A,"Quantity (units)")</f>
        <v>67</v>
      </c>
      <c r="E135" s="8" t="n">
        <f aca="false">D135-C135</f>
        <v>46</v>
      </c>
      <c r="F135" s="9" t="n">
        <f aca="false">IF(AND(C135=0,D135=0),0,IF(C135=0,"New",(D135-C135)/C135))</f>
        <v>2.19047619047619</v>
      </c>
      <c r="G135" s="10" t="n">
        <f aca="false">SUMIFS('Source 2025'!$I:$I,'Source 2025'!$B:$B,$A135,'Source 2025'!$A:$A,"Amount (NIS)")</f>
        <v>826.4</v>
      </c>
      <c r="H135" s="10" t="n">
        <f aca="false">SUMIFS('Source 2026'!$I:$I,'Source 2026'!$B:$B,$A135,'Source 2026'!$A:$A,"Amount (NIS)")</f>
        <v>2616.2</v>
      </c>
      <c r="I135" s="10" t="n">
        <f aca="false">H135-G135</f>
        <v>1789.8</v>
      </c>
      <c r="J135" s="9" t="n">
        <f aca="false">IF(AND(G135=0,H135=0),0,IF(G135=0,"New",(H135-G135)/G135))</f>
        <v>2.16577928363988</v>
      </c>
    </row>
    <row r="136" customFormat="false" ht="15" hidden="false" customHeight="false" outlineLevel="0" collapsed="false">
      <c r="A136" s="7" t="s">
        <v>136</v>
      </c>
      <c r="B136" s="7" t="str">
        <f aca="false">IFERROR(INDEX('Source 2026'!$C:$C,MATCH($A136,'Source 2026'!$B:$B,0)),IFERROR(INDEX('Source 2025'!$C:$C,MATCH($A136,'Source 2025'!$B:$B,0)),""))</f>
        <v>תחבושת אלסטית מקררת</v>
      </c>
      <c r="C136" s="8" t="n">
        <f aca="false">SUMIFS('Source 2025'!$I:$I,'Source 2025'!$B:$B,$A136,'Source 2025'!$A:$A,"Quantity (units)")</f>
        <v>425</v>
      </c>
      <c r="D136" s="8" t="n">
        <f aca="false">SUMIFS('Source 2026'!$I:$I,'Source 2026'!$B:$B,$A136,'Source 2026'!$A:$A,"Quantity (units)")</f>
        <v>527</v>
      </c>
      <c r="E136" s="8" t="n">
        <f aca="false">D136-C136</f>
        <v>102</v>
      </c>
      <c r="F136" s="9" t="n">
        <f aca="false">IF(AND(C136=0,D136=0),0,IF(C136=0,"New",(D136-C136)/C136))</f>
        <v>0.24</v>
      </c>
      <c r="G136" s="10" t="n">
        <f aca="false">SUMIFS('Source 2025'!$I:$I,'Source 2025'!$B:$B,$A136,'Source 2025'!$A:$A,"Amount (NIS)")</f>
        <v>7074</v>
      </c>
      <c r="H136" s="10" t="n">
        <f aca="false">SUMIFS('Source 2026'!$I:$I,'Source 2026'!$B:$B,$A136,'Source 2026'!$A:$A,"Amount (NIS)")</f>
        <v>8847.9</v>
      </c>
      <c r="I136" s="10" t="n">
        <f aca="false">H136-G136</f>
        <v>1773.9</v>
      </c>
      <c r="J136" s="9" t="n">
        <f aca="false">IF(AND(G136=0,H136=0),0,IF(G136=0,"New",(H136-G136)/G136))</f>
        <v>0.250763358778626</v>
      </c>
    </row>
    <row r="137" customFormat="false" ht="15" hidden="false" customHeight="false" outlineLevel="0" collapsed="false">
      <c r="A137" s="7" t="s">
        <v>306</v>
      </c>
      <c r="B137" s="7" t="str">
        <f aca="false">IFERROR(INDEX('Source 2026'!$C:$C,MATCH($A137,'Source 2026'!$B:$B,0)),IFERROR(INDEX('Source 2025'!$C:$C,MATCH($A137,'Source 2025'!$B:$B,0)),""))</f>
        <v>טייפ חבישה לספורט</v>
      </c>
      <c r="C137" s="8" t="n">
        <f aca="false">SUMIFS('Source 2025'!$I:$I,'Source 2025'!$B:$B,$A137,'Source 2025'!$A:$A,"Quantity (units)")</f>
        <v>282</v>
      </c>
      <c r="D137" s="8" t="n">
        <f aca="false">SUMIFS('Source 2026'!$I:$I,'Source 2026'!$B:$B,$A137,'Source 2026'!$A:$A,"Quantity (units)")</f>
        <v>168</v>
      </c>
      <c r="E137" s="8" t="n">
        <f aca="false">D137-C137</f>
        <v>-114</v>
      </c>
      <c r="F137" s="9" t="n">
        <f aca="false">IF(AND(C137=0,D137=0),0,IF(C137=0,"New",(D137-C137)/C137))</f>
        <v>-0.404255319148936</v>
      </c>
      <c r="G137" s="10" t="n">
        <f aca="false">SUMIFS('Source 2025'!$I:$I,'Source 2025'!$B:$B,$A137,'Source 2025'!$A:$A,"Amount (NIS)")</f>
        <v>4342.8</v>
      </c>
      <c r="H137" s="10" t="n">
        <f aca="false">SUMIFS('Source 2026'!$I:$I,'Source 2026'!$B:$B,$A137,'Source 2026'!$A:$A,"Amount (NIS)")</f>
        <v>2587.2</v>
      </c>
      <c r="I137" s="10" t="n">
        <f aca="false">H137-G137</f>
        <v>-1755.6</v>
      </c>
      <c r="J137" s="9" t="n">
        <f aca="false">IF(AND(G137=0,H137=0),0,IF(G137=0,"New",(H137-G137)/G137))</f>
        <v>-0.404255319148936</v>
      </c>
    </row>
    <row r="138" customFormat="false" ht="15" hidden="false" customHeight="false" outlineLevel="0" collapsed="false">
      <c r="A138" s="7" t="s">
        <v>276</v>
      </c>
      <c r="B138" s="7" t="str">
        <f aca="false">IFERROR(INDEX('Source 2026'!$C:$C,MATCH($A138,'Source 2026'!$B:$B,0)),IFERROR(INDEX('Source 2025'!$C:$C,MATCH($A138,'Source 2025'!$B:$B,0)),""))</f>
        <v>מגן ברך + צירים</v>
      </c>
      <c r="C138" s="8" t="n">
        <f aca="false">SUMIFS('Source 2025'!$I:$I,'Source 2025'!$B:$B,$A138,'Source 2025'!$A:$A,"Quantity (units)")</f>
        <v>3</v>
      </c>
      <c r="D138" s="8" t="n">
        <f aca="false">SUMIFS('Source 2026'!$I:$I,'Source 2026'!$B:$B,$A138,'Source 2026'!$A:$A,"Quantity (units)")</f>
        <v>22</v>
      </c>
      <c r="E138" s="8" t="n">
        <f aca="false">D138-C138</f>
        <v>19</v>
      </c>
      <c r="F138" s="9" t="n">
        <f aca="false">IF(AND(C138=0,D138=0),0,IF(C138=0,"New",(D138-C138)/C138))</f>
        <v>6.33333333333333</v>
      </c>
      <c r="G138" s="10" t="n">
        <f aca="false">SUMIFS('Source 2025'!$I:$I,'Source 2025'!$B:$B,$A138,'Source 2025'!$A:$A,"Amount (NIS)")</f>
        <v>270.4</v>
      </c>
      <c r="H138" s="10" t="n">
        <f aca="false">SUMIFS('Source 2026'!$I:$I,'Source 2026'!$B:$B,$A138,'Source 2026'!$A:$A,"Amount (NIS)")</f>
        <v>1982.6</v>
      </c>
      <c r="I138" s="10" t="n">
        <f aca="false">H138-G138</f>
        <v>1712.2</v>
      </c>
      <c r="J138" s="9" t="n">
        <f aca="false">IF(AND(G138=0,H138=0),0,IF(G138=0,"New",(H138-G138)/G138))</f>
        <v>6.33210059171598</v>
      </c>
    </row>
    <row r="139" customFormat="false" ht="15" hidden="false" customHeight="false" outlineLevel="0" collapsed="false">
      <c r="A139" s="7" t="s">
        <v>223</v>
      </c>
      <c r="B139" s="7" t="str">
        <f aca="false">IFERROR(INDEX('Source 2026'!$C:$C,MATCH($A139,'Source 2026'!$B:$B,0)),IFERROR(INDEX('Source 2025'!$C:$C,MATCH($A139,'Source 2025'!$B:$B,0)),""))</f>
        <v>L מגן ברך מוצלב+מוט</v>
      </c>
      <c r="C139" s="8" t="n">
        <f aca="false">SUMIFS('Source 2025'!$I:$I,'Source 2025'!$B:$B,$A139,'Source 2025'!$A:$A,"Quantity (units)")</f>
        <v>8</v>
      </c>
      <c r="D139" s="8" t="n">
        <f aca="false">SUMIFS('Source 2026'!$I:$I,'Source 2026'!$B:$B,$A139,'Source 2026'!$A:$A,"Quantity (units)")</f>
        <v>-5</v>
      </c>
      <c r="E139" s="8" t="n">
        <f aca="false">D139-C139</f>
        <v>-13</v>
      </c>
      <c r="F139" s="9" t="n">
        <f aca="false">IF(AND(C139=0,D139=0),0,IF(C139=0,"New",(D139-C139)/C139))</f>
        <v>-1.625</v>
      </c>
      <c r="G139" s="10" t="n">
        <f aca="false">SUMIFS('Source 2025'!$I:$I,'Source 2025'!$B:$B,$A139,'Source 2025'!$A:$A,"Amount (NIS)")</f>
        <v>1014.7</v>
      </c>
      <c r="H139" s="10" t="n">
        <f aca="false">SUMIFS('Source 2026'!$I:$I,'Source 2026'!$B:$B,$A139,'Source 2026'!$A:$A,"Amount (NIS)")</f>
        <v>-670.5</v>
      </c>
      <c r="I139" s="10" t="n">
        <f aca="false">H139-G139</f>
        <v>-1685.2</v>
      </c>
      <c r="J139" s="9" t="n">
        <f aca="false">IF(AND(G139=0,H139=0),0,IF(G139=0,"New",(H139-G139)/G139))</f>
        <v>-1.66078643934168</v>
      </c>
    </row>
    <row r="140" customFormat="false" ht="15" hidden="false" customHeight="false" outlineLevel="0" collapsed="false">
      <c r="A140" s="7" t="s">
        <v>245</v>
      </c>
      <c r="B140" s="7" t="str">
        <f aca="false">IFERROR(INDEX('Source 2026'!$C:$C,MATCH($A140,'Source 2026'!$B:$B,0)),IFERROR(INDEX('Source 2025'!$C:$C,MATCH($A140,'Source 2025'!$B:$B,0)),""))</f>
        <v>XLמפריד אצבע סיליקון ליבלת</v>
      </c>
      <c r="C140" s="8" t="n">
        <f aca="false">SUMIFS('Source 2025'!$I:$I,'Source 2025'!$B:$B,$A140,'Source 2025'!$A:$A,"Quantity (units)")</f>
        <v>344</v>
      </c>
      <c r="D140" s="8" t="n">
        <f aca="false">SUMIFS('Source 2026'!$I:$I,'Source 2026'!$B:$B,$A140,'Source 2026'!$A:$A,"Quantity (units)")</f>
        <v>221</v>
      </c>
      <c r="E140" s="8" t="n">
        <f aca="false">D140-C140</f>
        <v>-123</v>
      </c>
      <c r="F140" s="9" t="n">
        <f aca="false">IF(AND(C140=0,D140=0),0,IF(C140=0,"New",(D140-C140)/C140))</f>
        <v>-0.357558139534884</v>
      </c>
      <c r="G140" s="10" t="n">
        <f aca="false">SUMIFS('Source 2025'!$I:$I,'Source 2025'!$B:$B,$A140,'Source 2025'!$A:$A,"Amount (NIS)")</f>
        <v>4647.4</v>
      </c>
      <c r="H140" s="10" t="n">
        <f aca="false">SUMIFS('Source 2026'!$I:$I,'Source 2026'!$B:$B,$A140,'Source 2026'!$A:$A,"Amount (NIS)")</f>
        <v>3005.5</v>
      </c>
      <c r="I140" s="10" t="n">
        <f aca="false">H140-G140</f>
        <v>-1641.9</v>
      </c>
      <c r="J140" s="9" t="n">
        <f aca="false">IF(AND(G140=0,H140=0),0,IF(G140=0,"New",(H140-G140)/G140))</f>
        <v>-0.353294315100917</v>
      </c>
    </row>
    <row r="141" customFormat="false" ht="15" hidden="false" customHeight="false" outlineLevel="0" collapsed="false">
      <c r="A141" s="7" t="s">
        <v>173</v>
      </c>
      <c r="B141" s="7" t="str">
        <f aca="false">IFERROR(INDEX('Source 2026'!$C:$C,MATCH($A141,'Source 2026'!$B:$B,0)),IFERROR(INDEX('Source 2025'!$C:$C,MATCH($A141,'Source 2025'!$B:$B,0)),""))</f>
        <v>S ח.גב סג. כפולה שחור+אדום</v>
      </c>
      <c r="C141" s="8" t="n">
        <f aca="false">SUMIFS('Source 2025'!$I:$I,'Source 2025'!$B:$B,$A141,'Source 2025'!$A:$A,"Quantity (units)")</f>
        <v>-2</v>
      </c>
      <c r="D141" s="8" t="n">
        <f aca="false">SUMIFS('Source 2026'!$I:$I,'Source 2026'!$B:$B,$A141,'Source 2026'!$A:$A,"Quantity (units)")</f>
        <v>-18</v>
      </c>
      <c r="E141" s="8" t="n">
        <f aca="false">D141-C141</f>
        <v>-16</v>
      </c>
      <c r="F141" s="9" t="n">
        <f aca="false">IF(AND(C141=0,D141=0),0,IF(C141=0,"New",(D141-C141)/C141))</f>
        <v>8</v>
      </c>
      <c r="G141" s="10" t="n">
        <f aca="false">SUMIFS('Source 2025'!$I:$I,'Source 2025'!$B:$B,$A141,'Source 2025'!$A:$A,"Amount (NIS)")</f>
        <v>-38.7</v>
      </c>
      <c r="H141" s="10" t="n">
        <f aca="false">SUMIFS('Source 2026'!$I:$I,'Source 2026'!$B:$B,$A141,'Source 2026'!$A:$A,"Amount (NIS)")</f>
        <v>-1655.7</v>
      </c>
      <c r="I141" s="10" t="n">
        <f aca="false">H141-G141</f>
        <v>-1617</v>
      </c>
      <c r="J141" s="9" t="n">
        <f aca="false">IF(AND(G141=0,H141=0),0,IF(G141=0,"New",(H141-G141)/G141))</f>
        <v>41.7829457364341</v>
      </c>
    </row>
    <row r="142" customFormat="false" ht="15" hidden="false" customHeight="false" outlineLevel="0" collapsed="false">
      <c r="A142" s="7" t="s">
        <v>229</v>
      </c>
      <c r="B142" s="7" t="str">
        <f aca="false">IFERROR(INDEX('Source 2026'!$C:$C,MATCH($A142,'Source 2026'!$B:$B,0)),IFERROR(INDEX('Source 2025'!$C:$C,MATCH($A142,'Source 2025'!$B:$B,0)),""))</f>
        <v>Lעקבים סיליקון כחול לדורבן</v>
      </c>
      <c r="C142" s="8" t="n">
        <f aca="false">SUMIFS('Source 2025'!$I:$I,'Source 2025'!$B:$B,$A142,'Source 2025'!$A:$A,"Quantity (units)")</f>
        <v>207</v>
      </c>
      <c r="D142" s="8" t="n">
        <f aca="false">SUMIFS('Source 2026'!$I:$I,'Source 2026'!$B:$B,$A142,'Source 2026'!$A:$A,"Quantity (units)")</f>
        <v>179</v>
      </c>
      <c r="E142" s="8" t="n">
        <f aca="false">D142-C142</f>
        <v>-28</v>
      </c>
      <c r="F142" s="9" t="n">
        <f aca="false">IF(AND(C142=0,D142=0),0,IF(C142=0,"New",(D142-C142)/C142))</f>
        <v>-0.135265700483092</v>
      </c>
      <c r="G142" s="10" t="n">
        <f aca="false">SUMIFS('Source 2025'!$I:$I,'Source 2025'!$B:$B,$A142,'Source 2025'!$A:$A,"Amount (NIS)")</f>
        <v>11336</v>
      </c>
      <c r="H142" s="10" t="n">
        <f aca="false">SUMIFS('Source 2026'!$I:$I,'Source 2026'!$B:$B,$A142,'Source 2026'!$A:$A,"Amount (NIS)")</f>
        <v>9773.3</v>
      </c>
      <c r="I142" s="10" t="n">
        <f aca="false">H142-G142</f>
        <v>-1562.7</v>
      </c>
      <c r="J142" s="9" t="n">
        <f aca="false">IF(AND(G142=0,H142=0),0,IF(G142=0,"New",(H142-G142)/G142))</f>
        <v>-0.137852858151023</v>
      </c>
    </row>
    <row r="143" customFormat="false" ht="15" hidden="false" customHeight="false" outlineLevel="0" collapsed="false">
      <c r="A143" s="7" t="s">
        <v>154</v>
      </c>
      <c r="B143" s="7" t="str">
        <f aca="false">IFERROR(INDEX('Source 2026'!$C:$C,MATCH($A143,'Source 2026'!$B:$B,0)),IFERROR(INDEX('Source 2025'!$C:$C,MATCH($A143,'Source 2025'!$B:$B,0)),""))</f>
        <v>כפפות אגודל לחץ</v>
      </c>
      <c r="C143" s="8" t="n">
        <f aca="false">SUMIFS('Source 2025'!$I:$I,'Source 2025'!$B:$B,$A143,'Source 2025'!$A:$A,"Quantity (units)")</f>
        <v>244</v>
      </c>
      <c r="D143" s="8" t="n">
        <f aca="false">SUMIFS('Source 2026'!$I:$I,'Source 2026'!$B:$B,$A143,'Source 2026'!$A:$A,"Quantity (units)")</f>
        <v>183</v>
      </c>
      <c r="E143" s="8" t="n">
        <f aca="false">D143-C143</f>
        <v>-61</v>
      </c>
      <c r="F143" s="9" t="n">
        <f aca="false">IF(AND(C143=0,D143=0),0,IF(C143=0,"New",(D143-C143)/C143))</f>
        <v>-0.25</v>
      </c>
      <c r="G143" s="10" t="n">
        <f aca="false">SUMIFS('Source 2025'!$I:$I,'Source 2025'!$B:$B,$A143,'Source 2025'!$A:$A,"Amount (NIS)")</f>
        <v>6942.4</v>
      </c>
      <c r="H143" s="10" t="n">
        <f aca="false">SUMIFS('Source 2026'!$I:$I,'Source 2026'!$B:$B,$A143,'Source 2026'!$A:$A,"Amount (NIS)")</f>
        <v>5400.6</v>
      </c>
      <c r="I143" s="10" t="n">
        <f aca="false">H143-G143</f>
        <v>-1541.8</v>
      </c>
      <c r="J143" s="9" t="n">
        <f aca="false">IF(AND(G143=0,H143=0),0,IF(G143=0,"New",(H143-G143)/G143))</f>
        <v>-0.222084581700853</v>
      </c>
    </row>
    <row r="144" customFormat="false" ht="15" hidden="false" customHeight="false" outlineLevel="0" collapsed="false">
      <c r="A144" s="7" t="s">
        <v>162</v>
      </c>
      <c r="B144" s="7" t="str">
        <f aca="false">IFERROR(INDEX('Source 2026'!$C:$C,MATCH($A144,'Source 2026'!$B:$B,0)),IFERROR(INDEX('Source 2025'!$C:$C,MATCH($A144,'Source 2025'!$B:$B,0)),""))</f>
        <v>מגן קרסול עקב סגור+רצוע</v>
      </c>
      <c r="C144" s="8" t="n">
        <f aca="false">SUMIFS('Source 2025'!$I:$I,'Source 2025'!$B:$B,$A144,'Source 2025'!$A:$A,"Quantity (units)")</f>
        <v>199</v>
      </c>
      <c r="D144" s="8" t="n">
        <f aca="false">SUMIFS('Source 2026'!$I:$I,'Source 2026'!$B:$B,$A144,'Source 2026'!$A:$A,"Quantity (units)")</f>
        <v>169</v>
      </c>
      <c r="E144" s="8" t="n">
        <f aca="false">D144-C144</f>
        <v>-30</v>
      </c>
      <c r="F144" s="9" t="n">
        <f aca="false">IF(AND(C144=0,D144=0),0,IF(C144=0,"New",(D144-C144)/C144))</f>
        <v>-0.150753768844221</v>
      </c>
      <c r="G144" s="10" t="n">
        <f aca="false">SUMIFS('Source 2025'!$I:$I,'Source 2025'!$B:$B,$A144,'Source 2025'!$A:$A,"Amount (NIS)")</f>
        <v>11049.3</v>
      </c>
      <c r="H144" s="10" t="n">
        <f aca="false">SUMIFS('Source 2026'!$I:$I,'Source 2026'!$B:$B,$A144,'Source 2026'!$A:$A,"Amount (NIS)")</f>
        <v>9531.8</v>
      </c>
      <c r="I144" s="10" t="n">
        <f aca="false">H144-G144</f>
        <v>-1517.5</v>
      </c>
      <c r="J144" s="9" t="n">
        <f aca="false">IF(AND(G144=0,H144=0),0,IF(G144=0,"New",(H144-G144)/G144))</f>
        <v>-0.1373390169513</v>
      </c>
    </row>
    <row r="145" customFormat="false" ht="15" hidden="false" customHeight="false" outlineLevel="0" collapsed="false">
      <c r="A145" s="7" t="s">
        <v>175</v>
      </c>
      <c r="B145" s="7" t="str">
        <f aca="false">IFERROR(INDEX('Source 2026'!$C:$C,MATCH($A145,'Source 2026'!$B:$B,0)),IFERROR(INDEX('Source 2025'!$C:$C,MATCH($A145,'Source 2025'!$B:$B,0)),""))</f>
        <v>סד ליישור אצבע</v>
      </c>
      <c r="C145" s="8" t="n">
        <f aca="false">SUMIFS('Source 2025'!$I:$I,'Source 2025'!$B:$B,$A145,'Source 2025'!$A:$A,"Quantity (units)")</f>
        <v>1389</v>
      </c>
      <c r="D145" s="8" t="n">
        <f aca="false">SUMIFS('Source 2026'!$I:$I,'Source 2026'!$B:$B,$A145,'Source 2026'!$A:$A,"Quantity (units)")</f>
        <v>1242</v>
      </c>
      <c r="E145" s="8" t="n">
        <f aca="false">D145-C145</f>
        <v>-147</v>
      </c>
      <c r="F145" s="9" t="n">
        <f aca="false">IF(AND(C145=0,D145=0),0,IF(C145=0,"New",(D145-C145)/C145))</f>
        <v>-0.105831533477322</v>
      </c>
      <c r="G145" s="10" t="n">
        <f aca="false">SUMIFS('Source 2025'!$I:$I,'Source 2025'!$B:$B,$A145,'Source 2025'!$A:$A,"Amount (NIS)")</f>
        <v>20155.3</v>
      </c>
      <c r="H145" s="10" t="n">
        <f aca="false">SUMIFS('Source 2026'!$I:$I,'Source 2026'!$B:$B,$A145,'Source 2026'!$A:$A,"Amount (NIS)")</f>
        <v>18693.6</v>
      </c>
      <c r="I145" s="10" t="n">
        <f aca="false">H145-G145</f>
        <v>-1461.7</v>
      </c>
      <c r="J145" s="9" t="n">
        <f aca="false">IF(AND(G145=0,H145=0),0,IF(G145=0,"New",(H145-G145)/G145))</f>
        <v>-0.0725218676973303</v>
      </c>
    </row>
    <row r="146" customFormat="false" ht="15" hidden="false" customHeight="false" outlineLevel="0" collapsed="false">
      <c r="A146" s="7" t="s">
        <v>157</v>
      </c>
      <c r="B146" s="7" t="str">
        <f aca="false">IFERROR(INDEX('Source 2026'!$C:$C,MATCH($A146,'Source 2026'!$B:$B,0)),IFERROR(INDEX('Source 2025'!$C:$C,MATCH($A146,'Source 2025'!$B:$B,0)),""))</f>
        <v>גרבי ג'ל לריכוך עור העקב</v>
      </c>
      <c r="C146" s="8" t="n">
        <f aca="false">SUMIFS('Source 2025'!$I:$I,'Source 2025'!$B:$B,$A146,'Source 2025'!$A:$A,"Quantity (units)")</f>
        <v>111</v>
      </c>
      <c r="D146" s="8" t="n">
        <f aca="false">SUMIFS('Source 2026'!$I:$I,'Source 2026'!$B:$B,$A146,'Source 2026'!$A:$A,"Quantity (units)")</f>
        <v>62</v>
      </c>
      <c r="E146" s="8" t="n">
        <f aca="false">D146-C146</f>
        <v>-49</v>
      </c>
      <c r="F146" s="9" t="n">
        <f aca="false">IF(AND(C146=0,D146=0),0,IF(C146=0,"New",(D146-C146)/C146))</f>
        <v>-0.441441441441441</v>
      </c>
      <c r="G146" s="10" t="n">
        <f aca="false">SUMIFS('Source 2025'!$I:$I,'Source 2025'!$B:$B,$A146,'Source 2025'!$A:$A,"Amount (NIS)")</f>
        <v>3384.7</v>
      </c>
      <c r="H146" s="10" t="n">
        <f aca="false">SUMIFS('Source 2026'!$I:$I,'Source 2026'!$B:$B,$A146,'Source 2026'!$A:$A,"Amount (NIS)")</f>
        <v>1987</v>
      </c>
      <c r="I146" s="10" t="n">
        <f aca="false">H146-G146</f>
        <v>-1397.7</v>
      </c>
      <c r="J146" s="9" t="n">
        <f aca="false">IF(AND(G146=0,H146=0),0,IF(G146=0,"New",(H146-G146)/G146))</f>
        <v>-0.412946494519455</v>
      </c>
    </row>
    <row r="147" customFormat="false" ht="15" hidden="false" customHeight="false" outlineLevel="0" collapsed="false">
      <c r="A147" s="7" t="s">
        <v>286</v>
      </c>
      <c r="B147" s="7" t="str">
        <f aca="false">IFERROR(INDEX('Source 2026'!$C:$C,MATCH($A147,'Source 2026'!$B:$B,0)),IFERROR(INDEX('Source 2025'!$C:$C,MATCH($A147,'Source 2025'!$B:$B,0)),""))</f>
        <v>רפידת נוחות-זוג</v>
      </c>
      <c r="C147" s="8" t="n">
        <f aca="false">SUMIFS('Source 2025'!$I:$I,'Source 2025'!$B:$B,$A147,'Source 2025'!$A:$A,"Quantity (units)")</f>
        <v>348</v>
      </c>
      <c r="D147" s="8" t="n">
        <f aca="false">SUMIFS('Source 2026'!$I:$I,'Source 2026'!$B:$B,$A147,'Source 2026'!$A:$A,"Quantity (units)")</f>
        <v>214</v>
      </c>
      <c r="E147" s="8" t="n">
        <f aca="false">D147-C147</f>
        <v>-134</v>
      </c>
      <c r="F147" s="9" t="n">
        <f aca="false">IF(AND(C147=0,D147=0),0,IF(C147=0,"New",(D147-C147)/C147))</f>
        <v>-0.385057471264368</v>
      </c>
      <c r="G147" s="10" t="n">
        <f aca="false">SUMIFS('Source 2025'!$I:$I,'Source 2025'!$B:$B,$A147,'Source 2025'!$A:$A,"Amount (NIS)")</f>
        <v>3648.6</v>
      </c>
      <c r="H147" s="10" t="n">
        <f aca="false">SUMIFS('Source 2026'!$I:$I,'Source 2026'!$B:$B,$A147,'Source 2026'!$A:$A,"Amount (NIS)")</f>
        <v>2308.6</v>
      </c>
      <c r="I147" s="10" t="n">
        <f aca="false">H147-G147</f>
        <v>-1340</v>
      </c>
      <c r="J147" s="9" t="n">
        <f aca="false">IF(AND(G147=0,H147=0),0,IF(G147=0,"New",(H147-G147)/G147))</f>
        <v>-0.367264156114674</v>
      </c>
    </row>
    <row r="148" customFormat="false" ht="15" hidden="false" customHeight="false" outlineLevel="0" collapsed="false">
      <c r="A148" s="7" t="s">
        <v>168</v>
      </c>
      <c r="B148" s="7" t="str">
        <f aca="false">IFERROR(INDEX('Source 2026'!$C:$C,MATCH($A148,'Source 2026'!$B:$B,0)),IFERROR(INDEX('Source 2025'!$C:$C,MATCH($A148,'Source 2025'!$B:$B,0)),""))</f>
        <v>גרב כסף לסכרתיים לבן35-38</v>
      </c>
      <c r="C148" s="8" t="n">
        <f aca="false">SUMIFS('Source 2025'!$I:$I,'Source 2025'!$B:$B,$A148,'Source 2025'!$A:$A,"Quantity (units)")</f>
        <v>112</v>
      </c>
      <c r="D148" s="8" t="n">
        <f aca="false">SUMIFS('Source 2026'!$I:$I,'Source 2026'!$B:$B,$A148,'Source 2026'!$A:$A,"Quantity (units)")</f>
        <v>67</v>
      </c>
      <c r="E148" s="8" t="n">
        <f aca="false">D148-C148</f>
        <v>-45</v>
      </c>
      <c r="F148" s="9" t="n">
        <f aca="false">IF(AND(C148=0,D148=0),0,IF(C148=0,"New",(D148-C148)/C148))</f>
        <v>-0.401785714285714</v>
      </c>
      <c r="G148" s="10" t="n">
        <f aca="false">SUMIFS('Source 2025'!$I:$I,'Source 2025'!$B:$B,$A148,'Source 2025'!$A:$A,"Amount (NIS)")</f>
        <v>3309.2</v>
      </c>
      <c r="H148" s="10" t="n">
        <f aca="false">SUMIFS('Source 2026'!$I:$I,'Source 2026'!$B:$B,$A148,'Source 2026'!$A:$A,"Amount (NIS)")</f>
        <v>1984.1</v>
      </c>
      <c r="I148" s="10" t="n">
        <f aca="false">H148-G148</f>
        <v>-1325.1</v>
      </c>
      <c r="J148" s="9" t="n">
        <f aca="false">IF(AND(G148=0,H148=0),0,IF(G148=0,"New",(H148-G148)/G148))</f>
        <v>-0.400429106732745</v>
      </c>
    </row>
    <row r="149" customFormat="false" ht="15" hidden="false" customHeight="false" outlineLevel="0" collapsed="false">
      <c r="A149" s="7" t="s">
        <v>172</v>
      </c>
      <c r="B149" s="7" t="str">
        <f aca="false">IFERROR(INDEX('Source 2026'!$C:$C,MATCH($A149,'Source 2026'!$B:$B,0)),IFERROR(INDEX('Source 2025'!$C:$C,MATCH($A149,'Source 2025'!$B:$B,0)),""))</f>
        <v>Lמ.ברך+כרית סיל.סביב לפיקה</v>
      </c>
      <c r="C149" s="8" t="n">
        <f aca="false">SUMIFS('Source 2025'!$I:$I,'Source 2025'!$B:$B,$A149,'Source 2025'!$A:$A,"Quantity (units)")</f>
        <v>0</v>
      </c>
      <c r="D149" s="8" t="n">
        <f aca="false">SUMIFS('Source 2026'!$I:$I,'Source 2026'!$B:$B,$A149,'Source 2026'!$A:$A,"Quantity (units)")</f>
        <v>-9</v>
      </c>
      <c r="E149" s="8" t="n">
        <f aca="false">D149-C149</f>
        <v>-9</v>
      </c>
      <c r="F149" s="9" t="str">
        <f aca="false">IF(AND(C149=0,D149=0),0,IF(C149=0,"New",(D149-C149)/C149))</f>
        <v>New</v>
      </c>
      <c r="G149" s="10" t="n">
        <f aca="false">SUMIFS('Source 2025'!$I:$I,'Source 2025'!$B:$B,$A149,'Source 2025'!$A:$A,"Amount (NIS)")</f>
        <v>103.2</v>
      </c>
      <c r="H149" s="10" t="n">
        <f aca="false">SUMIFS('Source 2026'!$I:$I,'Source 2026'!$B:$B,$A149,'Source 2026'!$A:$A,"Amount (NIS)")</f>
        <v>-1207.9</v>
      </c>
      <c r="I149" s="10" t="n">
        <f aca="false">H149-G149</f>
        <v>-1311.1</v>
      </c>
      <c r="J149" s="9" t="n">
        <f aca="false">IF(AND(G149=0,H149=0),0,IF(G149=0,"New",(H149-G149)/G149))</f>
        <v>-12.7044573643411</v>
      </c>
    </row>
    <row r="150" customFormat="false" ht="15" hidden="false" customHeight="false" outlineLevel="0" collapsed="false">
      <c r="A150" s="7" t="s">
        <v>150</v>
      </c>
      <c r="B150" s="7" t="str">
        <f aca="false">IFERROR(INDEX('Source 2026'!$C:$C,MATCH($A150,'Source 2026'!$B:$B,0)),IFERROR(INDEX('Source 2025'!$C:$C,MATCH($A150,'Source 2025'!$B:$B,0)),""))</f>
        <v>S מגן קרסול שמאל</v>
      </c>
      <c r="C150" s="8" t="n">
        <f aca="false">SUMIFS('Source 2025'!$I:$I,'Source 2025'!$B:$B,$A150,'Source 2025'!$A:$A,"Quantity (units)")</f>
        <v>68</v>
      </c>
      <c r="D150" s="8" t="n">
        <f aca="false">SUMIFS('Source 2026'!$I:$I,'Source 2026'!$B:$B,$A150,'Source 2026'!$A:$A,"Quantity (units)")</f>
        <v>49</v>
      </c>
      <c r="E150" s="8" t="n">
        <f aca="false">D150-C150</f>
        <v>-19</v>
      </c>
      <c r="F150" s="9" t="n">
        <f aca="false">IF(AND(C150=0,D150=0),0,IF(C150=0,"New",(D150-C150)/C150))</f>
        <v>-0.279411764705882</v>
      </c>
      <c r="G150" s="10" t="n">
        <f aca="false">SUMIFS('Source 2025'!$I:$I,'Source 2025'!$B:$B,$A150,'Source 2025'!$A:$A,"Amount (NIS)")</f>
        <v>4941.6</v>
      </c>
      <c r="H150" s="10" t="n">
        <f aca="false">SUMIFS('Source 2026'!$I:$I,'Source 2026'!$B:$B,$A150,'Source 2026'!$A:$A,"Amount (NIS)")</f>
        <v>3665.5</v>
      </c>
      <c r="I150" s="10" t="n">
        <f aca="false">H150-G150</f>
        <v>-1276.1</v>
      </c>
      <c r="J150" s="9" t="n">
        <f aca="false">IF(AND(G150=0,H150=0),0,IF(G150=0,"New",(H150-G150)/G150))</f>
        <v>-0.258236198802008</v>
      </c>
    </row>
    <row r="151" customFormat="false" ht="15" hidden="false" customHeight="false" outlineLevel="0" collapsed="false">
      <c r="A151" s="7" t="s">
        <v>166</v>
      </c>
      <c r="B151" s="7" t="str">
        <f aca="false">IFERROR(INDEX('Source 2026'!$C:$C,MATCH($A151,'Source 2026'!$B:$B,0)),IFERROR(INDEX('Source 2025'!$C:$C,MATCH($A151,'Source 2025'!$B:$B,0)),""))</f>
        <v>S מגן מרפק</v>
      </c>
      <c r="C151" s="8" t="n">
        <f aca="false">SUMIFS('Source 2025'!$I:$I,'Source 2025'!$B:$B,$A151,'Source 2025'!$A:$A,"Quantity (units)")</f>
        <v>64</v>
      </c>
      <c r="D151" s="8" t="n">
        <f aca="false">SUMIFS('Source 2026'!$I:$I,'Source 2026'!$B:$B,$A151,'Source 2026'!$A:$A,"Quantity (units)")</f>
        <v>45</v>
      </c>
      <c r="E151" s="8" t="n">
        <f aca="false">D151-C151</f>
        <v>-19</v>
      </c>
      <c r="F151" s="9" t="n">
        <f aca="false">IF(AND(C151=0,D151=0),0,IF(C151=0,"New",(D151-C151)/C151))</f>
        <v>-0.296875</v>
      </c>
      <c r="G151" s="10" t="n">
        <f aca="false">SUMIFS('Source 2025'!$I:$I,'Source 2025'!$B:$B,$A151,'Source 2025'!$A:$A,"Amount (NIS)")</f>
        <v>4662.7</v>
      </c>
      <c r="H151" s="10" t="n">
        <f aca="false">SUMIFS('Source 2026'!$I:$I,'Source 2026'!$B:$B,$A151,'Source 2026'!$A:$A,"Amount (NIS)")</f>
        <v>3398.1</v>
      </c>
      <c r="I151" s="10" t="n">
        <f aca="false">H151-G151</f>
        <v>-1264.6</v>
      </c>
      <c r="J151" s="9" t="n">
        <f aca="false">IF(AND(G151=0,H151=0),0,IF(G151=0,"New",(H151-G151)/G151))</f>
        <v>-0.271216248096596</v>
      </c>
    </row>
    <row r="152" customFormat="false" ht="15" hidden="false" customHeight="false" outlineLevel="0" collapsed="false">
      <c r="A152" s="7" t="s">
        <v>161</v>
      </c>
      <c r="B152" s="7" t="str">
        <f aca="false">IFERROR(INDEX('Source 2026'!$C:$C,MATCH($A152,'Source 2026'!$B:$B,0)),IFERROR(INDEX('Source 2025'!$C:$C,MATCH($A152,'Source 2025'!$B:$B,0)),""))</f>
        <v>11 אפורUGחגורת בטן</v>
      </c>
      <c r="C152" s="8" t="n">
        <f aca="false">SUMIFS('Source 2025'!$I:$I,'Source 2025'!$B:$B,$A152,'Source 2025'!$A:$A,"Quantity (units)")</f>
        <v>15</v>
      </c>
      <c r="D152" s="8" t="n">
        <f aca="false">SUMIFS('Source 2026'!$I:$I,'Source 2026'!$B:$B,$A152,'Source 2026'!$A:$A,"Quantity (units)")</f>
        <v>0</v>
      </c>
      <c r="E152" s="8" t="n">
        <f aca="false">D152-C152</f>
        <v>-15</v>
      </c>
      <c r="F152" s="9" t="n">
        <f aca="false">IF(AND(C152=0,D152=0),0,IF(C152=0,"New",(D152-C152)/C152))</f>
        <v>-1</v>
      </c>
      <c r="G152" s="10" t="n">
        <f aca="false">SUMIFS('Source 2025'!$I:$I,'Source 2025'!$B:$B,$A152,'Source 2025'!$A:$A,"Amount (NIS)")</f>
        <v>1210.5</v>
      </c>
      <c r="H152" s="10" t="n">
        <f aca="false">SUMIFS('Source 2026'!$I:$I,'Source 2026'!$B:$B,$A152,'Source 2026'!$A:$A,"Amount (NIS)")</f>
        <v>25.9</v>
      </c>
      <c r="I152" s="10" t="n">
        <f aca="false">H152-G152</f>
        <v>-1184.6</v>
      </c>
      <c r="J152" s="9" t="n">
        <f aca="false">IF(AND(G152=0,H152=0),0,IF(G152=0,"New",(H152-G152)/G152))</f>
        <v>-0.978603882693102</v>
      </c>
    </row>
    <row r="153" customFormat="false" ht="15" hidden="false" customHeight="false" outlineLevel="0" collapsed="false">
      <c r="A153" s="7" t="s">
        <v>277</v>
      </c>
      <c r="B153" s="7" t="str">
        <f aca="false">IFERROR(INDEX('Source 2026'!$C:$C,MATCH($A153,'Source 2026'!$B:$B,0)),IFERROR(INDEX('Source 2025'!$C:$C,MATCH($A153,'Source 2025'!$B:$B,0)),""))</f>
        <v>רפידת אנטי ריח -זוג</v>
      </c>
      <c r="C153" s="8" t="n">
        <f aca="false">SUMIFS('Source 2025'!$I:$I,'Source 2025'!$B:$B,$A153,'Source 2025'!$A:$A,"Quantity (units)")</f>
        <v>246</v>
      </c>
      <c r="D153" s="8" t="n">
        <f aca="false">SUMIFS('Source 2026'!$I:$I,'Source 2026'!$B:$B,$A153,'Source 2026'!$A:$A,"Quantity (units)")</f>
        <v>157</v>
      </c>
      <c r="E153" s="8" t="n">
        <f aca="false">D153-C153</f>
        <v>-89</v>
      </c>
      <c r="F153" s="9" t="n">
        <f aca="false">IF(AND(C153=0,D153=0),0,IF(C153=0,"New",(D153-C153)/C153))</f>
        <v>-0.361788617886179</v>
      </c>
      <c r="G153" s="10" t="n">
        <f aca="false">SUMIFS('Source 2025'!$I:$I,'Source 2025'!$B:$B,$A153,'Source 2025'!$A:$A,"Amount (NIS)")</f>
        <v>3292.9</v>
      </c>
      <c r="H153" s="10" t="n">
        <f aca="false">SUMIFS('Source 2026'!$I:$I,'Source 2026'!$B:$B,$A153,'Source 2026'!$A:$A,"Amount (NIS)")</f>
        <v>2127.7</v>
      </c>
      <c r="I153" s="10" t="n">
        <f aca="false">H153-G153</f>
        <v>-1165.2</v>
      </c>
      <c r="J153" s="9" t="n">
        <f aca="false">IF(AND(G153=0,H153=0),0,IF(G153=0,"New",(H153-G153)/G153))</f>
        <v>-0.353852227519815</v>
      </c>
    </row>
    <row r="154" customFormat="false" ht="15" hidden="false" customHeight="false" outlineLevel="0" collapsed="false">
      <c r="A154" s="7" t="s">
        <v>163</v>
      </c>
      <c r="B154" s="7" t="str">
        <f aca="false">IFERROR(INDEX('Source 2026'!$C:$C,MATCH($A154,'Source 2026'!$B:$B,0)),IFERROR(INDEX('Source 2025'!$C:$C,MATCH($A154,'Source 2025'!$B:$B,0)),""))</f>
        <v>כפפות לחץ</v>
      </c>
      <c r="C154" s="8" t="n">
        <f aca="false">SUMIFS('Source 2025'!$I:$I,'Source 2025'!$B:$B,$A154,'Source 2025'!$A:$A,"Quantity (units)")</f>
        <v>76</v>
      </c>
      <c r="D154" s="8" t="n">
        <f aca="false">SUMIFS('Source 2026'!$I:$I,'Source 2026'!$B:$B,$A154,'Source 2026'!$A:$A,"Quantity (units)")</f>
        <v>34</v>
      </c>
      <c r="E154" s="8" t="n">
        <f aca="false">D154-C154</f>
        <v>-42</v>
      </c>
      <c r="F154" s="9" t="n">
        <f aca="false">IF(AND(C154=0,D154=0),0,IF(C154=0,"New",(D154-C154)/C154))</f>
        <v>-0.552631578947369</v>
      </c>
      <c r="G154" s="10" t="n">
        <f aca="false">SUMIFS('Source 2025'!$I:$I,'Source 2025'!$B:$B,$A154,'Source 2025'!$A:$A,"Amount (NIS)")</f>
        <v>2156.6</v>
      </c>
      <c r="H154" s="10" t="n">
        <f aca="false">SUMIFS('Source 2026'!$I:$I,'Source 2026'!$B:$B,$A154,'Source 2026'!$A:$A,"Amount (NIS)")</f>
        <v>993.8</v>
      </c>
      <c r="I154" s="10" t="n">
        <f aca="false">H154-G154</f>
        <v>-1162.8</v>
      </c>
      <c r="J154" s="9" t="n">
        <f aca="false">IF(AND(G154=0,H154=0),0,IF(G154=0,"New",(H154-G154)/G154))</f>
        <v>-0.539182045812854</v>
      </c>
    </row>
    <row r="155" customFormat="false" ht="15" hidden="false" customHeight="false" outlineLevel="0" collapsed="false">
      <c r="A155" s="7" t="s">
        <v>184</v>
      </c>
      <c r="B155" s="7" t="str">
        <f aca="false">IFERROR(INDEX('Source 2026'!$C:$C,MATCH($A155,'Source 2026'!$B:$B,0)),IFERROR(INDEX('Source 2025'!$C:$C,MATCH($A155,'Source 2025'!$B:$B,0)),""))</f>
        <v>37-38 מדרסי סיליק.לח.סכרת</v>
      </c>
      <c r="C155" s="8" t="n">
        <f aca="false">SUMIFS('Source 2025'!$I:$I,'Source 2025'!$B:$B,$A155,'Source 2025'!$A:$A,"Quantity (units)")</f>
        <v>11</v>
      </c>
      <c r="D155" s="8" t="n">
        <f aca="false">SUMIFS('Source 2026'!$I:$I,'Source 2026'!$B:$B,$A155,'Source 2026'!$A:$A,"Quantity (units)")</f>
        <v>1</v>
      </c>
      <c r="E155" s="8" t="n">
        <f aca="false">D155-C155</f>
        <v>-10</v>
      </c>
      <c r="F155" s="9" t="n">
        <f aca="false">IF(AND(C155=0,D155=0),0,IF(C155=0,"New",(D155-C155)/C155))</f>
        <v>-0.909090909090909</v>
      </c>
      <c r="G155" s="10" t="n">
        <f aca="false">SUMIFS('Source 2025'!$I:$I,'Source 2025'!$B:$B,$A155,'Source 2025'!$A:$A,"Amount (NIS)")</f>
        <v>1262.7</v>
      </c>
      <c r="H155" s="10" t="n">
        <f aca="false">SUMIFS('Source 2026'!$I:$I,'Source 2026'!$B:$B,$A155,'Source 2026'!$A:$A,"Amount (NIS)")</f>
        <v>110.5</v>
      </c>
      <c r="I155" s="10" t="n">
        <f aca="false">H155-G155</f>
        <v>-1152.2</v>
      </c>
      <c r="J155" s="9" t="n">
        <f aca="false">IF(AND(G155=0,H155=0),0,IF(G155=0,"New",(H155-G155)/G155))</f>
        <v>-0.912489110635939</v>
      </c>
    </row>
    <row r="156" customFormat="false" ht="15" hidden="false" customHeight="false" outlineLevel="0" collapsed="false">
      <c r="A156" s="7" t="s">
        <v>176</v>
      </c>
      <c r="B156" s="7" t="str">
        <f aca="false">IFERROR(INDEX('Source 2026'!$C:$C,MATCH($A156,'Source 2026'!$B:$B,0)),IFERROR(INDEX('Source 2025'!$C:$C,MATCH($A156,'Source 2025'!$B:$B,0)),""))</f>
        <v>סד לאגודל</v>
      </c>
      <c r="C156" s="8" t="n">
        <f aca="false">SUMIFS('Source 2025'!$I:$I,'Source 2025'!$B:$B,$A156,'Source 2025'!$A:$A,"Quantity (units)")</f>
        <v>256</v>
      </c>
      <c r="D156" s="8" t="n">
        <f aca="false">SUMIFS('Source 2026'!$I:$I,'Source 2026'!$B:$B,$A156,'Source 2026'!$A:$A,"Quantity (units)")</f>
        <v>190</v>
      </c>
      <c r="E156" s="8" t="n">
        <f aca="false">D156-C156</f>
        <v>-66</v>
      </c>
      <c r="F156" s="9" t="n">
        <f aca="false">IF(AND(C156=0,D156=0),0,IF(C156=0,"New",(D156-C156)/C156))</f>
        <v>-0.2578125</v>
      </c>
      <c r="G156" s="10" t="n">
        <f aca="false">SUMIFS('Source 2025'!$I:$I,'Source 2025'!$B:$B,$A156,'Source 2025'!$A:$A,"Amount (NIS)")</f>
        <v>5941.9</v>
      </c>
      <c r="H156" s="10" t="n">
        <f aca="false">SUMIFS('Source 2026'!$I:$I,'Source 2026'!$B:$B,$A156,'Source 2026'!$A:$A,"Amount (NIS)")</f>
        <v>4799.3</v>
      </c>
      <c r="I156" s="10" t="n">
        <f aca="false">H156-G156</f>
        <v>-1142.6</v>
      </c>
      <c r="J156" s="9" t="n">
        <f aca="false">IF(AND(G156=0,H156=0),0,IF(G156=0,"New",(H156-G156)/G156))</f>
        <v>-0.192295393729278</v>
      </c>
    </row>
    <row r="157" customFormat="false" ht="15" hidden="false" customHeight="false" outlineLevel="0" collapsed="false">
      <c r="A157" s="7" t="s">
        <v>202</v>
      </c>
      <c r="B157" s="7" t="str">
        <f aca="false">IFERROR(INDEX('Source 2026'!$C:$C,MATCH($A157,'Source 2026'!$B:$B,0)),IFERROR(INDEX('Source 2025'!$C:$C,MATCH($A157,'Source 2025'!$B:$B,0)),""))</f>
        <v>S ח.הריון מכנס למניעת כאבים</v>
      </c>
      <c r="C157" s="8" t="n">
        <f aca="false">SUMIFS('Source 2025'!$I:$I,'Source 2025'!$B:$B,$A157,'Source 2025'!$A:$A,"Quantity (units)")</f>
        <v>2</v>
      </c>
      <c r="D157" s="8" t="n">
        <f aca="false">SUMIFS('Source 2026'!$I:$I,'Source 2026'!$B:$B,$A157,'Source 2026'!$A:$A,"Quantity (units)")</f>
        <v>-2</v>
      </c>
      <c r="E157" s="8" t="n">
        <f aca="false">D157-C157</f>
        <v>-4</v>
      </c>
      <c r="F157" s="9" t="n">
        <f aca="false">IF(AND(C157=0,D157=0),0,IF(C157=0,"New",(D157-C157)/C157))</f>
        <v>-2</v>
      </c>
      <c r="G157" s="10" t="n">
        <f aca="false">SUMIFS('Source 2025'!$I:$I,'Source 2025'!$B:$B,$A157,'Source 2025'!$A:$A,"Amount (NIS)")</f>
        <v>573.5</v>
      </c>
      <c r="H157" s="10" t="n">
        <f aca="false">SUMIFS('Source 2026'!$I:$I,'Source 2026'!$B:$B,$A157,'Source 2026'!$A:$A,"Amount (NIS)")</f>
        <v>-553</v>
      </c>
      <c r="I157" s="10" t="n">
        <f aca="false">H157-G157</f>
        <v>-1126.5</v>
      </c>
      <c r="J157" s="9" t="n">
        <f aca="false">IF(AND(G157=0,H157=0),0,IF(G157=0,"New",(H157-G157)/G157))</f>
        <v>-1.9642545771578</v>
      </c>
    </row>
    <row r="158" customFormat="false" ht="15" hidden="false" customHeight="false" outlineLevel="0" collapsed="false">
      <c r="A158" s="7" t="s">
        <v>186</v>
      </c>
      <c r="B158" s="7" t="str">
        <f aca="false">IFERROR(INDEX('Source 2026'!$C:$C,MATCH($A158,'Source 2026'!$B:$B,0)),IFERROR(INDEX('Source 2025'!$C:$C,MATCH($A158,'Source 2025'!$B:$B,0)),""))</f>
        <v>S חבק יד</v>
      </c>
      <c r="C158" s="8" t="n">
        <f aca="false">SUMIFS('Source 2025'!$I:$I,'Source 2025'!$B:$B,$A158,'Source 2025'!$A:$A,"Quantity (units)")</f>
        <v>39</v>
      </c>
      <c r="D158" s="8" t="n">
        <f aca="false">SUMIFS('Source 2026'!$I:$I,'Source 2026'!$B:$B,$A158,'Source 2026'!$A:$A,"Quantity (units)")</f>
        <v>50</v>
      </c>
      <c r="E158" s="8" t="n">
        <f aca="false">D158-C158</f>
        <v>11</v>
      </c>
      <c r="F158" s="9" t="n">
        <f aca="false">IF(AND(C158=0,D158=0),0,IF(C158=0,"New",(D158-C158)/C158))</f>
        <v>0.282051282051282</v>
      </c>
      <c r="G158" s="10" t="n">
        <f aca="false">SUMIFS('Source 2025'!$I:$I,'Source 2025'!$B:$B,$A158,'Source 2025'!$A:$A,"Amount (NIS)")</f>
        <v>2718.6</v>
      </c>
      <c r="H158" s="10" t="n">
        <f aca="false">SUMIFS('Source 2026'!$I:$I,'Source 2026'!$B:$B,$A158,'Source 2026'!$A:$A,"Amount (NIS)")</f>
        <v>3724.2</v>
      </c>
      <c r="I158" s="10" t="n">
        <f aca="false">H158-G158</f>
        <v>1005.6</v>
      </c>
      <c r="J158" s="9" t="n">
        <f aca="false">IF(AND(G158=0,H158=0),0,IF(G158=0,"New",(H158-G158)/G158))</f>
        <v>0.369896270139042</v>
      </c>
    </row>
    <row r="159" customFormat="false" ht="15" hidden="false" customHeight="false" outlineLevel="0" collapsed="false">
      <c r="A159" s="7" t="s">
        <v>287</v>
      </c>
      <c r="B159" s="7" t="str">
        <f aca="false">IFERROR(INDEX('Source 2026'!$C:$C,MATCH($A159,'Source 2026'!$B:$B,0)),IFERROR(INDEX('Source 2025'!$C:$C,MATCH($A159,'Source 2025'!$B:$B,0)),""))</f>
        <v>רפידת בולמת זעזועים -זוג</v>
      </c>
      <c r="C159" s="8" t="n">
        <f aca="false">SUMIFS('Source 2025'!$I:$I,'Source 2025'!$B:$B,$A159,'Source 2025'!$A:$A,"Quantity (units)")</f>
        <v>186</v>
      </c>
      <c r="D159" s="8" t="n">
        <f aca="false">SUMIFS('Source 2026'!$I:$I,'Source 2026'!$B:$B,$A159,'Source 2026'!$A:$A,"Quantity (units)")</f>
        <v>105</v>
      </c>
      <c r="E159" s="8" t="n">
        <f aca="false">D159-C159</f>
        <v>-81</v>
      </c>
      <c r="F159" s="9" t="n">
        <f aca="false">IF(AND(C159=0,D159=0),0,IF(C159=0,"New",(D159-C159)/C159))</f>
        <v>-0.435483870967742</v>
      </c>
      <c r="G159" s="10" t="n">
        <f aca="false">SUMIFS('Source 2025'!$I:$I,'Source 2025'!$B:$B,$A159,'Source 2025'!$A:$A,"Amount (NIS)")</f>
        <v>2396.7</v>
      </c>
      <c r="H159" s="10" t="n">
        <f aca="false">SUMIFS('Source 2026'!$I:$I,'Source 2026'!$B:$B,$A159,'Source 2026'!$A:$A,"Amount (NIS)")</f>
        <v>1409.1</v>
      </c>
      <c r="I159" s="10" t="n">
        <f aca="false">H159-G159</f>
        <v>-987.6</v>
      </c>
      <c r="J159" s="9" t="n">
        <f aca="false">IF(AND(G159=0,H159=0),0,IF(G159=0,"New",(H159-G159)/G159))</f>
        <v>-0.4120665915634</v>
      </c>
    </row>
    <row r="160" customFormat="false" ht="15" hidden="false" customHeight="false" outlineLevel="0" collapsed="false">
      <c r="A160" s="7" t="s">
        <v>170</v>
      </c>
      <c r="B160" s="7" t="str">
        <f aca="false">IFERROR(INDEX('Source 2026'!$C:$C,MATCH($A160,'Source 2026'!$B:$B,0)),IFERROR(INDEX('Source 2025'!$C:$C,MATCH($A160,'Source 2025'!$B:$B,0)),""))</f>
        <v>0 רפידת לילדים אנטי ריח</v>
      </c>
      <c r="C160" s="8" t="n">
        <f aca="false">SUMIFS('Source 2025'!$I:$I,'Source 2025'!$B:$B,$A160,'Source 2025'!$A:$A,"Quantity (units)")</f>
        <v>146</v>
      </c>
      <c r="D160" s="8" t="n">
        <f aca="false">SUMIFS('Source 2026'!$I:$I,'Source 2026'!$B:$B,$A160,'Source 2026'!$A:$A,"Quantity (units)")</f>
        <v>56</v>
      </c>
      <c r="E160" s="8" t="n">
        <f aca="false">D160-C160</f>
        <v>-90</v>
      </c>
      <c r="F160" s="9" t="n">
        <f aca="false">IF(AND(C160=0,D160=0),0,IF(C160=0,"New",(D160-C160)/C160))</f>
        <v>-0.616438356164384</v>
      </c>
      <c r="G160" s="10" t="n">
        <f aca="false">SUMIFS('Source 2025'!$I:$I,'Source 2025'!$B:$B,$A160,'Source 2025'!$A:$A,"Amount (NIS)")</f>
        <v>1504.7</v>
      </c>
      <c r="H160" s="10" t="n">
        <f aca="false">SUMIFS('Source 2026'!$I:$I,'Source 2026'!$B:$B,$A160,'Source 2026'!$A:$A,"Amount (NIS)")</f>
        <v>574.5</v>
      </c>
      <c r="I160" s="10" t="n">
        <f aca="false">H160-G160</f>
        <v>-930.2</v>
      </c>
      <c r="J160" s="9" t="n">
        <f aca="false">IF(AND(G160=0,H160=0),0,IF(G160=0,"New",(H160-G160)/G160))</f>
        <v>-0.618196318202964</v>
      </c>
    </row>
    <row r="161" customFormat="false" ht="15" hidden="false" customHeight="false" outlineLevel="0" collapsed="false">
      <c r="A161" s="7" t="s">
        <v>156</v>
      </c>
      <c r="B161" s="7" t="str">
        <f aca="false">IFERROR(INDEX('Source 2026'!$C:$C,MATCH($A161,'Source 2026'!$B:$B,0)),IFERROR(INDEX('Source 2025'!$C:$C,MATCH($A161,'Source 2025'!$B:$B,0)),""))</f>
        <v>כרית ליישור אצבע פטיש</v>
      </c>
      <c r="C161" s="8" t="n">
        <f aca="false">SUMIFS('Source 2025'!$I:$I,'Source 2025'!$B:$B,$A161,'Source 2025'!$A:$A,"Quantity (units)")</f>
        <v>301</v>
      </c>
      <c r="D161" s="8" t="n">
        <f aca="false">SUMIFS('Source 2026'!$I:$I,'Source 2026'!$B:$B,$A161,'Source 2026'!$A:$A,"Quantity (units)")</f>
        <v>261</v>
      </c>
      <c r="E161" s="8" t="n">
        <f aca="false">D161-C161</f>
        <v>-40</v>
      </c>
      <c r="F161" s="9" t="n">
        <f aca="false">IF(AND(C161=0,D161=0),0,IF(C161=0,"New",(D161-C161)/C161))</f>
        <v>-0.132890365448505</v>
      </c>
      <c r="G161" s="10" t="n">
        <f aca="false">SUMIFS('Source 2025'!$I:$I,'Source 2025'!$B:$B,$A161,'Source 2025'!$A:$A,"Amount (NIS)")</f>
        <v>7428.9</v>
      </c>
      <c r="H161" s="10" t="n">
        <f aca="false">SUMIFS('Source 2026'!$I:$I,'Source 2026'!$B:$B,$A161,'Source 2026'!$A:$A,"Amount (NIS)")</f>
        <v>6510.6</v>
      </c>
      <c r="I161" s="10" t="n">
        <f aca="false">H161-G161</f>
        <v>-918.299999999999</v>
      </c>
      <c r="J161" s="9" t="n">
        <f aca="false">IF(AND(G161=0,H161=0),0,IF(G161=0,"New",(H161-G161)/G161))</f>
        <v>-0.123611840245528</v>
      </c>
    </row>
    <row r="162" customFormat="false" ht="15" hidden="false" customHeight="false" outlineLevel="0" collapsed="false">
      <c r="A162" s="7" t="s">
        <v>303</v>
      </c>
      <c r="B162" s="7" t="str">
        <f aca="false">IFERROR(INDEX('Source 2026'!$C:$C,MATCH($A162,'Source 2026'!$B:$B,0)),IFERROR(INDEX('Source 2025'!$C:$C,MATCH($A162,'Source 2025'!$B:$B,0)),""))</f>
        <v>S חגורת שבר דו צדדי</v>
      </c>
      <c r="C162" s="8" t="n">
        <f aca="false">SUMIFS('Source 2025'!$I:$I,'Source 2025'!$B:$B,$A162,'Source 2025'!$A:$A,"Quantity (units)")</f>
        <v>6</v>
      </c>
      <c r="D162" s="8" t="n">
        <f aca="false">SUMIFS('Source 2026'!$I:$I,'Source 2026'!$B:$B,$A162,'Source 2026'!$A:$A,"Quantity (units)")</f>
        <v>9</v>
      </c>
      <c r="E162" s="8" t="n">
        <f aca="false">D162-C162</f>
        <v>3</v>
      </c>
      <c r="F162" s="9" t="n">
        <f aca="false">IF(AND(C162=0,D162=0),0,IF(C162=0,"New",(D162-C162)/C162))</f>
        <v>0.5</v>
      </c>
      <c r="G162" s="10" t="n">
        <f aca="false">SUMIFS('Source 2025'!$I:$I,'Source 2025'!$B:$B,$A162,'Source 2025'!$A:$A,"Amount (NIS)")</f>
        <v>1810.2</v>
      </c>
      <c r="H162" s="10" t="n">
        <f aca="false">SUMIFS('Source 2026'!$I:$I,'Source 2026'!$B:$B,$A162,'Source 2026'!$A:$A,"Amount (NIS)")</f>
        <v>2715.4</v>
      </c>
      <c r="I162" s="10" t="n">
        <f aca="false">H162-G162</f>
        <v>905.2</v>
      </c>
      <c r="J162" s="9" t="n">
        <f aca="false">IF(AND(G162=0,H162=0),0,IF(G162=0,"New",(H162-G162)/G162))</f>
        <v>0.50005524251464</v>
      </c>
    </row>
    <row r="163" customFormat="false" ht="15" hidden="false" customHeight="false" outlineLevel="0" collapsed="false">
      <c r="A163" s="7" t="s">
        <v>199</v>
      </c>
      <c r="B163" s="7" t="str">
        <f aca="false">IFERROR(INDEX('Source 2026'!$C:$C,MATCH($A163,'Source 2026'!$B:$B,0)),IFERROR(INDEX('Source 2025'!$C:$C,MATCH($A163,'Source 2025'!$B:$B,0)),""))</f>
        <v>רפ.אורטופדית ספורט זוג35</v>
      </c>
      <c r="C163" s="8" t="n">
        <f aca="false">SUMIFS('Source 2025'!$I:$I,'Source 2025'!$B:$B,$A163,'Source 2025'!$A:$A,"Quantity (units)")</f>
        <v>19</v>
      </c>
      <c r="D163" s="8" t="n">
        <f aca="false">SUMIFS('Source 2026'!$I:$I,'Source 2026'!$B:$B,$A163,'Source 2026'!$A:$A,"Quantity (units)")</f>
        <v>-6</v>
      </c>
      <c r="E163" s="8" t="n">
        <f aca="false">D163-C163</f>
        <v>-25</v>
      </c>
      <c r="F163" s="9" t="n">
        <f aca="false">IF(AND(C163=0,D163=0),0,IF(C163=0,"New",(D163-C163)/C163))</f>
        <v>-1.31578947368421</v>
      </c>
      <c r="G163" s="10" t="n">
        <f aca="false">SUMIFS('Source 2025'!$I:$I,'Source 2025'!$B:$B,$A163,'Source 2025'!$A:$A,"Amount (NIS)")</f>
        <v>642</v>
      </c>
      <c r="H163" s="10" t="n">
        <f aca="false">SUMIFS('Source 2026'!$I:$I,'Source 2026'!$B:$B,$A163,'Source 2026'!$A:$A,"Amount (NIS)")</f>
        <v>-215.2</v>
      </c>
      <c r="I163" s="10" t="n">
        <f aca="false">H163-G163</f>
        <v>-857.2</v>
      </c>
      <c r="J163" s="9" t="n">
        <f aca="false">IF(AND(G163=0,H163=0),0,IF(G163=0,"New",(H163-G163)/G163))</f>
        <v>-1.33520249221184</v>
      </c>
    </row>
    <row r="164" customFormat="false" ht="15" hidden="false" customHeight="false" outlineLevel="0" collapsed="false">
      <c r="A164" s="7" t="s">
        <v>179</v>
      </c>
      <c r="B164" s="7" t="str">
        <f aca="false">IFERROR(INDEX('Source 2026'!$C:$C,MATCH($A164,'Source 2026'!$B:$B,0)),IFERROR(INDEX('Source 2025'!$C:$C,MATCH($A164,'Source 2025'!$B:$B,0)),""))</f>
        <v>חגורת גב +סגירה כפולה</v>
      </c>
      <c r="C164" s="8" t="n">
        <f aca="false">SUMIFS('Source 2025'!$I:$I,'Source 2025'!$B:$B,$A164,'Source 2025'!$A:$A,"Quantity (units)")</f>
        <v>12</v>
      </c>
      <c r="D164" s="8" t="n">
        <f aca="false">SUMIFS('Source 2026'!$I:$I,'Source 2026'!$B:$B,$A164,'Source 2026'!$A:$A,"Quantity (units)")</f>
        <v>3</v>
      </c>
      <c r="E164" s="8" t="n">
        <f aca="false">D164-C164</f>
        <v>-9</v>
      </c>
      <c r="F164" s="9" t="n">
        <f aca="false">IF(AND(C164=0,D164=0),0,IF(C164=0,"New",(D164-C164)/C164))</f>
        <v>-0.75</v>
      </c>
      <c r="G164" s="10" t="n">
        <f aca="false">SUMIFS('Source 2025'!$I:$I,'Source 2025'!$B:$B,$A164,'Source 2025'!$A:$A,"Amount (NIS)")</f>
        <v>1152.7</v>
      </c>
      <c r="H164" s="10" t="n">
        <f aca="false">SUMIFS('Source 2026'!$I:$I,'Source 2026'!$B:$B,$A164,'Source 2026'!$A:$A,"Amount (NIS)")</f>
        <v>314.7</v>
      </c>
      <c r="I164" s="10" t="n">
        <f aca="false">H164-G164</f>
        <v>-838</v>
      </c>
      <c r="J164" s="9" t="n">
        <f aca="false">IF(AND(G164=0,H164=0),0,IF(G164=0,"New",(H164-G164)/G164))</f>
        <v>-0.726988808883491</v>
      </c>
    </row>
    <row r="165" customFormat="false" ht="15" hidden="false" customHeight="false" outlineLevel="0" collapsed="false">
      <c r="A165" s="7" t="s">
        <v>171</v>
      </c>
      <c r="B165" s="7" t="str">
        <f aca="false">IFERROR(INDEX('Source 2026'!$C:$C,MATCH($A165,'Source 2026'!$B:$B,0)),IFERROR(INDEX('Source 2025'!$C:$C,MATCH($A165,'Source 2025'!$B:$B,0)),""))</f>
        <v>סד לילה לבוהן</v>
      </c>
      <c r="C165" s="8" t="n">
        <f aca="false">SUMIFS('Source 2025'!$I:$I,'Source 2025'!$B:$B,$A165,'Source 2025'!$A:$A,"Quantity (units)")</f>
        <v>-16</v>
      </c>
      <c r="D165" s="8" t="n">
        <f aca="false">SUMIFS('Source 2026'!$I:$I,'Source 2026'!$B:$B,$A165,'Source 2026'!$A:$A,"Quantity (units)")</f>
        <v>-3</v>
      </c>
      <c r="E165" s="8" t="n">
        <f aca="false">D165-C165</f>
        <v>13</v>
      </c>
      <c r="F165" s="9" t="n">
        <f aca="false">IF(AND(C165=0,D165=0),0,IF(C165=0,"New",(D165-C165)/C165))</f>
        <v>-0.8125</v>
      </c>
      <c r="G165" s="10" t="n">
        <f aca="false">SUMIFS('Source 2025'!$I:$I,'Source 2025'!$B:$B,$A165,'Source 2025'!$A:$A,"Amount (NIS)")</f>
        <v>-1026.6</v>
      </c>
      <c r="H165" s="10" t="n">
        <f aca="false">SUMIFS('Source 2026'!$I:$I,'Source 2026'!$B:$B,$A165,'Source 2026'!$A:$A,"Amount (NIS)")</f>
        <v>-192.5</v>
      </c>
      <c r="I165" s="10" t="n">
        <f aca="false">H165-G165</f>
        <v>834.1</v>
      </c>
      <c r="J165" s="9" t="n">
        <f aca="false">IF(AND(G165=0,H165=0),0,IF(G165=0,"New",(H165-G165)/G165))</f>
        <v>-0.812487823884668</v>
      </c>
    </row>
    <row r="166" customFormat="false" ht="15" hidden="false" customHeight="false" outlineLevel="0" collapsed="false">
      <c r="A166" s="7" t="s">
        <v>300</v>
      </c>
      <c r="B166" s="7" t="str">
        <f aca="false">IFERROR(INDEX('Source 2026'!$C:$C,MATCH($A166,'Source 2026'!$B:$B,0)),IFERROR(INDEX('Source 2025'!$C:$C,MATCH($A166,'Source 2025'!$B:$B,0)),""))</f>
        <v>סיליק.לכרית כף הרגל373</v>
      </c>
      <c r="C166" s="8" t="n">
        <f aca="false">SUMIFS('Source 2025'!$I:$I,'Source 2025'!$B:$B,$A166,'Source 2025'!$A:$A,"Quantity (units)")</f>
        <v>59</v>
      </c>
      <c r="D166" s="8" t="n">
        <f aca="false">SUMIFS('Source 2026'!$I:$I,'Source 2026'!$B:$B,$A166,'Source 2026'!$A:$A,"Quantity (units)")</f>
        <v>18</v>
      </c>
      <c r="E166" s="8" t="n">
        <f aca="false">D166-C166</f>
        <v>-41</v>
      </c>
      <c r="F166" s="9" t="n">
        <f aca="false">IF(AND(C166=0,D166=0),0,IF(C166=0,"New",(D166-C166)/C166))</f>
        <v>-0.694915254237288</v>
      </c>
      <c r="G166" s="10" t="n">
        <f aca="false">SUMIFS('Source 2025'!$I:$I,'Source 2025'!$B:$B,$A166,'Source 2025'!$A:$A,"Amount (NIS)")</f>
        <v>1132</v>
      </c>
      <c r="H166" s="10" t="n">
        <f aca="false">SUMIFS('Source 2026'!$I:$I,'Source 2026'!$B:$B,$A166,'Source 2026'!$A:$A,"Amount (NIS)")</f>
        <v>344.5</v>
      </c>
      <c r="I166" s="10" t="n">
        <f aca="false">H166-G166</f>
        <v>-787.5</v>
      </c>
      <c r="J166" s="9" t="n">
        <f aca="false">IF(AND(G166=0,H166=0),0,IF(G166=0,"New",(H166-G166)/G166))</f>
        <v>-0.695671378091873</v>
      </c>
    </row>
    <row r="167" customFormat="false" ht="15" hidden="false" customHeight="false" outlineLevel="0" collapsed="false">
      <c r="A167" s="7" t="s">
        <v>194</v>
      </c>
      <c r="B167" s="7" t="str">
        <f aca="false">IFERROR(INDEX('Source 2026'!$C:$C,MATCH($A167,'Source 2026'!$B:$B,0)),IFERROR(INDEX('Source 2025'!$C:$C,MATCH($A167,'Source 2025'!$B:$B,0)),""))</f>
        <v>סכינים למקצוע</v>
      </c>
      <c r="C167" s="8" t="n">
        <f aca="false">SUMIFS('Source 2025'!$I:$I,'Source 2025'!$B:$B,$A167,'Source 2025'!$A:$A,"Quantity (units)")</f>
        <v>166</v>
      </c>
      <c r="D167" s="8" t="n">
        <f aca="false">SUMIFS('Source 2026'!$I:$I,'Source 2026'!$B:$B,$A167,'Source 2026'!$A:$A,"Quantity (units)")</f>
        <v>73</v>
      </c>
      <c r="E167" s="8" t="n">
        <f aca="false">D167-C167</f>
        <v>-93</v>
      </c>
      <c r="F167" s="9" t="n">
        <f aca="false">IF(AND(C167=0,D167=0),0,IF(C167=0,"New",(D167-C167)/C167))</f>
        <v>-0.560240963855422</v>
      </c>
      <c r="G167" s="10" t="n">
        <f aca="false">SUMIFS('Source 2025'!$I:$I,'Source 2025'!$B:$B,$A167,'Source 2025'!$A:$A,"Amount (NIS)")</f>
        <v>1355.6</v>
      </c>
      <c r="H167" s="10" t="n">
        <f aca="false">SUMIFS('Source 2026'!$I:$I,'Source 2026'!$B:$B,$A167,'Source 2026'!$A:$A,"Amount (NIS)")</f>
        <v>575.8</v>
      </c>
      <c r="I167" s="10" t="n">
        <f aca="false">H167-G167</f>
        <v>-779.8</v>
      </c>
      <c r="J167" s="9" t="n">
        <f aca="false">IF(AND(G167=0,H167=0),0,IF(G167=0,"New",(H167-G167)/G167))</f>
        <v>-0.575243434641487</v>
      </c>
    </row>
    <row r="168" customFormat="false" ht="15" hidden="false" customHeight="false" outlineLevel="0" collapsed="false">
      <c r="A168" s="7" t="s">
        <v>165</v>
      </c>
      <c r="B168" s="7" t="str">
        <f aca="false">IFERROR(INDEX('Source 2026'!$C:$C,MATCH($A168,'Source 2026'!$B:$B,0)),IFERROR(INDEX('Source 2025'!$C:$C,MATCH($A168,'Source 2025'!$B:$B,0)),""))</f>
        <v>S מגן קרסול ימין</v>
      </c>
      <c r="C168" s="8" t="n">
        <f aca="false">SUMIFS('Source 2025'!$I:$I,'Source 2025'!$B:$B,$A168,'Source 2025'!$A:$A,"Quantity (units)")</f>
        <v>52</v>
      </c>
      <c r="D168" s="8" t="n">
        <f aca="false">SUMIFS('Source 2026'!$I:$I,'Source 2026'!$B:$B,$A168,'Source 2026'!$A:$A,"Quantity (units)")</f>
        <v>60</v>
      </c>
      <c r="E168" s="8" t="n">
        <f aca="false">D168-C168</f>
        <v>8</v>
      </c>
      <c r="F168" s="9" t="n">
        <f aca="false">IF(AND(C168=0,D168=0),0,IF(C168=0,"New",(D168-C168)/C168))</f>
        <v>0.153846153846154</v>
      </c>
      <c r="G168" s="10" t="n">
        <f aca="false">SUMIFS('Source 2025'!$I:$I,'Source 2025'!$B:$B,$A168,'Source 2025'!$A:$A,"Amount (NIS)")</f>
        <v>3708.5</v>
      </c>
      <c r="H168" s="10" t="n">
        <f aca="false">SUMIFS('Source 2026'!$I:$I,'Source 2026'!$B:$B,$A168,'Source 2026'!$A:$A,"Amount (NIS)")</f>
        <v>4486.7</v>
      </c>
      <c r="I168" s="10" t="n">
        <f aca="false">H168-G168</f>
        <v>778.2</v>
      </c>
      <c r="J168" s="9" t="n">
        <f aca="false">IF(AND(G168=0,H168=0),0,IF(G168=0,"New",(H168-G168)/G168))</f>
        <v>0.209842254280706</v>
      </c>
    </row>
    <row r="169" customFormat="false" ht="15" hidden="false" customHeight="false" outlineLevel="0" collapsed="false">
      <c r="A169" s="7" t="s">
        <v>187</v>
      </c>
      <c r="B169" s="7" t="str">
        <f aca="false">IFERROR(INDEX('Source 2026'!$C:$C,MATCH($A169,'Source 2026'!$B:$B,0)),IFERROR(INDEX('Source 2025'!$C:$C,MATCH($A169,'Source 2025'!$B:$B,0)),""))</f>
        <v>M חבק יד אגודלי</v>
      </c>
      <c r="C169" s="8" t="n">
        <f aca="false">SUMIFS('Source 2025'!$I:$I,'Source 2025'!$B:$B,$A169,'Source 2025'!$A:$A,"Quantity (units)")</f>
        <v>-14</v>
      </c>
      <c r="D169" s="8" t="n">
        <f aca="false">SUMIFS('Source 2026'!$I:$I,'Source 2026'!$B:$B,$A169,'Source 2026'!$A:$A,"Quantity (units)")</f>
        <v>-3</v>
      </c>
      <c r="E169" s="8" t="n">
        <f aca="false">D169-C169</f>
        <v>11</v>
      </c>
      <c r="F169" s="9" t="n">
        <f aca="false">IF(AND(C169=0,D169=0),0,IF(C169=0,"New",(D169-C169)/C169))</f>
        <v>-0.785714285714286</v>
      </c>
      <c r="G169" s="10" t="n">
        <f aca="false">SUMIFS('Source 2025'!$I:$I,'Source 2025'!$B:$B,$A169,'Source 2025'!$A:$A,"Amount (NIS)")</f>
        <v>-942.3</v>
      </c>
      <c r="H169" s="10" t="n">
        <f aca="false">SUMIFS('Source 2026'!$I:$I,'Source 2026'!$B:$B,$A169,'Source 2026'!$A:$A,"Amount (NIS)")</f>
        <v>-192.6</v>
      </c>
      <c r="I169" s="10" t="n">
        <f aca="false">H169-G169</f>
        <v>749.7</v>
      </c>
      <c r="J169" s="9" t="n">
        <f aca="false">IF(AND(G169=0,H169=0),0,IF(G169=0,"New",(H169-G169)/G169))</f>
        <v>-0.795606494746896</v>
      </c>
    </row>
    <row r="170" customFormat="false" ht="15" hidden="false" customHeight="false" outlineLevel="0" collapsed="false">
      <c r="A170" s="7" t="s">
        <v>249</v>
      </c>
      <c r="B170" s="7" t="str">
        <f aca="false">IFERROR(INDEX('Source 2026'!$C:$C,MATCH($A170,'Source 2026'!$B:$B,0)),IFERROR(INDEX('Source 2025'!$C:$C,MATCH($A170,'Source 2025'!$B:$B,0)),""))</f>
        <v>S ח.גב ""איטלקית"" אורירית</v>
      </c>
      <c r="C170" s="8" t="n">
        <f aca="false">SUMIFS('Source 2025'!$I:$I,'Source 2025'!$B:$B,$A170,'Source 2025'!$A:$A,"Quantity (units)")</f>
        <v>2</v>
      </c>
      <c r="D170" s="8" t="n">
        <f aca="false">SUMIFS('Source 2026'!$I:$I,'Source 2026'!$B:$B,$A170,'Source 2026'!$A:$A,"Quantity (units)")</f>
        <v>-1</v>
      </c>
      <c r="E170" s="8" t="n">
        <f aca="false">D170-C170</f>
        <v>-3</v>
      </c>
      <c r="F170" s="9" t="n">
        <f aca="false">IF(AND(C170=0,D170=0),0,IF(C170=0,"New",(D170-C170)/C170))</f>
        <v>-1.5</v>
      </c>
      <c r="G170" s="10" t="n">
        <f aca="false">SUMIFS('Source 2025'!$I:$I,'Source 2025'!$B:$B,$A170,'Source 2025'!$A:$A,"Amount (NIS)")</f>
        <v>517.2</v>
      </c>
      <c r="H170" s="10" t="n">
        <f aca="false">SUMIFS('Source 2026'!$I:$I,'Source 2026'!$B:$B,$A170,'Source 2026'!$A:$A,"Amount (NIS)")</f>
        <v>-215.4</v>
      </c>
      <c r="I170" s="10" t="n">
        <f aca="false">H170-G170</f>
        <v>-732.6</v>
      </c>
      <c r="J170" s="9" t="n">
        <f aca="false">IF(AND(G170=0,H170=0),0,IF(G170=0,"New",(H170-G170)/G170))</f>
        <v>-1.41647331786543</v>
      </c>
    </row>
    <row r="171" customFormat="false" ht="15" hidden="false" customHeight="false" outlineLevel="0" collapsed="false">
      <c r="A171" s="7" t="s">
        <v>177</v>
      </c>
      <c r="B171" s="7" t="str">
        <f aca="false">IFERROR(INDEX('Source 2026'!$C:$C,MATCH($A171,'Source 2026'!$B:$B,0)),IFERROR(INDEX('Source 2025'!$C:$C,MATCH($A171,'Source 2025'!$B:$B,0)),""))</f>
        <v>35-38 גרב.כסף לסכרתים לבן</v>
      </c>
      <c r="C171" s="8" t="n">
        <f aca="false">SUMIFS('Source 2025'!$I:$I,'Source 2025'!$B:$B,$A171,'Source 2025'!$A:$A,"Quantity (units)")</f>
        <v>209</v>
      </c>
      <c r="D171" s="8" t="n">
        <f aca="false">SUMIFS('Source 2026'!$I:$I,'Source 2026'!$B:$B,$A171,'Source 2026'!$A:$A,"Quantity (units)")</f>
        <v>173</v>
      </c>
      <c r="E171" s="8" t="n">
        <f aca="false">D171-C171</f>
        <v>-36</v>
      </c>
      <c r="F171" s="9" t="n">
        <f aca="false">IF(AND(C171=0,D171=0),0,IF(C171=0,"New",(D171-C171)/C171))</f>
        <v>-0.172248803827751</v>
      </c>
      <c r="G171" s="10" t="n">
        <f aca="false">SUMIFS('Source 2025'!$I:$I,'Source 2025'!$B:$B,$A171,'Source 2025'!$A:$A,"Amount (NIS)")</f>
        <v>4659.6</v>
      </c>
      <c r="H171" s="10" t="n">
        <f aca="false">SUMIFS('Source 2026'!$I:$I,'Source 2026'!$B:$B,$A171,'Source 2026'!$A:$A,"Amount (NIS)")</f>
        <v>3937.8</v>
      </c>
      <c r="I171" s="10" t="n">
        <f aca="false">H171-G171</f>
        <v>-721.8</v>
      </c>
      <c r="J171" s="9" t="n">
        <f aca="false">IF(AND(G171=0,H171=0),0,IF(G171=0,"New",(H171-G171)/G171))</f>
        <v>-0.154906000515066</v>
      </c>
    </row>
    <row r="172" customFormat="false" ht="15" hidden="false" customHeight="false" outlineLevel="0" collapsed="false">
      <c r="A172" s="7" t="s">
        <v>266</v>
      </c>
      <c r="B172" s="7" t="str">
        <f aca="false">IFERROR(INDEX('Source 2026'!$C:$C,MATCH($A172,'Source 2026'!$B:$B,0)),IFERROR(INDEX('Source 2025'!$C:$C,MATCH($A172,'Source 2025'!$B:$B,0)),""))</f>
        <v>חגורת גב עם תמיכות</v>
      </c>
      <c r="C172" s="8" t="n">
        <f aca="false">SUMIFS('Source 2025'!$I:$I,'Source 2025'!$B:$B,$A172,'Source 2025'!$A:$A,"Quantity (units)")</f>
        <v>34</v>
      </c>
      <c r="D172" s="8" t="n">
        <f aca="false">SUMIFS('Source 2026'!$I:$I,'Source 2026'!$B:$B,$A172,'Source 2026'!$A:$A,"Quantity (units)")</f>
        <v>27</v>
      </c>
      <c r="E172" s="8" t="n">
        <f aca="false">D172-C172</f>
        <v>-7</v>
      </c>
      <c r="F172" s="9" t="n">
        <f aca="false">IF(AND(C172=0,D172=0),0,IF(C172=0,"New",(D172-C172)/C172))</f>
        <v>-0.205882352941176</v>
      </c>
      <c r="G172" s="10" t="n">
        <f aca="false">SUMIFS('Source 2025'!$I:$I,'Source 2025'!$B:$B,$A172,'Source 2025'!$A:$A,"Amount (NIS)")</f>
        <v>3108</v>
      </c>
      <c r="H172" s="10" t="n">
        <f aca="false">SUMIFS('Source 2026'!$I:$I,'Source 2026'!$B:$B,$A172,'Source 2026'!$A:$A,"Amount (NIS)")</f>
        <v>2408.6</v>
      </c>
      <c r="I172" s="10" t="n">
        <f aca="false">H172-G172</f>
        <v>-699.4</v>
      </c>
      <c r="J172" s="9" t="n">
        <f aca="false">IF(AND(G172=0,H172=0),0,IF(G172=0,"New",(H172-G172)/G172))</f>
        <v>-0.225032175032175</v>
      </c>
    </row>
    <row r="173" customFormat="false" ht="15" hidden="false" customHeight="false" outlineLevel="0" collapsed="false">
      <c r="A173" s="7" t="s">
        <v>158</v>
      </c>
      <c r="B173" s="7" t="str">
        <f aca="false">IFERROR(INDEX('Source 2026'!$C:$C,MATCH($A173,'Source 2026'!$B:$B,0)),IFERROR(INDEX('Source 2025'!$C:$C,MATCH($A173,'Source 2025'!$B:$B,0)),""))</f>
        <v>קיבוע לאצבע הדק</v>
      </c>
      <c r="C173" s="8" t="n">
        <f aca="false">SUMIFS('Source 2025'!$I:$I,'Source 2025'!$B:$B,$A173,'Source 2025'!$A:$A,"Quantity (units)")</f>
        <v>230</v>
      </c>
      <c r="D173" s="8" t="n">
        <f aca="false">SUMIFS('Source 2026'!$I:$I,'Source 2026'!$B:$B,$A173,'Source 2026'!$A:$A,"Quantity (units)")</f>
        <v>188</v>
      </c>
      <c r="E173" s="8" t="n">
        <f aca="false">D173-C173</f>
        <v>-42</v>
      </c>
      <c r="F173" s="9" t="n">
        <f aca="false">IF(AND(C173=0,D173=0),0,IF(C173=0,"New",(D173-C173)/C173))</f>
        <v>-0.182608695652174</v>
      </c>
      <c r="G173" s="10" t="n">
        <f aca="false">SUMIFS('Source 2025'!$I:$I,'Source 2025'!$B:$B,$A173,'Source 2025'!$A:$A,"Amount (NIS)")</f>
        <v>5827.9</v>
      </c>
      <c r="H173" s="10" t="n">
        <f aca="false">SUMIFS('Source 2026'!$I:$I,'Source 2026'!$B:$B,$A173,'Source 2026'!$A:$A,"Amount (NIS)")</f>
        <v>5129.6</v>
      </c>
      <c r="I173" s="10" t="n">
        <f aca="false">H173-G173</f>
        <v>-698.299999999999</v>
      </c>
      <c r="J173" s="9" t="n">
        <f aca="false">IF(AND(G173=0,H173=0),0,IF(G173=0,"New",(H173-G173)/G173))</f>
        <v>-0.119820175363338</v>
      </c>
    </row>
    <row r="174" customFormat="false" ht="15" hidden="false" customHeight="false" outlineLevel="0" collapsed="false">
      <c r="A174" s="7" t="s">
        <v>183</v>
      </c>
      <c r="B174" s="7" t="str">
        <f aca="false">IFERROR(INDEX('Source 2026'!$C:$C,MATCH($A174,'Source 2026'!$B:$B,0)),IFERROR(INDEX('Source 2025'!$C:$C,MATCH($A174,'Source 2025'!$B:$B,0)),""))</f>
        <v>גרבי כסף לסכרת מידה</v>
      </c>
      <c r="C174" s="8" t="n">
        <f aca="false">SUMIFS('Source 2025'!$I:$I,'Source 2025'!$B:$B,$A174,'Source 2025'!$A:$A,"Quantity (units)")</f>
        <v>42</v>
      </c>
      <c r="D174" s="8" t="n">
        <f aca="false">SUMIFS('Source 2026'!$I:$I,'Source 2026'!$B:$B,$A174,'Source 2026'!$A:$A,"Quantity (units)")</f>
        <v>18</v>
      </c>
      <c r="E174" s="8" t="n">
        <f aca="false">D174-C174</f>
        <v>-24</v>
      </c>
      <c r="F174" s="9" t="n">
        <f aca="false">IF(AND(C174=0,D174=0),0,IF(C174=0,"New",(D174-C174)/C174))</f>
        <v>-0.571428571428571</v>
      </c>
      <c r="G174" s="10" t="n">
        <f aca="false">SUMIFS('Source 2025'!$I:$I,'Source 2025'!$B:$B,$A174,'Source 2025'!$A:$A,"Amount (NIS)")</f>
        <v>1227</v>
      </c>
      <c r="H174" s="10" t="n">
        <f aca="false">SUMIFS('Source 2026'!$I:$I,'Source 2026'!$B:$B,$A174,'Source 2026'!$A:$A,"Amount (NIS)")</f>
        <v>530.1</v>
      </c>
      <c r="I174" s="10" t="n">
        <f aca="false">H174-G174</f>
        <v>-696.9</v>
      </c>
      <c r="J174" s="9" t="n">
        <f aca="false">IF(AND(G174=0,H174=0),0,IF(G174=0,"New",(H174-G174)/G174))</f>
        <v>-0.567970660146699</v>
      </c>
    </row>
    <row r="175" customFormat="false" ht="15" hidden="false" customHeight="false" outlineLevel="0" collapsed="false">
      <c r="A175" s="7" t="s">
        <v>164</v>
      </c>
      <c r="B175" s="7" t="str">
        <f aca="false">IFERROR(INDEX('Source 2026'!$C:$C,MATCH($A175,'Source 2026'!$B:$B,0)),IFERROR(INDEX('Source 2025'!$C:$C,MATCH($A175,'Source 2025'!$B:$B,0)),""))</f>
        <v>Sמיישר כתף יציב יישור ג.רחב</v>
      </c>
      <c r="C175" s="8" t="n">
        <f aca="false">SUMIFS('Source 2025'!$I:$I,'Source 2025'!$B:$B,$A175,'Source 2025'!$A:$A,"Quantity (units)")</f>
        <v>30</v>
      </c>
      <c r="D175" s="8" t="n">
        <f aca="false">SUMIFS('Source 2026'!$I:$I,'Source 2026'!$B:$B,$A175,'Source 2026'!$A:$A,"Quantity (units)")</f>
        <v>33</v>
      </c>
      <c r="E175" s="8" t="n">
        <f aca="false">D175-C175</f>
        <v>3</v>
      </c>
      <c r="F175" s="9" t="n">
        <f aca="false">IF(AND(C175=0,D175=0),0,IF(C175=0,"New",(D175-C175)/C175))</f>
        <v>0.1</v>
      </c>
      <c r="G175" s="10" t="n">
        <f aca="false">SUMIFS('Source 2025'!$I:$I,'Source 2025'!$B:$B,$A175,'Source 2025'!$A:$A,"Amount (NIS)")</f>
        <v>4948.4</v>
      </c>
      <c r="H175" s="10" t="n">
        <f aca="false">SUMIFS('Source 2026'!$I:$I,'Source 2026'!$B:$B,$A175,'Source 2026'!$A:$A,"Amount (NIS)")</f>
        <v>5645</v>
      </c>
      <c r="I175" s="10" t="n">
        <f aca="false">H175-G175</f>
        <v>696.6</v>
      </c>
      <c r="J175" s="9" t="n">
        <f aca="false">IF(AND(G175=0,H175=0),0,IF(G175=0,"New",(H175-G175)/G175))</f>
        <v>0.140772775038396</v>
      </c>
    </row>
    <row r="176" customFormat="false" ht="15" hidden="false" customHeight="false" outlineLevel="0" collapsed="false">
      <c r="A176" s="7" t="s">
        <v>201</v>
      </c>
      <c r="B176" s="7" t="str">
        <f aca="false">IFERROR(INDEX('Source 2026'!$C:$C,MATCH($A176,'Source 2026'!$B:$B,0)),IFERROR(INDEX('Source 2025'!$C:$C,MATCH($A176,'Source 2025'!$B:$B,0)),""))</f>
        <v>S חגורת שבר לצד שמאל</v>
      </c>
      <c r="C176" s="8" t="n">
        <f aca="false">SUMIFS('Source 2025'!$I:$I,'Source 2025'!$B:$B,$A176,'Source 2025'!$A:$A,"Quantity (units)")</f>
        <v>-2</v>
      </c>
      <c r="D176" s="8" t="n">
        <f aca="false">SUMIFS('Source 2026'!$I:$I,'Source 2026'!$B:$B,$A176,'Source 2026'!$A:$A,"Quantity (units)")</f>
        <v>1</v>
      </c>
      <c r="E176" s="8" t="n">
        <f aca="false">D176-C176</f>
        <v>3</v>
      </c>
      <c r="F176" s="9" t="n">
        <f aca="false">IF(AND(C176=0,D176=0),0,IF(C176=0,"New",(D176-C176)/C176))</f>
        <v>-1.5</v>
      </c>
      <c r="G176" s="10" t="n">
        <f aca="false">SUMIFS('Source 2025'!$I:$I,'Source 2025'!$B:$B,$A176,'Source 2025'!$A:$A,"Amount (NIS)")</f>
        <v>-345</v>
      </c>
      <c r="H176" s="10" t="n">
        <f aca="false">SUMIFS('Source 2026'!$I:$I,'Source 2026'!$B:$B,$A176,'Source 2026'!$A:$A,"Amount (NIS)")</f>
        <v>334.5</v>
      </c>
      <c r="I176" s="10" t="n">
        <f aca="false">H176-G176</f>
        <v>679.5</v>
      </c>
      <c r="J176" s="9" t="n">
        <f aca="false">IF(AND(G176=0,H176=0),0,IF(G176=0,"New",(H176-G176)/G176))</f>
        <v>-1.9695652173913</v>
      </c>
    </row>
    <row r="177" customFormat="false" ht="15" hidden="false" customHeight="false" outlineLevel="0" collapsed="false">
      <c r="A177" s="7" t="s">
        <v>211</v>
      </c>
      <c r="B177" s="7" t="str">
        <f aca="false">IFERROR(INDEX('Source 2026'!$C:$C,MATCH($A177,'Source 2026'!$B:$B,0)),IFERROR(INDEX('Source 2025'!$C:$C,MATCH($A177,'Source 2025'!$B:$B,0)),""))</f>
        <v>נגד פטרת הציפורן</v>
      </c>
      <c r="C177" s="8" t="n">
        <f aca="false">SUMIFS('Source 2025'!$I:$I,'Source 2025'!$B:$B,$A177,'Source 2025'!$A:$A,"Quantity (units)")</f>
        <v>-25</v>
      </c>
      <c r="D177" s="8" t="n">
        <f aca="false">SUMIFS('Source 2026'!$I:$I,'Source 2026'!$B:$B,$A177,'Source 2026'!$A:$A,"Quantity (units)")</f>
        <v>-8</v>
      </c>
      <c r="E177" s="8" t="n">
        <f aca="false">D177-C177</f>
        <v>17</v>
      </c>
      <c r="F177" s="9" t="n">
        <f aca="false">IF(AND(C177=0,D177=0),0,IF(C177=0,"New",(D177-C177)/C177))</f>
        <v>-0.68</v>
      </c>
      <c r="G177" s="10" t="n">
        <f aca="false">SUMIFS('Source 2025'!$I:$I,'Source 2025'!$B:$B,$A177,'Source 2025'!$A:$A,"Amount (NIS)")</f>
        <v>-884.7</v>
      </c>
      <c r="H177" s="10" t="n">
        <f aca="false">SUMIFS('Source 2026'!$I:$I,'Source 2026'!$B:$B,$A177,'Source 2026'!$A:$A,"Amount (NIS)")</f>
        <v>-249.4</v>
      </c>
      <c r="I177" s="10" t="n">
        <f aca="false">H177-G177</f>
        <v>635.3</v>
      </c>
      <c r="J177" s="9" t="n">
        <f aca="false">IF(AND(G177=0,H177=0),0,IF(G177=0,"New",(H177-G177)/G177))</f>
        <v>-0.71809652989714</v>
      </c>
    </row>
    <row r="178" customFormat="false" ht="15" hidden="false" customHeight="false" outlineLevel="0" collapsed="false">
      <c r="A178" s="7" t="s">
        <v>182</v>
      </c>
      <c r="B178" s="7" t="str">
        <f aca="false">IFERROR(INDEX('Source 2026'!$C:$C,MATCH($A178,'Source 2026'!$B:$B,0)),IFERROR(INDEX('Source 2025'!$C:$C,MATCH($A178,'Source 2025'!$B:$B,0)),""))</f>
        <v>11אפורUGחגורת בטן</v>
      </c>
      <c r="C178" s="8" t="n">
        <f aca="false">SUMIFS('Source 2025'!$I:$I,'Source 2025'!$B:$B,$A178,'Source 2025'!$A:$A,"Quantity (units)")</f>
        <v>8</v>
      </c>
      <c r="D178" s="8" t="n">
        <f aca="false">SUMIFS('Source 2026'!$I:$I,'Source 2026'!$B:$B,$A178,'Source 2026'!$A:$A,"Quantity (units)")</f>
        <v>0</v>
      </c>
      <c r="E178" s="8" t="n">
        <f aca="false">D178-C178</f>
        <v>-8</v>
      </c>
      <c r="F178" s="9" t="n">
        <f aca="false">IF(AND(C178=0,D178=0),0,IF(C178=0,"New",(D178-C178)/C178))</f>
        <v>-1</v>
      </c>
      <c r="G178" s="10" t="n">
        <f aca="false">SUMIFS('Source 2025'!$I:$I,'Source 2025'!$B:$B,$A178,'Source 2025'!$A:$A,"Amount (NIS)")</f>
        <v>635.4</v>
      </c>
      <c r="H178" s="10" t="n">
        <f aca="false">SUMIFS('Source 2026'!$I:$I,'Source 2026'!$B:$B,$A178,'Source 2026'!$A:$A,"Amount (NIS)")</f>
        <v>17</v>
      </c>
      <c r="I178" s="10" t="n">
        <f aca="false">H178-G178</f>
        <v>-618.4</v>
      </c>
      <c r="J178" s="9" t="n">
        <f aca="false">IF(AND(G178=0,H178=0),0,IF(G178=0,"New",(H178-G178)/G178))</f>
        <v>-0.973245199874095</v>
      </c>
    </row>
    <row r="179" customFormat="false" ht="15" hidden="false" customHeight="false" outlineLevel="0" collapsed="false">
      <c r="A179" s="7" t="s">
        <v>317</v>
      </c>
      <c r="B179" s="7" t="str">
        <f aca="false">IFERROR(INDEX('Source 2026'!$C:$C,MATCH($A179,'Source 2026'!$B:$B,0)),IFERROR(INDEX('Source 2025'!$C:$C,MATCH($A179,'Source 2025'!$B:$B,0)),""))</f>
        <v>סד לאגודל לאחר שבר</v>
      </c>
      <c r="C179" s="8" t="n">
        <f aca="false">SUMIFS('Source 2025'!$I:$I,'Source 2025'!$B:$B,$A179,'Source 2025'!$A:$A,"Quantity (units)")</f>
        <v>0</v>
      </c>
      <c r="D179" s="8" t="n">
        <f aca="false">SUMIFS('Source 2026'!$I:$I,'Source 2026'!$B:$B,$A179,'Source 2026'!$A:$A,"Quantity (units)")</f>
        <v>7</v>
      </c>
      <c r="E179" s="8" t="n">
        <f aca="false">D179-C179</f>
        <v>7</v>
      </c>
      <c r="F179" s="9" t="str">
        <f aca="false">IF(AND(C179=0,D179=0),0,IF(C179=0,"New",(D179-C179)/C179))</f>
        <v>New</v>
      </c>
      <c r="G179" s="10" t="n">
        <f aca="false">SUMIFS('Source 2025'!$I:$I,'Source 2025'!$B:$B,$A179,'Source 2025'!$A:$A,"Amount (NIS)")</f>
        <v>0</v>
      </c>
      <c r="H179" s="10" t="n">
        <f aca="false">SUMIFS('Source 2026'!$I:$I,'Source 2026'!$B:$B,$A179,'Source 2026'!$A:$A,"Amount (NIS)")</f>
        <v>617.4</v>
      </c>
      <c r="I179" s="10" t="n">
        <f aca="false">H179-G179</f>
        <v>617.4</v>
      </c>
      <c r="J179" s="9" t="str">
        <f aca="false">IF(AND(G179=0,H179=0),0,IF(G179=0,"New",(H179-G179)/G179))</f>
        <v>New</v>
      </c>
    </row>
    <row r="180" customFormat="false" ht="15" hidden="false" customHeight="false" outlineLevel="0" collapsed="false">
      <c r="A180" s="7" t="s">
        <v>181</v>
      </c>
      <c r="B180" s="7" t="str">
        <f aca="false">IFERROR(INDEX('Source 2026'!$C:$C,MATCH($A180,'Source 2026'!$B:$B,0)),IFERROR(INDEX('Source 2025'!$C:$C,MATCH($A180,'Source 2025'!$B:$B,0)),""))</f>
        <v>מדרס מטטרזלי לנעלי עקב</v>
      </c>
      <c r="C180" s="8" t="n">
        <f aca="false">SUMIFS('Source 2025'!$I:$I,'Source 2025'!$B:$B,$A180,'Source 2025'!$A:$A,"Quantity (units)")</f>
        <v>68</v>
      </c>
      <c r="D180" s="8" t="n">
        <f aca="false">SUMIFS('Source 2026'!$I:$I,'Source 2026'!$B:$B,$A180,'Source 2026'!$A:$A,"Quantity (units)")</f>
        <v>37</v>
      </c>
      <c r="E180" s="8" t="n">
        <f aca="false">D180-C180</f>
        <v>-31</v>
      </c>
      <c r="F180" s="9" t="n">
        <f aca="false">IF(AND(C180=0,D180=0),0,IF(C180=0,"New",(D180-C180)/C180))</f>
        <v>-0.455882352941176</v>
      </c>
      <c r="G180" s="10" t="n">
        <f aca="false">SUMIFS('Source 2025'!$I:$I,'Source 2025'!$B:$B,$A180,'Source 2025'!$A:$A,"Amount (NIS)")</f>
        <v>1396.3</v>
      </c>
      <c r="H180" s="10" t="n">
        <f aca="false">SUMIFS('Source 2026'!$I:$I,'Source 2026'!$B:$B,$A180,'Source 2026'!$A:$A,"Amount (NIS)")</f>
        <v>790.3</v>
      </c>
      <c r="I180" s="10" t="n">
        <f aca="false">H180-G180</f>
        <v>-606</v>
      </c>
      <c r="J180" s="9" t="n">
        <f aca="false">IF(AND(G180=0,H180=0),0,IF(G180=0,"New",(H180-G180)/G180))</f>
        <v>-0.434004153835136</v>
      </c>
    </row>
    <row r="181" customFormat="false" ht="15" hidden="false" customHeight="false" outlineLevel="0" collapsed="false">
      <c r="A181" s="7" t="s">
        <v>210</v>
      </c>
      <c r="B181" s="7" t="str">
        <f aca="false">IFERROR(INDEX('Source 2026'!$C:$C,MATCH($A181,'Source 2026'!$B:$B,0)),IFERROR(INDEX('Source 2025'!$C:$C,MATCH($A181,'Source 2025'!$B:$B,0)),""))</f>
        <v>L-מדרס סיליקון לנעלי עקב</v>
      </c>
      <c r="C181" s="8" t="n">
        <f aca="false">SUMIFS('Source 2025'!$I:$I,'Source 2025'!$B:$B,$A181,'Source 2025'!$A:$A,"Quantity (units)")</f>
        <v>-1</v>
      </c>
      <c r="D181" s="8" t="n">
        <f aca="false">SUMIFS('Source 2026'!$I:$I,'Source 2026'!$B:$B,$A181,'Source 2026'!$A:$A,"Quantity (units)")</f>
        <v>11</v>
      </c>
      <c r="E181" s="8" t="n">
        <f aca="false">D181-C181</f>
        <v>12</v>
      </c>
      <c r="F181" s="9" t="n">
        <f aca="false">IF(AND(C181=0,D181=0),0,IF(C181=0,"New",(D181-C181)/C181))</f>
        <v>-12</v>
      </c>
      <c r="G181" s="10" t="n">
        <f aca="false">SUMIFS('Source 2025'!$I:$I,'Source 2025'!$B:$B,$A181,'Source 2025'!$A:$A,"Amount (NIS)")</f>
        <v>-159.9</v>
      </c>
      <c r="H181" s="10" t="n">
        <f aca="false">SUMIFS('Source 2026'!$I:$I,'Source 2026'!$B:$B,$A181,'Source 2026'!$A:$A,"Amount (NIS)")</f>
        <v>425.4</v>
      </c>
      <c r="I181" s="10" t="n">
        <f aca="false">H181-G181</f>
        <v>585.3</v>
      </c>
      <c r="J181" s="9" t="n">
        <f aca="false">IF(AND(G181=0,H181=0),0,IF(G181=0,"New",(H181-G181)/G181))</f>
        <v>-3.66041275797373</v>
      </c>
    </row>
    <row r="182" customFormat="false" ht="15" hidden="false" customHeight="false" outlineLevel="0" collapsed="false">
      <c r="A182" s="7" t="s">
        <v>191</v>
      </c>
      <c r="B182" s="7" t="str">
        <f aca="false">IFERROR(INDEX('Source 2026'!$C:$C,MATCH($A182,'Source 2026'!$B:$B,0)),IFERROR(INDEX('Source 2025'!$C:$C,MATCH($A182,'Source 2025'!$B:$B,0)),""))</f>
        <v>S מגן שוק</v>
      </c>
      <c r="C182" s="8" t="n">
        <f aca="false">SUMIFS('Source 2025'!$I:$I,'Source 2025'!$B:$B,$A182,'Source 2025'!$A:$A,"Quantity (units)")</f>
        <v>-5</v>
      </c>
      <c r="D182" s="8" t="n">
        <f aca="false">SUMIFS('Source 2026'!$I:$I,'Source 2026'!$B:$B,$A182,'Source 2026'!$A:$A,"Quantity (units)")</f>
        <v>1</v>
      </c>
      <c r="E182" s="8" t="n">
        <f aca="false">D182-C182</f>
        <v>6</v>
      </c>
      <c r="F182" s="9" t="n">
        <f aca="false">IF(AND(C182=0,D182=0),0,IF(C182=0,"New",(D182-C182)/C182))</f>
        <v>-1.2</v>
      </c>
      <c r="G182" s="10" t="n">
        <f aca="false">SUMIFS('Source 2025'!$I:$I,'Source 2025'!$B:$B,$A182,'Source 2025'!$A:$A,"Amount (NIS)")</f>
        <v>-450.5</v>
      </c>
      <c r="H182" s="10" t="n">
        <f aca="false">SUMIFS('Source 2026'!$I:$I,'Source 2026'!$B:$B,$A182,'Source 2026'!$A:$A,"Amount (NIS)")</f>
        <v>97</v>
      </c>
      <c r="I182" s="10" t="n">
        <f aca="false">H182-G182</f>
        <v>547.5</v>
      </c>
      <c r="J182" s="9" t="n">
        <f aca="false">IF(AND(G182=0,H182=0),0,IF(G182=0,"New",(H182-G182)/G182))</f>
        <v>-1.21531631520533</v>
      </c>
    </row>
    <row r="183" customFormat="false" ht="15" hidden="false" customHeight="false" outlineLevel="0" collapsed="false">
      <c r="A183" s="7" t="s">
        <v>189</v>
      </c>
      <c r="B183" s="7" t="str">
        <f aca="false">IFERROR(INDEX('Source 2026'!$C:$C,MATCH($A183,'Source 2026'!$B:$B,0)),IFERROR(INDEX('Source 2025'!$C:$C,MATCH($A183,'Source 2025'!$B:$B,0)),""))</f>
        <v>סד לילה לבוהן</v>
      </c>
      <c r="C183" s="8" t="n">
        <f aca="false">SUMIFS('Source 2025'!$I:$I,'Source 2025'!$B:$B,$A183,'Source 2025'!$A:$A,"Quantity (units)")</f>
        <v>-12</v>
      </c>
      <c r="D183" s="8" t="n">
        <f aca="false">SUMIFS('Source 2026'!$I:$I,'Source 2026'!$B:$B,$A183,'Source 2026'!$A:$A,"Quantity (units)")</f>
        <v>-4</v>
      </c>
      <c r="E183" s="8" t="n">
        <f aca="false">D183-C183</f>
        <v>8</v>
      </c>
      <c r="F183" s="9" t="n">
        <f aca="false">IF(AND(C183=0,D183=0),0,IF(C183=0,"New",(D183-C183)/C183))</f>
        <v>-0.666666666666667</v>
      </c>
      <c r="G183" s="10" t="n">
        <f aca="false">SUMIFS('Source 2025'!$I:$I,'Source 2025'!$B:$B,$A183,'Source 2025'!$A:$A,"Amount (NIS)")</f>
        <v>-769.9</v>
      </c>
      <c r="H183" s="10" t="n">
        <f aca="false">SUMIFS('Source 2026'!$I:$I,'Source 2026'!$B:$B,$A183,'Source 2026'!$A:$A,"Amount (NIS)")</f>
        <v>-256.6</v>
      </c>
      <c r="I183" s="10" t="n">
        <f aca="false">H183-G183</f>
        <v>513.3</v>
      </c>
      <c r="J183" s="9" t="n">
        <f aca="false">IF(AND(G183=0,H183=0),0,IF(G183=0,"New",(H183-G183)/G183))</f>
        <v>-0.666709962332771</v>
      </c>
    </row>
    <row r="184" customFormat="false" ht="15" hidden="false" customHeight="false" outlineLevel="0" collapsed="false">
      <c r="A184" s="7" t="s">
        <v>190</v>
      </c>
      <c r="B184" s="7" t="str">
        <f aca="false">IFERROR(INDEX('Source 2026'!$C:$C,MATCH($A184,'Source 2026'!$B:$B,0)),IFERROR(INDEX('Source 2025'!$C:$C,MATCH($A184,'Source 2025'!$B:$B,0)),""))</f>
        <v>M'חגורת גב+סגירה כפו בז</v>
      </c>
      <c r="C184" s="8" t="n">
        <f aca="false">SUMIFS('Source 2025'!$I:$I,'Source 2025'!$B:$B,$A184,'Source 2025'!$A:$A,"Quantity (units)")</f>
        <v>-17</v>
      </c>
      <c r="D184" s="8" t="n">
        <f aca="false">SUMIFS('Source 2026'!$I:$I,'Source 2026'!$B:$B,$A184,'Source 2026'!$A:$A,"Quantity (units)")</f>
        <v>-22</v>
      </c>
      <c r="E184" s="8" t="n">
        <f aca="false">D184-C184</f>
        <v>-5</v>
      </c>
      <c r="F184" s="9" t="n">
        <f aca="false">IF(AND(C184=0,D184=0),0,IF(C184=0,"New",(D184-C184)/C184))</f>
        <v>0.294117647058824</v>
      </c>
      <c r="G184" s="10" t="n">
        <f aca="false">SUMIFS('Source 2025'!$I:$I,'Source 2025'!$B:$B,$A184,'Source 2025'!$A:$A,"Amount (NIS)")</f>
        <v>-1595.3</v>
      </c>
      <c r="H184" s="10" t="n">
        <f aca="false">SUMIFS('Source 2026'!$I:$I,'Source 2026'!$B:$B,$A184,'Source 2026'!$A:$A,"Amount (NIS)")</f>
        <v>-2058</v>
      </c>
      <c r="I184" s="10" t="n">
        <f aca="false">H184-G184</f>
        <v>-462.7</v>
      </c>
      <c r="J184" s="9" t="n">
        <f aca="false">IF(AND(G184=0,H184=0),0,IF(G184=0,"New",(H184-G184)/G184))</f>
        <v>0.290039491004827</v>
      </c>
    </row>
    <row r="185" customFormat="false" ht="15" hidden="false" customHeight="false" outlineLevel="0" collapsed="false">
      <c r="A185" s="7" t="s">
        <v>352</v>
      </c>
      <c r="B185" s="7" t="str">
        <f aca="false">IFERROR(INDEX('Source 2026'!$C:$C,MATCH($A185,'Source 2026'!$B:$B,0)),IFERROR(INDEX('Source 2025'!$C:$C,MATCH($A185,'Source 2025'!$B:$B,0)),""))</f>
        <v>Mמגן קרסול+ צמדן</v>
      </c>
      <c r="C185" s="8" t="n">
        <f aca="false">SUMIFS('Source 2025'!$I:$I,'Source 2025'!$B:$B,$A185,'Source 2025'!$A:$A,"Quantity (units)")</f>
        <v>-7</v>
      </c>
      <c r="D185" s="8" t="n">
        <f aca="false">SUMIFS('Source 2026'!$I:$I,'Source 2026'!$B:$B,$A185,'Source 2026'!$A:$A,"Quantity (units)")</f>
        <v>0</v>
      </c>
      <c r="E185" s="8" t="n">
        <f aca="false">D185-C185</f>
        <v>7</v>
      </c>
      <c r="F185" s="9" t="n">
        <f aca="false">IF(AND(C185=0,D185=0),0,IF(C185=0,"New",(D185-C185)/C185))</f>
        <v>-1</v>
      </c>
      <c r="G185" s="10" t="n">
        <f aca="false">SUMIFS('Source 2025'!$I:$I,'Source 2025'!$B:$B,$A185,'Source 2025'!$A:$A,"Amount (NIS)")</f>
        <v>-448.1</v>
      </c>
      <c r="H185" s="10" t="n">
        <f aca="false">SUMIFS('Source 2026'!$I:$I,'Source 2026'!$B:$B,$A185,'Source 2026'!$A:$A,"Amount (NIS)")</f>
        <v>0</v>
      </c>
      <c r="I185" s="10" t="n">
        <f aca="false">H185-G185</f>
        <v>448.1</v>
      </c>
      <c r="J185" s="9" t="n">
        <f aca="false">IF(AND(G185=0,H185=0),0,IF(G185=0,"New",(H185-G185)/G185))</f>
        <v>-1</v>
      </c>
    </row>
    <row r="186" customFormat="false" ht="15" hidden="false" customHeight="false" outlineLevel="0" collapsed="false">
      <c r="A186" s="7" t="s">
        <v>297</v>
      </c>
      <c r="B186" s="7" t="str">
        <f aca="false">IFERROR(INDEX('Source 2026'!$C:$C,MATCH($A186,'Source 2026'!$B:$B,0)),IFERROR(INDEX('Source 2025'!$C:$C,MATCH($A186,'Source 2025'!$B:$B,0)),""))</f>
        <v>טייפ חבישה לספורט</v>
      </c>
      <c r="C186" s="8" t="n">
        <f aca="false">SUMIFS('Source 2025'!$I:$I,'Source 2025'!$B:$B,$A186,'Source 2025'!$A:$A,"Quantity (units)")</f>
        <v>218</v>
      </c>
      <c r="D186" s="8" t="n">
        <f aca="false">SUMIFS('Source 2026'!$I:$I,'Source 2026'!$B:$B,$A186,'Source 2026'!$A:$A,"Quantity (units)")</f>
        <v>189</v>
      </c>
      <c r="E186" s="8" t="n">
        <f aca="false">D186-C186</f>
        <v>-29</v>
      </c>
      <c r="F186" s="9" t="n">
        <f aca="false">IF(AND(C186=0,D186=0),0,IF(C186=0,"New",(D186-C186)/C186))</f>
        <v>-0.13302752293578</v>
      </c>
      <c r="G186" s="10" t="n">
        <f aca="false">SUMIFS('Source 2025'!$I:$I,'Source 2025'!$B:$B,$A186,'Source 2025'!$A:$A,"Amount (NIS)")</f>
        <v>3357.2</v>
      </c>
      <c r="H186" s="10" t="n">
        <f aca="false">SUMIFS('Source 2026'!$I:$I,'Source 2026'!$B:$B,$A186,'Source 2026'!$A:$A,"Amount (NIS)")</f>
        <v>2910.6</v>
      </c>
      <c r="I186" s="10" t="n">
        <f aca="false">H186-G186</f>
        <v>-446.6</v>
      </c>
      <c r="J186" s="9" t="n">
        <f aca="false">IF(AND(G186=0,H186=0),0,IF(G186=0,"New",(H186-G186)/G186))</f>
        <v>-0.13302752293578</v>
      </c>
    </row>
    <row r="187" customFormat="false" ht="15" hidden="false" customHeight="false" outlineLevel="0" collapsed="false">
      <c r="A187" s="7" t="s">
        <v>207</v>
      </c>
      <c r="B187" s="7" t="str">
        <f aca="false">IFERROR(INDEX('Source 2026'!$C:$C,MATCH($A187,'Source 2026'!$B:$B,0)),IFERROR(INDEX('Source 2025'!$C:$C,MATCH($A187,'Source 2025'!$B:$B,0)),""))</f>
        <v>L-XLחגורת הריון בכאב.חזק</v>
      </c>
      <c r="C187" s="8" t="n">
        <f aca="false">SUMIFS('Source 2025'!$I:$I,'Source 2025'!$B:$B,$A187,'Source 2025'!$A:$A,"Quantity (units)")</f>
        <v>0</v>
      </c>
      <c r="D187" s="8" t="n">
        <f aca="false">SUMIFS('Source 2026'!$I:$I,'Source 2026'!$B:$B,$A187,'Source 2026'!$A:$A,"Quantity (units)")</f>
        <v>-2</v>
      </c>
      <c r="E187" s="8" t="n">
        <f aca="false">D187-C187</f>
        <v>-2</v>
      </c>
      <c r="F187" s="9" t="str">
        <f aca="false">IF(AND(C187=0,D187=0),0,IF(C187=0,"New",(D187-C187)/C187))</f>
        <v>New</v>
      </c>
      <c r="G187" s="10" t="n">
        <f aca="false">SUMIFS('Source 2025'!$I:$I,'Source 2025'!$B:$B,$A187,'Source 2025'!$A:$A,"Amount (NIS)")</f>
        <v>0</v>
      </c>
      <c r="H187" s="10" t="n">
        <f aca="false">SUMIFS('Source 2026'!$I:$I,'Source 2026'!$B:$B,$A187,'Source 2026'!$A:$A,"Amount (NIS)")</f>
        <v>-430.4</v>
      </c>
      <c r="I187" s="10" t="n">
        <f aca="false">H187-G187</f>
        <v>-430.4</v>
      </c>
      <c r="J187" s="9" t="str">
        <f aca="false">IF(AND(G187=0,H187=0),0,IF(G187=0,"New",(H187-G187)/G187))</f>
        <v>New</v>
      </c>
    </row>
    <row r="188" customFormat="false" ht="15" hidden="false" customHeight="false" outlineLevel="0" collapsed="false">
      <c r="A188" s="7" t="s">
        <v>270</v>
      </c>
      <c r="B188" s="7" t="str">
        <f aca="false">IFERROR(INDEX('Source 2026'!$C:$C,MATCH($A188,'Source 2026'!$B:$B,0)),IFERROR(INDEX('Source 2025'!$C:$C,MATCH($A188,'Source 2025'!$B:$B,0)),""))</f>
        <v>חבק לשורש כף היד</v>
      </c>
      <c r="C188" s="8" t="n">
        <f aca="false">SUMIFS('Source 2025'!$I:$I,'Source 2025'!$B:$B,$A188,'Source 2025'!$A:$A,"Quantity (units)")</f>
        <v>73</v>
      </c>
      <c r="D188" s="8" t="n">
        <f aca="false">SUMIFS('Source 2026'!$I:$I,'Source 2026'!$B:$B,$A188,'Source 2026'!$A:$A,"Quantity (units)")</f>
        <v>54</v>
      </c>
      <c r="E188" s="8" t="n">
        <f aca="false">D188-C188</f>
        <v>-19</v>
      </c>
      <c r="F188" s="9" t="n">
        <f aca="false">IF(AND(C188=0,D188=0),0,IF(C188=0,"New",(D188-C188)/C188))</f>
        <v>-0.26027397260274</v>
      </c>
      <c r="G188" s="10" t="n">
        <f aca="false">SUMIFS('Source 2025'!$I:$I,'Source 2025'!$B:$B,$A188,'Source 2025'!$A:$A,"Amount (NIS)")</f>
        <v>1864</v>
      </c>
      <c r="H188" s="10" t="n">
        <f aca="false">SUMIFS('Source 2026'!$I:$I,'Source 2026'!$B:$B,$A188,'Source 2026'!$A:$A,"Amount (NIS)")</f>
        <v>1458.9</v>
      </c>
      <c r="I188" s="10" t="n">
        <f aca="false">H188-G188</f>
        <v>-405.1</v>
      </c>
      <c r="J188" s="9" t="n">
        <f aca="false">IF(AND(G188=0,H188=0),0,IF(G188=0,"New",(H188-G188)/G188))</f>
        <v>-0.217328326180257</v>
      </c>
    </row>
    <row r="189" customFormat="false" ht="15" hidden="false" customHeight="false" outlineLevel="0" collapsed="false">
      <c r="A189" s="7" t="s">
        <v>195</v>
      </c>
      <c r="B189" s="7" t="str">
        <f aca="false">IFERROR(INDEX('Source 2026'!$C:$C,MATCH($A189,'Source 2026'!$B:$B,0)),IFERROR(INDEX('Source 2025'!$C:$C,MATCH($A189,'Source 2025'!$B:$B,0)),""))</f>
        <v>כרית שינה חלומי</v>
      </c>
      <c r="C189" s="8" t="n">
        <f aca="false">SUMIFS('Source 2025'!$I:$I,'Source 2025'!$B:$B,$A189,'Source 2025'!$A:$A,"Quantity (units)")</f>
        <v>-3</v>
      </c>
      <c r="D189" s="8" t="n">
        <f aca="false">SUMIFS('Source 2026'!$I:$I,'Source 2026'!$B:$B,$A189,'Source 2026'!$A:$A,"Quantity (units)")</f>
        <v>0</v>
      </c>
      <c r="E189" s="8" t="n">
        <f aca="false">D189-C189</f>
        <v>3</v>
      </c>
      <c r="F189" s="9" t="n">
        <f aca="false">IF(AND(C189=0,D189=0),0,IF(C189=0,"New",(D189-C189)/C189))</f>
        <v>-1</v>
      </c>
      <c r="G189" s="10" t="n">
        <f aca="false">SUMIFS('Source 2025'!$I:$I,'Source 2025'!$B:$B,$A189,'Source 2025'!$A:$A,"Amount (NIS)")</f>
        <v>-393.2</v>
      </c>
      <c r="H189" s="10" t="n">
        <f aca="false">SUMIFS('Source 2026'!$I:$I,'Source 2026'!$B:$B,$A189,'Source 2026'!$A:$A,"Amount (NIS)")</f>
        <v>0</v>
      </c>
      <c r="I189" s="10" t="n">
        <f aca="false">H189-G189</f>
        <v>393.2</v>
      </c>
      <c r="J189" s="9" t="n">
        <f aca="false">IF(AND(G189=0,H189=0),0,IF(G189=0,"New",(H189-G189)/G189))</f>
        <v>-1</v>
      </c>
    </row>
    <row r="190" customFormat="false" ht="15" hidden="false" customHeight="false" outlineLevel="0" collapsed="false">
      <c r="A190" s="7" t="s">
        <v>329</v>
      </c>
      <c r="B190" s="7" t="str">
        <f aca="false">IFERROR(INDEX('Source 2026'!$C:$C,MATCH($A190,'Source 2026'!$B:$B,0)),IFERROR(INDEX('Source 2025'!$C:$C,MATCH($A190,'Source 2025'!$B:$B,0)),""))</f>
        <v>S מגן מרפק רגיל</v>
      </c>
      <c r="C190" s="8" t="n">
        <f aca="false">SUMIFS('Source 2025'!$I:$I,'Source 2025'!$B:$B,$A190,'Source 2025'!$A:$A,"Quantity (units)")</f>
        <v>-4</v>
      </c>
      <c r="D190" s="8" t="n">
        <f aca="false">SUMIFS('Source 2026'!$I:$I,'Source 2026'!$B:$B,$A190,'Source 2026'!$A:$A,"Quantity (units)")</f>
        <v>0</v>
      </c>
      <c r="E190" s="8" t="n">
        <f aca="false">D190-C190</f>
        <v>4</v>
      </c>
      <c r="F190" s="9" t="n">
        <f aca="false">IF(AND(C190=0,D190=0),0,IF(C190=0,"New",(D190-C190)/C190))</f>
        <v>-1</v>
      </c>
      <c r="G190" s="10" t="n">
        <f aca="false">SUMIFS('Source 2025'!$I:$I,'Source 2025'!$B:$B,$A190,'Source 2025'!$A:$A,"Amount (NIS)")</f>
        <v>-390.6</v>
      </c>
      <c r="H190" s="10" t="n">
        <f aca="false">SUMIFS('Source 2026'!$I:$I,'Source 2026'!$B:$B,$A190,'Source 2026'!$A:$A,"Amount (NIS)")</f>
        <v>0</v>
      </c>
      <c r="I190" s="10" t="n">
        <f aca="false">H190-G190</f>
        <v>390.6</v>
      </c>
      <c r="J190" s="9" t="n">
        <f aca="false">IF(AND(G190=0,H190=0),0,IF(G190=0,"New",(H190-G190)/G190))</f>
        <v>-1</v>
      </c>
    </row>
    <row r="191" customFormat="false" ht="15" hidden="false" customHeight="false" outlineLevel="0" collapsed="false">
      <c r="A191" s="7" t="s">
        <v>241</v>
      </c>
      <c r="B191" s="7" t="str">
        <f aca="false">IFERROR(INDEX('Source 2026'!$C:$C,MATCH($A191,'Source 2026'!$B:$B,0)),IFERROR(INDEX('Source 2025'!$C:$C,MATCH($A191,'Source 2025'!$B:$B,0)),""))</f>
        <v>רפידת מגבת כותנה-זוג</v>
      </c>
      <c r="C191" s="8" t="n">
        <f aca="false">SUMIFS('Source 2025'!$I:$I,'Source 2025'!$B:$B,$A191,'Source 2025'!$A:$A,"Quantity (units)")</f>
        <v>100</v>
      </c>
      <c r="D191" s="8" t="n">
        <f aca="false">SUMIFS('Source 2026'!$I:$I,'Source 2026'!$B:$B,$A191,'Source 2026'!$A:$A,"Quantity (units)")</f>
        <v>62</v>
      </c>
      <c r="E191" s="8" t="n">
        <f aca="false">D191-C191</f>
        <v>-38</v>
      </c>
      <c r="F191" s="9" t="n">
        <f aca="false">IF(AND(C191=0,D191=0),0,IF(C191=0,"New",(D191-C191)/C191))</f>
        <v>-0.38</v>
      </c>
      <c r="G191" s="10" t="n">
        <f aca="false">SUMIFS('Source 2025'!$I:$I,'Source 2025'!$B:$B,$A191,'Source 2025'!$A:$A,"Amount (NIS)")</f>
        <v>1028.1</v>
      </c>
      <c r="H191" s="10" t="n">
        <f aca="false">SUMIFS('Source 2026'!$I:$I,'Source 2026'!$B:$B,$A191,'Source 2026'!$A:$A,"Amount (NIS)")</f>
        <v>643</v>
      </c>
      <c r="I191" s="10" t="n">
        <f aca="false">H191-G191</f>
        <v>-385.1</v>
      </c>
      <c r="J191" s="9" t="n">
        <f aca="false">IF(AND(G191=0,H191=0),0,IF(G191=0,"New",(H191-G191)/G191))</f>
        <v>-0.374574457737574</v>
      </c>
    </row>
    <row r="192" customFormat="false" ht="15" hidden="false" customHeight="false" outlineLevel="0" collapsed="false">
      <c r="A192" s="7" t="s">
        <v>200</v>
      </c>
      <c r="B192" s="7" t="str">
        <f aca="false">IFERROR(INDEX('Source 2026'!$C:$C,MATCH($A192,'Source 2026'!$B:$B,0)),IFERROR(INDEX('Source 2025'!$C:$C,MATCH($A192,'Source 2025'!$B:$B,0)),""))</f>
        <v>S חגורת שבר לצד ימין</v>
      </c>
      <c r="C192" s="8" t="n">
        <f aca="false">SUMIFS('Source 2025'!$I:$I,'Source 2025'!$B:$B,$A192,'Source 2025'!$A:$A,"Quantity (units)")</f>
        <v>3</v>
      </c>
      <c r="D192" s="8" t="n">
        <f aca="false">SUMIFS('Source 2026'!$I:$I,'Source 2026'!$B:$B,$A192,'Source 2026'!$A:$A,"Quantity (units)")</f>
        <v>1</v>
      </c>
      <c r="E192" s="8" t="n">
        <f aca="false">D192-C192</f>
        <v>-2</v>
      </c>
      <c r="F192" s="9" t="n">
        <f aca="false">IF(AND(C192=0,D192=0),0,IF(C192=0,"New",(D192-C192)/C192))</f>
        <v>-0.666666666666667</v>
      </c>
      <c r="G192" s="10" t="n">
        <f aca="false">SUMIFS('Source 2025'!$I:$I,'Source 2025'!$B:$B,$A192,'Source 2025'!$A:$A,"Amount (NIS)")</f>
        <v>562.2</v>
      </c>
      <c r="H192" s="10" t="n">
        <f aca="false">SUMIFS('Source 2026'!$I:$I,'Source 2026'!$B:$B,$A192,'Source 2026'!$A:$A,"Amount (NIS)")</f>
        <v>178.9</v>
      </c>
      <c r="I192" s="10" t="n">
        <f aca="false">H192-G192</f>
        <v>-383.3</v>
      </c>
      <c r="J192" s="9" t="n">
        <f aca="false">IF(AND(G192=0,H192=0),0,IF(G192=0,"New",(H192-G192)/G192))</f>
        <v>-0.681785841337602</v>
      </c>
    </row>
    <row r="193" customFormat="false" ht="15" hidden="false" customHeight="false" outlineLevel="0" collapsed="false">
      <c r="A193" s="7" t="s">
        <v>267</v>
      </c>
      <c r="B193" s="7" t="str">
        <f aca="false">IFERROR(INDEX('Source 2026'!$C:$C,MATCH($A193,'Source 2026'!$B:$B,0)),IFERROR(INDEX('Source 2025'!$C:$C,MATCH($A193,'Source 2025'!$B:$B,0)),""))</f>
        <v>L מגן ברך שחור</v>
      </c>
      <c r="C193" s="8" t="n">
        <f aca="false">SUMIFS('Source 2025'!$I:$I,'Source 2025'!$B:$B,$A193,'Source 2025'!$A:$A,"Quantity (units)")</f>
        <v>135</v>
      </c>
      <c r="D193" s="8" t="n">
        <f aca="false">SUMIFS('Source 2026'!$I:$I,'Source 2026'!$B:$B,$A193,'Source 2026'!$A:$A,"Quantity (units)")</f>
        <v>119</v>
      </c>
      <c r="E193" s="8" t="n">
        <f aca="false">D193-C193</f>
        <v>-16</v>
      </c>
      <c r="F193" s="9" t="n">
        <f aca="false">IF(AND(C193=0,D193=0),0,IF(C193=0,"New",(D193-C193)/C193))</f>
        <v>-0.118518518518519</v>
      </c>
      <c r="G193" s="10" t="n">
        <f aca="false">SUMIFS('Source 2025'!$I:$I,'Source 2025'!$B:$B,$A193,'Source 2025'!$A:$A,"Amount (NIS)")</f>
        <v>3728.4</v>
      </c>
      <c r="H193" s="10" t="n">
        <f aca="false">SUMIFS('Source 2026'!$I:$I,'Source 2026'!$B:$B,$A193,'Source 2026'!$A:$A,"Amount (NIS)")</f>
        <v>3346.2</v>
      </c>
      <c r="I193" s="10" t="n">
        <f aca="false">H193-G193</f>
        <v>-382.2</v>
      </c>
      <c r="J193" s="9" t="n">
        <f aca="false">IF(AND(G193=0,H193=0),0,IF(G193=0,"New",(H193-G193)/G193))</f>
        <v>-0.102510460251046</v>
      </c>
    </row>
    <row r="194" customFormat="false" ht="15" hidden="false" customHeight="false" outlineLevel="0" collapsed="false">
      <c r="A194" s="7" t="s">
        <v>198</v>
      </c>
      <c r="B194" s="7" t="str">
        <f aca="false">IFERROR(INDEX('Source 2026'!$C:$C,MATCH($A194,'Source 2026'!$B:$B,0)),IFERROR(INDEX('Source 2025'!$C:$C,MATCH($A194,'Source 2025'!$B:$B,0)),""))</f>
        <v>L מגן למפרק כתף</v>
      </c>
      <c r="C194" s="8" t="n">
        <f aca="false">SUMIFS('Source 2025'!$I:$I,'Source 2025'!$B:$B,$A194,'Source 2025'!$A:$A,"Quantity (units)")</f>
        <v>-2</v>
      </c>
      <c r="D194" s="8" t="n">
        <f aca="false">SUMIFS('Source 2026'!$I:$I,'Source 2026'!$B:$B,$A194,'Source 2026'!$A:$A,"Quantity (units)")</f>
        <v>-1</v>
      </c>
      <c r="E194" s="8" t="n">
        <f aca="false">D194-C194</f>
        <v>1</v>
      </c>
      <c r="F194" s="9" t="n">
        <f aca="false">IF(AND(C194=0,D194=0),0,IF(C194=0,"New",(D194-C194)/C194))</f>
        <v>-0.5</v>
      </c>
      <c r="G194" s="10" t="n">
        <f aca="false">SUMIFS('Source 2025'!$I:$I,'Source 2025'!$B:$B,$A194,'Source 2025'!$A:$A,"Amount (NIS)")</f>
        <v>-570.3</v>
      </c>
      <c r="H194" s="10" t="n">
        <f aca="false">SUMIFS('Source 2026'!$I:$I,'Source 2026'!$B:$B,$A194,'Source 2026'!$A:$A,"Amount (NIS)")</f>
        <v>-208.4</v>
      </c>
      <c r="I194" s="10" t="n">
        <f aca="false">H194-G194</f>
        <v>361.9</v>
      </c>
      <c r="J194" s="9" t="n">
        <f aca="false">IF(AND(G194=0,H194=0),0,IF(G194=0,"New",(H194-G194)/G194))</f>
        <v>-0.634578292126951</v>
      </c>
    </row>
    <row r="195" customFormat="false" ht="15" hidden="false" customHeight="false" outlineLevel="0" collapsed="false">
      <c r="A195" s="7" t="s">
        <v>293</v>
      </c>
      <c r="B195" s="7" t="str">
        <f aca="false">IFERROR(INDEX('Source 2026'!$C:$C,MATCH($A195,'Source 2026'!$B:$B,0)),IFERROR(INDEX('Source 2025'!$C:$C,MATCH($A195,'Source 2025'!$B:$B,0)),""))</f>
        <v>344-אבן טבעית להסרת עור קשה</v>
      </c>
      <c r="C195" s="8" t="n">
        <f aca="false">SUMIFS('Source 2025'!$I:$I,'Source 2025'!$B:$B,$A195,'Source 2025'!$A:$A,"Quantity (units)")</f>
        <v>118</v>
      </c>
      <c r="D195" s="8" t="n">
        <f aca="false">SUMIFS('Source 2026'!$I:$I,'Source 2026'!$B:$B,$A195,'Source 2026'!$A:$A,"Quantity (units)")</f>
        <v>163</v>
      </c>
      <c r="E195" s="8" t="n">
        <f aca="false">D195-C195</f>
        <v>45</v>
      </c>
      <c r="F195" s="9" t="n">
        <f aca="false">IF(AND(C195=0,D195=0),0,IF(C195=0,"New",(D195-C195)/C195))</f>
        <v>0.38135593220339</v>
      </c>
      <c r="G195" s="10" t="n">
        <f aca="false">SUMIFS('Source 2025'!$I:$I,'Source 2025'!$B:$B,$A195,'Source 2025'!$A:$A,"Amount (NIS)")</f>
        <v>843.4</v>
      </c>
      <c r="H195" s="10" t="n">
        <f aca="false">SUMIFS('Source 2026'!$I:$I,'Source 2026'!$B:$B,$A195,'Source 2026'!$A:$A,"Amount (NIS)")</f>
        <v>1181.8</v>
      </c>
      <c r="I195" s="10" t="n">
        <f aca="false">H195-G195</f>
        <v>338.4</v>
      </c>
      <c r="J195" s="9" t="n">
        <f aca="false">IF(AND(G195=0,H195=0),0,IF(G195=0,"New",(H195-G195)/G195))</f>
        <v>0.401233104102443</v>
      </c>
    </row>
    <row r="196" customFormat="false" ht="15" hidden="false" customHeight="false" outlineLevel="0" collapsed="false">
      <c r="A196" s="7" t="s">
        <v>213</v>
      </c>
      <c r="B196" s="7" t="str">
        <f aca="false">IFERROR(INDEX('Source 2026'!$C:$C,MATCH($A196,'Source 2026'!$B:$B,0)),IFERROR(INDEX('Source 2025'!$C:$C,MATCH($A196,'Source 2025'!$B:$B,0)),""))</f>
        <v>L  ""ח.גב קלה ""מיקדו</v>
      </c>
      <c r="C196" s="8" t="n">
        <f aca="false">SUMIFS('Source 2025'!$I:$I,'Source 2025'!$B:$B,$A196,'Source 2025'!$A:$A,"Quantity (units)")</f>
        <v>-2</v>
      </c>
      <c r="D196" s="8" t="n">
        <f aca="false">SUMIFS('Source 2026'!$I:$I,'Source 2026'!$B:$B,$A196,'Source 2026'!$A:$A,"Quantity (units)")</f>
        <v>0</v>
      </c>
      <c r="E196" s="8" t="n">
        <f aca="false">D196-C196</f>
        <v>2</v>
      </c>
      <c r="F196" s="9" t="n">
        <f aca="false">IF(AND(C196=0,D196=0),0,IF(C196=0,"New",(D196-C196)/C196))</f>
        <v>-1</v>
      </c>
      <c r="G196" s="10" t="n">
        <f aca="false">SUMIFS('Source 2025'!$I:$I,'Source 2025'!$B:$B,$A196,'Source 2025'!$A:$A,"Amount (NIS)")</f>
        <v>-306.2</v>
      </c>
      <c r="H196" s="10" t="n">
        <f aca="false">SUMIFS('Source 2026'!$I:$I,'Source 2026'!$B:$B,$A196,'Source 2026'!$A:$A,"Amount (NIS)")</f>
        <v>0</v>
      </c>
      <c r="I196" s="10" t="n">
        <f aca="false">H196-G196</f>
        <v>306.2</v>
      </c>
      <c r="J196" s="9" t="n">
        <f aca="false">IF(AND(G196=0,H196=0),0,IF(G196=0,"New",(H196-G196)/G196))</f>
        <v>-1</v>
      </c>
    </row>
    <row r="197" customFormat="false" ht="15" hidden="false" customHeight="false" outlineLevel="0" collapsed="false">
      <c r="A197" s="7" t="s">
        <v>209</v>
      </c>
      <c r="B197" s="7" t="str">
        <f aca="false">IFERROR(INDEX('Source 2026'!$C:$C,MATCH($A197,'Source 2026'!$B:$B,0)),IFERROR(INDEX('Source 2025'!$C:$C,MATCH($A197,'Source 2025'!$B:$B,0)),""))</f>
        <v>S מתלה אשכים לאחר ניתוח</v>
      </c>
      <c r="C197" s="8" t="n">
        <f aca="false">SUMIFS('Source 2025'!$I:$I,'Source 2025'!$B:$B,$A197,'Source 2025'!$A:$A,"Quantity (units)")</f>
        <v>0</v>
      </c>
      <c r="D197" s="8" t="n">
        <f aca="false">SUMIFS('Source 2026'!$I:$I,'Source 2026'!$B:$B,$A197,'Source 2026'!$A:$A,"Quantity (units)")</f>
        <v>-3</v>
      </c>
      <c r="E197" s="8" t="n">
        <f aca="false">D197-C197</f>
        <v>-3</v>
      </c>
      <c r="F197" s="9" t="str">
        <f aca="false">IF(AND(C197=0,D197=0),0,IF(C197=0,"New",(D197-C197)/C197))</f>
        <v>New</v>
      </c>
      <c r="G197" s="10" t="n">
        <f aca="false">SUMIFS('Source 2025'!$I:$I,'Source 2025'!$B:$B,$A197,'Source 2025'!$A:$A,"Amount (NIS)")</f>
        <v>0</v>
      </c>
      <c r="H197" s="10" t="n">
        <f aca="false">SUMIFS('Source 2026'!$I:$I,'Source 2026'!$B:$B,$A197,'Source 2026'!$A:$A,"Amount (NIS)")</f>
        <v>-297.8</v>
      </c>
      <c r="I197" s="10" t="n">
        <f aca="false">H197-G197</f>
        <v>-297.8</v>
      </c>
      <c r="J197" s="9" t="str">
        <f aca="false">IF(AND(G197=0,H197=0),0,IF(G197=0,"New",(H197-G197)/G197))</f>
        <v>New</v>
      </c>
    </row>
    <row r="198" customFormat="false" ht="15" hidden="false" customHeight="false" outlineLevel="0" collapsed="false">
      <c r="A198" s="7" t="s">
        <v>353</v>
      </c>
      <c r="B198" s="7" t="str">
        <f aca="false">IFERROR(INDEX('Source 2026'!$C:$C,MATCH($A198,'Source 2026'!$B:$B,0)),IFERROR(INDEX('Source 2025'!$C:$C,MATCH($A198,'Source 2025'!$B:$B,0)),""))</f>
        <v>תתמדרס.ציפוי עור גבר זו43</v>
      </c>
      <c r="C198" s="8" t="n">
        <f aca="false">SUMIFS('Source 2025'!$I:$I,'Source 2025'!$B:$B,$A198,'Source 2025'!$A:$A,"Quantity (units)")</f>
        <v>-4</v>
      </c>
      <c r="D198" s="8" t="n">
        <f aca="false">SUMIFS('Source 2026'!$I:$I,'Source 2026'!$B:$B,$A198,'Source 2026'!$A:$A,"Quantity (units)")</f>
        <v>-1</v>
      </c>
      <c r="E198" s="8" t="n">
        <f aca="false">D198-C198</f>
        <v>3</v>
      </c>
      <c r="F198" s="9" t="n">
        <f aca="false">IF(AND(C198=0,D198=0),0,IF(C198=0,"New",(D198-C198)/C198))</f>
        <v>-0.75</v>
      </c>
      <c r="G198" s="10" t="n">
        <f aca="false">SUMIFS('Source 2025'!$I:$I,'Source 2025'!$B:$B,$A198,'Source 2025'!$A:$A,"Amount (NIS)")</f>
        <v>-387</v>
      </c>
      <c r="H198" s="10" t="n">
        <f aca="false">SUMIFS('Source 2026'!$I:$I,'Source 2026'!$B:$B,$A198,'Source 2026'!$A:$A,"Amount (NIS)")</f>
        <v>-96.7</v>
      </c>
      <c r="I198" s="10" t="n">
        <f aca="false">H198-G198</f>
        <v>290.3</v>
      </c>
      <c r="J198" s="9" t="n">
        <f aca="false">IF(AND(G198=0,H198=0),0,IF(G198=0,"New",(H198-G198)/G198))</f>
        <v>-0.750129198966408</v>
      </c>
    </row>
    <row r="199" customFormat="false" ht="15" hidden="false" customHeight="false" outlineLevel="0" collapsed="false">
      <c r="A199" s="7" t="s">
        <v>225</v>
      </c>
      <c r="B199" s="7" t="str">
        <f aca="false">IFERROR(INDEX('Source 2026'!$C:$C,MATCH($A199,'Source 2026'!$B:$B,0)),IFERROR(INDEX('Source 2025'!$C:$C,MATCH($A199,'Source 2025'!$B:$B,0)),""))</f>
        <v>ריפוד סיליקון לנעלי אצבע</v>
      </c>
      <c r="C199" s="8" t="n">
        <f aca="false">SUMIFS('Source 2025'!$I:$I,'Source 2025'!$B:$B,$A199,'Source 2025'!$A:$A,"Quantity (units)")</f>
        <v>1</v>
      </c>
      <c r="D199" s="8" t="n">
        <f aca="false">SUMIFS('Source 2026'!$I:$I,'Source 2026'!$B:$B,$A199,'Source 2026'!$A:$A,"Quantity (units)")</f>
        <v>8</v>
      </c>
      <c r="E199" s="8" t="n">
        <f aca="false">D199-C199</f>
        <v>7</v>
      </c>
      <c r="F199" s="9" t="n">
        <f aca="false">IF(AND(C199=0,D199=0),0,IF(C199=0,"New",(D199-C199)/C199))</f>
        <v>7</v>
      </c>
      <c r="G199" s="10" t="n">
        <f aca="false">SUMIFS('Source 2025'!$I:$I,'Source 2025'!$B:$B,$A199,'Source 2025'!$A:$A,"Amount (NIS)")</f>
        <v>-70.3</v>
      </c>
      <c r="H199" s="10" t="n">
        <f aca="false">SUMIFS('Source 2026'!$I:$I,'Source 2026'!$B:$B,$A199,'Source 2026'!$A:$A,"Amount (NIS)")</f>
        <v>196</v>
      </c>
      <c r="I199" s="10" t="n">
        <f aca="false">H199-G199</f>
        <v>266.3</v>
      </c>
      <c r="J199" s="9" t="n">
        <f aca="false">IF(AND(G199=0,H199=0),0,IF(G199=0,"New",(H199-G199)/G199))</f>
        <v>-3.78805120910384</v>
      </c>
    </row>
    <row r="200" customFormat="false" ht="15" hidden="false" customHeight="false" outlineLevel="0" collapsed="false">
      <c r="A200" s="7" t="s">
        <v>203</v>
      </c>
      <c r="B200" s="7" t="str">
        <f aca="false">IFERROR(INDEX('Source 2026'!$C:$C,MATCH($A200,'Source 2026'!$B:$B,0)),IFERROR(INDEX('Source 2025'!$C:$C,MATCH($A200,'Source 2025'!$B:$B,0)),""))</f>
        <v>יד לטניס כרית סילי</v>
      </c>
      <c r="C200" s="8" t="n">
        <f aca="false">SUMIFS('Source 2025'!$I:$I,'Source 2025'!$B:$B,$A200,'Source 2025'!$A:$A,"Quantity (units)")</f>
        <v>-2</v>
      </c>
      <c r="D200" s="8" t="n">
        <f aca="false">SUMIFS('Source 2026'!$I:$I,'Source 2026'!$B:$B,$A200,'Source 2026'!$A:$A,"Quantity (units)")</f>
        <v>0</v>
      </c>
      <c r="E200" s="8" t="n">
        <f aca="false">D200-C200</f>
        <v>2</v>
      </c>
      <c r="F200" s="9" t="n">
        <f aca="false">IF(AND(C200=0,D200=0),0,IF(C200=0,"New",(D200-C200)/C200))</f>
        <v>-1</v>
      </c>
      <c r="G200" s="10" t="n">
        <f aca="false">SUMIFS('Source 2025'!$I:$I,'Source 2025'!$B:$B,$A200,'Source 2025'!$A:$A,"Amount (NIS)")</f>
        <v>-262.1</v>
      </c>
      <c r="H200" s="10" t="n">
        <f aca="false">SUMIFS('Source 2026'!$I:$I,'Source 2026'!$B:$B,$A200,'Source 2026'!$A:$A,"Amount (NIS)")</f>
        <v>0</v>
      </c>
      <c r="I200" s="10" t="n">
        <f aca="false">H200-G200</f>
        <v>262.1</v>
      </c>
      <c r="J200" s="9" t="n">
        <f aca="false">IF(AND(G200=0,H200=0),0,IF(G200=0,"New",(H200-G200)/G200))</f>
        <v>-1</v>
      </c>
    </row>
    <row r="201" customFormat="false" ht="15" hidden="false" customHeight="false" outlineLevel="0" collapsed="false">
      <c r="A201" s="7" t="s">
        <v>204</v>
      </c>
      <c r="B201" s="7" t="str">
        <f aca="false">IFERROR(INDEX('Source 2026'!$C:$C,MATCH($A201,'Source 2026'!$B:$B,0)),IFERROR(INDEX('Source 2025'!$C:$C,MATCH($A201,'Source 2025'!$B:$B,0)),""))</f>
        <v>Mמתלה ליד)כיס(+רצועת חיזוק</v>
      </c>
      <c r="C201" s="8" t="n">
        <f aca="false">SUMIFS('Source 2025'!$I:$I,'Source 2025'!$B:$B,$A201,'Source 2025'!$A:$A,"Quantity (units)")</f>
        <v>3</v>
      </c>
      <c r="D201" s="8" t="n">
        <f aca="false">SUMIFS('Source 2026'!$I:$I,'Source 2026'!$B:$B,$A201,'Source 2026'!$A:$A,"Quantity (units)")</f>
        <v>0</v>
      </c>
      <c r="E201" s="8" t="n">
        <f aca="false">D201-C201</f>
        <v>-3</v>
      </c>
      <c r="F201" s="9" t="n">
        <f aca="false">IF(AND(C201=0,D201=0),0,IF(C201=0,"New",(D201-C201)/C201))</f>
        <v>-1</v>
      </c>
      <c r="G201" s="10" t="n">
        <f aca="false">SUMIFS('Source 2025'!$I:$I,'Source 2025'!$B:$B,$A201,'Source 2025'!$A:$A,"Amount (NIS)")</f>
        <v>248.7</v>
      </c>
      <c r="H201" s="10" t="n">
        <f aca="false">SUMIFS('Source 2026'!$I:$I,'Source 2026'!$B:$B,$A201,'Source 2026'!$A:$A,"Amount (NIS)")</f>
        <v>0</v>
      </c>
      <c r="I201" s="10" t="n">
        <f aca="false">H201-G201</f>
        <v>-248.7</v>
      </c>
      <c r="J201" s="9" t="n">
        <f aca="false">IF(AND(G201=0,H201=0),0,IF(G201=0,"New",(H201-G201)/G201))</f>
        <v>-1</v>
      </c>
    </row>
    <row r="202" customFormat="false" ht="15" hidden="false" customHeight="false" outlineLevel="0" collapsed="false">
      <c r="A202" s="7" t="s">
        <v>302</v>
      </c>
      <c r="B202" s="7" t="str">
        <f aca="false">IFERROR(INDEX('Source 2026'!$C:$C,MATCH($A202,'Source 2026'!$B:$B,0)),IFERROR(INDEX('Source 2025'!$C:$C,MATCH($A202,'Source 2025'!$B:$B,0)),""))</f>
        <v>מגן ירך</v>
      </c>
      <c r="C202" s="8" t="n">
        <f aca="false">SUMIFS('Source 2025'!$I:$I,'Source 2025'!$B:$B,$A202,'Source 2025'!$A:$A,"Quantity (units)")</f>
        <v>5</v>
      </c>
      <c r="D202" s="8" t="n">
        <f aca="false">SUMIFS('Source 2026'!$I:$I,'Source 2026'!$B:$B,$A202,'Source 2026'!$A:$A,"Quantity (units)")</f>
        <v>0</v>
      </c>
      <c r="E202" s="8" t="n">
        <f aca="false">D202-C202</f>
        <v>-5</v>
      </c>
      <c r="F202" s="9" t="n">
        <f aca="false">IF(AND(C202=0,D202=0),0,IF(C202=0,"New",(D202-C202)/C202))</f>
        <v>-1</v>
      </c>
      <c r="G202" s="10" t="n">
        <f aca="false">SUMIFS('Source 2025'!$I:$I,'Source 2025'!$B:$B,$A202,'Source 2025'!$A:$A,"Amount (NIS)")</f>
        <v>245.6</v>
      </c>
      <c r="H202" s="10" t="n">
        <f aca="false">SUMIFS('Source 2026'!$I:$I,'Source 2026'!$B:$B,$A202,'Source 2026'!$A:$A,"Amount (NIS)")</f>
        <v>0</v>
      </c>
      <c r="I202" s="10" t="n">
        <f aca="false">H202-G202</f>
        <v>-245.6</v>
      </c>
      <c r="J202" s="9" t="n">
        <f aca="false">IF(AND(G202=0,H202=0),0,IF(G202=0,"New",(H202-G202)/G202))</f>
        <v>-1</v>
      </c>
    </row>
    <row r="203" customFormat="false" ht="15" hidden="false" customHeight="false" outlineLevel="0" collapsed="false">
      <c r="A203" s="7" t="s">
        <v>205</v>
      </c>
      <c r="B203" s="7" t="str">
        <f aca="false">IFERROR(INDEX('Source 2026'!$C:$C,MATCH($A203,'Source 2026'!$B:$B,0)),IFERROR(INDEX('Source 2025'!$C:$C,MATCH($A203,'Source 2025'!$B:$B,0)),""))</f>
        <v>S תתמוקפאעקב סיליקון+ קשת</v>
      </c>
      <c r="C203" s="8" t="n">
        <f aca="false">SUMIFS('Source 2025'!$I:$I,'Source 2025'!$B:$B,$A203,'Source 2025'!$A:$A,"Quantity (units)")</f>
        <v>-3</v>
      </c>
      <c r="D203" s="8" t="n">
        <f aca="false">SUMIFS('Source 2026'!$I:$I,'Source 2026'!$B:$B,$A203,'Source 2026'!$A:$A,"Quantity (units)")</f>
        <v>0</v>
      </c>
      <c r="E203" s="8" t="n">
        <f aca="false">D203-C203</f>
        <v>3</v>
      </c>
      <c r="F203" s="9" t="n">
        <f aca="false">IF(AND(C203=0,D203=0),0,IF(C203=0,"New",(D203-C203)/C203))</f>
        <v>-1</v>
      </c>
      <c r="G203" s="10" t="n">
        <f aca="false">SUMIFS('Source 2025'!$I:$I,'Source 2025'!$B:$B,$A203,'Source 2025'!$A:$A,"Amount (NIS)")</f>
        <v>-241.3</v>
      </c>
      <c r="H203" s="10" t="n">
        <f aca="false">SUMIFS('Source 2026'!$I:$I,'Source 2026'!$B:$B,$A203,'Source 2026'!$A:$A,"Amount (NIS)")</f>
        <v>0</v>
      </c>
      <c r="I203" s="10" t="n">
        <f aca="false">H203-G203</f>
        <v>241.3</v>
      </c>
      <c r="J203" s="9" t="n">
        <f aca="false">IF(AND(G203=0,H203=0),0,IF(G203=0,"New",(H203-G203)/G203))</f>
        <v>-1</v>
      </c>
    </row>
    <row r="204" customFormat="false" ht="15" hidden="false" customHeight="false" outlineLevel="0" collapsed="false">
      <c r="A204" s="7" t="s">
        <v>221</v>
      </c>
      <c r="B204" s="7" t="str">
        <f aca="false">IFERROR(INDEX('Source 2026'!$C:$C,MATCH($A204,'Source 2026'!$B:$B,0)),IFERROR(INDEX('Source 2025'!$C:$C,MATCH($A204,'Source 2025'!$B:$B,0)),""))</f>
        <v>099 חגורת גב שרוכים</v>
      </c>
      <c r="C204" s="8" t="n">
        <f aca="false">SUMIFS('Source 2025'!$I:$I,'Source 2025'!$B:$B,$A204,'Source 2025'!$A:$A,"Quantity (units)")</f>
        <v>0</v>
      </c>
      <c r="D204" s="8" t="n">
        <f aca="false">SUMIFS('Source 2026'!$I:$I,'Source 2026'!$B:$B,$A204,'Source 2026'!$A:$A,"Quantity (units)")</f>
        <v>-2</v>
      </c>
      <c r="E204" s="8" t="n">
        <f aca="false">D204-C204</f>
        <v>-2</v>
      </c>
      <c r="F204" s="9" t="str">
        <f aca="false">IF(AND(C204=0,D204=0),0,IF(C204=0,"New",(D204-C204)/C204))</f>
        <v>New</v>
      </c>
      <c r="G204" s="10" t="n">
        <f aca="false">SUMIFS('Source 2025'!$I:$I,'Source 2025'!$B:$B,$A204,'Source 2025'!$A:$A,"Amount (NIS)")</f>
        <v>0</v>
      </c>
      <c r="H204" s="10" t="n">
        <f aca="false">SUMIFS('Source 2026'!$I:$I,'Source 2026'!$B:$B,$A204,'Source 2026'!$A:$A,"Amount (NIS)")</f>
        <v>-240.3</v>
      </c>
      <c r="I204" s="10" t="n">
        <f aca="false">H204-G204</f>
        <v>-240.3</v>
      </c>
      <c r="J204" s="9" t="str">
        <f aca="false">IF(AND(G204=0,H204=0),0,IF(G204=0,"New",(H204-G204)/G204))</f>
        <v>New</v>
      </c>
    </row>
    <row r="205" customFormat="false" ht="15" hidden="false" customHeight="false" outlineLevel="0" collapsed="false">
      <c r="A205" s="7" t="s">
        <v>268</v>
      </c>
      <c r="B205" s="7" t="str">
        <f aca="false">IFERROR(INDEX('Source 2026'!$C:$C,MATCH($A205,'Source 2026'!$B:$B,0)),IFERROR(INDEX('Source 2025'!$C:$C,MATCH($A205,'Source 2025'!$B:$B,0)),""))</f>
        <v>L מגן קרסול שחור</v>
      </c>
      <c r="C205" s="8" t="n">
        <f aca="false">SUMIFS('Source 2025'!$I:$I,'Source 2025'!$B:$B,$A205,'Source 2025'!$A:$A,"Quantity (units)")</f>
        <v>6</v>
      </c>
      <c r="D205" s="8" t="n">
        <f aca="false">SUMIFS('Source 2026'!$I:$I,'Source 2026'!$B:$B,$A205,'Source 2026'!$A:$A,"Quantity (units)")</f>
        <v>12</v>
      </c>
      <c r="E205" s="8" t="n">
        <f aca="false">D205-C205</f>
        <v>6</v>
      </c>
      <c r="F205" s="9" t="n">
        <f aca="false">IF(AND(C205=0,D205=0),0,IF(C205=0,"New",(D205-C205)/C205))</f>
        <v>1</v>
      </c>
      <c r="G205" s="10" t="n">
        <f aca="false">SUMIFS('Source 2025'!$I:$I,'Source 2025'!$B:$B,$A205,'Source 2025'!$A:$A,"Amount (NIS)")</f>
        <v>148.6</v>
      </c>
      <c r="H205" s="10" t="n">
        <f aca="false">SUMIFS('Source 2026'!$I:$I,'Source 2026'!$B:$B,$A205,'Source 2026'!$A:$A,"Amount (NIS)")</f>
        <v>370.8</v>
      </c>
      <c r="I205" s="10" t="n">
        <f aca="false">H205-G205</f>
        <v>222.2</v>
      </c>
      <c r="J205" s="9" t="n">
        <f aca="false">IF(AND(G205=0,H205=0),0,IF(G205=0,"New",(H205-G205)/G205))</f>
        <v>1.49528936742934</v>
      </c>
    </row>
    <row r="206" customFormat="false" ht="15" hidden="false" customHeight="false" outlineLevel="0" collapsed="false">
      <c r="A206" s="7" t="s">
        <v>206</v>
      </c>
      <c r="B206" s="7" t="str">
        <f aca="false">IFERROR(INDEX('Source 2026'!$C:$C,MATCH($A206,'Source 2026'!$B:$B,0)),IFERROR(INDEX('Source 2025'!$C:$C,MATCH($A206,'Source 2025'!$B:$B,0)),""))</f>
        <v>קרסול עם שרוכים בז</v>
      </c>
      <c r="C206" s="8" t="n">
        <f aca="false">SUMIFS('Source 2025'!$I:$I,'Source 2025'!$B:$B,$A206,'Source 2025'!$A:$A,"Quantity (units)")</f>
        <v>-2</v>
      </c>
      <c r="D206" s="8" t="n">
        <f aca="false">SUMIFS('Source 2026'!$I:$I,'Source 2026'!$B:$B,$A206,'Source 2026'!$A:$A,"Quantity (units)")</f>
        <v>0</v>
      </c>
      <c r="E206" s="8" t="n">
        <f aca="false">D206-C206</f>
        <v>2</v>
      </c>
      <c r="F206" s="9" t="n">
        <f aca="false">IF(AND(C206=0,D206=0),0,IF(C206=0,"New",(D206-C206)/C206))</f>
        <v>-1</v>
      </c>
      <c r="G206" s="10" t="n">
        <f aca="false">SUMIFS('Source 2025'!$I:$I,'Source 2025'!$B:$B,$A206,'Source 2025'!$A:$A,"Amount (NIS)")</f>
        <v>-213</v>
      </c>
      <c r="H206" s="10" t="n">
        <f aca="false">SUMIFS('Source 2026'!$I:$I,'Source 2026'!$B:$B,$A206,'Source 2026'!$A:$A,"Amount (NIS)")</f>
        <v>0</v>
      </c>
      <c r="I206" s="10" t="n">
        <f aca="false">H206-G206</f>
        <v>213</v>
      </c>
      <c r="J206" s="9" t="n">
        <f aca="false">IF(AND(G206=0,H206=0),0,IF(G206=0,"New",(H206-G206)/G206))</f>
        <v>-1</v>
      </c>
    </row>
    <row r="207" customFormat="false" ht="15" hidden="false" customHeight="false" outlineLevel="0" collapsed="false">
      <c r="A207" s="7" t="s">
        <v>208</v>
      </c>
      <c r="B207" s="7" t="str">
        <f aca="false">IFERROR(INDEX('Source 2026'!$C:$C,MATCH($A207,'Source 2026'!$B:$B,0)),IFERROR(INDEX('Source 2025'!$C:$C,MATCH($A207,'Source 2025'!$B:$B,0)),""))</f>
        <v>L מגן ברך לסקי</v>
      </c>
      <c r="C207" s="8" t="n">
        <f aca="false">SUMIFS('Source 2025'!$I:$I,'Source 2025'!$B:$B,$A207,'Source 2025'!$A:$A,"Quantity (units)")</f>
        <v>0</v>
      </c>
      <c r="D207" s="8" t="n">
        <f aca="false">SUMIFS('Source 2026'!$I:$I,'Source 2026'!$B:$B,$A207,'Source 2026'!$A:$A,"Quantity (units)")</f>
        <v>-1</v>
      </c>
      <c r="E207" s="8" t="n">
        <f aca="false">D207-C207</f>
        <v>-1</v>
      </c>
      <c r="F207" s="9" t="str">
        <f aca="false">IF(AND(C207=0,D207=0),0,IF(C207=0,"New",(D207-C207)/C207))</f>
        <v>New</v>
      </c>
      <c r="G207" s="10" t="n">
        <f aca="false">SUMIFS('Source 2025'!$I:$I,'Source 2025'!$B:$B,$A207,'Source 2025'!$A:$A,"Amount (NIS)")</f>
        <v>0</v>
      </c>
      <c r="H207" s="10" t="n">
        <f aca="false">SUMIFS('Source 2026'!$I:$I,'Source 2026'!$B:$B,$A207,'Source 2026'!$A:$A,"Amount (NIS)")</f>
        <v>-204.8</v>
      </c>
      <c r="I207" s="10" t="n">
        <f aca="false">H207-G207</f>
        <v>-204.8</v>
      </c>
      <c r="J207" s="9" t="str">
        <f aca="false">IF(AND(G207=0,H207=0),0,IF(G207=0,"New",(H207-G207)/G207))</f>
        <v>New</v>
      </c>
    </row>
    <row r="208" customFormat="false" ht="15" hidden="false" customHeight="false" outlineLevel="0" collapsed="false">
      <c r="A208" s="7" t="s">
        <v>253</v>
      </c>
      <c r="B208" s="7" t="str">
        <f aca="false">IFERROR(INDEX('Source 2026'!$C:$C,MATCH($A208,'Source 2026'!$B:$B,0)),IFERROR(INDEX('Source 2025'!$C:$C,MATCH($A208,'Source 2025'!$B:$B,0)),""))</f>
        <v>XLסד ליד שמאל</v>
      </c>
      <c r="C208" s="8" t="n">
        <f aca="false">SUMIFS('Source 2025'!$I:$I,'Source 2025'!$B:$B,$A208,'Source 2025'!$A:$A,"Quantity (units)")</f>
        <v>-2</v>
      </c>
      <c r="D208" s="8" t="n">
        <f aca="false">SUMIFS('Source 2026'!$I:$I,'Source 2026'!$B:$B,$A208,'Source 2026'!$A:$A,"Quantity (units)")</f>
        <v>-1</v>
      </c>
      <c r="E208" s="8" t="n">
        <f aca="false">D208-C208</f>
        <v>1</v>
      </c>
      <c r="F208" s="9" t="n">
        <f aca="false">IF(AND(C208=0,D208=0),0,IF(C208=0,"New",(D208-C208)/C208))</f>
        <v>-0.5</v>
      </c>
      <c r="G208" s="10" t="n">
        <f aca="false">SUMIFS('Source 2025'!$I:$I,'Source 2025'!$B:$B,$A208,'Source 2025'!$A:$A,"Amount (NIS)")</f>
        <v>-194.1</v>
      </c>
      <c r="H208" s="10" t="n">
        <f aca="false">SUMIFS('Source 2026'!$I:$I,'Source 2026'!$B:$B,$A208,'Source 2026'!$A:$A,"Amount (NIS)")</f>
        <v>0</v>
      </c>
      <c r="I208" s="10" t="n">
        <f aca="false">H208-G208</f>
        <v>194.1</v>
      </c>
      <c r="J208" s="9" t="n">
        <f aca="false">IF(AND(G208=0,H208=0),0,IF(G208=0,"New",(H208-G208)/G208))</f>
        <v>-1</v>
      </c>
    </row>
    <row r="209" customFormat="false" ht="15" hidden="false" customHeight="false" outlineLevel="0" collapsed="false">
      <c r="A209" s="7" t="s">
        <v>274</v>
      </c>
      <c r="B209" s="7" t="str">
        <f aca="false">IFERROR(INDEX('Source 2026'!$C:$C,MATCH($A209,'Source 2026'!$B:$B,0)),IFERROR(INDEX('Source 2025'!$C:$C,MATCH($A209,'Source 2025'!$B:$B,0)),""))</f>
        <v>L מגן מרפק שחור</v>
      </c>
      <c r="C209" s="8" t="n">
        <f aca="false">SUMIFS('Source 2025'!$I:$I,'Source 2025'!$B:$B,$A209,'Source 2025'!$A:$A,"Quantity (units)")</f>
        <v>6</v>
      </c>
      <c r="D209" s="8" t="n">
        <f aca="false">SUMIFS('Source 2026'!$I:$I,'Source 2026'!$B:$B,$A209,'Source 2026'!$A:$A,"Quantity (units)")</f>
        <v>12</v>
      </c>
      <c r="E209" s="8" t="n">
        <f aca="false">D209-C209</f>
        <v>6</v>
      </c>
      <c r="F209" s="9" t="n">
        <f aca="false">IF(AND(C209=0,D209=0),0,IF(C209=0,"New",(D209-C209)/C209))</f>
        <v>1</v>
      </c>
      <c r="G209" s="10" t="n">
        <f aca="false">SUMIFS('Source 2025'!$I:$I,'Source 2025'!$B:$B,$A209,'Source 2025'!$A:$A,"Amount (NIS)")</f>
        <v>178.5</v>
      </c>
      <c r="H209" s="10" t="n">
        <f aca="false">SUMIFS('Source 2026'!$I:$I,'Source 2026'!$B:$B,$A209,'Source 2026'!$A:$A,"Amount (NIS)")</f>
        <v>370.8</v>
      </c>
      <c r="I209" s="10" t="n">
        <f aca="false">H209-G209</f>
        <v>192.3</v>
      </c>
      <c r="J209" s="9" t="n">
        <f aca="false">IF(AND(G209=0,H209=0),0,IF(G209=0,"New",(H209-G209)/G209))</f>
        <v>1.07731092436975</v>
      </c>
    </row>
    <row r="210" customFormat="false" ht="15" hidden="false" customHeight="false" outlineLevel="0" collapsed="false">
      <c r="A210" s="7" t="s">
        <v>283</v>
      </c>
      <c r="B210" s="7" t="str">
        <f aca="false">IFERROR(INDEX('Source 2026'!$C:$C,MATCH($A210,'Source 2026'!$B:$B,0)),IFERROR(INDEX('Source 2025'!$C:$C,MATCH($A210,'Source 2025'!$B:$B,0)),""))</f>
        <v>לחץ א.הבוניון</v>
      </c>
      <c r="C210" s="8" t="n">
        <f aca="false">SUMIFS('Source 2025'!$I:$I,'Source 2025'!$B:$B,$A210,'Source 2025'!$A:$A,"Quantity (units)")</f>
        <v>38</v>
      </c>
      <c r="D210" s="8" t="n">
        <f aca="false">SUMIFS('Source 2026'!$I:$I,'Source 2026'!$B:$B,$A210,'Source 2026'!$A:$A,"Quantity (units)")</f>
        <v>29</v>
      </c>
      <c r="E210" s="8" t="n">
        <f aca="false">D210-C210</f>
        <v>-9</v>
      </c>
      <c r="F210" s="9" t="n">
        <f aca="false">IF(AND(C210=0,D210=0),0,IF(C210=0,"New",(D210-C210)/C210))</f>
        <v>-0.236842105263158</v>
      </c>
      <c r="G210" s="10" t="n">
        <f aca="false">SUMIFS('Source 2025'!$I:$I,'Source 2025'!$B:$B,$A210,'Source 2025'!$A:$A,"Amount (NIS)")</f>
        <v>705.2</v>
      </c>
      <c r="H210" s="10" t="n">
        <f aca="false">SUMIFS('Source 2026'!$I:$I,'Source 2026'!$B:$B,$A210,'Source 2026'!$A:$A,"Amount (NIS)")</f>
        <v>524.8</v>
      </c>
      <c r="I210" s="10" t="n">
        <f aca="false">H210-G210</f>
        <v>-180.4</v>
      </c>
      <c r="J210" s="9" t="n">
        <f aca="false">IF(AND(G210=0,H210=0),0,IF(G210=0,"New",(H210-G210)/G210))</f>
        <v>-0.255813953488372</v>
      </c>
    </row>
    <row r="211" customFormat="false" ht="15" hidden="false" customHeight="false" outlineLevel="0" collapsed="false">
      <c r="A211" s="7" t="s">
        <v>254</v>
      </c>
      <c r="B211" s="7" t="str">
        <f aca="false">IFERROR(INDEX('Source 2026'!$C:$C,MATCH($A211,'Source 2026'!$B:$B,0)),IFERROR(INDEX('Source 2025'!$C:$C,MATCH($A211,'Source 2025'!$B:$B,0)),""))</f>
        <v>L מיצב פיקה</v>
      </c>
      <c r="C211" s="8" t="n">
        <f aca="false">SUMIFS('Source 2025'!$I:$I,'Source 2025'!$B:$B,$A211,'Source 2025'!$A:$A,"Quantity (units)")</f>
        <v>1</v>
      </c>
      <c r="D211" s="8" t="n">
        <f aca="false">SUMIFS('Source 2026'!$I:$I,'Source 2026'!$B:$B,$A211,'Source 2026'!$A:$A,"Quantity (units)")</f>
        <v>-1</v>
      </c>
      <c r="E211" s="8" t="n">
        <f aca="false">D211-C211</f>
        <v>-2</v>
      </c>
      <c r="F211" s="9" t="n">
        <f aca="false">IF(AND(C211=0,D211=0),0,IF(C211=0,"New",(D211-C211)/C211))</f>
        <v>-2</v>
      </c>
      <c r="G211" s="10" t="n">
        <f aca="false">SUMIFS('Source 2025'!$I:$I,'Source 2025'!$B:$B,$A211,'Source 2025'!$A:$A,"Amount (NIS)")</f>
        <v>94.5</v>
      </c>
      <c r="H211" s="10" t="n">
        <f aca="false">SUMIFS('Source 2026'!$I:$I,'Source 2026'!$B:$B,$A211,'Source 2026'!$A:$A,"Amount (NIS)")</f>
        <v>-81.9</v>
      </c>
      <c r="I211" s="10" t="n">
        <f aca="false">H211-G211</f>
        <v>-176.4</v>
      </c>
      <c r="J211" s="9" t="n">
        <f aca="false">IF(AND(G211=0,H211=0),0,IF(G211=0,"New",(H211-G211)/G211))</f>
        <v>-1.86666666666667</v>
      </c>
    </row>
    <row r="212" customFormat="false" ht="15" hidden="false" customHeight="false" outlineLevel="0" collapsed="false">
      <c r="A212" s="7" t="s">
        <v>214</v>
      </c>
      <c r="B212" s="7" t="str">
        <f aca="false">IFERROR(INDEX('Source 2026'!$C:$C,MATCH($A212,'Source 2026'!$B:$B,0)),IFERROR(INDEX('Source 2025'!$C:$C,MATCH($A212,'Source 2025'!$B:$B,0)),""))</f>
        <v>L-XL רצועת טניס אלבו</v>
      </c>
      <c r="C212" s="8" t="n">
        <f aca="false">SUMIFS('Source 2025'!$I:$I,'Source 2025'!$B:$B,$A212,'Source 2025'!$A:$A,"Quantity (units)")</f>
        <v>-4</v>
      </c>
      <c r="D212" s="8" t="n">
        <f aca="false">SUMIFS('Source 2026'!$I:$I,'Source 2026'!$B:$B,$A212,'Source 2026'!$A:$A,"Quantity (units)")</f>
        <v>-1</v>
      </c>
      <c r="E212" s="8" t="n">
        <f aca="false">D212-C212</f>
        <v>3</v>
      </c>
      <c r="F212" s="9" t="n">
        <f aca="false">IF(AND(C212=0,D212=0),0,IF(C212=0,"New",(D212-C212)/C212))</f>
        <v>-0.75</v>
      </c>
      <c r="G212" s="10" t="n">
        <f aca="false">SUMIFS('Source 2025'!$I:$I,'Source 2025'!$B:$B,$A212,'Source 2025'!$A:$A,"Amount (NIS)")</f>
        <v>-219.2</v>
      </c>
      <c r="H212" s="10" t="n">
        <f aca="false">SUMIFS('Source 2026'!$I:$I,'Source 2026'!$B:$B,$A212,'Source 2026'!$A:$A,"Amount (NIS)")</f>
        <v>-49.1</v>
      </c>
      <c r="I212" s="10" t="n">
        <f aca="false">H212-G212</f>
        <v>170.1</v>
      </c>
      <c r="J212" s="9" t="n">
        <f aca="false">IF(AND(G212=0,H212=0),0,IF(G212=0,"New",(H212-G212)/G212))</f>
        <v>-0.776003649635037</v>
      </c>
    </row>
    <row r="213" customFormat="false" ht="15" hidden="false" customHeight="false" outlineLevel="0" collapsed="false">
      <c r="A213" s="7" t="s">
        <v>212</v>
      </c>
      <c r="B213" s="7" t="str">
        <f aca="false">IFERROR(INDEX('Source 2026'!$C:$C,MATCH($A213,'Source 2026'!$B:$B,0)),IFERROR(INDEX('Source 2025'!$C:$C,MATCH($A213,'Source 2025'!$B:$B,0)),""))</f>
        <v>כפפות אגודל לחץ</v>
      </c>
      <c r="C213" s="8" t="n">
        <f aca="false">SUMIFS('Source 2025'!$I:$I,'Source 2025'!$B:$B,$A213,'Source 2025'!$A:$A,"Quantity (units)")</f>
        <v>62</v>
      </c>
      <c r="D213" s="8" t="n">
        <f aca="false">SUMIFS('Source 2026'!$I:$I,'Source 2026'!$B:$B,$A213,'Source 2026'!$A:$A,"Quantity (units)")</f>
        <v>54</v>
      </c>
      <c r="E213" s="8" t="n">
        <f aca="false">D213-C213</f>
        <v>-8</v>
      </c>
      <c r="F213" s="9" t="n">
        <f aca="false">IF(AND(C213=0,D213=0),0,IF(C213=0,"New",(D213-C213)/C213))</f>
        <v>-0.129032258064516</v>
      </c>
      <c r="G213" s="10" t="n">
        <f aca="false">SUMIFS('Source 2025'!$I:$I,'Source 2025'!$B:$B,$A213,'Source 2025'!$A:$A,"Amount (NIS)")</f>
        <v>1770</v>
      </c>
      <c r="H213" s="10" t="n">
        <f aca="false">SUMIFS('Source 2026'!$I:$I,'Source 2026'!$B:$B,$A213,'Source 2026'!$A:$A,"Amount (NIS)")</f>
        <v>1600</v>
      </c>
      <c r="I213" s="10" t="n">
        <f aca="false">H213-G213</f>
        <v>-170</v>
      </c>
      <c r="J213" s="9" t="n">
        <f aca="false">IF(AND(G213=0,H213=0),0,IF(G213=0,"New",(H213-G213)/G213))</f>
        <v>-0.096045197740113</v>
      </c>
    </row>
    <row r="214" customFormat="false" ht="15" hidden="false" customHeight="false" outlineLevel="0" collapsed="false">
      <c r="A214" s="7" t="s">
        <v>284</v>
      </c>
      <c r="B214" s="7" t="str">
        <f aca="false">IFERROR(INDEX('Source 2026'!$C:$C,MATCH($A214,'Source 2026'!$B:$B,0)),IFERROR(INDEX('Source 2025'!$C:$C,MATCH($A214,'Source 2025'!$B:$B,0)),""))</f>
        <v>לחץ מיבלת2יח</v>
      </c>
      <c r="C214" s="8" t="n">
        <f aca="false">SUMIFS('Source 2025'!$I:$I,'Source 2025'!$B:$B,$A214,'Source 2025'!$A:$A,"Quantity (units)")</f>
        <v>88</v>
      </c>
      <c r="D214" s="8" t="n">
        <f aca="false">SUMIFS('Source 2026'!$I:$I,'Source 2026'!$B:$B,$A214,'Source 2026'!$A:$A,"Quantity (units)")</f>
        <v>73</v>
      </c>
      <c r="E214" s="8" t="n">
        <f aca="false">D214-C214</f>
        <v>-15</v>
      </c>
      <c r="F214" s="9" t="n">
        <f aca="false">IF(AND(C214=0,D214=0),0,IF(C214=0,"New",(D214-C214)/C214))</f>
        <v>-0.170454545454545</v>
      </c>
      <c r="G214" s="10" t="n">
        <f aca="false">SUMIFS('Source 2025'!$I:$I,'Source 2025'!$B:$B,$A214,'Source 2025'!$A:$A,"Amount (NIS)")</f>
        <v>1132.7</v>
      </c>
      <c r="H214" s="10" t="n">
        <f aca="false">SUMIFS('Source 2026'!$I:$I,'Source 2026'!$B:$B,$A214,'Source 2026'!$A:$A,"Amount (NIS)")</f>
        <v>992.1</v>
      </c>
      <c r="I214" s="10" t="n">
        <f aca="false">H214-G214</f>
        <v>-140.6</v>
      </c>
      <c r="J214" s="9" t="n">
        <f aca="false">IF(AND(G214=0,H214=0),0,IF(G214=0,"New",(H214-G214)/G214))</f>
        <v>-0.124128189282246</v>
      </c>
    </row>
    <row r="215" customFormat="false" ht="15" hidden="false" customHeight="false" outlineLevel="0" collapsed="false">
      <c r="A215" s="7" t="s">
        <v>301</v>
      </c>
      <c r="B215" s="7" t="str">
        <f aca="false">IFERROR(INDEX('Source 2026'!$C:$C,MATCH($A215,'Source 2026'!$B:$B,0)),IFERROR(INDEX('Source 2025'!$C:$C,MATCH($A215,'Source 2025'!$B:$B,0)),""))</f>
        <v>רפידת ג'ל כחול36-40</v>
      </c>
      <c r="C215" s="8" t="n">
        <f aca="false">SUMIFS('Source 2025'!$I:$I,'Source 2025'!$B:$B,$A215,'Source 2025'!$A:$A,"Quantity (units)")</f>
        <v>0</v>
      </c>
      <c r="D215" s="8" t="n">
        <f aca="false">SUMIFS('Source 2026'!$I:$I,'Source 2026'!$B:$B,$A215,'Source 2026'!$A:$A,"Quantity (units)")</f>
        <v>-2</v>
      </c>
      <c r="E215" s="8" t="n">
        <f aca="false">D215-C215</f>
        <v>-2</v>
      </c>
      <c r="F215" s="9" t="str">
        <f aca="false">IF(AND(C215=0,D215=0),0,IF(C215=0,"New",(D215-C215)/C215))</f>
        <v>New</v>
      </c>
      <c r="G215" s="10" t="n">
        <f aca="false">SUMIFS('Source 2025'!$I:$I,'Source 2025'!$B:$B,$A215,'Source 2025'!$A:$A,"Amount (NIS)")</f>
        <v>-7.2</v>
      </c>
      <c r="H215" s="10" t="n">
        <f aca="false">SUMIFS('Source 2026'!$I:$I,'Source 2026'!$B:$B,$A215,'Source 2026'!$A:$A,"Amount (NIS)")</f>
        <v>-146.6</v>
      </c>
      <c r="I215" s="10" t="n">
        <f aca="false">H215-G215</f>
        <v>-139.4</v>
      </c>
      <c r="J215" s="9" t="n">
        <f aca="false">IF(AND(G215=0,H215=0),0,IF(G215=0,"New",(H215-G215)/G215))</f>
        <v>19.3611111111111</v>
      </c>
    </row>
    <row r="216" customFormat="false" ht="15" hidden="false" customHeight="false" outlineLevel="0" collapsed="false">
      <c r="A216" s="7" t="s">
        <v>215</v>
      </c>
      <c r="B216" s="7" t="str">
        <f aca="false">IFERROR(INDEX('Source 2026'!$C:$C,MATCH($A216,'Source 2026'!$B:$B,0)),IFERROR(INDEX('Source 2025'!$C:$C,MATCH($A216,'Source 2025'!$B:$B,0)),""))</f>
        <v>.חבישת""הלוקס ולגוס""לאחר נית</v>
      </c>
      <c r="C216" s="8" t="n">
        <f aca="false">SUMIFS('Source 2025'!$I:$I,'Source 2025'!$B:$B,$A216,'Source 2025'!$A:$A,"Quantity (units)")</f>
        <v>-2</v>
      </c>
      <c r="D216" s="8" t="n">
        <f aca="false">SUMIFS('Source 2026'!$I:$I,'Source 2026'!$B:$B,$A216,'Source 2026'!$A:$A,"Quantity (units)")</f>
        <v>0</v>
      </c>
      <c r="E216" s="8" t="n">
        <f aca="false">D216-C216</f>
        <v>2</v>
      </c>
      <c r="F216" s="9" t="n">
        <f aca="false">IF(AND(C216=0,D216=0),0,IF(C216=0,"New",(D216-C216)/C216))</f>
        <v>-1</v>
      </c>
      <c r="G216" s="10" t="n">
        <f aca="false">SUMIFS('Source 2025'!$I:$I,'Source 2025'!$B:$B,$A216,'Source 2025'!$A:$A,"Amount (NIS)")</f>
        <v>-136.3</v>
      </c>
      <c r="H216" s="10" t="n">
        <f aca="false">SUMIFS('Source 2026'!$I:$I,'Source 2026'!$B:$B,$A216,'Source 2026'!$A:$A,"Amount (NIS)")</f>
        <v>0</v>
      </c>
      <c r="I216" s="10" t="n">
        <f aca="false">H216-G216</f>
        <v>136.3</v>
      </c>
      <c r="J216" s="9" t="n">
        <f aca="false">IF(AND(G216=0,H216=0),0,IF(G216=0,"New",(H216-G216)/G216))</f>
        <v>-1</v>
      </c>
    </row>
    <row r="217" customFormat="false" ht="15" hidden="false" customHeight="false" outlineLevel="0" collapsed="false">
      <c r="A217" s="7" t="s">
        <v>216</v>
      </c>
      <c r="B217" s="7" t="str">
        <f aca="false">IFERROR(INDEX('Source 2026'!$C:$C,MATCH($A217,'Source 2026'!$B:$B,0)),IFERROR(INDEX('Source 2025'!$C:$C,MATCH($A217,'Source 2025'!$B:$B,0)),""))</f>
        <v>מגן קרסול+כרית סילקון</v>
      </c>
      <c r="C217" s="8" t="n">
        <f aca="false">SUMIFS('Source 2025'!$I:$I,'Source 2025'!$B:$B,$A217,'Source 2025'!$A:$A,"Quantity (units)")</f>
        <v>-1</v>
      </c>
      <c r="D217" s="8" t="n">
        <f aca="false">SUMIFS('Source 2026'!$I:$I,'Source 2026'!$B:$B,$A217,'Source 2026'!$A:$A,"Quantity (units)")</f>
        <v>0</v>
      </c>
      <c r="E217" s="8" t="n">
        <f aca="false">D217-C217</f>
        <v>1</v>
      </c>
      <c r="F217" s="9" t="n">
        <f aca="false">IF(AND(C217=0,D217=0),0,IF(C217=0,"New",(D217-C217)/C217))</f>
        <v>-1</v>
      </c>
      <c r="G217" s="10" t="n">
        <f aca="false">SUMIFS('Source 2025'!$I:$I,'Source 2025'!$B:$B,$A217,'Source 2025'!$A:$A,"Amount (NIS)")</f>
        <v>-131.1</v>
      </c>
      <c r="H217" s="10" t="n">
        <f aca="false">SUMIFS('Source 2026'!$I:$I,'Source 2026'!$B:$B,$A217,'Source 2026'!$A:$A,"Amount (NIS)")</f>
        <v>0</v>
      </c>
      <c r="I217" s="10" t="n">
        <f aca="false">H217-G217</f>
        <v>131.1</v>
      </c>
      <c r="J217" s="9" t="n">
        <f aca="false">IF(AND(G217=0,H217=0),0,IF(G217=0,"New",(H217-G217)/G217))</f>
        <v>-1</v>
      </c>
    </row>
    <row r="218" customFormat="false" ht="15" hidden="false" customHeight="false" outlineLevel="0" collapsed="false">
      <c r="A218" s="7" t="s">
        <v>217</v>
      </c>
      <c r="B218" s="7" t="str">
        <f aca="false">IFERROR(INDEX('Source 2026'!$C:$C,MATCH($A218,'Source 2026'!$B:$B,0)),IFERROR(INDEX('Source 2025'!$C:$C,MATCH($A218,'Source 2025'!$B:$B,0)),""))</f>
        <v>מגן קרסול+כרית סילקון</v>
      </c>
      <c r="C218" s="8" t="n">
        <f aca="false">SUMIFS('Source 2025'!$I:$I,'Source 2025'!$B:$B,$A218,'Source 2025'!$A:$A,"Quantity (units)")</f>
        <v>-1</v>
      </c>
      <c r="D218" s="8" t="n">
        <f aca="false">SUMIFS('Source 2026'!$I:$I,'Source 2026'!$B:$B,$A218,'Source 2026'!$A:$A,"Quantity (units)")</f>
        <v>0</v>
      </c>
      <c r="E218" s="8" t="n">
        <f aca="false">D218-C218</f>
        <v>1</v>
      </c>
      <c r="F218" s="9" t="n">
        <f aca="false">IF(AND(C218=0,D218=0),0,IF(C218=0,"New",(D218-C218)/C218))</f>
        <v>-1</v>
      </c>
      <c r="G218" s="10" t="n">
        <f aca="false">SUMIFS('Source 2025'!$I:$I,'Source 2025'!$B:$B,$A218,'Source 2025'!$A:$A,"Amount (NIS)")</f>
        <v>-131.1</v>
      </c>
      <c r="H218" s="10" t="n">
        <f aca="false">SUMIFS('Source 2026'!$I:$I,'Source 2026'!$B:$B,$A218,'Source 2026'!$A:$A,"Amount (NIS)")</f>
        <v>0</v>
      </c>
      <c r="I218" s="10" t="n">
        <f aca="false">H218-G218</f>
        <v>131.1</v>
      </c>
      <c r="J218" s="9" t="n">
        <f aca="false">IF(AND(G218=0,H218=0),0,IF(G218=0,"New",(H218-G218)/G218))</f>
        <v>-1</v>
      </c>
    </row>
    <row r="219" customFormat="false" ht="15" hidden="false" customHeight="false" outlineLevel="0" collapsed="false">
      <c r="A219" s="7" t="s">
        <v>218</v>
      </c>
      <c r="B219" s="7" t="str">
        <f aca="false">IFERROR(INDEX('Source 2026'!$C:$C,MATCH($A219,'Source 2026'!$B:$B,0)),IFERROR(INDEX('Source 2025'!$C:$C,MATCH($A219,'Source 2025'!$B:$B,0)),""))</f>
        <v>קרסול+כרית סילקון</v>
      </c>
      <c r="C219" s="8" t="n">
        <f aca="false">SUMIFS('Source 2025'!$I:$I,'Source 2025'!$B:$B,$A219,'Source 2025'!$A:$A,"Quantity (units)")</f>
        <v>0</v>
      </c>
      <c r="D219" s="8" t="n">
        <f aca="false">SUMIFS('Source 2026'!$I:$I,'Source 2026'!$B:$B,$A219,'Source 2026'!$A:$A,"Quantity (units)")</f>
        <v>-1</v>
      </c>
      <c r="E219" s="8" t="n">
        <f aca="false">D219-C219</f>
        <v>-1</v>
      </c>
      <c r="F219" s="9" t="str">
        <f aca="false">IF(AND(C219=0,D219=0),0,IF(C219=0,"New",(D219-C219)/C219))</f>
        <v>New</v>
      </c>
      <c r="G219" s="10" t="n">
        <f aca="false">SUMIFS('Source 2025'!$I:$I,'Source 2025'!$B:$B,$A219,'Source 2025'!$A:$A,"Amount (NIS)")</f>
        <v>0</v>
      </c>
      <c r="H219" s="10" t="n">
        <f aca="false">SUMIFS('Source 2026'!$I:$I,'Source 2026'!$B:$B,$A219,'Source 2026'!$A:$A,"Amount (NIS)")</f>
        <v>-131.1</v>
      </c>
      <c r="I219" s="10" t="n">
        <f aca="false">H219-G219</f>
        <v>-131.1</v>
      </c>
      <c r="J219" s="9" t="str">
        <f aca="false">IF(AND(G219=0,H219=0),0,IF(G219=0,"New",(H219-G219)/G219))</f>
        <v>New</v>
      </c>
    </row>
    <row r="220" customFormat="false" ht="15" hidden="false" customHeight="false" outlineLevel="0" collapsed="false">
      <c r="A220" s="7" t="s">
        <v>219</v>
      </c>
      <c r="B220" s="7" t="str">
        <f aca="false">IFERROR(INDEX('Source 2026'!$C:$C,MATCH($A220,'Source 2026'!$B:$B,0)),IFERROR(INDEX('Source 2025'!$C:$C,MATCH($A220,'Source 2025'!$B:$B,0)),""))</f>
        <v>חגורת גב +סגירה כפולה</v>
      </c>
      <c r="C220" s="8" t="n">
        <f aca="false">SUMIFS('Source 2025'!$I:$I,'Source 2025'!$B:$B,$A220,'Source 2025'!$A:$A,"Quantity (units)")</f>
        <v>28</v>
      </c>
      <c r="D220" s="8" t="n">
        <f aca="false">SUMIFS('Source 2026'!$I:$I,'Source 2026'!$B:$B,$A220,'Source 2026'!$A:$A,"Quantity (units)")</f>
        <v>26</v>
      </c>
      <c r="E220" s="8" t="n">
        <f aca="false">D220-C220</f>
        <v>-2</v>
      </c>
      <c r="F220" s="9" t="n">
        <f aca="false">IF(AND(C220=0,D220=0),0,IF(C220=0,"New",(D220-C220)/C220))</f>
        <v>-0.0714285714285714</v>
      </c>
      <c r="G220" s="10" t="n">
        <f aca="false">SUMIFS('Source 2025'!$I:$I,'Source 2025'!$B:$B,$A220,'Source 2025'!$A:$A,"Amount (NIS)")</f>
        <v>2640.1</v>
      </c>
      <c r="H220" s="10" t="n">
        <f aca="false">SUMIFS('Source 2026'!$I:$I,'Source 2026'!$B:$B,$A220,'Source 2026'!$A:$A,"Amount (NIS)")</f>
        <v>2509.6</v>
      </c>
      <c r="I220" s="10" t="n">
        <f aca="false">H220-G220</f>
        <v>-130.5</v>
      </c>
      <c r="J220" s="9" t="n">
        <f aca="false">IF(AND(G220=0,H220=0),0,IF(G220=0,"New",(H220-G220)/G220))</f>
        <v>-0.049429945835385</v>
      </c>
    </row>
    <row r="221" customFormat="false" ht="15" hidden="false" customHeight="false" outlineLevel="0" collapsed="false">
      <c r="A221" s="7" t="s">
        <v>222</v>
      </c>
      <c r="B221" s="7" t="str">
        <f aca="false">IFERROR(INDEX('Source 2026'!$C:$C,MATCH($A221,'Source 2026'!$B:$B,0)),IFERROR(INDEX('Source 2025'!$C:$C,MATCH($A221,'Source 2025'!$B:$B,0)),""))</f>
        <v>099 חגורת גב שרוכים</v>
      </c>
      <c r="C221" s="8" t="n">
        <f aca="false">SUMIFS('Source 2025'!$I:$I,'Source 2025'!$B:$B,$A221,'Source 2025'!$A:$A,"Quantity (units)")</f>
        <v>0</v>
      </c>
      <c r="D221" s="8" t="n">
        <f aca="false">SUMIFS('Source 2026'!$I:$I,'Source 2026'!$B:$B,$A221,'Source 2026'!$A:$A,"Quantity (units)")</f>
        <v>-1</v>
      </c>
      <c r="E221" s="8" t="n">
        <f aca="false">D221-C221</f>
        <v>-1</v>
      </c>
      <c r="F221" s="9" t="str">
        <f aca="false">IF(AND(C221=0,D221=0),0,IF(C221=0,"New",(D221-C221)/C221))</f>
        <v>New</v>
      </c>
      <c r="G221" s="10" t="n">
        <f aca="false">SUMIFS('Source 2025'!$I:$I,'Source 2025'!$B:$B,$A221,'Source 2025'!$A:$A,"Amount (NIS)")</f>
        <v>0</v>
      </c>
      <c r="H221" s="10" t="n">
        <f aca="false">SUMIFS('Source 2026'!$I:$I,'Source 2026'!$B:$B,$A221,'Source 2026'!$A:$A,"Amount (NIS)")</f>
        <v>-118.8</v>
      </c>
      <c r="I221" s="10" t="n">
        <f aca="false">H221-G221</f>
        <v>-118.8</v>
      </c>
      <c r="J221" s="9" t="str">
        <f aca="false">IF(AND(G221=0,H221=0),0,IF(G221=0,"New",(H221-G221)/G221))</f>
        <v>New</v>
      </c>
    </row>
    <row r="222" customFormat="false" ht="15" hidden="false" customHeight="false" outlineLevel="0" collapsed="false">
      <c r="A222" s="7" t="s">
        <v>224</v>
      </c>
      <c r="B222" s="7" t="str">
        <f aca="false">IFERROR(INDEX('Source 2026'!$C:$C,MATCH($A222,'Source 2026'!$B:$B,0)),IFERROR(INDEX('Source 2025'!$C:$C,MATCH($A222,'Source 2025'!$B:$B,0)),""))</f>
        <v>סד לקרסול עם כריות אויר</v>
      </c>
      <c r="C222" s="8" t="n">
        <f aca="false">SUMIFS('Source 2025'!$I:$I,'Source 2025'!$B:$B,$A222,'Source 2025'!$A:$A,"Quantity (units)")</f>
        <v>1</v>
      </c>
      <c r="D222" s="8" t="n">
        <f aca="false">SUMIFS('Source 2026'!$I:$I,'Source 2026'!$B:$B,$A222,'Source 2026'!$A:$A,"Quantity (units)")</f>
        <v>4</v>
      </c>
      <c r="E222" s="8" t="n">
        <f aca="false">D222-C222</f>
        <v>3</v>
      </c>
      <c r="F222" s="9" t="n">
        <f aca="false">IF(AND(C222=0,D222=0),0,IF(C222=0,"New",(D222-C222)/C222))</f>
        <v>3</v>
      </c>
      <c r="G222" s="10" t="n">
        <f aca="false">SUMIFS('Source 2025'!$I:$I,'Source 2025'!$B:$B,$A222,'Source 2025'!$A:$A,"Amount (NIS)")</f>
        <v>143.4</v>
      </c>
      <c r="H222" s="10" t="n">
        <f aca="false">SUMIFS('Source 2026'!$I:$I,'Source 2026'!$B:$B,$A222,'Source 2026'!$A:$A,"Amount (NIS)")</f>
        <v>257.2</v>
      </c>
      <c r="I222" s="10" t="n">
        <f aca="false">H222-G222</f>
        <v>113.8</v>
      </c>
      <c r="J222" s="9" t="n">
        <f aca="false">IF(AND(G222=0,H222=0),0,IF(G222=0,"New",(H222-G222)/G222))</f>
        <v>0.793584379358438</v>
      </c>
    </row>
    <row r="223" customFormat="false" ht="15" hidden="false" customHeight="false" outlineLevel="0" collapsed="false">
      <c r="A223" s="7" t="s">
        <v>226</v>
      </c>
      <c r="B223" s="7" t="str">
        <f aca="false">IFERROR(INDEX('Source 2026'!$C:$C,MATCH($A223,'Source 2026'!$B:$B,0)),IFERROR(INDEX('Source 2025'!$C:$C,MATCH($A223,'Source 2025'!$B:$B,0)),""))</f>
        <v>קרסול עם שרוכים בז</v>
      </c>
      <c r="C223" s="8" t="n">
        <f aca="false">SUMIFS('Source 2025'!$I:$I,'Source 2025'!$B:$B,$A223,'Source 2025'!$A:$A,"Quantity (units)")</f>
        <v>-1</v>
      </c>
      <c r="D223" s="8" t="n">
        <f aca="false">SUMIFS('Source 2026'!$I:$I,'Source 2026'!$B:$B,$A223,'Source 2026'!$A:$A,"Quantity (units)")</f>
        <v>0</v>
      </c>
      <c r="E223" s="8" t="n">
        <f aca="false">D223-C223</f>
        <v>1</v>
      </c>
      <c r="F223" s="9" t="n">
        <f aca="false">IF(AND(C223=0,D223=0),0,IF(C223=0,"New",(D223-C223)/C223))</f>
        <v>-1</v>
      </c>
      <c r="G223" s="10" t="n">
        <f aca="false">SUMIFS('Source 2025'!$I:$I,'Source 2025'!$B:$B,$A223,'Source 2025'!$A:$A,"Amount (NIS)")</f>
        <v>-106.5</v>
      </c>
      <c r="H223" s="10" t="n">
        <f aca="false">SUMIFS('Source 2026'!$I:$I,'Source 2026'!$B:$B,$A223,'Source 2026'!$A:$A,"Amount (NIS)")</f>
        <v>0</v>
      </c>
      <c r="I223" s="10" t="n">
        <f aca="false">H223-G223</f>
        <v>106.5</v>
      </c>
      <c r="J223" s="9" t="n">
        <f aca="false">IF(AND(G223=0,H223=0),0,IF(G223=0,"New",(H223-G223)/G223))</f>
        <v>-1</v>
      </c>
    </row>
    <row r="224" customFormat="false" ht="15" hidden="false" customHeight="false" outlineLevel="0" collapsed="false">
      <c r="A224" s="7" t="s">
        <v>227</v>
      </c>
      <c r="B224" s="7" t="str">
        <f aca="false">IFERROR(INDEX('Source 2026'!$C:$C,MATCH($A224,'Source 2026'!$B:$B,0)),IFERROR(INDEX('Source 2025'!$C:$C,MATCH($A224,'Source 2025'!$B:$B,0)),""))</f>
        <v>קרסול עם שרוכים בז</v>
      </c>
      <c r="C224" s="8" t="n">
        <f aca="false">SUMIFS('Source 2025'!$I:$I,'Source 2025'!$B:$B,$A224,'Source 2025'!$A:$A,"Quantity (units)")</f>
        <v>-1</v>
      </c>
      <c r="D224" s="8" t="n">
        <f aca="false">SUMIFS('Source 2026'!$I:$I,'Source 2026'!$B:$B,$A224,'Source 2026'!$A:$A,"Quantity (units)")</f>
        <v>0</v>
      </c>
      <c r="E224" s="8" t="n">
        <f aca="false">D224-C224</f>
        <v>1</v>
      </c>
      <c r="F224" s="9" t="n">
        <f aca="false">IF(AND(C224=0,D224=0),0,IF(C224=0,"New",(D224-C224)/C224))</f>
        <v>-1</v>
      </c>
      <c r="G224" s="10" t="n">
        <f aca="false">SUMIFS('Source 2025'!$I:$I,'Source 2025'!$B:$B,$A224,'Source 2025'!$A:$A,"Amount (NIS)")</f>
        <v>-106.5</v>
      </c>
      <c r="H224" s="10" t="n">
        <f aca="false">SUMIFS('Source 2026'!$I:$I,'Source 2026'!$B:$B,$A224,'Source 2026'!$A:$A,"Amount (NIS)")</f>
        <v>0</v>
      </c>
      <c r="I224" s="10" t="n">
        <f aca="false">H224-G224</f>
        <v>106.5</v>
      </c>
      <c r="J224" s="9" t="n">
        <f aca="false">IF(AND(G224=0,H224=0),0,IF(G224=0,"New",(H224-G224)/G224))</f>
        <v>-1</v>
      </c>
    </row>
    <row r="225" customFormat="false" ht="15" hidden="false" customHeight="false" outlineLevel="0" collapsed="false">
      <c r="A225" s="7" t="s">
        <v>228</v>
      </c>
      <c r="B225" s="7" t="str">
        <f aca="false">IFERROR(INDEX('Source 2026'!$C:$C,MATCH($A225,'Source 2026'!$B:$B,0)),IFERROR(INDEX('Source 2025'!$C:$C,MATCH($A225,'Source 2025'!$B:$B,0)),""))</f>
        <v>קרסול עם שרוכים בז</v>
      </c>
      <c r="C225" s="8" t="n">
        <f aca="false">SUMIFS('Source 2025'!$I:$I,'Source 2025'!$B:$B,$A225,'Source 2025'!$A:$A,"Quantity (units)")</f>
        <v>-1</v>
      </c>
      <c r="D225" s="8" t="n">
        <f aca="false">SUMIFS('Source 2026'!$I:$I,'Source 2026'!$B:$B,$A225,'Source 2026'!$A:$A,"Quantity (units)")</f>
        <v>0</v>
      </c>
      <c r="E225" s="8" t="n">
        <f aca="false">D225-C225</f>
        <v>1</v>
      </c>
      <c r="F225" s="9" t="n">
        <f aca="false">IF(AND(C225=0,D225=0),0,IF(C225=0,"New",(D225-C225)/C225))</f>
        <v>-1</v>
      </c>
      <c r="G225" s="10" t="n">
        <f aca="false">SUMIFS('Source 2025'!$I:$I,'Source 2025'!$B:$B,$A225,'Source 2025'!$A:$A,"Amount (NIS)")</f>
        <v>-106.5</v>
      </c>
      <c r="H225" s="10" t="n">
        <f aca="false">SUMIFS('Source 2026'!$I:$I,'Source 2026'!$B:$B,$A225,'Source 2026'!$A:$A,"Amount (NIS)")</f>
        <v>0</v>
      </c>
      <c r="I225" s="10" t="n">
        <f aca="false">H225-G225</f>
        <v>106.5</v>
      </c>
      <c r="J225" s="9" t="n">
        <f aca="false">IF(AND(G225=0,H225=0),0,IF(G225=0,"New",(H225-G225)/G225))</f>
        <v>-1</v>
      </c>
    </row>
    <row r="226" customFormat="false" ht="15" hidden="false" customHeight="false" outlineLevel="0" collapsed="false">
      <c r="A226" s="7" t="s">
        <v>326</v>
      </c>
      <c r="B226" s="7" t="str">
        <f aca="false">IFERROR(INDEX('Source 2026'!$C:$C,MATCH($A226,'Source 2026'!$B:$B,0)),IFERROR(INDEX('Source 2025'!$C:$C,MATCH($A226,'Source 2025'!$B:$B,0)),""))</f>
        <v>רצועת טניס אלבו עם פלסטיק</v>
      </c>
      <c r="C226" s="8" t="n">
        <f aca="false">SUMIFS('Source 2025'!$I:$I,'Source 2025'!$B:$B,$A226,'Source 2025'!$A:$A,"Quantity (units)")</f>
        <v>1</v>
      </c>
      <c r="D226" s="8" t="n">
        <f aca="false">SUMIFS('Source 2026'!$I:$I,'Source 2026'!$B:$B,$A226,'Source 2026'!$A:$A,"Quantity (units)")</f>
        <v>0</v>
      </c>
      <c r="E226" s="8" t="n">
        <f aca="false">D226-C226</f>
        <v>-1</v>
      </c>
      <c r="F226" s="9" t="n">
        <f aca="false">IF(AND(C226=0,D226=0),0,IF(C226=0,"New",(D226-C226)/C226))</f>
        <v>-1</v>
      </c>
      <c r="G226" s="10" t="n">
        <f aca="false">SUMIFS('Source 2025'!$I:$I,'Source 2025'!$B:$B,$A226,'Source 2025'!$A:$A,"Amount (NIS)")</f>
        <v>105.9</v>
      </c>
      <c r="H226" s="10" t="n">
        <f aca="false">SUMIFS('Source 2026'!$I:$I,'Source 2026'!$B:$B,$A226,'Source 2026'!$A:$A,"Amount (NIS)")</f>
        <v>0</v>
      </c>
      <c r="I226" s="10" t="n">
        <f aca="false">H226-G226</f>
        <v>-105.9</v>
      </c>
      <c r="J226" s="9" t="n">
        <f aca="false">IF(AND(G226=0,H226=0),0,IF(G226=0,"New",(H226-G226)/G226))</f>
        <v>-1</v>
      </c>
    </row>
    <row r="227" customFormat="false" ht="15" hidden="false" customHeight="false" outlineLevel="0" collapsed="false">
      <c r="A227" s="7" t="s">
        <v>230</v>
      </c>
      <c r="B227" s="7" t="str">
        <f aca="false">IFERROR(INDEX('Source 2026'!$C:$C,MATCH($A227,'Source 2026'!$B:$B,0)),IFERROR(INDEX('Source 2025'!$C:$C,MATCH($A227,'Source 2025'!$B:$B,0)),""))</f>
        <v>S מגן ברך רגיל</v>
      </c>
      <c r="C227" s="8" t="n">
        <f aca="false">SUMIFS('Source 2025'!$I:$I,'Source 2025'!$B:$B,$A227,'Source 2025'!$A:$A,"Quantity (units)")</f>
        <v>25</v>
      </c>
      <c r="D227" s="8" t="n">
        <f aca="false">SUMIFS('Source 2026'!$I:$I,'Source 2026'!$B:$B,$A227,'Source 2026'!$A:$A,"Quantity (units)")</f>
        <v>26</v>
      </c>
      <c r="E227" s="8" t="n">
        <f aca="false">D227-C227</f>
        <v>1</v>
      </c>
      <c r="F227" s="9" t="n">
        <f aca="false">IF(AND(C227=0,D227=0),0,IF(C227=0,"New",(D227-C227)/C227))</f>
        <v>0.04</v>
      </c>
      <c r="G227" s="10" t="n">
        <f aca="false">SUMIFS('Source 2025'!$I:$I,'Source 2025'!$B:$B,$A227,'Source 2025'!$A:$A,"Amount (NIS)")</f>
        <v>2254.3</v>
      </c>
      <c r="H227" s="10" t="n">
        <f aca="false">SUMIFS('Source 2026'!$I:$I,'Source 2026'!$B:$B,$A227,'Source 2026'!$A:$A,"Amount (NIS)")</f>
        <v>2353.3</v>
      </c>
      <c r="I227" s="10" t="n">
        <f aca="false">H227-G227</f>
        <v>99.0000000000005</v>
      </c>
      <c r="J227" s="9" t="n">
        <f aca="false">IF(AND(G227=0,H227=0),0,IF(G227=0,"New",(H227-G227)/G227))</f>
        <v>0.0439160715077853</v>
      </c>
    </row>
    <row r="228" customFormat="false" ht="15" hidden="false" customHeight="false" outlineLevel="0" collapsed="false">
      <c r="A228" s="7" t="s">
        <v>18</v>
      </c>
      <c r="B228" s="7" t="str">
        <f aca="false">IFERROR(INDEX('Source 2026'!$C:$C,MATCH($A228,'Source 2026'!$B:$B,0)),IFERROR(INDEX('Source 2025'!$C:$C,MATCH($A228,'Source 2025'!$B:$B,0)),""))</f>
        <v>CARE  תחבושת אלסטית 5 ס""מ</v>
      </c>
      <c r="C228" s="8" t="n">
        <f aca="false">SUMIFS('Source 2025'!$I:$I,'Source 2025'!$B:$B,$A228,'Source 2025'!$A:$A,"Quantity (units)")</f>
        <v>-11</v>
      </c>
      <c r="D228" s="8" t="n">
        <f aca="false">SUMIFS('Source 2026'!$I:$I,'Source 2026'!$B:$B,$A228,'Source 2026'!$A:$A,"Quantity (units)")</f>
        <v>0</v>
      </c>
      <c r="E228" s="8" t="n">
        <f aca="false">D228-C228</f>
        <v>11</v>
      </c>
      <c r="F228" s="9" t="n">
        <f aca="false">IF(AND(C228=0,D228=0),0,IF(C228=0,"New",(D228-C228)/C228))</f>
        <v>-1</v>
      </c>
      <c r="G228" s="10" t="n">
        <f aca="false">SUMIFS('Source 2025'!$I:$I,'Source 2025'!$B:$B,$A228,'Source 2025'!$A:$A,"Amount (NIS)")</f>
        <v>-98.4</v>
      </c>
      <c r="H228" s="10" t="n">
        <f aca="false">SUMIFS('Source 2026'!$I:$I,'Source 2026'!$B:$B,$A228,'Source 2026'!$A:$A,"Amount (NIS)")</f>
        <v>0</v>
      </c>
      <c r="I228" s="10" t="n">
        <f aca="false">H228-G228</f>
        <v>98.4</v>
      </c>
      <c r="J228" s="9" t="n">
        <f aca="false">IF(AND(G228=0,H228=0),0,IF(G228=0,"New",(H228-G228)/G228))</f>
        <v>-1</v>
      </c>
    </row>
    <row r="229" customFormat="false" ht="15" hidden="false" customHeight="false" outlineLevel="0" collapsed="false">
      <c r="A229" s="7" t="s">
        <v>231</v>
      </c>
      <c r="B229" s="7" t="str">
        <f aca="false">IFERROR(INDEX('Source 2026'!$C:$C,MATCH($A229,'Source 2026'!$B:$B,0)),IFERROR(INDEX('Source 2025'!$C:$C,MATCH($A229,'Source 2025'!$B:$B,0)),""))</f>
        <v>L-XL 'סד יד שמאל בז</v>
      </c>
      <c r="C229" s="8" t="n">
        <f aca="false">SUMIFS('Source 2025'!$I:$I,'Source 2025'!$B:$B,$A229,'Source 2025'!$A:$A,"Quantity (units)")</f>
        <v>-2</v>
      </c>
      <c r="D229" s="8" t="n">
        <f aca="false">SUMIFS('Source 2026'!$I:$I,'Source 2026'!$B:$B,$A229,'Source 2026'!$A:$A,"Quantity (units)")</f>
        <v>-1</v>
      </c>
      <c r="E229" s="8" t="n">
        <f aca="false">D229-C229</f>
        <v>1</v>
      </c>
      <c r="F229" s="9" t="n">
        <f aca="false">IF(AND(C229=0,D229=0),0,IF(C229=0,"New",(D229-C229)/C229))</f>
        <v>-0.5</v>
      </c>
      <c r="G229" s="10" t="n">
        <f aca="false">SUMIFS('Source 2025'!$I:$I,'Source 2025'!$B:$B,$A229,'Source 2025'!$A:$A,"Amount (NIS)")</f>
        <v>-188.4</v>
      </c>
      <c r="H229" s="10" t="n">
        <f aca="false">SUMIFS('Source 2026'!$I:$I,'Source 2026'!$B:$B,$A229,'Source 2026'!$A:$A,"Amount (NIS)")</f>
        <v>-94.2</v>
      </c>
      <c r="I229" s="10" t="n">
        <f aca="false">H229-G229</f>
        <v>94.2</v>
      </c>
      <c r="J229" s="9" t="n">
        <f aca="false">IF(AND(G229=0,H229=0),0,IF(G229=0,"New",(H229-G229)/G229))</f>
        <v>-0.5</v>
      </c>
    </row>
    <row r="230" customFormat="false" ht="15" hidden="false" customHeight="false" outlineLevel="0" collapsed="false">
      <c r="A230" s="7" t="s">
        <v>232</v>
      </c>
      <c r="B230" s="7" t="str">
        <f aca="false">IFERROR(INDEX('Source 2026'!$C:$C,MATCH($A230,'Source 2026'!$B:$B,0)),IFERROR(INDEX('Source 2025'!$C:$C,MATCH($A230,'Source 2025'!$B:$B,0)),""))</f>
        <v>R-M סד ליד ימין</v>
      </c>
      <c r="C230" s="8" t="n">
        <f aca="false">SUMIFS('Source 2025'!$I:$I,'Source 2025'!$B:$B,$A230,'Source 2025'!$A:$A,"Quantity (units)")</f>
        <v>0</v>
      </c>
      <c r="D230" s="8" t="n">
        <f aca="false">SUMIFS('Source 2026'!$I:$I,'Source 2026'!$B:$B,$A230,'Source 2026'!$A:$A,"Quantity (units)")</f>
        <v>-1</v>
      </c>
      <c r="E230" s="8" t="n">
        <f aca="false">D230-C230</f>
        <v>-1</v>
      </c>
      <c r="F230" s="9" t="str">
        <f aca="false">IF(AND(C230=0,D230=0),0,IF(C230=0,"New",(D230-C230)/C230))</f>
        <v>New</v>
      </c>
      <c r="G230" s="10" t="n">
        <f aca="false">SUMIFS('Source 2025'!$I:$I,'Source 2025'!$B:$B,$A230,'Source 2025'!$A:$A,"Amount (NIS)")</f>
        <v>0</v>
      </c>
      <c r="H230" s="10" t="n">
        <f aca="false">SUMIFS('Source 2026'!$I:$I,'Source 2026'!$B:$B,$A230,'Source 2026'!$A:$A,"Amount (NIS)")</f>
        <v>-90.1</v>
      </c>
      <c r="I230" s="10" t="n">
        <f aca="false">H230-G230</f>
        <v>-90.1</v>
      </c>
      <c r="J230" s="9" t="str">
        <f aca="false">IF(AND(G230=0,H230=0),0,IF(G230=0,"New",(H230-G230)/G230))</f>
        <v>New</v>
      </c>
    </row>
    <row r="231" customFormat="false" ht="15" hidden="false" customHeight="false" outlineLevel="0" collapsed="false">
      <c r="A231" s="7" t="s">
        <v>233</v>
      </c>
      <c r="B231" s="7" t="str">
        <f aca="false">IFERROR(INDEX('Source 2026'!$C:$C,MATCH($A231,'Source 2026'!$B:$B,0)),IFERROR(INDEX('Source 2025'!$C:$C,MATCH($A231,'Source 2025'!$B:$B,0)),""))</f>
        <v>צוארון ספוגי</v>
      </c>
      <c r="C231" s="8" t="n">
        <f aca="false">SUMIFS('Source 2025'!$I:$I,'Source 2025'!$B:$B,$A231,'Source 2025'!$A:$A,"Quantity (units)")</f>
        <v>-3</v>
      </c>
      <c r="D231" s="8" t="n">
        <f aca="false">SUMIFS('Source 2026'!$I:$I,'Source 2026'!$B:$B,$A231,'Source 2026'!$A:$A,"Quantity (units)")</f>
        <v>0</v>
      </c>
      <c r="E231" s="8" t="n">
        <f aca="false">D231-C231</f>
        <v>3</v>
      </c>
      <c r="F231" s="9" t="n">
        <f aca="false">IF(AND(C231=0,D231=0),0,IF(C231=0,"New",(D231-C231)/C231))</f>
        <v>-1</v>
      </c>
      <c r="G231" s="10" t="n">
        <f aca="false">SUMIFS('Source 2025'!$I:$I,'Source 2025'!$B:$B,$A231,'Source 2025'!$A:$A,"Amount (NIS)")</f>
        <v>-90</v>
      </c>
      <c r="H231" s="10" t="n">
        <f aca="false">SUMIFS('Source 2026'!$I:$I,'Source 2026'!$B:$B,$A231,'Source 2026'!$A:$A,"Amount (NIS)")</f>
        <v>0</v>
      </c>
      <c r="I231" s="10" t="n">
        <f aca="false">H231-G231</f>
        <v>90</v>
      </c>
      <c r="J231" s="9" t="n">
        <f aca="false">IF(AND(G231=0,H231=0),0,IF(G231=0,"New",(H231-G231)/G231))</f>
        <v>-1</v>
      </c>
    </row>
    <row r="232" customFormat="false" ht="15" hidden="false" customHeight="false" outlineLevel="0" collapsed="false">
      <c r="A232" s="7" t="s">
        <v>151</v>
      </c>
      <c r="B232" s="7" t="str">
        <f aca="false">IFERROR(INDEX('Source 2026'!$C:$C,MATCH($A232,'Source 2026'!$B:$B,0)),IFERROR(INDEX('Source 2025'!$C:$C,MATCH($A232,'Source 2025'!$B:$B,0)),""))</f>
        <v>L-XL חגורת הריון</v>
      </c>
      <c r="C232" s="8" t="n">
        <f aca="false">SUMIFS('Source 2025'!$I:$I,'Source 2025'!$B:$B,$A232,'Source 2025'!$A:$A,"Quantity (units)")</f>
        <v>69</v>
      </c>
      <c r="D232" s="8" t="n">
        <f aca="false">SUMIFS('Source 2026'!$I:$I,'Source 2026'!$B:$B,$A232,'Source 2026'!$A:$A,"Quantity (units)")</f>
        <v>66</v>
      </c>
      <c r="E232" s="8" t="n">
        <f aca="false">D232-C232</f>
        <v>-3</v>
      </c>
      <c r="F232" s="9" t="n">
        <f aca="false">IF(AND(C232=0,D232=0),0,IF(C232=0,"New",(D232-C232)/C232))</f>
        <v>-0.0434782608695652</v>
      </c>
      <c r="G232" s="10" t="n">
        <f aca="false">SUMIFS('Source 2025'!$I:$I,'Source 2025'!$B:$B,$A232,'Source 2025'!$A:$A,"Amount (NIS)")</f>
        <v>7018.7</v>
      </c>
      <c r="H232" s="10" t="n">
        <f aca="false">SUMIFS('Source 2026'!$I:$I,'Source 2026'!$B:$B,$A232,'Source 2026'!$A:$A,"Amount (NIS)")</f>
        <v>6936.6</v>
      </c>
      <c r="I232" s="10" t="n">
        <f aca="false">H232-G232</f>
        <v>-82.0999999999995</v>
      </c>
      <c r="J232" s="9" t="n">
        <f aca="false">IF(AND(G232=0,H232=0),0,IF(G232=0,"New",(H232-G232)/G232))</f>
        <v>-0.0116973228660577</v>
      </c>
    </row>
    <row r="233" customFormat="false" ht="15" hidden="false" customHeight="false" outlineLevel="0" collapsed="false">
      <c r="A233" s="7" t="s">
        <v>235</v>
      </c>
      <c r="B233" s="7" t="str">
        <f aca="false">IFERROR(INDEX('Source 2026'!$C:$C,MATCH($A233,'Source 2026'!$B:$B,0)),IFERROR(INDEX('Source 2025'!$C:$C,MATCH($A233,'Source 2025'!$B:$B,0)),""))</f>
        <v>S'תתחגורת בטן עממית בז</v>
      </c>
      <c r="C233" s="8" t="n">
        <f aca="false">SUMIFS('Source 2025'!$I:$I,'Source 2025'!$B:$B,$A233,'Source 2025'!$A:$A,"Quantity (units)")</f>
        <v>0</v>
      </c>
      <c r="D233" s="8" t="n">
        <f aca="false">SUMIFS('Source 2026'!$I:$I,'Source 2026'!$B:$B,$A233,'Source 2026'!$A:$A,"Quantity (units)")</f>
        <v>-1</v>
      </c>
      <c r="E233" s="8" t="n">
        <f aca="false">D233-C233</f>
        <v>-1</v>
      </c>
      <c r="F233" s="9" t="str">
        <f aca="false">IF(AND(C233=0,D233=0),0,IF(C233=0,"New",(D233-C233)/C233))</f>
        <v>New</v>
      </c>
      <c r="G233" s="10" t="n">
        <f aca="false">SUMIFS('Source 2025'!$I:$I,'Source 2025'!$B:$B,$A233,'Source 2025'!$A:$A,"Amount (NIS)")</f>
        <v>0</v>
      </c>
      <c r="H233" s="10" t="n">
        <f aca="false">SUMIFS('Source 2026'!$I:$I,'Source 2026'!$B:$B,$A233,'Source 2026'!$A:$A,"Amount (NIS)")</f>
        <v>-77.8</v>
      </c>
      <c r="I233" s="10" t="n">
        <f aca="false">H233-G233</f>
        <v>-77.8</v>
      </c>
      <c r="J233" s="9" t="str">
        <f aca="false">IF(AND(G233=0,H233=0),0,IF(G233=0,"New",(H233-G233)/G233))</f>
        <v>New</v>
      </c>
    </row>
    <row r="234" customFormat="false" ht="15" hidden="false" customHeight="false" outlineLevel="0" collapsed="false">
      <c r="A234" s="7" t="s">
        <v>340</v>
      </c>
      <c r="B234" s="7" t="str">
        <f aca="false">IFERROR(INDEX('Source 2026'!$C:$C,MATCH($A234,'Source 2026'!$B:$B,0)),IFERROR(INDEX('Source 2025'!$C:$C,MATCH($A234,'Source 2025'!$B:$B,0)),""))</f>
        <v>ריפוד סיליקון לעקב אחורי</v>
      </c>
      <c r="C234" s="8" t="n">
        <f aca="false">SUMIFS('Source 2025'!$I:$I,'Source 2025'!$B:$B,$A234,'Source 2025'!$A:$A,"Quantity (units)")</f>
        <v>89</v>
      </c>
      <c r="D234" s="8" t="n">
        <f aca="false">SUMIFS('Source 2026'!$I:$I,'Source 2026'!$B:$B,$A234,'Source 2026'!$A:$A,"Quantity (units)")</f>
        <v>91</v>
      </c>
      <c r="E234" s="8" t="n">
        <f aca="false">D234-C234</f>
        <v>2</v>
      </c>
      <c r="F234" s="9" t="n">
        <f aca="false">IF(AND(C234=0,D234=0),0,IF(C234=0,"New",(D234-C234)/C234))</f>
        <v>0.0224719101123596</v>
      </c>
      <c r="G234" s="10" t="n">
        <f aca="false">SUMIFS('Source 2025'!$I:$I,'Source 2025'!$B:$B,$A234,'Source 2025'!$A:$A,"Amount (NIS)")</f>
        <v>1894.5</v>
      </c>
      <c r="H234" s="10" t="n">
        <f aca="false">SUMIFS('Source 2026'!$I:$I,'Source 2026'!$B:$B,$A234,'Source 2026'!$A:$A,"Amount (NIS)")</f>
        <v>1968.5</v>
      </c>
      <c r="I234" s="10" t="n">
        <f aca="false">H234-G234</f>
        <v>74</v>
      </c>
      <c r="J234" s="9" t="n">
        <f aca="false">IF(AND(G234=0,H234=0),0,IF(G234=0,"New",(H234-G234)/G234))</f>
        <v>0.0390604381103194</v>
      </c>
    </row>
    <row r="235" customFormat="false" ht="15" hidden="false" customHeight="false" outlineLevel="0" collapsed="false">
      <c r="A235" s="7" t="s">
        <v>236</v>
      </c>
      <c r="B235" s="7" t="str">
        <f aca="false">IFERROR(INDEX('Source 2026'!$C:$C,MATCH($A235,'Source 2026'!$B:$B,0)),IFERROR(INDEX('Source 2025'!$C:$C,MATCH($A235,'Source 2025'!$B:$B,0)),""))</f>
        <v>רצועת פיקה לברך</v>
      </c>
      <c r="C235" s="8" t="n">
        <f aca="false">SUMIFS('Source 2025'!$I:$I,'Source 2025'!$B:$B,$A235,'Source 2025'!$A:$A,"Quantity (units)")</f>
        <v>-1</v>
      </c>
      <c r="D235" s="8" t="n">
        <f aca="false">SUMIFS('Source 2026'!$I:$I,'Source 2026'!$B:$B,$A235,'Source 2026'!$A:$A,"Quantity (units)")</f>
        <v>-2</v>
      </c>
      <c r="E235" s="8" t="n">
        <f aca="false">D235-C235</f>
        <v>-1</v>
      </c>
      <c r="F235" s="9" t="n">
        <f aca="false">IF(AND(C235=0,D235=0),0,IF(C235=0,"New",(D235-C235)/C235))</f>
        <v>1</v>
      </c>
      <c r="G235" s="10" t="n">
        <f aca="false">SUMIFS('Source 2025'!$I:$I,'Source 2025'!$B:$B,$A235,'Source 2025'!$A:$A,"Amount (NIS)")</f>
        <v>-73.9</v>
      </c>
      <c r="H235" s="10" t="n">
        <f aca="false">SUMIFS('Source 2026'!$I:$I,'Source 2026'!$B:$B,$A235,'Source 2026'!$A:$A,"Amount (NIS)")</f>
        <v>-147.8</v>
      </c>
      <c r="I235" s="10" t="n">
        <f aca="false">H235-G235</f>
        <v>-73.9</v>
      </c>
      <c r="J235" s="9" t="n">
        <f aca="false">IF(AND(G235=0,H235=0),0,IF(G235=0,"New",(H235-G235)/G235))</f>
        <v>1</v>
      </c>
    </row>
    <row r="236" customFormat="false" ht="15" hidden="false" customHeight="false" outlineLevel="0" collapsed="false">
      <c r="A236" s="7" t="s">
        <v>237</v>
      </c>
      <c r="B236" s="7" t="str">
        <f aca="false">IFERROR(INDEX('Source 2026'!$C:$C,MATCH($A236,'Source 2026'!$B:$B,0)),IFERROR(INDEX('Source 2025'!$C:$C,MATCH($A236,'Source 2025'!$B:$B,0)),""))</f>
        <v>L מתלה אשכים לספורטאים</v>
      </c>
      <c r="C236" s="8" t="n">
        <f aca="false">SUMIFS('Source 2025'!$I:$I,'Source 2025'!$B:$B,$A236,'Source 2025'!$A:$A,"Quantity (units)")</f>
        <v>-1</v>
      </c>
      <c r="D236" s="8" t="n">
        <f aca="false">SUMIFS('Source 2026'!$I:$I,'Source 2026'!$B:$B,$A236,'Source 2026'!$A:$A,"Quantity (units)")</f>
        <v>0</v>
      </c>
      <c r="E236" s="8" t="n">
        <f aca="false">D236-C236</f>
        <v>1</v>
      </c>
      <c r="F236" s="9" t="n">
        <f aca="false">IF(AND(C236=0,D236=0),0,IF(C236=0,"New",(D236-C236)/C236))</f>
        <v>-1</v>
      </c>
      <c r="G236" s="10" t="n">
        <f aca="false">SUMIFS('Source 2025'!$I:$I,'Source 2025'!$B:$B,$A236,'Source 2025'!$A:$A,"Amount (NIS)")</f>
        <v>-71.3</v>
      </c>
      <c r="H236" s="10" t="n">
        <f aca="false">SUMIFS('Source 2026'!$I:$I,'Source 2026'!$B:$B,$A236,'Source 2026'!$A:$A,"Amount (NIS)")</f>
        <v>0</v>
      </c>
      <c r="I236" s="10" t="n">
        <f aca="false">H236-G236</f>
        <v>71.3</v>
      </c>
      <c r="J236" s="9" t="n">
        <f aca="false">IF(AND(G236=0,H236=0),0,IF(G236=0,"New",(H236-G236)/G236))</f>
        <v>-1</v>
      </c>
    </row>
    <row r="237" customFormat="false" ht="15" hidden="false" customHeight="false" outlineLevel="0" collapsed="false">
      <c r="A237" s="7" t="s">
        <v>238</v>
      </c>
      <c r="B237" s="7" t="str">
        <f aca="false">IFERROR(INDEX('Source 2026'!$C:$C,MATCH($A237,'Source 2026'!$B:$B,0)),IFERROR(INDEX('Source 2025'!$C:$C,MATCH($A237,'Source 2025'!$B:$B,0)),""))</f>
        <v>120 תתתרסיס מרענן לרגל</v>
      </c>
      <c r="C237" s="8" t="n">
        <f aca="false">SUMIFS('Source 2025'!$I:$I,'Source 2025'!$B:$B,$A237,'Source 2025'!$A:$A,"Quantity (units)")</f>
        <v>-3</v>
      </c>
      <c r="D237" s="8" t="n">
        <f aca="false">SUMIFS('Source 2026'!$I:$I,'Source 2026'!$B:$B,$A237,'Source 2026'!$A:$A,"Quantity (units)")</f>
        <v>0</v>
      </c>
      <c r="E237" s="8" t="n">
        <f aca="false">D237-C237</f>
        <v>3</v>
      </c>
      <c r="F237" s="9" t="n">
        <f aca="false">IF(AND(C237=0,D237=0),0,IF(C237=0,"New",(D237-C237)/C237))</f>
        <v>-1</v>
      </c>
      <c r="G237" s="10" t="n">
        <f aca="false">SUMIFS('Source 2025'!$I:$I,'Source 2025'!$B:$B,$A237,'Source 2025'!$A:$A,"Amount (NIS)")</f>
        <v>-70.7</v>
      </c>
      <c r="H237" s="10" t="n">
        <f aca="false">SUMIFS('Source 2026'!$I:$I,'Source 2026'!$B:$B,$A237,'Source 2026'!$A:$A,"Amount (NIS)")</f>
        <v>0</v>
      </c>
      <c r="I237" s="10" t="n">
        <f aca="false">H237-G237</f>
        <v>70.7</v>
      </c>
      <c r="J237" s="9" t="n">
        <f aca="false">IF(AND(G237=0,H237=0),0,IF(G237=0,"New",(H237-G237)/G237))</f>
        <v>-1</v>
      </c>
    </row>
    <row r="238" customFormat="false" ht="15" hidden="false" customHeight="false" outlineLevel="0" collapsed="false">
      <c r="A238" s="7" t="s">
        <v>239</v>
      </c>
      <c r="B238" s="7" t="str">
        <f aca="false">IFERROR(INDEX('Source 2026'!$C:$C,MATCH($A238,'Source 2026'!$B:$B,0)),IFERROR(INDEX('Source 2025'!$C:$C,MATCH($A238,'Source 2025'!$B:$B,0)),""))</f>
        <v>L סד לאגודל כפפה</v>
      </c>
      <c r="C238" s="8" t="n">
        <f aca="false">SUMIFS('Source 2025'!$I:$I,'Source 2025'!$B:$B,$A238,'Source 2025'!$A:$A,"Quantity (units)")</f>
        <v>0</v>
      </c>
      <c r="D238" s="8" t="n">
        <f aca="false">SUMIFS('Source 2026'!$I:$I,'Source 2026'!$B:$B,$A238,'Source 2026'!$A:$A,"Quantity (units)")</f>
        <v>-1</v>
      </c>
      <c r="E238" s="8" t="n">
        <f aca="false">D238-C238</f>
        <v>-1</v>
      </c>
      <c r="F238" s="9" t="str">
        <f aca="false">IF(AND(C238=0,D238=0),0,IF(C238=0,"New",(D238-C238)/C238))</f>
        <v>New</v>
      </c>
      <c r="G238" s="10" t="n">
        <f aca="false">SUMIFS('Source 2025'!$I:$I,'Source 2025'!$B:$B,$A238,'Source 2025'!$A:$A,"Amount (NIS)")</f>
        <v>0</v>
      </c>
      <c r="H238" s="10" t="n">
        <f aca="false">SUMIFS('Source 2026'!$I:$I,'Source 2026'!$B:$B,$A238,'Source 2026'!$A:$A,"Amount (NIS)")</f>
        <v>-58.3</v>
      </c>
      <c r="I238" s="10" t="n">
        <f aca="false">H238-G238</f>
        <v>-58.3</v>
      </c>
      <c r="J238" s="9" t="str">
        <f aca="false">IF(AND(G238=0,H238=0),0,IF(G238=0,"New",(H238-G238)/G238))</f>
        <v>New</v>
      </c>
    </row>
    <row r="239" customFormat="false" ht="15" hidden="false" customHeight="false" outlineLevel="0" collapsed="false">
      <c r="A239" s="7" t="s">
        <v>335</v>
      </c>
      <c r="B239" s="7" t="str">
        <f aca="false">IFERROR(INDEX('Source 2026'!$C:$C,MATCH($A239,'Source 2026'!$B:$B,0)),IFERROR(INDEX('Source 2025'!$C:$C,MATCH($A239,'Source 2025'!$B:$B,0)),""))</f>
        <v>טייפ חבישה לספורט</v>
      </c>
      <c r="C239" s="8" t="n">
        <f aca="false">SUMIFS('Source 2025'!$I:$I,'Source 2025'!$B:$B,$A239,'Source 2025'!$A:$A,"Quantity (units)")</f>
        <v>0</v>
      </c>
      <c r="D239" s="8" t="n">
        <f aca="false">SUMIFS('Source 2026'!$I:$I,'Source 2026'!$B:$B,$A239,'Source 2026'!$A:$A,"Quantity (units)")</f>
        <v>3</v>
      </c>
      <c r="E239" s="8" t="n">
        <f aca="false">D239-C239</f>
        <v>3</v>
      </c>
      <c r="F239" s="9" t="str">
        <f aca="false">IF(AND(C239=0,D239=0),0,IF(C239=0,"New",(D239-C239)/C239))</f>
        <v>New</v>
      </c>
      <c r="G239" s="10" t="n">
        <f aca="false">SUMIFS('Source 2025'!$I:$I,'Source 2025'!$B:$B,$A239,'Source 2025'!$A:$A,"Amount (NIS)")</f>
        <v>0</v>
      </c>
      <c r="H239" s="10" t="n">
        <f aca="false">SUMIFS('Source 2026'!$I:$I,'Source 2026'!$B:$B,$A239,'Source 2026'!$A:$A,"Amount (NIS)")</f>
        <v>51.9</v>
      </c>
      <c r="I239" s="10" t="n">
        <f aca="false">H239-G239</f>
        <v>51.9</v>
      </c>
      <c r="J239" s="9" t="str">
        <f aca="false">IF(AND(G239=0,H239=0),0,IF(G239=0,"New",(H239-G239)/G239))</f>
        <v>New</v>
      </c>
    </row>
    <row r="240" customFormat="false" ht="15" hidden="false" customHeight="false" outlineLevel="0" collapsed="false">
      <c r="A240" s="7" t="s">
        <v>196</v>
      </c>
      <c r="B240" s="7" t="str">
        <f aca="false">IFERROR(INDEX('Source 2026'!$C:$C,MATCH($A240,'Source 2026'!$B:$B,0)),IFERROR(INDEX('Source 2025'!$C:$C,MATCH($A240,'Source 2025'!$B:$B,0)),""))</f>
        <v>מגן זרת מסיליקון</v>
      </c>
      <c r="C240" s="8" t="n">
        <f aca="false">SUMIFS('Source 2025'!$I:$I,'Source 2025'!$B:$B,$A240,'Source 2025'!$A:$A,"Quantity (units)")</f>
        <v>107</v>
      </c>
      <c r="D240" s="8" t="n">
        <f aca="false">SUMIFS('Source 2026'!$I:$I,'Source 2026'!$B:$B,$A240,'Source 2026'!$A:$A,"Quantity (units)")</f>
        <v>104</v>
      </c>
      <c r="E240" s="8" t="n">
        <f aca="false">D240-C240</f>
        <v>-3</v>
      </c>
      <c r="F240" s="9" t="n">
        <f aca="false">IF(AND(C240=0,D240=0),0,IF(C240=0,"New",(D240-C240)/C240))</f>
        <v>-0.0280373831775701</v>
      </c>
      <c r="G240" s="10" t="n">
        <f aca="false">SUMIFS('Source 2025'!$I:$I,'Source 2025'!$B:$B,$A240,'Source 2025'!$A:$A,"Amount (NIS)")</f>
        <v>2792.2</v>
      </c>
      <c r="H240" s="10" t="n">
        <f aca="false">SUMIFS('Source 2026'!$I:$I,'Source 2026'!$B:$B,$A240,'Source 2026'!$A:$A,"Amount (NIS)")</f>
        <v>2746</v>
      </c>
      <c r="I240" s="10" t="n">
        <f aca="false">H240-G240</f>
        <v>-46.1999999999998</v>
      </c>
      <c r="J240" s="9" t="n">
        <f aca="false">IF(AND(G240=0,H240=0),0,IF(G240=0,"New",(H240-G240)/G240))</f>
        <v>-0.0165460926867702</v>
      </c>
    </row>
    <row r="241" customFormat="false" ht="15" hidden="false" customHeight="false" outlineLevel="0" collapsed="false">
      <c r="A241" s="7" t="s">
        <v>294</v>
      </c>
      <c r="B241" s="7" t="str">
        <f aca="false">IFERROR(INDEX('Source 2026'!$C:$C,MATCH($A241,'Source 2026'!$B:$B,0)),IFERROR(INDEX('Source 2025'!$C:$C,MATCH($A241,'Source 2025'!$B:$B,0)),""))</f>
        <v>מגן קרסול נושם</v>
      </c>
      <c r="C241" s="8" t="n">
        <f aca="false">SUMIFS('Source 2025'!$I:$I,'Source 2025'!$B:$B,$A241,'Source 2025'!$A:$A,"Quantity (units)")</f>
        <v>11</v>
      </c>
      <c r="D241" s="8" t="n">
        <f aca="false">SUMIFS('Source 2026'!$I:$I,'Source 2026'!$B:$B,$A241,'Source 2026'!$A:$A,"Quantity (units)")</f>
        <v>9</v>
      </c>
      <c r="E241" s="8" t="n">
        <f aca="false">D241-C241</f>
        <v>-2</v>
      </c>
      <c r="F241" s="9" t="n">
        <f aca="false">IF(AND(C241=0,D241=0),0,IF(C241=0,"New",(D241-C241)/C241))</f>
        <v>-0.181818181818182</v>
      </c>
      <c r="G241" s="10" t="n">
        <f aca="false">SUMIFS('Source 2025'!$I:$I,'Source 2025'!$B:$B,$A241,'Source 2025'!$A:$A,"Amount (NIS)")</f>
        <v>381.1</v>
      </c>
      <c r="H241" s="10" t="n">
        <f aca="false">SUMIFS('Source 2026'!$I:$I,'Source 2026'!$B:$B,$A241,'Source 2026'!$A:$A,"Amount (NIS)")</f>
        <v>337.1</v>
      </c>
      <c r="I241" s="10" t="n">
        <f aca="false">H241-G241</f>
        <v>-44</v>
      </c>
      <c r="J241" s="9" t="n">
        <f aca="false">IF(AND(G241=0,H241=0),0,IF(G241=0,"New",(H241-G241)/G241))</f>
        <v>-0.115455261086329</v>
      </c>
    </row>
    <row r="242" customFormat="false" ht="15" hidden="false" customHeight="false" outlineLevel="0" collapsed="false">
      <c r="A242" s="7" t="s">
        <v>185</v>
      </c>
      <c r="B242" s="7" t="str">
        <f aca="false">IFERROR(INDEX('Source 2026'!$C:$C,MATCH($A242,'Source 2026'!$B:$B,0)),IFERROR(INDEX('Source 2025'!$C:$C,MATCH($A242,'Source 2025'!$B:$B,0)),""))</f>
        <v>S תומך זרוע וכתף</v>
      </c>
      <c r="C242" s="8" t="n">
        <f aca="false">SUMIFS('Source 2025'!$I:$I,'Source 2025'!$B:$B,$A242,'Source 2025'!$A:$A,"Quantity (units)")</f>
        <v>20</v>
      </c>
      <c r="D242" s="8" t="n">
        <f aca="false">SUMIFS('Source 2026'!$I:$I,'Source 2026'!$B:$B,$A242,'Source 2026'!$A:$A,"Quantity (units)")</f>
        <v>22</v>
      </c>
      <c r="E242" s="8" t="n">
        <f aca="false">D242-C242</f>
        <v>2</v>
      </c>
      <c r="F242" s="9" t="n">
        <f aca="false">IF(AND(C242=0,D242=0),0,IF(C242=0,"New",(D242-C242)/C242))</f>
        <v>0.1</v>
      </c>
      <c r="G242" s="10" t="n">
        <f aca="false">SUMIFS('Source 2025'!$I:$I,'Source 2025'!$B:$B,$A242,'Source 2025'!$A:$A,"Amount (NIS)")</f>
        <v>3449.3</v>
      </c>
      <c r="H242" s="10" t="n">
        <f aca="false">SUMIFS('Source 2026'!$I:$I,'Source 2026'!$B:$B,$A242,'Source 2026'!$A:$A,"Amount (NIS)")</f>
        <v>3490.2</v>
      </c>
      <c r="I242" s="10" t="n">
        <f aca="false">H242-G242</f>
        <v>40.8999999999996</v>
      </c>
      <c r="J242" s="9" t="n">
        <f aca="false">IF(AND(G242=0,H242=0),0,IF(G242=0,"New",(H242-G242)/G242))</f>
        <v>0.0118574783289362</v>
      </c>
    </row>
    <row r="243" customFormat="false" ht="15" hidden="false" customHeight="false" outlineLevel="0" collapsed="false">
      <c r="A243" s="7" t="s">
        <v>244</v>
      </c>
      <c r="B243" s="7" t="str">
        <f aca="false">IFERROR(INDEX('Source 2026'!$C:$C,MATCH($A243,'Source 2026'!$B:$B,0)),IFERROR(INDEX('Source 2025'!$C:$C,MATCH($A243,'Source 2025'!$B:$B,0)),""))</f>
        <v>S תתמתלה ליד רצועה</v>
      </c>
      <c r="C243" s="8" t="n">
        <f aca="false">SUMIFS('Source 2025'!$I:$I,'Source 2025'!$B:$B,$A243,'Source 2025'!$A:$A,"Quantity (units)")</f>
        <v>-1</v>
      </c>
      <c r="D243" s="8" t="n">
        <f aca="false">SUMIFS('Source 2026'!$I:$I,'Source 2026'!$B:$B,$A243,'Source 2026'!$A:$A,"Quantity (units)")</f>
        <v>0</v>
      </c>
      <c r="E243" s="8" t="n">
        <f aca="false">D243-C243</f>
        <v>1</v>
      </c>
      <c r="F243" s="9" t="n">
        <f aca="false">IF(AND(C243=0,D243=0),0,IF(C243=0,"New",(D243-C243)/C243))</f>
        <v>-1</v>
      </c>
      <c r="G243" s="10" t="n">
        <f aca="false">SUMIFS('Source 2025'!$I:$I,'Source 2025'!$B:$B,$A243,'Source 2025'!$A:$A,"Amount (NIS)")</f>
        <v>-32.3</v>
      </c>
      <c r="H243" s="10" t="n">
        <f aca="false">SUMIFS('Source 2026'!$I:$I,'Source 2026'!$B:$B,$A243,'Source 2026'!$A:$A,"Amount (NIS)")</f>
        <v>0</v>
      </c>
      <c r="I243" s="10" t="n">
        <f aca="false">H243-G243</f>
        <v>32.3</v>
      </c>
      <c r="J243" s="9" t="n">
        <f aca="false">IF(AND(G243=0,H243=0),0,IF(G243=0,"New",(H243-G243)/G243))</f>
        <v>-1</v>
      </c>
    </row>
    <row r="244" customFormat="false" ht="15" hidden="false" customHeight="false" outlineLevel="0" collapsed="false">
      <c r="A244" s="7" t="s">
        <v>243</v>
      </c>
      <c r="B244" s="7" t="str">
        <f aca="false">IFERROR(INDEX('Source 2026'!$C:$C,MATCH($A244,'Source 2026'!$B:$B,0)),IFERROR(INDEX('Source 2025'!$C:$C,MATCH($A244,'Source 2025'!$B:$B,0)),""))</f>
        <v>בקט.לנעל120</v>
      </c>
      <c r="C244" s="8" t="n">
        <f aca="false">SUMIFS('Source 2025'!$I:$I,'Source 2025'!$B:$B,$A244,'Source 2025'!$A:$A,"Quantity (units)")</f>
        <v>1</v>
      </c>
      <c r="D244" s="8" t="n">
        <f aca="false">SUMIFS('Source 2026'!$I:$I,'Source 2026'!$B:$B,$A244,'Source 2026'!$A:$A,"Quantity (units)")</f>
        <v>0</v>
      </c>
      <c r="E244" s="8" t="n">
        <f aca="false">D244-C244</f>
        <v>-1</v>
      </c>
      <c r="F244" s="9" t="n">
        <f aca="false">IF(AND(C244=0,D244=0),0,IF(C244=0,"New",(D244-C244)/C244))</f>
        <v>-1</v>
      </c>
      <c r="G244" s="10" t="n">
        <f aca="false">SUMIFS('Source 2025'!$I:$I,'Source 2025'!$B:$B,$A244,'Source 2025'!$A:$A,"Amount (NIS)")</f>
        <v>29</v>
      </c>
      <c r="H244" s="10" t="n">
        <f aca="false">SUMIFS('Source 2026'!$I:$I,'Source 2026'!$B:$B,$A244,'Source 2026'!$A:$A,"Amount (NIS)")</f>
        <v>0</v>
      </c>
      <c r="I244" s="10" t="n">
        <f aca="false">H244-G244</f>
        <v>-29</v>
      </c>
      <c r="J244" s="9" t="n">
        <f aca="false">IF(AND(G244=0,H244=0),0,IF(G244=0,"New",(H244-G244)/G244))</f>
        <v>-1</v>
      </c>
    </row>
    <row r="245" customFormat="false" ht="15" hidden="false" customHeight="false" outlineLevel="0" collapsed="false">
      <c r="A245" s="7" t="s">
        <v>272</v>
      </c>
      <c r="B245" s="7" t="str">
        <f aca="false">IFERROR(INDEX('Source 2026'!$C:$C,MATCH($A245,'Source 2026'!$B:$B,0)),IFERROR(INDEX('Source 2025'!$C:$C,MATCH($A245,'Source 2025'!$B:$B,0)),""))</f>
        <v>סד לש.כף יד שמאל</v>
      </c>
      <c r="C245" s="8" t="n">
        <f aca="false">SUMIFS('Source 2025'!$I:$I,'Source 2025'!$B:$B,$A245,'Source 2025'!$A:$A,"Quantity (units)")</f>
        <v>25</v>
      </c>
      <c r="D245" s="8" t="n">
        <f aca="false">SUMIFS('Source 2026'!$I:$I,'Source 2026'!$B:$B,$A245,'Source 2026'!$A:$A,"Quantity (units)")</f>
        <v>24</v>
      </c>
      <c r="E245" s="8" t="n">
        <f aca="false">D245-C245</f>
        <v>-1</v>
      </c>
      <c r="F245" s="9" t="n">
        <f aca="false">IF(AND(C245=0,D245=0),0,IF(C245=0,"New",(D245-C245)/C245))</f>
        <v>-0.04</v>
      </c>
      <c r="G245" s="10" t="n">
        <f aca="false">SUMIFS('Source 2025'!$I:$I,'Source 2025'!$B:$B,$A245,'Source 2025'!$A:$A,"Amount (NIS)")</f>
        <v>868.5</v>
      </c>
      <c r="H245" s="10" t="n">
        <f aca="false">SUMIFS('Source 2026'!$I:$I,'Source 2026'!$B:$B,$A245,'Source 2026'!$A:$A,"Amount (NIS)")</f>
        <v>847.6</v>
      </c>
      <c r="I245" s="10" t="n">
        <f aca="false">H245-G245</f>
        <v>-20.9</v>
      </c>
      <c r="J245" s="9" t="n">
        <f aca="false">IF(AND(G245=0,H245=0),0,IF(G245=0,"New",(H245-G245)/G245))</f>
        <v>-0.0240644789867588</v>
      </c>
    </row>
    <row r="246" customFormat="false" ht="15" hidden="false" customHeight="false" outlineLevel="0" collapsed="false">
      <c r="A246" s="7" t="s">
        <v>354</v>
      </c>
      <c r="B246" s="7" t="str">
        <f aca="false">IFERROR(INDEX('Source 2026'!$C:$C,MATCH($A246,'Source 2026'!$B:$B,0)),IFERROR(INDEX('Source 2025'!$C:$C,MATCH($A246,'Source 2025'!$B:$B,0)),""))</f>
        <v>נוזלי</v>
      </c>
      <c r="C246" s="8" t="n">
        <f aca="false">SUMIFS('Source 2025'!$I:$I,'Source 2025'!$B:$B,$A246,'Source 2025'!$A:$A,"Quantity (units)")</f>
        <v>-1</v>
      </c>
      <c r="D246" s="8" t="n">
        <f aca="false">SUMIFS('Source 2026'!$I:$I,'Source 2026'!$B:$B,$A246,'Source 2026'!$A:$A,"Quantity (units)")</f>
        <v>0</v>
      </c>
      <c r="E246" s="8" t="n">
        <f aca="false">D246-C246</f>
        <v>1</v>
      </c>
      <c r="F246" s="9" t="n">
        <f aca="false">IF(AND(C246=0,D246=0),0,IF(C246=0,"New",(D246-C246)/C246))</f>
        <v>-1</v>
      </c>
      <c r="G246" s="10" t="n">
        <f aca="false">SUMIFS('Source 2025'!$I:$I,'Source 2025'!$B:$B,$A246,'Source 2025'!$A:$A,"Amount (NIS)")</f>
        <v>-20.8</v>
      </c>
      <c r="H246" s="10" t="n">
        <f aca="false">SUMIFS('Source 2026'!$I:$I,'Source 2026'!$B:$B,$A246,'Source 2026'!$A:$A,"Amount (NIS)")</f>
        <v>0</v>
      </c>
      <c r="I246" s="10" t="n">
        <f aca="false">H246-G246</f>
        <v>20.8</v>
      </c>
      <c r="J246" s="9" t="n">
        <f aca="false">IF(AND(G246=0,H246=0),0,IF(G246=0,"New",(H246-G246)/G246))</f>
        <v>-1</v>
      </c>
    </row>
    <row r="247" customFormat="false" ht="15" hidden="false" customHeight="false" outlineLevel="0" collapsed="false">
      <c r="A247" s="7" t="s">
        <v>247</v>
      </c>
      <c r="B247" s="7" t="str">
        <f aca="false">IFERROR(INDEX('Source 2026'!$C:$C,MATCH($A247,'Source 2026'!$B:$B,0)),IFERROR(INDEX('Source 2025'!$C:$C,MATCH($A247,'Source 2025'!$B:$B,0)),""))</f>
        <v>ריפוד סיליק.לעקב תחתון</v>
      </c>
      <c r="C247" s="8" t="n">
        <f aca="false">SUMIFS('Source 2025'!$I:$I,'Source 2025'!$B:$B,$A247,'Source 2025'!$A:$A,"Quantity (units)")</f>
        <v>43</v>
      </c>
      <c r="D247" s="8" t="n">
        <f aca="false">SUMIFS('Source 2026'!$I:$I,'Source 2026'!$B:$B,$A247,'Source 2026'!$A:$A,"Quantity (units)")</f>
        <v>41</v>
      </c>
      <c r="E247" s="8" t="n">
        <f aca="false">D247-C247</f>
        <v>-2</v>
      </c>
      <c r="F247" s="9" t="n">
        <f aca="false">IF(AND(C247=0,D247=0),0,IF(C247=0,"New",(D247-C247)/C247))</f>
        <v>-0.0465116279069767</v>
      </c>
      <c r="G247" s="10" t="n">
        <f aca="false">SUMIFS('Source 2025'!$I:$I,'Source 2025'!$B:$B,$A247,'Source 2025'!$A:$A,"Amount (NIS)")</f>
        <v>900.2</v>
      </c>
      <c r="H247" s="10" t="n">
        <f aca="false">SUMIFS('Source 2026'!$I:$I,'Source 2026'!$B:$B,$A247,'Source 2026'!$A:$A,"Amount (NIS)")</f>
        <v>879.8</v>
      </c>
      <c r="I247" s="10" t="n">
        <f aca="false">H247-G247</f>
        <v>-20.4000000000001</v>
      </c>
      <c r="J247" s="9" t="n">
        <f aca="false">IF(AND(G247=0,H247=0),0,IF(G247=0,"New",(H247-G247)/G247))</f>
        <v>-0.0226616307487226</v>
      </c>
    </row>
    <row r="248" customFormat="false" ht="15" hidden="false" customHeight="false" outlineLevel="0" collapsed="false">
      <c r="A248" s="7" t="s">
        <v>278</v>
      </c>
      <c r="B248" s="7" t="str">
        <f aca="false">IFERROR(INDEX('Source 2026'!$C:$C,MATCH($A248,'Source 2026'!$B:$B,0)),IFERROR(INDEX('Source 2025'!$C:$C,MATCH($A248,'Source 2025'!$B:$B,0)),""))</f>
        <v>מגן מרפק</v>
      </c>
      <c r="C248" s="8" t="n">
        <f aca="false">SUMIFS('Source 2025'!$I:$I,'Source 2025'!$B:$B,$A248,'Source 2025'!$A:$A,"Quantity (units)")</f>
        <v>3</v>
      </c>
      <c r="D248" s="8" t="n">
        <f aca="false">SUMIFS('Source 2026'!$I:$I,'Source 2026'!$B:$B,$A248,'Source 2026'!$A:$A,"Quantity (units)")</f>
        <v>3</v>
      </c>
      <c r="E248" s="8" t="n">
        <f aca="false">D248-C248</f>
        <v>0</v>
      </c>
      <c r="F248" s="9" t="n">
        <f aca="false">IF(AND(C248=0,D248=0),0,IF(C248=0,"New",(D248-C248)/C248))</f>
        <v>0</v>
      </c>
      <c r="G248" s="10" t="n">
        <f aca="false">SUMIFS('Source 2025'!$I:$I,'Source 2025'!$B:$B,$A248,'Source 2025'!$A:$A,"Amount (NIS)")</f>
        <v>107.6</v>
      </c>
      <c r="H248" s="10" t="n">
        <f aca="false">SUMIFS('Source 2026'!$I:$I,'Source 2026'!$B:$B,$A248,'Source 2026'!$A:$A,"Amount (NIS)")</f>
        <v>126.4</v>
      </c>
      <c r="I248" s="10" t="n">
        <f aca="false">H248-G248</f>
        <v>18.8</v>
      </c>
      <c r="J248" s="9" t="n">
        <f aca="false">IF(AND(G248=0,H248=0),0,IF(G248=0,"New",(H248-G248)/G248))</f>
        <v>0.174721189591078</v>
      </c>
    </row>
    <row r="249" customFormat="false" ht="15" hidden="false" customHeight="false" outlineLevel="0" collapsed="false">
      <c r="A249" s="7" t="s">
        <v>178</v>
      </c>
      <c r="B249" s="7" t="str">
        <f aca="false">IFERROR(INDEX('Source 2026'!$C:$C,MATCH($A249,'Source 2026'!$B:$B,0)),IFERROR(INDEX('Source 2025'!$C:$C,MATCH($A249,'Source 2025'!$B:$B,0)),""))</f>
        <v>XXL מגן ברך ארוך עם כרית</v>
      </c>
      <c r="C249" s="8" t="n">
        <f aca="false">SUMIFS('Source 2025'!$I:$I,'Source 2025'!$B:$B,$A249,'Source 2025'!$A:$A,"Quantity (units)")</f>
        <v>-3</v>
      </c>
      <c r="D249" s="8" t="n">
        <f aca="false">SUMIFS('Source 2026'!$I:$I,'Source 2026'!$B:$B,$A249,'Source 2026'!$A:$A,"Quantity (units)")</f>
        <v>-3</v>
      </c>
      <c r="E249" s="8" t="n">
        <f aca="false">D249-C249</f>
        <v>0</v>
      </c>
      <c r="F249" s="9" t="n">
        <f aca="false">IF(AND(C249=0,D249=0),0,IF(C249=0,"New",(D249-C249)/C249))</f>
        <v>-0</v>
      </c>
      <c r="G249" s="10" t="n">
        <f aca="false">SUMIFS('Source 2025'!$I:$I,'Source 2025'!$B:$B,$A249,'Source 2025'!$A:$A,"Amount (NIS)")</f>
        <v>-608.3</v>
      </c>
      <c r="H249" s="10" t="n">
        <f aca="false">SUMIFS('Source 2026'!$I:$I,'Source 2026'!$B:$B,$A249,'Source 2026'!$A:$A,"Amount (NIS)")</f>
        <v>-590.2</v>
      </c>
      <c r="I249" s="10" t="n">
        <f aca="false">H249-G249</f>
        <v>18.0999999999999</v>
      </c>
      <c r="J249" s="9" t="n">
        <f aca="false">IF(AND(G249=0,H249=0),0,IF(G249=0,"New",(H249-G249)/G249))</f>
        <v>-0.0297550550715106</v>
      </c>
    </row>
    <row r="250" customFormat="false" ht="15" hidden="false" customHeight="false" outlineLevel="0" collapsed="false">
      <c r="A250" s="7" t="s">
        <v>273</v>
      </c>
      <c r="B250" s="7" t="str">
        <f aca="false">IFERROR(INDEX('Source 2026'!$C:$C,MATCH($A250,'Source 2026'!$B:$B,0)),IFERROR(INDEX('Source 2025'!$C:$C,MATCH($A250,'Source 2025'!$B:$B,0)),""))</f>
        <v>סד לש.כף יד ימין</v>
      </c>
      <c r="C250" s="8" t="n">
        <f aca="false">SUMIFS('Source 2025'!$I:$I,'Source 2025'!$B:$B,$A250,'Source 2025'!$A:$A,"Quantity (units)")</f>
        <v>29</v>
      </c>
      <c r="D250" s="8" t="n">
        <f aca="false">SUMIFS('Source 2026'!$I:$I,'Source 2026'!$B:$B,$A250,'Source 2026'!$A:$A,"Quantity (units)")</f>
        <v>28</v>
      </c>
      <c r="E250" s="8" t="n">
        <f aca="false">D250-C250</f>
        <v>-1</v>
      </c>
      <c r="F250" s="9" t="n">
        <f aca="false">IF(AND(C250=0,D250=0),0,IF(C250=0,"New",(D250-C250)/C250))</f>
        <v>-0.0344827586206897</v>
      </c>
      <c r="G250" s="10" t="n">
        <f aca="false">SUMIFS('Source 2025'!$I:$I,'Source 2025'!$B:$B,$A250,'Source 2025'!$A:$A,"Amount (NIS)")</f>
        <v>1009.8</v>
      </c>
      <c r="H250" s="10" t="n">
        <f aca="false">SUMIFS('Source 2026'!$I:$I,'Source 2026'!$B:$B,$A250,'Source 2026'!$A:$A,"Amount (NIS)")</f>
        <v>995.5</v>
      </c>
      <c r="I250" s="10" t="n">
        <f aca="false">H250-G250</f>
        <v>-14.3</v>
      </c>
      <c r="J250" s="9" t="n">
        <f aca="false">IF(AND(G250=0,H250=0),0,IF(G250=0,"New",(H250-G250)/G250))</f>
        <v>-0.0141612200435729</v>
      </c>
    </row>
    <row r="251" customFormat="false" ht="15" hidden="false" customHeight="false" outlineLevel="0" collapsed="false">
      <c r="A251" s="7" t="s">
        <v>240</v>
      </c>
      <c r="B251" s="7" t="str">
        <f aca="false">IFERROR(INDEX('Source 2026'!$C:$C,MATCH($A251,'Source 2026'!$B:$B,0)),IFERROR(INDEX('Source 2025'!$C:$C,MATCH($A251,'Source 2025'!$B:$B,0)),""))</f>
        <v>סט פלסטרים נגד שפשופים</v>
      </c>
      <c r="C251" s="8" t="n">
        <f aca="false">SUMIFS('Source 2025'!$I:$I,'Source 2025'!$B:$B,$A251,'Source 2025'!$A:$A,"Quantity (units)")</f>
        <v>0</v>
      </c>
      <c r="D251" s="8" t="n">
        <f aca="false">SUMIFS('Source 2026'!$I:$I,'Source 2026'!$B:$B,$A251,'Source 2026'!$A:$A,"Quantity (units)")</f>
        <v>0</v>
      </c>
      <c r="E251" s="8" t="n">
        <f aca="false">D251-C251</f>
        <v>0</v>
      </c>
      <c r="F251" s="9" t="n">
        <f aca="false">IF(AND(C251=0,D251=0),0,IF(C251=0,"New",(D251-C251)/C251))</f>
        <v>0</v>
      </c>
      <c r="G251" s="10" t="n">
        <f aca="false">SUMIFS('Source 2025'!$I:$I,'Source 2025'!$B:$B,$A251,'Source 2025'!$A:$A,"Amount (NIS)")</f>
        <v>0</v>
      </c>
      <c r="H251" s="10" t="n">
        <f aca="false">SUMIFS('Source 2026'!$I:$I,'Source 2026'!$B:$B,$A251,'Source 2026'!$A:$A,"Amount (NIS)")</f>
        <v>13.3</v>
      </c>
      <c r="I251" s="10" t="n">
        <f aca="false">H251-G251</f>
        <v>13.3</v>
      </c>
      <c r="J251" s="9" t="str">
        <f aca="false">IF(AND(G251=0,H251=0),0,IF(G251=0,"New",(H251-G251)/G251))</f>
        <v>New</v>
      </c>
    </row>
    <row r="252" customFormat="false" ht="15" hidden="false" customHeight="false" outlineLevel="0" collapsed="false">
      <c r="A252" s="7" t="s">
        <v>220</v>
      </c>
      <c r="B252" s="7" t="str">
        <f aca="false">IFERROR(INDEX('Source 2026'!$C:$C,MATCH($A252,'Source 2026'!$B:$B,0)),IFERROR(INDEX('Source 2025'!$C:$C,MATCH($A252,'Source 2025'!$B:$B,0)),""))</f>
        <v>XL סד לאגודל כפפה</v>
      </c>
      <c r="C252" s="8" t="n">
        <f aca="false">SUMIFS('Source 2025'!$I:$I,'Source 2025'!$B:$B,$A252,'Source 2025'!$A:$A,"Quantity (units)")</f>
        <v>0</v>
      </c>
      <c r="D252" s="8" t="n">
        <f aca="false">SUMIFS('Source 2026'!$I:$I,'Source 2026'!$B:$B,$A252,'Source 2026'!$A:$A,"Quantity (units)")</f>
        <v>0</v>
      </c>
      <c r="E252" s="8" t="n">
        <f aca="false">D252-C252</f>
        <v>0</v>
      </c>
      <c r="F252" s="9" t="n">
        <f aca="false">IF(AND(C252=0,D252=0),0,IF(C252=0,"New",(D252-C252)/C252))</f>
        <v>0</v>
      </c>
      <c r="G252" s="10" t="n">
        <f aca="false">SUMIFS('Source 2025'!$I:$I,'Source 2025'!$B:$B,$A252,'Source 2025'!$A:$A,"Amount (NIS)")</f>
        <v>-9.50000000000001</v>
      </c>
      <c r="H252" s="10" t="n">
        <f aca="false">SUMIFS('Source 2026'!$I:$I,'Source 2026'!$B:$B,$A252,'Source 2026'!$A:$A,"Amount (NIS)")</f>
        <v>0</v>
      </c>
      <c r="I252" s="10" t="n">
        <f aca="false">H252-G252</f>
        <v>9.50000000000001</v>
      </c>
      <c r="J252" s="9" t="n">
        <f aca="false">IF(AND(G252=0,H252=0),0,IF(G252=0,"New",(H252-G252)/G252))</f>
        <v>-1</v>
      </c>
    </row>
    <row r="253" customFormat="false" ht="15" hidden="false" customHeight="false" outlineLevel="0" collapsed="false">
      <c r="A253" s="7" t="s">
        <v>275</v>
      </c>
      <c r="B253" s="7" t="str">
        <f aca="false">IFERROR(INDEX('Source 2026'!$C:$C,MATCH($A253,'Source 2026'!$B:$B,0)),IFERROR(INDEX('Source 2025'!$C:$C,MATCH($A253,'Source 2025'!$B:$B,0)),""))</f>
        <v>חגורת בטן קלה</v>
      </c>
      <c r="C253" s="8" t="n">
        <f aca="false">SUMIFS('Source 2025'!$I:$I,'Source 2025'!$B:$B,$A253,'Source 2025'!$A:$A,"Quantity (units)")</f>
        <v>2</v>
      </c>
      <c r="D253" s="8" t="n">
        <f aca="false">SUMIFS('Source 2026'!$I:$I,'Source 2026'!$B:$B,$A253,'Source 2026'!$A:$A,"Quantity (units)")</f>
        <v>2</v>
      </c>
      <c r="E253" s="8" t="n">
        <f aca="false">D253-C253</f>
        <v>0</v>
      </c>
      <c r="F253" s="9" t="n">
        <f aca="false">IF(AND(C253=0,D253=0),0,IF(C253=0,"New",(D253-C253)/C253))</f>
        <v>0</v>
      </c>
      <c r="G253" s="10" t="n">
        <f aca="false">SUMIFS('Source 2025'!$I:$I,'Source 2025'!$B:$B,$A253,'Source 2025'!$A:$A,"Amount (NIS)")</f>
        <v>144.4</v>
      </c>
      <c r="H253" s="10" t="n">
        <f aca="false">SUMIFS('Source 2026'!$I:$I,'Source 2026'!$B:$B,$A253,'Source 2026'!$A:$A,"Amount (NIS)")</f>
        <v>150.5</v>
      </c>
      <c r="I253" s="10" t="n">
        <f aca="false">H253-G253</f>
        <v>6.09999999999999</v>
      </c>
      <c r="J253" s="9" t="n">
        <f aca="false">IF(AND(G253=0,H253=0),0,IF(G253=0,"New",(H253-G253)/G253))</f>
        <v>0.0422437673130194</v>
      </c>
    </row>
    <row r="254" customFormat="false" ht="15" hidden="false" customHeight="false" outlineLevel="0" collapsed="false">
      <c r="A254" s="7" t="s">
        <v>248</v>
      </c>
      <c r="B254" s="7" t="str">
        <f aca="false">IFERROR(INDEX('Source 2026'!$C:$C,MATCH($A254,'Source 2026'!$B:$B,0)),IFERROR(INDEX('Source 2025'!$C:$C,MATCH($A254,'Source 2025'!$B:$B,0)),""))</f>
        <v>0   גרביים+סיליקון</v>
      </c>
      <c r="C254" s="8" t="n">
        <f aca="false">SUMIFS('Source 2025'!$I:$I,'Source 2025'!$B:$B,$A254,'Source 2025'!$A:$A,"Quantity (units)")</f>
        <v>-1</v>
      </c>
      <c r="D254" s="8" t="n">
        <f aca="false">SUMIFS('Source 2026'!$I:$I,'Source 2026'!$B:$B,$A254,'Source 2026'!$A:$A,"Quantity (units)")</f>
        <v>-1</v>
      </c>
      <c r="E254" s="8" t="n">
        <f aca="false">D254-C254</f>
        <v>0</v>
      </c>
      <c r="F254" s="9" t="n">
        <f aca="false">IF(AND(C254=0,D254=0),0,IF(C254=0,"New",(D254-C254)/C254))</f>
        <v>-0</v>
      </c>
      <c r="G254" s="10" t="n">
        <f aca="false">SUMIFS('Source 2025'!$I:$I,'Source 2025'!$B:$B,$A254,'Source 2025'!$A:$A,"Amount (NIS)")</f>
        <v>-28.4</v>
      </c>
      <c r="H254" s="10" t="n">
        <f aca="false">SUMIFS('Source 2026'!$I:$I,'Source 2026'!$B:$B,$A254,'Source 2026'!$A:$A,"Amount (NIS)")</f>
        <v>-31.9</v>
      </c>
      <c r="I254" s="10" t="n">
        <f aca="false">H254-G254</f>
        <v>-3.5</v>
      </c>
      <c r="J254" s="9" t="n">
        <f aca="false">IF(AND(G254=0,H254=0),0,IF(G254=0,"New",(H254-G254)/G254))</f>
        <v>0.123239436619718</v>
      </c>
    </row>
    <row r="255" customFormat="false" ht="15" hidden="false" customHeight="false" outlineLevel="0" collapsed="false">
      <c r="A255" s="7" t="s">
        <v>281</v>
      </c>
      <c r="B255" s="7" t="str">
        <f aca="false">IFERROR(INDEX('Source 2026'!$C:$C,MATCH($A255,'Source 2026'!$B:$B,0)),IFERROR(INDEX('Source 2025'!$C:$C,MATCH($A255,'Source 2025'!$B:$B,0)),""))</f>
        <v>M מדרס ג'ל ספורט לגבר</v>
      </c>
      <c r="C255" s="8" t="n">
        <f aca="false">SUMIFS('Source 2025'!$I:$I,'Source 2025'!$B:$B,$A255,'Source 2025'!$A:$A,"Quantity (units)")</f>
        <v>2</v>
      </c>
      <c r="D255" s="8" t="n">
        <f aca="false">SUMIFS('Source 2026'!$I:$I,'Source 2026'!$B:$B,$A255,'Source 2026'!$A:$A,"Quantity (units)")</f>
        <v>2</v>
      </c>
      <c r="E255" s="8" t="n">
        <f aca="false">D255-C255</f>
        <v>0</v>
      </c>
      <c r="F255" s="9" t="n">
        <f aca="false">IF(AND(C255=0,D255=0),0,IF(C255=0,"New",(D255-C255)/C255))</f>
        <v>0</v>
      </c>
      <c r="G255" s="10" t="n">
        <f aca="false">SUMIFS('Source 2025'!$I:$I,'Source 2025'!$B:$B,$A255,'Source 2025'!$A:$A,"Amount (NIS)")</f>
        <v>131.3</v>
      </c>
      <c r="H255" s="10" t="n">
        <f aca="false">SUMIFS('Source 2026'!$I:$I,'Source 2026'!$B:$B,$A255,'Source 2026'!$A:$A,"Amount (NIS)")</f>
        <v>131.3</v>
      </c>
      <c r="I255" s="10" t="n">
        <f aca="false">H255-G255</f>
        <v>0</v>
      </c>
      <c r="J255" s="9" t="n">
        <f aca="false">IF(AND(G255=0,H255=0),0,IF(G255=0,"New",(H255-G255)/G255))</f>
        <v>0</v>
      </c>
    </row>
    <row r="256" customFormat="false" ht="15" hidden="false" customHeight="false" outlineLevel="0" collapsed="false">
      <c r="A256" s="7" t="s">
        <v>250</v>
      </c>
      <c r="B256" s="7" t="str">
        <f aca="false">IFERROR(INDEX('Source 2026'!$C:$C,MATCH($A256,'Source 2026'!$B:$B,0)),IFERROR(INDEX('Source 2025'!$C:$C,MATCH($A256,'Source 2025'!$B:$B,0)),""))</f>
        <v>יד לטניס כרית סיליק</v>
      </c>
      <c r="C256" s="8" t="n">
        <f aca="false">SUMIFS('Source 2025'!$I:$I,'Source 2025'!$B:$B,$A256,'Source 2025'!$A:$A,"Quantity (units)")</f>
        <v>-1</v>
      </c>
      <c r="D256" s="8" t="n">
        <f aca="false">SUMIFS('Source 2026'!$I:$I,'Source 2026'!$B:$B,$A256,'Source 2026'!$A:$A,"Quantity (units)")</f>
        <v>-1</v>
      </c>
      <c r="E256" s="8" t="n">
        <f aca="false">D256-C256</f>
        <v>0</v>
      </c>
      <c r="F256" s="9" t="n">
        <f aca="false">IF(AND(C256=0,D256=0),0,IF(C256=0,"New",(D256-C256)/C256))</f>
        <v>-0</v>
      </c>
      <c r="G256" s="10" t="n">
        <f aca="false">SUMIFS('Source 2025'!$I:$I,'Source 2025'!$B:$B,$A256,'Source 2025'!$A:$A,"Amount (NIS)")</f>
        <v>0</v>
      </c>
      <c r="H256" s="10" t="n">
        <f aca="false">SUMIFS('Source 2026'!$I:$I,'Source 2026'!$B:$B,$A256,'Source 2026'!$A:$A,"Amount (NIS)")</f>
        <v>0</v>
      </c>
      <c r="I256" s="10" t="n">
        <f aca="false">H256-G256</f>
        <v>0</v>
      </c>
      <c r="J256" s="9" t="n">
        <f aca="false">IF(AND(G256=0,H256=0),0,IF(G256=0,"New",(H256-G256)/G256))</f>
        <v>0</v>
      </c>
    </row>
    <row r="257" customFormat="false" ht="15" hidden="false" customHeight="false" outlineLevel="0" collapsed="false">
      <c r="A257" s="7" t="s">
        <v>251</v>
      </c>
      <c r="B257" s="7" t="str">
        <f aca="false">IFERROR(INDEX('Source 2026'!$C:$C,MATCH($A257,'Source 2026'!$B:$B,0)),IFERROR(INDEX('Source 2025'!$C:$C,MATCH($A257,'Source 2025'!$B:$B,0)),""))</f>
        <v>L חגורה לשבר טבור</v>
      </c>
      <c r="C257" s="8" t="n">
        <f aca="false">SUMIFS('Source 2025'!$I:$I,'Source 2025'!$B:$B,$A257,'Source 2025'!$A:$A,"Quantity (units)")</f>
        <v>-1</v>
      </c>
      <c r="D257" s="8" t="n">
        <f aca="false">SUMIFS('Source 2026'!$I:$I,'Source 2026'!$B:$B,$A257,'Source 2026'!$A:$A,"Quantity (units)")</f>
        <v>-1</v>
      </c>
      <c r="E257" s="8" t="n">
        <f aca="false">D257-C257</f>
        <v>0</v>
      </c>
      <c r="F257" s="9" t="n">
        <f aca="false">IF(AND(C257=0,D257=0),0,IF(C257=0,"New",(D257-C257)/C257))</f>
        <v>-0</v>
      </c>
      <c r="G257" s="10" t="n">
        <f aca="false">SUMIFS('Source 2025'!$I:$I,'Source 2025'!$B:$B,$A257,'Source 2025'!$A:$A,"Amount (NIS)")</f>
        <v>-135</v>
      </c>
      <c r="H257" s="10" t="n">
        <f aca="false">SUMIFS('Source 2026'!$I:$I,'Source 2026'!$B:$B,$A257,'Source 2026'!$A:$A,"Amount (NIS)")</f>
        <v>-135</v>
      </c>
      <c r="I257" s="10" t="n">
        <f aca="false">H257-G257</f>
        <v>0</v>
      </c>
      <c r="J257" s="9" t="n">
        <f aca="false">IF(AND(G257=0,H257=0),0,IF(G257=0,"New",(H257-G257)/G257))</f>
        <v>-0</v>
      </c>
    </row>
    <row r="258" customFormat="false" ht="15" hidden="false" customHeight="false" outlineLevel="0" collapsed="false">
      <c r="A258" s="7" t="s">
        <v>252</v>
      </c>
      <c r="B258" s="7" t="str">
        <f aca="false">IFERROR(INDEX('Source 2026'!$C:$C,MATCH($A258,'Source 2026'!$B:$B,0)),IFERROR(INDEX('Source 2025'!$C:$C,MATCH($A258,'Source 2025'!$B:$B,0)),""))</f>
        <v>XLסד ליד ימין</v>
      </c>
      <c r="C258" s="8" t="n">
        <f aca="false">SUMIFS('Source 2025'!$I:$I,'Source 2025'!$B:$B,$A258,'Source 2025'!$A:$A,"Quantity (units)")</f>
        <v>0</v>
      </c>
      <c r="D258" s="8" t="n">
        <f aca="false">SUMIFS('Source 2026'!$I:$I,'Source 2026'!$B:$B,$A258,'Source 2026'!$A:$A,"Quantity (units)")</f>
        <v>-1</v>
      </c>
      <c r="E258" s="8" t="n">
        <f aca="false">D258-C258</f>
        <v>-1</v>
      </c>
      <c r="F258" s="9" t="str">
        <f aca="false">IF(AND(C258=0,D258=0),0,IF(C258=0,"New",(D258-C258)/C258))</f>
        <v>New</v>
      </c>
      <c r="G258" s="10" t="n">
        <f aca="false">SUMIFS('Source 2025'!$I:$I,'Source 2025'!$B:$B,$A258,'Source 2025'!$A:$A,"Amount (NIS)")</f>
        <v>0</v>
      </c>
      <c r="H258" s="10" t="n">
        <f aca="false">SUMIFS('Source 2026'!$I:$I,'Source 2026'!$B:$B,$A258,'Source 2026'!$A:$A,"Amount (NIS)")</f>
        <v>0</v>
      </c>
      <c r="I258" s="10" t="n">
        <f aca="false">H258-G258</f>
        <v>0</v>
      </c>
      <c r="J258" s="9" t="n">
        <f aca="false">IF(AND(G258=0,H258=0),0,IF(G258=0,"New",(H258-G258)/G258))</f>
        <v>0</v>
      </c>
    </row>
    <row r="259" customFormat="false" ht="15" hidden="false" customHeight="false" outlineLevel="0" collapsed="false">
      <c r="A259" s="7" t="s">
        <v>255</v>
      </c>
      <c r="B259" s="7" t="str">
        <f aca="false">IFERROR(INDEX('Source 2026'!$C:$C,MATCH($A259,'Source 2026'!$B:$B,0)),IFERROR(INDEX('Source 2025'!$C:$C,MATCH($A259,'Source 2025'!$B:$B,0)),""))</f>
        <v>M מגן מרפק+רצועה לטניס</v>
      </c>
      <c r="C259" s="8" t="n">
        <f aca="false">SUMIFS('Source 2025'!$I:$I,'Source 2025'!$B:$B,$A259,'Source 2025'!$A:$A,"Quantity (units)")</f>
        <v>-1</v>
      </c>
      <c r="D259" s="8" t="n">
        <f aca="false">SUMIFS('Source 2026'!$I:$I,'Source 2026'!$B:$B,$A259,'Source 2026'!$A:$A,"Quantity (units)")</f>
        <v>-1</v>
      </c>
      <c r="E259" s="8" t="n">
        <f aca="false">D259-C259</f>
        <v>0</v>
      </c>
      <c r="F259" s="9" t="n">
        <f aca="false">IF(AND(C259=0,D259=0),0,IF(C259=0,"New",(D259-C259)/C259))</f>
        <v>-0</v>
      </c>
      <c r="G259" s="10" t="n">
        <f aca="false">SUMIFS('Source 2025'!$I:$I,'Source 2025'!$B:$B,$A259,'Source 2025'!$A:$A,"Amount (NIS)")</f>
        <v>0</v>
      </c>
      <c r="H259" s="10" t="n">
        <f aca="false">SUMIFS('Source 2026'!$I:$I,'Source 2026'!$B:$B,$A259,'Source 2026'!$A:$A,"Amount (NIS)")</f>
        <v>0</v>
      </c>
      <c r="I259" s="10" t="n">
        <f aca="false">H259-G259</f>
        <v>0</v>
      </c>
      <c r="J259" s="9" t="n">
        <f aca="false">IF(AND(G259=0,H259=0),0,IF(G259=0,"New",(H259-G259)/G259))</f>
        <v>0</v>
      </c>
    </row>
    <row r="260" customFormat="false" ht="15" hidden="false" customHeight="false" outlineLevel="0" collapsed="false">
      <c r="A260" s="7" t="s">
        <v>256</v>
      </c>
      <c r="B260" s="7" t="str">
        <f aca="false">IFERROR(INDEX('Source 2026'!$C:$C,MATCH($A260,'Source 2026'!$B:$B,0)),IFERROR(INDEX('Source 2025'!$C:$C,MATCH($A260,'Source 2025'!$B:$B,0)),""))</f>
        <v>XL ח.גב מגנטית+מוטות תמיכה</v>
      </c>
      <c r="C260" s="8" t="n">
        <f aca="false">SUMIFS('Source 2025'!$I:$I,'Source 2025'!$B:$B,$A260,'Source 2025'!$A:$A,"Quantity (units)")</f>
        <v>-1</v>
      </c>
      <c r="D260" s="8" t="n">
        <f aca="false">SUMIFS('Source 2026'!$I:$I,'Source 2026'!$B:$B,$A260,'Source 2026'!$A:$A,"Quantity (units)")</f>
        <v>-1</v>
      </c>
      <c r="E260" s="8" t="n">
        <f aca="false">D260-C260</f>
        <v>0</v>
      </c>
      <c r="F260" s="9" t="n">
        <f aca="false">IF(AND(C260=0,D260=0),0,IF(C260=0,"New",(D260-C260)/C260))</f>
        <v>-0</v>
      </c>
      <c r="G260" s="10" t="n">
        <f aca="false">SUMIFS('Source 2025'!$I:$I,'Source 2025'!$B:$B,$A260,'Source 2025'!$A:$A,"Amount (NIS)")</f>
        <v>-178.6</v>
      </c>
      <c r="H260" s="10" t="n">
        <f aca="false">SUMIFS('Source 2026'!$I:$I,'Source 2026'!$B:$B,$A260,'Source 2026'!$A:$A,"Amount (NIS)")</f>
        <v>-178.6</v>
      </c>
      <c r="I260" s="10" t="n">
        <f aca="false">H260-G260</f>
        <v>0</v>
      </c>
      <c r="J260" s="9" t="n">
        <f aca="false">IF(AND(G260=0,H260=0),0,IF(G260=0,"New",(H260-G260)/G260))</f>
        <v>-0</v>
      </c>
    </row>
    <row r="262" customFormat="false" ht="15" hidden="false" customHeight="false" outlineLevel="0" collapsed="false">
      <c r="A262" s="11"/>
      <c r="B262" s="12" t="s">
        <v>257</v>
      </c>
      <c r="C262" s="13" t="n">
        <f aca="false">SUM(C6:C260)</f>
        <v>204428</v>
      </c>
      <c r="D262" s="13" t="n">
        <f aca="false">SUM(D6:D260)</f>
        <v>137851</v>
      </c>
      <c r="E262" s="13" t="n">
        <f aca="false">SUM(E6:E260)</f>
        <v>-66577</v>
      </c>
      <c r="F262" s="14" t="n">
        <f aca="false">IF(C262=0,"N/A",E262/C262)</f>
        <v>-0.325674565128065</v>
      </c>
      <c r="G262" s="15" t="n">
        <f aca="false">SUM(G6:G260)</f>
        <v>7597886.3</v>
      </c>
      <c r="H262" s="15" t="n">
        <f aca="false">SUM(H6:H260)</f>
        <v>5165969.3</v>
      </c>
      <c r="I262" s="15" t="n">
        <f aca="false">SUM(I6:I260)</f>
        <v>-2431917</v>
      </c>
      <c r="J262" s="14" t="n">
        <f aca="false">IF(G262=0,"N/A",I262/G262)</f>
        <v>-0.320078098562754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355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356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16" t="s">
        <v>262</v>
      </c>
    </row>
    <row r="7" customFormat="false" ht="15" hidden="false" customHeight="false" outlineLevel="0" collapsed="false">
      <c r="A7" s="11"/>
      <c r="B7" s="12" t="s">
        <v>257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357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358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246</v>
      </c>
      <c r="B6" s="7" t="str">
        <f aca="false">IFERROR(INDEX('Source 2026'!$C:$C,MATCH($A6,'Source 2026'!$B:$B,0)),IFERROR(INDEX('Source 2025'!$C:$C,MATCH($A6,'Source 2025'!$B:$B,0)),""))</f>
        <v>ציפורניים</v>
      </c>
      <c r="C6" s="8" t="n">
        <f aca="false">SUMIFS('Source 2025'!$K:$K,'Source 2025'!$B:$B,$A6,'Source 2025'!$A:$A,"Quantity (units)")</f>
        <v>372</v>
      </c>
      <c r="D6" s="8" t="n">
        <f aca="false">SUMIFS('Source 2026'!$K:$K,'Source 2026'!$B:$B,$A6,'Source 2026'!$A:$A,"Quantity (units)")</f>
        <v>137</v>
      </c>
      <c r="E6" s="8" t="n">
        <f aca="false">D6-C6</f>
        <v>-235</v>
      </c>
      <c r="F6" s="9" t="n">
        <f aca="false">IF(AND(C6=0,D6=0),0,IF(C6=0,"New",(D6-C6)/C6))</f>
        <v>-0.631720430107527</v>
      </c>
      <c r="G6" s="10" t="n">
        <f aca="false">SUMIFS('Source 2025'!$K:$K,'Source 2025'!$B:$B,$A6,'Source 2025'!$A:$A,"Amount (NIS)")</f>
        <v>4892.8</v>
      </c>
      <c r="H6" s="10" t="n">
        <f aca="false">SUMIFS('Source 2026'!$K:$K,'Source 2026'!$B:$B,$A6,'Source 2026'!$A:$A,"Amount (NIS)")</f>
        <v>1801.9</v>
      </c>
      <c r="I6" s="10" t="n">
        <f aca="false">H6-G6</f>
        <v>-3090.9</v>
      </c>
      <c r="J6" s="9" t="n">
        <f aca="false">IF(AND(G6=0,H6=0),0,IF(G6=0,"New",(H6-G6)/G6))</f>
        <v>-0.631724166121648</v>
      </c>
    </row>
    <row r="7" customFormat="false" ht="15" hidden="false" customHeight="false" outlineLevel="0" collapsed="false">
      <c r="A7" s="7" t="s">
        <v>267</v>
      </c>
      <c r="B7" s="7" t="str">
        <f aca="false">IFERROR(INDEX('Source 2026'!$C:$C,MATCH($A7,'Source 2026'!$B:$B,0)),IFERROR(INDEX('Source 2025'!$C:$C,MATCH($A7,'Source 2025'!$B:$B,0)),""))</f>
        <v>L מגן ברך שחור</v>
      </c>
      <c r="C7" s="8" t="n">
        <f aca="false">SUMIFS('Source 2025'!$K:$K,'Source 2025'!$B:$B,$A7,'Source 2025'!$A:$A,"Quantity (units)")</f>
        <v>76</v>
      </c>
      <c r="D7" s="8" t="n">
        <f aca="false">SUMIFS('Source 2026'!$K:$K,'Source 2026'!$B:$B,$A7,'Source 2026'!$A:$A,"Quantity (units)")</f>
        <v>23</v>
      </c>
      <c r="E7" s="8" t="n">
        <f aca="false">D7-C7</f>
        <v>-53</v>
      </c>
      <c r="F7" s="9" t="n">
        <f aca="false">IF(AND(C7=0,D7=0),0,IF(C7=0,"New",(D7-C7)/C7))</f>
        <v>-0.697368421052632</v>
      </c>
      <c r="G7" s="10" t="n">
        <f aca="false">SUMIFS('Source 2025'!$K:$K,'Source 2025'!$B:$B,$A7,'Source 2025'!$A:$A,"Amount (NIS)")</f>
        <v>2109.2</v>
      </c>
      <c r="H7" s="10" t="n">
        <f aca="false">SUMIFS('Source 2026'!$K:$K,'Source 2026'!$B:$B,$A7,'Source 2026'!$A:$A,"Amount (NIS)")</f>
        <v>638.4</v>
      </c>
      <c r="I7" s="10" t="n">
        <f aca="false">H7-G7</f>
        <v>-1470.8</v>
      </c>
      <c r="J7" s="9" t="n">
        <f aca="false">IF(AND(G7=0,H7=0),0,IF(G7=0,"New",(H7-G7)/G7))</f>
        <v>-0.697326000379291</v>
      </c>
    </row>
    <row r="8" customFormat="false" ht="15" hidden="false" customHeight="false" outlineLevel="0" collapsed="false">
      <c r="A8" s="7" t="s">
        <v>159</v>
      </c>
      <c r="B8" s="7" t="str">
        <f aca="false">IFERROR(INDEX('Source 2026'!$C:$C,MATCH($A8,'Source 2026'!$B:$B,0)),IFERROR(INDEX('Source 2025'!$C:$C,MATCH($A8,'Source 2025'!$B:$B,0)),""))</f>
        <v>S מגן שוק</v>
      </c>
      <c r="C8" s="8" t="n">
        <f aca="false">SUMIFS('Source 2025'!$K:$K,'Source 2025'!$B:$B,$A8,'Source 2025'!$A:$A,"Quantity (units)")</f>
        <v>0</v>
      </c>
      <c r="D8" s="8" t="n">
        <f aca="false">SUMIFS('Source 2026'!$K:$K,'Source 2026'!$B:$B,$A8,'Source 2026'!$A:$A,"Quantity (units)")</f>
        <v>9</v>
      </c>
      <c r="E8" s="8" t="n">
        <f aca="false">D8-C8</f>
        <v>9</v>
      </c>
      <c r="F8" s="9" t="str">
        <f aca="false">IF(AND(C8=0,D8=0),0,IF(C8=0,"New",(D8-C8)/C8))</f>
        <v>New</v>
      </c>
      <c r="G8" s="10" t="n">
        <f aca="false">SUMIFS('Source 2025'!$K:$K,'Source 2025'!$B:$B,$A8,'Source 2025'!$A:$A,"Amount (NIS)")</f>
        <v>0</v>
      </c>
      <c r="H8" s="10" t="n">
        <f aca="false">SUMIFS('Source 2026'!$K:$K,'Source 2026'!$B:$B,$A8,'Source 2026'!$A:$A,"Amount (NIS)")</f>
        <v>1221.8</v>
      </c>
      <c r="I8" s="10" t="n">
        <f aca="false">H8-G8</f>
        <v>1221.8</v>
      </c>
      <c r="J8" s="9" t="str">
        <f aca="false">IF(AND(G8=0,H8=0),0,IF(G8=0,"New",(H8-G8)/G8))</f>
        <v>New</v>
      </c>
    </row>
    <row r="9" customFormat="false" ht="15" hidden="false" customHeight="false" outlineLevel="0" collapsed="false">
      <c r="A9" s="7" t="s">
        <v>93</v>
      </c>
      <c r="B9" s="7" t="str">
        <f aca="false">IFERROR(INDEX('Source 2026'!$C:$C,MATCH($A9,'Source 2026'!$B:$B,0)),IFERROR(INDEX('Source 2025'!$C:$C,MATCH($A9,'Source 2025'!$B:$B,0)),""))</f>
        <v>תחבושת א.נצמ</v>
      </c>
      <c r="C9" s="8" t="n">
        <f aca="false">SUMIFS('Source 2025'!$K:$K,'Source 2025'!$B:$B,$A9,'Source 2025'!$A:$A,"Quantity (units)")</f>
        <v>137</v>
      </c>
      <c r="D9" s="8" t="n">
        <f aca="false">SUMIFS('Source 2026'!$K:$K,'Source 2026'!$B:$B,$A9,'Source 2026'!$A:$A,"Quantity (units)")</f>
        <v>34</v>
      </c>
      <c r="E9" s="8" t="n">
        <f aca="false">D9-C9</f>
        <v>-103</v>
      </c>
      <c r="F9" s="9" t="n">
        <f aca="false">IF(AND(C9=0,D9=0),0,IF(C9=0,"New",(D9-C9)/C9))</f>
        <v>-0.751824817518248</v>
      </c>
      <c r="G9" s="10" t="n">
        <f aca="false">SUMIFS('Source 2025'!$K:$K,'Source 2025'!$B:$B,$A9,'Source 2025'!$A:$A,"Amount (NIS)")</f>
        <v>1504.3</v>
      </c>
      <c r="H9" s="10" t="n">
        <f aca="false">SUMIFS('Source 2026'!$K:$K,'Source 2026'!$B:$B,$A9,'Source 2026'!$A:$A,"Amount (NIS)")</f>
        <v>373.3</v>
      </c>
      <c r="I9" s="10" t="n">
        <f aca="false">H9-G9</f>
        <v>-1131</v>
      </c>
      <c r="J9" s="9" t="n">
        <f aca="false">IF(AND(G9=0,H9=0),0,IF(G9=0,"New",(H9-G9)/G9))</f>
        <v>-0.751844711826099</v>
      </c>
    </row>
    <row r="10" customFormat="false" ht="15" hidden="false" customHeight="false" outlineLevel="0" collapsed="false">
      <c r="A10" s="7" t="s">
        <v>116</v>
      </c>
      <c r="B10" s="7" t="str">
        <f aca="false">IFERROR(INDEX('Source 2026'!$C:$C,MATCH($A10,'Source 2026'!$B:$B,0)),IFERROR(INDEX('Source 2025'!$C:$C,MATCH($A10,'Source 2025'!$B:$B,0)),""))</f>
        <v>S חגורה למנותחי בית החזה</v>
      </c>
      <c r="C10" s="8" t="n">
        <f aca="false">SUMIFS('Source 2025'!$K:$K,'Source 2025'!$B:$B,$A10,'Source 2025'!$A:$A,"Quantity (units)")</f>
        <v>0</v>
      </c>
      <c r="D10" s="8" t="n">
        <f aca="false">SUMIFS('Source 2026'!$K:$K,'Source 2026'!$B:$B,$A10,'Source 2026'!$A:$A,"Quantity (units)")</f>
        <v>7</v>
      </c>
      <c r="E10" s="8" t="n">
        <f aca="false">D10-C10</f>
        <v>7</v>
      </c>
      <c r="F10" s="9" t="str">
        <f aca="false">IF(AND(C10=0,D10=0),0,IF(C10=0,"New",(D10-C10)/C10))</f>
        <v>New</v>
      </c>
      <c r="G10" s="10" t="n">
        <f aca="false">SUMIFS('Source 2025'!$K:$K,'Source 2025'!$B:$B,$A10,'Source 2025'!$A:$A,"Amount (NIS)")</f>
        <v>0</v>
      </c>
      <c r="H10" s="10" t="n">
        <f aca="false">SUMIFS('Source 2026'!$K:$K,'Source 2026'!$B:$B,$A10,'Source 2026'!$A:$A,"Amount (NIS)")</f>
        <v>1019</v>
      </c>
      <c r="I10" s="10" t="n">
        <f aca="false">H10-G10</f>
        <v>1019</v>
      </c>
      <c r="J10" s="9" t="str">
        <f aca="false">IF(AND(G10=0,H10=0),0,IF(G10=0,"New",(H10-G10)/G10))</f>
        <v>New</v>
      </c>
    </row>
    <row r="11" customFormat="false" ht="15" hidden="false" customHeight="false" outlineLevel="0" collapsed="false">
      <c r="A11" s="7" t="s">
        <v>56</v>
      </c>
      <c r="B11" s="7" t="str">
        <f aca="false">IFERROR(INDEX('Source 2026'!$C:$C,MATCH($A11,'Source 2026'!$B:$B,0)),IFERROR(INDEX('Source 2025'!$C:$C,MATCH($A11,'Source 2025'!$B:$B,0)),""))</f>
        <v>S מגן קרסול לבן</v>
      </c>
      <c r="C11" s="8" t="n">
        <f aca="false">SUMIFS('Source 2025'!$K:$K,'Source 2025'!$B:$B,$A11,'Source 2025'!$A:$A,"Quantity (units)")</f>
        <v>69</v>
      </c>
      <c r="D11" s="8" t="n">
        <f aca="false">SUMIFS('Source 2026'!$K:$K,'Source 2026'!$B:$B,$A11,'Source 2026'!$A:$A,"Quantity (units)")</f>
        <v>34</v>
      </c>
      <c r="E11" s="8" t="n">
        <f aca="false">D11-C11</f>
        <v>-35</v>
      </c>
      <c r="F11" s="9" t="n">
        <f aca="false">IF(AND(C11=0,D11=0),0,IF(C11=0,"New",(D11-C11)/C11))</f>
        <v>-0.507246376811594</v>
      </c>
      <c r="G11" s="10" t="n">
        <f aca="false">SUMIFS('Source 2025'!$K:$K,'Source 2025'!$B:$B,$A11,'Source 2025'!$A:$A,"Amount (NIS)")</f>
        <v>1915.4</v>
      </c>
      <c r="H11" s="10" t="n">
        <f aca="false">SUMIFS('Source 2026'!$K:$K,'Source 2026'!$B:$B,$A11,'Source 2026'!$A:$A,"Amount (NIS)")</f>
        <v>943.8</v>
      </c>
      <c r="I11" s="10" t="n">
        <f aca="false">H11-G11</f>
        <v>-971.6</v>
      </c>
      <c r="J11" s="9" t="n">
        <f aca="false">IF(AND(G11=0,H11=0),0,IF(G11=0,"New",(H11-G11)/G11))</f>
        <v>-0.507256969823536</v>
      </c>
    </row>
    <row r="12" customFormat="false" ht="15" hidden="false" customHeight="false" outlineLevel="0" collapsed="false">
      <c r="A12" s="7" t="s">
        <v>43</v>
      </c>
      <c r="B12" s="7" t="str">
        <f aca="false">IFERROR(INDEX('Source 2026'!$C:$C,MATCH($A12,'Source 2026'!$B:$B,0)),IFERROR(INDEX('Source 2025'!$C:$C,MATCH($A12,'Source 2025'!$B:$B,0)),""))</f>
        <v>S מגן קרסול חום</v>
      </c>
      <c r="C12" s="8" t="n">
        <f aca="false">SUMIFS('Source 2025'!$K:$K,'Source 2025'!$B:$B,$A12,'Source 2025'!$A:$A,"Quantity (units)")</f>
        <v>66</v>
      </c>
      <c r="D12" s="8" t="n">
        <f aca="false">SUMIFS('Source 2026'!$K:$K,'Source 2026'!$B:$B,$A12,'Source 2026'!$A:$A,"Quantity (units)")</f>
        <v>34</v>
      </c>
      <c r="E12" s="8" t="n">
        <f aca="false">D12-C12</f>
        <v>-32</v>
      </c>
      <c r="F12" s="9" t="n">
        <f aca="false">IF(AND(C12=0,D12=0),0,IF(C12=0,"New",(D12-C12)/C12))</f>
        <v>-0.484848484848485</v>
      </c>
      <c r="G12" s="10" t="n">
        <f aca="false">SUMIFS('Source 2025'!$K:$K,'Source 2025'!$B:$B,$A12,'Source 2025'!$A:$A,"Amount (NIS)")</f>
        <v>1832.2</v>
      </c>
      <c r="H12" s="10" t="n">
        <f aca="false">SUMIFS('Source 2026'!$K:$K,'Source 2026'!$B:$B,$A12,'Source 2026'!$A:$A,"Amount (NIS)")</f>
        <v>943.8</v>
      </c>
      <c r="I12" s="10" t="n">
        <f aca="false">H12-G12</f>
        <v>-888.4</v>
      </c>
      <c r="J12" s="9" t="n">
        <f aca="false">IF(AND(G12=0,H12=0),0,IF(G12=0,"New",(H12-G12)/G12))</f>
        <v>-0.484881563148128</v>
      </c>
    </row>
    <row r="13" customFormat="false" ht="15" hidden="false" customHeight="false" outlineLevel="0" collapsed="false">
      <c r="A13" s="7" t="s">
        <v>49</v>
      </c>
      <c r="B13" s="7" t="str">
        <f aca="false">IFERROR(INDEX('Source 2026'!$C:$C,MATCH($A13,'Source 2026'!$B:$B,0)),IFERROR(INDEX('Source 2025'!$C:$C,MATCH($A13,'Source 2025'!$B:$B,0)),""))</f>
        <v>S מגן ברך חום</v>
      </c>
      <c r="C13" s="8" t="n">
        <f aca="false">SUMIFS('Source 2025'!$K:$K,'Source 2025'!$B:$B,$A13,'Source 2025'!$A:$A,"Quantity (units)")</f>
        <v>98</v>
      </c>
      <c r="D13" s="8" t="n">
        <f aca="false">SUMIFS('Source 2026'!$K:$K,'Source 2026'!$B:$B,$A13,'Source 2026'!$A:$A,"Quantity (units)")</f>
        <v>67</v>
      </c>
      <c r="E13" s="8" t="n">
        <f aca="false">D13-C13</f>
        <v>-31</v>
      </c>
      <c r="F13" s="9" t="n">
        <f aca="false">IF(AND(C13=0,D13=0),0,IF(C13=0,"New",(D13-C13)/C13))</f>
        <v>-0.316326530612245</v>
      </c>
      <c r="G13" s="10" t="n">
        <f aca="false">SUMIFS('Source 2025'!$K:$K,'Source 2025'!$B:$B,$A13,'Source 2025'!$A:$A,"Amount (NIS)")</f>
        <v>2720.6</v>
      </c>
      <c r="H13" s="10" t="n">
        <f aca="false">SUMIFS('Source 2026'!$K:$K,'Source 2026'!$B:$B,$A13,'Source 2026'!$A:$A,"Amount (NIS)")</f>
        <v>1859.9</v>
      </c>
      <c r="I13" s="10" t="n">
        <f aca="false">H13-G13</f>
        <v>-860.7</v>
      </c>
      <c r="J13" s="9" t="n">
        <f aca="false">IF(AND(G13=0,H13=0),0,IF(G13=0,"New",(H13-G13)/G13))</f>
        <v>-0.316364037344703</v>
      </c>
    </row>
    <row r="14" customFormat="false" ht="15" hidden="false" customHeight="false" outlineLevel="0" collapsed="false">
      <c r="A14" s="7" t="s">
        <v>46</v>
      </c>
      <c r="B14" s="7" t="str">
        <f aca="false">IFERROR(INDEX('Source 2026'!$C:$C,MATCH($A14,'Source 2026'!$B:$B,0)),IFERROR(INDEX('Source 2025'!$C:$C,MATCH($A14,'Source 2025'!$B:$B,0)),""))</f>
        <v>35-38 גרבי טיסה מידה</v>
      </c>
      <c r="C14" s="8" t="n">
        <f aca="false">SUMIFS('Source 2025'!$K:$K,'Source 2025'!$B:$B,$A14,'Source 2025'!$A:$A,"Quantity (units)")</f>
        <v>15</v>
      </c>
      <c r="D14" s="8" t="n">
        <f aca="false">SUMIFS('Source 2026'!$K:$K,'Source 2026'!$B:$B,$A14,'Source 2026'!$A:$A,"Quantity (units)")</f>
        <v>0</v>
      </c>
      <c r="E14" s="8" t="n">
        <f aca="false">D14-C14</f>
        <v>-15</v>
      </c>
      <c r="F14" s="9" t="n">
        <f aca="false">IF(AND(C14=0,D14=0),0,IF(C14=0,"New",(D14-C14)/C14))</f>
        <v>-1</v>
      </c>
      <c r="G14" s="10" t="n">
        <f aca="false">SUMIFS('Source 2025'!$K:$K,'Source 2025'!$B:$B,$A14,'Source 2025'!$A:$A,"Amount (NIS)")</f>
        <v>852.4</v>
      </c>
      <c r="H14" s="10" t="n">
        <f aca="false">SUMIFS('Source 2026'!$K:$K,'Source 2026'!$B:$B,$A14,'Source 2026'!$A:$A,"Amount (NIS)")</f>
        <v>0</v>
      </c>
      <c r="I14" s="10" t="n">
        <f aca="false">H14-G14</f>
        <v>-852.4</v>
      </c>
      <c r="J14" s="9" t="n">
        <f aca="false">IF(AND(G14=0,H14=0),0,IF(G14=0,"New",(H14-G14)/G14))</f>
        <v>-1</v>
      </c>
    </row>
    <row r="15" customFormat="false" ht="15" hidden="false" customHeight="false" outlineLevel="0" collapsed="false">
      <c r="A15" s="7" t="s">
        <v>55</v>
      </c>
      <c r="B15" s="7" t="str">
        <f aca="false">IFERROR(INDEX('Source 2026'!$C:$C,MATCH($A15,'Source 2026'!$B:$B,0)),IFERROR(INDEX('Source 2025'!$C:$C,MATCH($A15,'Source 2025'!$B:$B,0)),""))</f>
        <v>חגורת גב אפורה</v>
      </c>
      <c r="C15" s="8" t="n">
        <f aca="false">SUMIFS('Source 2025'!$K:$K,'Source 2025'!$B:$B,$A15,'Source 2025'!$A:$A,"Quantity (units)")</f>
        <v>7</v>
      </c>
      <c r="D15" s="8" t="n">
        <f aca="false">SUMIFS('Source 2026'!$K:$K,'Source 2026'!$B:$B,$A15,'Source 2026'!$A:$A,"Quantity (units)")</f>
        <v>15</v>
      </c>
      <c r="E15" s="8" t="n">
        <f aca="false">D15-C15</f>
        <v>8</v>
      </c>
      <c r="F15" s="9" t="n">
        <f aca="false">IF(AND(C15=0,D15=0),0,IF(C15=0,"New",(D15-C15)/C15))</f>
        <v>1.14285714285714</v>
      </c>
      <c r="G15" s="10" t="n">
        <f aca="false">SUMIFS('Source 2025'!$K:$K,'Source 2025'!$B:$B,$A15,'Source 2025'!$A:$A,"Amount (NIS)")</f>
        <v>694.6</v>
      </c>
      <c r="H15" s="10" t="n">
        <f aca="false">SUMIFS('Source 2026'!$K:$K,'Source 2026'!$B:$B,$A15,'Source 2026'!$A:$A,"Amount (NIS)")</f>
        <v>1488.5</v>
      </c>
      <c r="I15" s="10" t="n">
        <f aca="false">H15-G15</f>
        <v>793.9</v>
      </c>
      <c r="J15" s="9" t="n">
        <f aca="false">IF(AND(G15=0,H15=0),0,IF(G15=0,"New",(H15-G15)/G15))</f>
        <v>1.14295997696516</v>
      </c>
    </row>
    <row r="16" customFormat="false" ht="15" hidden="false" customHeight="false" outlineLevel="0" collapsed="false">
      <c r="A16" s="7" t="s">
        <v>84</v>
      </c>
      <c r="B16" s="7" t="str">
        <f aca="false">IFERROR(INDEX('Source 2026'!$C:$C,MATCH($A16,'Source 2026'!$B:$B,0)),IFERROR(INDEX('Source 2025'!$C:$C,MATCH($A16,'Source 2025'!$B:$B,0)),""))</f>
        <v>Sמיישר כתף יציב יישור גב צר</v>
      </c>
      <c r="C16" s="8" t="n">
        <f aca="false">SUMIFS('Source 2025'!$K:$K,'Source 2025'!$B:$B,$A16,'Source 2025'!$A:$A,"Quantity (units)")</f>
        <v>10</v>
      </c>
      <c r="D16" s="8" t="n">
        <f aca="false">SUMIFS('Source 2026'!$K:$K,'Source 2026'!$B:$B,$A16,'Source 2026'!$A:$A,"Quantity (units)")</f>
        <v>5</v>
      </c>
      <c r="E16" s="8" t="n">
        <f aca="false">D16-C16</f>
        <v>-5</v>
      </c>
      <c r="F16" s="9" t="n">
        <f aca="false">IF(AND(C16=0,D16=0),0,IF(C16=0,"New",(D16-C16)/C16))</f>
        <v>-0.5</v>
      </c>
      <c r="G16" s="10" t="n">
        <f aca="false">SUMIFS('Source 2025'!$K:$K,'Source 2025'!$B:$B,$A16,'Source 2025'!$A:$A,"Amount (NIS)")</f>
        <v>1411.6</v>
      </c>
      <c r="H16" s="10" t="n">
        <f aca="false">SUMIFS('Source 2026'!$K:$K,'Source 2026'!$B:$B,$A16,'Source 2026'!$A:$A,"Amount (NIS)")</f>
        <v>705.8</v>
      </c>
      <c r="I16" s="10" t="n">
        <f aca="false">H16-G16</f>
        <v>-705.8</v>
      </c>
      <c r="J16" s="9" t="n">
        <f aca="false">IF(AND(G16=0,H16=0),0,IF(G16=0,"New",(H16-G16)/G16))</f>
        <v>-0.5</v>
      </c>
    </row>
    <row r="17" customFormat="false" ht="15" hidden="false" customHeight="false" outlineLevel="0" collapsed="false">
      <c r="A17" s="7" t="s">
        <v>47</v>
      </c>
      <c r="B17" s="7" t="str">
        <f aca="false">IFERROR(INDEX('Source 2026'!$C:$C,MATCH($A17,'Source 2026'!$B:$B,0)),IFERROR(INDEX('Source 2025'!$C:$C,MATCH($A17,'Source 2025'!$B:$B,0)),""))</f>
        <v>M מגן קרסול עקב סגור</v>
      </c>
      <c r="C17" s="8" t="n">
        <f aca="false">SUMIFS('Source 2025'!$K:$K,'Source 2025'!$B:$B,$A17,'Source 2025'!$A:$A,"Quantity (units)")</f>
        <v>46</v>
      </c>
      <c r="D17" s="8" t="n">
        <f aca="false">SUMIFS('Source 2026'!$K:$K,'Source 2026'!$B:$B,$A17,'Source 2026'!$A:$A,"Quantity (units)")</f>
        <v>29</v>
      </c>
      <c r="E17" s="8" t="n">
        <f aca="false">D17-C17</f>
        <v>-17</v>
      </c>
      <c r="F17" s="9" t="n">
        <f aca="false">IF(AND(C17=0,D17=0),0,IF(C17=0,"New",(D17-C17)/C17))</f>
        <v>-0.369565217391304</v>
      </c>
      <c r="G17" s="10" t="n">
        <f aca="false">SUMIFS('Source 2025'!$K:$K,'Source 2025'!$B:$B,$A17,'Source 2025'!$A:$A,"Amount (NIS)")</f>
        <v>1863</v>
      </c>
      <c r="H17" s="10" t="n">
        <f aca="false">SUMIFS('Source 2026'!$K:$K,'Source 2026'!$B:$B,$A17,'Source 2026'!$A:$A,"Amount (NIS)")</f>
        <v>1174.5</v>
      </c>
      <c r="I17" s="10" t="n">
        <f aca="false">H17-G17</f>
        <v>-688.5</v>
      </c>
      <c r="J17" s="9" t="n">
        <f aca="false">IF(AND(G17=0,H17=0),0,IF(G17=0,"New",(H17-G17)/G17))</f>
        <v>-0.369565217391304</v>
      </c>
    </row>
    <row r="18" customFormat="false" ht="15" hidden="false" customHeight="false" outlineLevel="0" collapsed="false">
      <c r="A18" s="7" t="s">
        <v>57</v>
      </c>
      <c r="B18" s="7" t="str">
        <f aca="false">IFERROR(INDEX('Source 2026'!$C:$C,MATCH($A18,'Source 2026'!$B:$B,0)),IFERROR(INDEX('Source 2025'!$C:$C,MATCH($A18,'Source 2025'!$B:$B,0)),""))</f>
        <v>S""חגורת בטן""אורירית</v>
      </c>
      <c r="C18" s="8" t="n">
        <f aca="false">SUMIFS('Source 2025'!$K:$K,'Source 2025'!$B:$B,$A18,'Source 2025'!$A:$A,"Quantity (units)")</f>
        <v>1</v>
      </c>
      <c r="D18" s="8" t="n">
        <f aca="false">SUMIFS('Source 2026'!$K:$K,'Source 2026'!$B:$B,$A18,'Source 2026'!$A:$A,"Quantity (units)")</f>
        <v>8</v>
      </c>
      <c r="E18" s="8" t="n">
        <f aca="false">D18-C18</f>
        <v>7</v>
      </c>
      <c r="F18" s="9" t="n">
        <f aca="false">IF(AND(C18=0,D18=0),0,IF(C18=0,"New",(D18-C18)/C18))</f>
        <v>7</v>
      </c>
      <c r="G18" s="10" t="n">
        <f aca="false">SUMIFS('Source 2025'!$K:$K,'Source 2025'!$B:$B,$A18,'Source 2025'!$A:$A,"Amount (NIS)")</f>
        <v>97</v>
      </c>
      <c r="H18" s="10" t="n">
        <f aca="false">SUMIFS('Source 2026'!$K:$K,'Source 2026'!$B:$B,$A18,'Source 2026'!$A:$A,"Amount (NIS)")</f>
        <v>776.3</v>
      </c>
      <c r="I18" s="10" t="n">
        <f aca="false">H18-G18</f>
        <v>679.3</v>
      </c>
      <c r="J18" s="9" t="n">
        <f aca="false">IF(AND(G18=0,H18=0),0,IF(G18=0,"New",(H18-G18)/G18))</f>
        <v>7.00309278350515</v>
      </c>
    </row>
    <row r="19" customFormat="false" ht="15" hidden="false" customHeight="false" outlineLevel="0" collapsed="false">
      <c r="A19" s="7" t="s">
        <v>180</v>
      </c>
      <c r="B19" s="7" t="str">
        <f aca="false">IFERROR(INDEX('Source 2026'!$C:$C,MATCH($A19,'Source 2026'!$B:$B,0)),IFERROR(INDEX('Source 2025'!$C:$C,MATCH($A19,'Source 2025'!$B:$B,0)),""))</f>
        <v>S מגן ברך</v>
      </c>
      <c r="C19" s="8" t="n">
        <f aca="false">SUMIFS('Source 2025'!$K:$K,'Source 2025'!$B:$B,$A19,'Source 2025'!$A:$A,"Quantity (units)")</f>
        <v>13</v>
      </c>
      <c r="D19" s="8" t="n">
        <f aca="false">SUMIFS('Source 2026'!$K:$K,'Source 2026'!$B:$B,$A19,'Source 2026'!$A:$A,"Quantity (units)")</f>
        <v>18</v>
      </c>
      <c r="E19" s="8" t="n">
        <f aca="false">D19-C19</f>
        <v>5</v>
      </c>
      <c r="F19" s="9" t="n">
        <f aca="false">IF(AND(C19=0,D19=0),0,IF(C19=0,"New",(D19-C19)/C19))</f>
        <v>0.384615384615385</v>
      </c>
      <c r="G19" s="10" t="n">
        <f aca="false">SUMIFS('Source 2025'!$K:$K,'Source 2025'!$B:$B,$A19,'Source 2025'!$A:$A,"Amount (NIS)")</f>
        <v>1764.9</v>
      </c>
      <c r="H19" s="10" t="n">
        <f aca="false">SUMIFS('Source 2026'!$K:$K,'Source 2026'!$B:$B,$A19,'Source 2026'!$A:$A,"Amount (NIS)")</f>
        <v>2443.7</v>
      </c>
      <c r="I19" s="10" t="n">
        <f aca="false">H19-G19</f>
        <v>678.8</v>
      </c>
      <c r="J19" s="9" t="n">
        <f aca="false">IF(AND(G19=0,H19=0),0,IF(G19=0,"New",(H19-G19)/G19))</f>
        <v>0.38461102612046</v>
      </c>
    </row>
    <row r="20" customFormat="false" ht="15" hidden="false" customHeight="false" outlineLevel="0" collapsed="false">
      <c r="A20" s="7" t="s">
        <v>62</v>
      </c>
      <c r="B20" s="7" t="str">
        <f aca="false">IFERROR(INDEX('Source 2026'!$C:$C,MATCH($A20,'Source 2026'!$B:$B,0)),IFERROR(INDEX('Source 2025'!$C:$C,MATCH($A20,'Source 2025'!$B:$B,0)),""))</f>
        <v>L (מתלה ליד )כיס</v>
      </c>
      <c r="C20" s="8" t="n">
        <f aca="false">SUMIFS('Source 2025'!$K:$K,'Source 2025'!$B:$B,$A20,'Source 2025'!$A:$A,"Quantity (units)")</f>
        <v>25</v>
      </c>
      <c r="D20" s="8" t="n">
        <f aca="false">SUMIFS('Source 2026'!$K:$K,'Source 2026'!$B:$B,$A20,'Source 2026'!$A:$A,"Quantity (units)")</f>
        <v>13</v>
      </c>
      <c r="E20" s="8" t="n">
        <f aca="false">D20-C20</f>
        <v>-12</v>
      </c>
      <c r="F20" s="9" t="n">
        <f aca="false">IF(AND(C20=0,D20=0),0,IF(C20=0,"New",(D20-C20)/C20))</f>
        <v>-0.48</v>
      </c>
      <c r="G20" s="10" t="n">
        <f aca="false">SUMIFS('Source 2025'!$K:$K,'Source 2025'!$B:$B,$A20,'Source 2025'!$A:$A,"Amount (NIS)")</f>
        <v>1311.3</v>
      </c>
      <c r="H20" s="10" t="n">
        <f aca="false">SUMIFS('Source 2026'!$K:$K,'Source 2026'!$B:$B,$A20,'Source 2026'!$A:$A,"Amount (NIS)")</f>
        <v>682</v>
      </c>
      <c r="I20" s="10" t="n">
        <f aca="false">H20-G20</f>
        <v>-629.3</v>
      </c>
      <c r="J20" s="9" t="n">
        <f aca="false">IF(AND(G20=0,H20=0),0,IF(G20=0,"New",(H20-G20)/G20))</f>
        <v>-0.479905437352246</v>
      </c>
    </row>
    <row r="21" customFormat="false" ht="15" hidden="false" customHeight="false" outlineLevel="0" collapsed="false">
      <c r="A21" s="7" t="s">
        <v>297</v>
      </c>
      <c r="B21" s="7" t="str">
        <f aca="false">IFERROR(INDEX('Source 2026'!$C:$C,MATCH($A21,'Source 2026'!$B:$B,0)),IFERROR(INDEX('Source 2025'!$C:$C,MATCH($A21,'Source 2025'!$B:$B,0)),""))</f>
        <v>טייפ חבישה לספורט</v>
      </c>
      <c r="C21" s="8" t="n">
        <f aca="false">SUMIFS('Source 2025'!$K:$K,'Source 2025'!$B:$B,$A21,'Source 2025'!$A:$A,"Quantity (units)")</f>
        <v>51</v>
      </c>
      <c r="D21" s="8" t="n">
        <f aca="false">SUMIFS('Source 2026'!$K:$K,'Source 2026'!$B:$B,$A21,'Source 2026'!$A:$A,"Quantity (units)")</f>
        <v>11</v>
      </c>
      <c r="E21" s="8" t="n">
        <f aca="false">D21-C21</f>
        <v>-40</v>
      </c>
      <c r="F21" s="9" t="n">
        <f aca="false">IF(AND(C21=0,D21=0),0,IF(C21=0,"New",(D21-C21)/C21))</f>
        <v>-0.784313725490196</v>
      </c>
      <c r="G21" s="10" t="n">
        <f aca="false">SUMIFS('Source 2025'!$K:$K,'Source 2025'!$B:$B,$A21,'Source 2025'!$A:$A,"Amount (NIS)")</f>
        <v>785.4</v>
      </c>
      <c r="H21" s="10" t="n">
        <f aca="false">SUMIFS('Source 2026'!$K:$K,'Source 2026'!$B:$B,$A21,'Source 2026'!$A:$A,"Amount (NIS)")</f>
        <v>169.4</v>
      </c>
      <c r="I21" s="10" t="n">
        <f aca="false">H21-G21</f>
        <v>-616</v>
      </c>
      <c r="J21" s="9" t="n">
        <f aca="false">IF(AND(G21=0,H21=0),0,IF(G21=0,"New",(H21-G21)/G21))</f>
        <v>-0.784313725490196</v>
      </c>
    </row>
    <row r="22" customFormat="false" ht="15" hidden="false" customHeight="false" outlineLevel="0" collapsed="false">
      <c r="A22" s="7" t="s">
        <v>234</v>
      </c>
      <c r="B22" s="7" t="str">
        <f aca="false">IFERROR(INDEX('Source 2026'!$C:$C,MATCH($A22,'Source 2026'!$B:$B,0)),IFERROR(INDEX('Source 2025'!$C:$C,MATCH($A22,'Source 2025'!$B:$B,0)),""))</f>
        <v>להסרת עור קשה</v>
      </c>
      <c r="C22" s="8" t="n">
        <f aca="false">SUMIFS('Source 2025'!$K:$K,'Source 2025'!$B:$B,$A22,'Source 2025'!$A:$A,"Quantity (units)")</f>
        <v>34</v>
      </c>
      <c r="D22" s="8" t="n">
        <f aca="false">SUMIFS('Source 2026'!$K:$K,'Source 2026'!$B:$B,$A22,'Source 2026'!$A:$A,"Quantity (units)")</f>
        <v>6</v>
      </c>
      <c r="E22" s="8" t="n">
        <f aca="false">D22-C22</f>
        <v>-28</v>
      </c>
      <c r="F22" s="9" t="n">
        <f aca="false">IF(AND(C22=0,D22=0),0,IF(C22=0,"New",(D22-C22)/C22))</f>
        <v>-0.823529411764706</v>
      </c>
      <c r="G22" s="10" t="n">
        <f aca="false">SUMIFS('Source 2025'!$K:$K,'Source 2025'!$B:$B,$A22,'Source 2025'!$A:$A,"Amount (NIS)")</f>
        <v>743.7</v>
      </c>
      <c r="H22" s="10" t="n">
        <f aca="false">SUMIFS('Source 2026'!$K:$K,'Source 2026'!$B:$B,$A22,'Source 2026'!$A:$A,"Amount (NIS)")</f>
        <v>131.3</v>
      </c>
      <c r="I22" s="10" t="n">
        <f aca="false">H22-G22</f>
        <v>-612.4</v>
      </c>
      <c r="J22" s="9" t="n">
        <f aca="false">IF(AND(G22=0,H22=0),0,IF(G22=0,"New",(H22-G22)/G22))</f>
        <v>-0.82345031598763</v>
      </c>
    </row>
    <row r="23" customFormat="false" ht="15" hidden="false" customHeight="false" outlineLevel="0" collapsed="false">
      <c r="A23" s="7" t="s">
        <v>146</v>
      </c>
      <c r="B23" s="7" t="str">
        <f aca="false">IFERROR(INDEX('Source 2026'!$C:$C,MATCH($A23,'Source 2026'!$B:$B,0)),IFERROR(INDEX('Source 2025'!$C:$C,MATCH($A23,'Source 2025'!$B:$B,0)),""))</f>
        <v>מפריד הלוקס</v>
      </c>
      <c r="C23" s="8" t="n">
        <f aca="false">SUMIFS('Source 2025'!$K:$K,'Source 2025'!$B:$B,$A23,'Source 2025'!$A:$A,"Quantity (units)")</f>
        <v>15</v>
      </c>
      <c r="D23" s="8" t="n">
        <f aca="false">SUMIFS('Source 2026'!$K:$K,'Source 2026'!$B:$B,$A23,'Source 2026'!$A:$A,"Quantity (units)")</f>
        <v>2</v>
      </c>
      <c r="E23" s="8" t="n">
        <f aca="false">D23-C23</f>
        <v>-13</v>
      </c>
      <c r="F23" s="9" t="n">
        <f aca="false">IF(AND(C23=0,D23=0),0,IF(C23=0,"New",(D23-C23)/C23))</f>
        <v>-0.866666666666667</v>
      </c>
      <c r="G23" s="10" t="n">
        <f aca="false">SUMIFS('Source 2025'!$K:$K,'Source 2025'!$B:$B,$A23,'Source 2025'!$A:$A,"Amount (NIS)")</f>
        <v>655.5</v>
      </c>
      <c r="H23" s="10" t="n">
        <f aca="false">SUMIFS('Source 2026'!$K:$K,'Source 2026'!$B:$B,$A23,'Source 2026'!$A:$A,"Amount (NIS)")</f>
        <v>87.4</v>
      </c>
      <c r="I23" s="10" t="n">
        <f aca="false">H23-G23</f>
        <v>-568.1</v>
      </c>
      <c r="J23" s="9" t="n">
        <f aca="false">IF(AND(G23=0,H23=0),0,IF(G23=0,"New",(H23-G23)/G23))</f>
        <v>-0.866666666666667</v>
      </c>
    </row>
    <row r="24" customFormat="false" ht="15" hidden="false" customHeight="false" outlineLevel="0" collapsed="false">
      <c r="A24" s="7" t="s">
        <v>44</v>
      </c>
      <c r="B24" s="7" t="str">
        <f aca="false">IFERROR(INDEX('Source 2026'!$C:$C,MATCH($A24,'Source 2026'!$B:$B,0)),IFERROR(INDEX('Source 2025'!$C:$C,MATCH($A24,'Source 2025'!$B:$B,0)),""))</f>
        <v>S  חבק יד ארוך</v>
      </c>
      <c r="C24" s="8" t="n">
        <f aca="false">SUMIFS('Source 2025'!$K:$K,'Source 2025'!$B:$B,$A24,'Source 2025'!$A:$A,"Quantity (units)")</f>
        <v>51</v>
      </c>
      <c r="D24" s="8" t="n">
        <f aca="false">SUMIFS('Source 2026'!$K:$K,'Source 2026'!$B:$B,$A24,'Source 2026'!$A:$A,"Quantity (units)")</f>
        <v>35</v>
      </c>
      <c r="E24" s="8" t="n">
        <f aca="false">D24-C24</f>
        <v>-16</v>
      </c>
      <c r="F24" s="9" t="n">
        <f aca="false">IF(AND(C24=0,D24=0),0,IF(C24=0,"New",(D24-C24)/C24))</f>
        <v>-0.313725490196078</v>
      </c>
      <c r="G24" s="10" t="n">
        <f aca="false">SUMIFS('Source 2025'!$K:$K,'Source 2025'!$B:$B,$A24,'Source 2025'!$A:$A,"Amount (NIS)")</f>
        <v>1797.9</v>
      </c>
      <c r="H24" s="10" t="n">
        <f aca="false">SUMIFS('Source 2026'!$K:$K,'Source 2026'!$B:$B,$A24,'Source 2026'!$A:$A,"Amount (NIS)")</f>
        <v>1233.9</v>
      </c>
      <c r="I24" s="10" t="n">
        <f aca="false">H24-G24</f>
        <v>-564</v>
      </c>
      <c r="J24" s="9" t="n">
        <f aca="false">IF(AND(G24=0,H24=0),0,IF(G24=0,"New",(H24-G24)/G24))</f>
        <v>-0.313699315868513</v>
      </c>
    </row>
    <row r="25" customFormat="false" ht="15" hidden="false" customHeight="false" outlineLevel="0" collapsed="false">
      <c r="A25" s="7" t="s">
        <v>59</v>
      </c>
      <c r="B25" s="7" t="str">
        <f aca="false">IFERROR(INDEX('Source 2026'!$C:$C,MATCH($A25,'Source 2026'!$B:$B,0)),IFERROR(INDEX('Source 2025'!$C:$C,MATCH($A25,'Source 2025'!$B:$B,0)),""))</f>
        <v>יד אגודלי</v>
      </c>
      <c r="C25" s="8" t="n">
        <f aca="false">SUMIFS('Source 2025'!$K:$K,'Source 2025'!$B:$B,$A25,'Source 2025'!$A:$A,"Quantity (units)")</f>
        <v>8</v>
      </c>
      <c r="D25" s="8" t="n">
        <f aca="false">SUMIFS('Source 2026'!$K:$K,'Source 2026'!$B:$B,$A25,'Source 2026'!$A:$A,"Quantity (units)")</f>
        <v>22</v>
      </c>
      <c r="E25" s="8" t="n">
        <f aca="false">D25-C25</f>
        <v>14</v>
      </c>
      <c r="F25" s="9" t="n">
        <f aca="false">IF(AND(C25=0,D25=0),0,IF(C25=0,"New",(D25-C25)/C25))</f>
        <v>1.75</v>
      </c>
      <c r="G25" s="10" t="n">
        <f aca="false">SUMIFS('Source 2025'!$K:$K,'Source 2025'!$B:$B,$A25,'Source 2025'!$A:$A,"Amount (NIS)")</f>
        <v>317.3</v>
      </c>
      <c r="H25" s="10" t="n">
        <f aca="false">SUMIFS('Source 2026'!$K:$K,'Source 2026'!$B:$B,$A25,'Source 2026'!$A:$A,"Amount (NIS)")</f>
        <v>872.5</v>
      </c>
      <c r="I25" s="10" t="n">
        <f aca="false">H25-G25</f>
        <v>555.2</v>
      </c>
      <c r="J25" s="9" t="n">
        <f aca="false">IF(AND(G25=0,H25=0),0,IF(G25=0,"New",(H25-G25)/G25))</f>
        <v>1.74976363063347</v>
      </c>
    </row>
    <row r="26" customFormat="false" ht="15" hidden="false" customHeight="false" outlineLevel="0" collapsed="false">
      <c r="A26" s="7" t="s">
        <v>52</v>
      </c>
      <c r="B26" s="7" t="str">
        <f aca="false">IFERROR(INDEX('Source 2026'!$C:$C,MATCH($A26,'Source 2026'!$B:$B,0)),IFERROR(INDEX('Source 2025'!$C:$C,MATCH($A26,'Source 2025'!$B:$B,0)),""))</f>
        <v>L סד לאגודל לאחר שבר</v>
      </c>
      <c r="C26" s="8" t="n">
        <f aca="false">SUMIFS('Source 2025'!$K:$K,'Source 2025'!$B:$B,$A26,'Source 2025'!$A:$A,"Quantity (units)")</f>
        <v>10</v>
      </c>
      <c r="D26" s="8" t="n">
        <f aca="false">SUMIFS('Source 2026'!$K:$K,'Source 2026'!$B:$B,$A26,'Source 2026'!$A:$A,"Quantity (units)")</f>
        <v>4</v>
      </c>
      <c r="E26" s="8" t="n">
        <f aca="false">D26-C26</f>
        <v>-6</v>
      </c>
      <c r="F26" s="9" t="n">
        <f aca="false">IF(AND(C26=0,D26=0),0,IF(C26=0,"New",(D26-C26)/C26))</f>
        <v>-0.6</v>
      </c>
      <c r="G26" s="10" t="n">
        <f aca="false">SUMIFS('Source 2025'!$K:$K,'Source 2025'!$B:$B,$A26,'Source 2025'!$A:$A,"Amount (NIS)")</f>
        <v>882</v>
      </c>
      <c r="H26" s="10" t="n">
        <f aca="false">SUMIFS('Source 2026'!$K:$K,'Source 2026'!$B:$B,$A26,'Source 2026'!$A:$A,"Amount (NIS)")</f>
        <v>352.8</v>
      </c>
      <c r="I26" s="10" t="n">
        <f aca="false">H26-G26</f>
        <v>-529.2</v>
      </c>
      <c r="J26" s="9" t="n">
        <f aca="false">IF(AND(G26=0,H26=0),0,IF(G26=0,"New",(H26-G26)/G26))</f>
        <v>-0.6</v>
      </c>
    </row>
    <row r="27" customFormat="false" ht="15" hidden="false" customHeight="false" outlineLevel="0" collapsed="false">
      <c r="A27" s="7" t="s">
        <v>165</v>
      </c>
      <c r="B27" s="7" t="str">
        <f aca="false">IFERROR(INDEX('Source 2026'!$C:$C,MATCH($A27,'Source 2026'!$B:$B,0)),IFERROR(INDEX('Source 2025'!$C:$C,MATCH($A27,'Source 2025'!$B:$B,0)),""))</f>
        <v>S מגן קרסול ימין</v>
      </c>
      <c r="C27" s="8" t="n">
        <f aca="false">SUMIFS('Source 2025'!$K:$K,'Source 2025'!$B:$B,$A27,'Source 2025'!$A:$A,"Quantity (units)")</f>
        <v>0</v>
      </c>
      <c r="D27" s="8" t="n">
        <f aca="false">SUMIFS('Source 2026'!$K:$K,'Source 2026'!$B:$B,$A27,'Source 2026'!$A:$A,"Quantity (units)")</f>
        <v>7</v>
      </c>
      <c r="E27" s="8" t="n">
        <f aca="false">D27-C27</f>
        <v>7</v>
      </c>
      <c r="F27" s="9" t="str">
        <f aca="false">IF(AND(C27=0,D27=0),0,IF(C27=0,"New",(D27-C27)/C27))</f>
        <v>New</v>
      </c>
      <c r="G27" s="10" t="n">
        <f aca="false">SUMIFS('Source 2025'!$K:$K,'Source 2025'!$B:$B,$A27,'Source 2025'!$A:$A,"Amount (NIS)")</f>
        <v>0</v>
      </c>
      <c r="H27" s="10" t="n">
        <f aca="false">SUMIFS('Source 2026'!$K:$K,'Source 2026'!$B:$B,$A27,'Source 2026'!$A:$A,"Amount (NIS)")</f>
        <v>521.5</v>
      </c>
      <c r="I27" s="10" t="n">
        <f aca="false">H27-G27</f>
        <v>521.5</v>
      </c>
      <c r="J27" s="9" t="str">
        <f aca="false">IF(AND(G27=0,H27=0),0,IF(G27=0,"New",(H27-G27)/G27))</f>
        <v>New</v>
      </c>
    </row>
    <row r="28" customFormat="false" ht="15" hidden="false" customHeight="false" outlineLevel="0" collapsed="false">
      <c r="A28" s="7" t="s">
        <v>67</v>
      </c>
      <c r="B28" s="7" t="str">
        <f aca="false">IFERROR(INDEX('Source 2026'!$C:$C,MATCH($A28,'Source 2026'!$B:$B,0)),IFERROR(INDEX('Source 2025'!$C:$C,MATCH($A28,'Source 2025'!$B:$B,0)),""))</f>
        <v>שרוול מטטרזלי מסיליקון</v>
      </c>
      <c r="C28" s="8" t="n">
        <f aca="false">SUMIFS('Source 2025'!$K:$K,'Source 2025'!$B:$B,$A28,'Source 2025'!$A:$A,"Quantity (units)")</f>
        <v>11</v>
      </c>
      <c r="D28" s="8" t="n">
        <f aca="false">SUMIFS('Source 2026'!$K:$K,'Source 2026'!$B:$B,$A28,'Source 2026'!$A:$A,"Quantity (units)")</f>
        <v>2</v>
      </c>
      <c r="E28" s="8" t="n">
        <f aca="false">D28-C28</f>
        <v>-9</v>
      </c>
      <c r="F28" s="9" t="n">
        <f aca="false">IF(AND(C28=0,D28=0),0,IF(C28=0,"New",(D28-C28)/C28))</f>
        <v>-0.818181818181818</v>
      </c>
      <c r="G28" s="10" t="n">
        <f aca="false">SUMIFS('Source 2025'!$K:$K,'Source 2025'!$B:$B,$A28,'Source 2025'!$A:$A,"Amount (NIS)")</f>
        <v>616</v>
      </c>
      <c r="H28" s="10" t="n">
        <f aca="false">SUMIFS('Source 2026'!$K:$K,'Source 2026'!$B:$B,$A28,'Source 2026'!$A:$A,"Amount (NIS)")</f>
        <v>112</v>
      </c>
      <c r="I28" s="10" t="n">
        <f aca="false">H28-G28</f>
        <v>-504</v>
      </c>
      <c r="J28" s="9" t="n">
        <f aca="false">IF(AND(G28=0,H28=0),0,IF(G28=0,"New",(H28-G28)/G28))</f>
        <v>-0.818181818181818</v>
      </c>
    </row>
    <row r="29" customFormat="false" ht="15" hidden="false" customHeight="false" outlineLevel="0" collapsed="false">
      <c r="A29" s="7" t="s">
        <v>136</v>
      </c>
      <c r="B29" s="7" t="str">
        <f aca="false">IFERROR(INDEX('Source 2026'!$C:$C,MATCH($A29,'Source 2026'!$B:$B,0)),IFERROR(INDEX('Source 2025'!$C:$C,MATCH($A29,'Source 2025'!$B:$B,0)),""))</f>
        <v>תחבושת אלסטית מקררת</v>
      </c>
      <c r="C29" s="8" t="n">
        <f aca="false">SUMIFS('Source 2025'!$K:$K,'Source 2025'!$B:$B,$A29,'Source 2025'!$A:$A,"Quantity (units)")</f>
        <v>39</v>
      </c>
      <c r="D29" s="8" t="n">
        <f aca="false">SUMIFS('Source 2026'!$K:$K,'Source 2026'!$B:$B,$A29,'Source 2026'!$A:$A,"Quantity (units)")</f>
        <v>11</v>
      </c>
      <c r="E29" s="8" t="n">
        <f aca="false">D29-C29</f>
        <v>-28</v>
      </c>
      <c r="F29" s="9" t="n">
        <f aca="false">IF(AND(C29=0,D29=0),0,IF(C29=0,"New",(D29-C29)/C29))</f>
        <v>-0.717948717948718</v>
      </c>
      <c r="G29" s="10" t="n">
        <f aca="false">SUMIFS('Source 2025'!$K:$K,'Source 2025'!$B:$B,$A29,'Source 2025'!$A:$A,"Amount (NIS)")</f>
        <v>680.9</v>
      </c>
      <c r="H29" s="10" t="n">
        <f aca="false">SUMIFS('Source 2026'!$K:$K,'Source 2026'!$B:$B,$A29,'Source 2026'!$A:$A,"Amount (NIS)")</f>
        <v>192.1</v>
      </c>
      <c r="I29" s="10" t="n">
        <f aca="false">H29-G29</f>
        <v>-488.8</v>
      </c>
      <c r="J29" s="9" t="n">
        <f aca="false">IF(AND(G29=0,H29=0),0,IF(G29=0,"New",(H29-G29)/G29))</f>
        <v>-0.71787340284917</v>
      </c>
    </row>
    <row r="30" customFormat="false" ht="15" hidden="false" customHeight="false" outlineLevel="0" collapsed="false">
      <c r="A30" s="7" t="s">
        <v>272</v>
      </c>
      <c r="B30" s="7" t="str">
        <f aca="false">IFERROR(INDEX('Source 2026'!$C:$C,MATCH($A30,'Source 2026'!$B:$B,0)),IFERROR(INDEX('Source 2025'!$C:$C,MATCH($A30,'Source 2025'!$B:$B,0)),""))</f>
        <v>סד לש.כף יד שמאל</v>
      </c>
      <c r="C30" s="8" t="n">
        <f aca="false">SUMIFS('Source 2025'!$K:$K,'Source 2025'!$B:$B,$A30,'Source 2025'!$A:$A,"Quantity (units)")</f>
        <v>13</v>
      </c>
      <c r="D30" s="8" t="n">
        <f aca="false">SUMIFS('Source 2026'!$K:$K,'Source 2026'!$B:$B,$A30,'Source 2026'!$A:$A,"Quantity (units)")</f>
        <v>0</v>
      </c>
      <c r="E30" s="8" t="n">
        <f aca="false">D30-C30</f>
        <v>-13</v>
      </c>
      <c r="F30" s="9" t="n">
        <f aca="false">IF(AND(C30=0,D30=0),0,IF(C30=0,"New",(D30-C30)/C30))</f>
        <v>-1</v>
      </c>
      <c r="G30" s="10" t="n">
        <f aca="false">SUMIFS('Source 2025'!$K:$K,'Source 2025'!$B:$B,$A30,'Source 2025'!$A:$A,"Amount (NIS)")</f>
        <v>445.5</v>
      </c>
      <c r="H30" s="10" t="n">
        <f aca="false">SUMIFS('Source 2026'!$K:$K,'Source 2026'!$B:$B,$A30,'Source 2026'!$A:$A,"Amount (NIS)")</f>
        <v>0</v>
      </c>
      <c r="I30" s="10" t="n">
        <f aca="false">H30-G30</f>
        <v>-445.5</v>
      </c>
      <c r="J30" s="9" t="n">
        <f aca="false">IF(AND(G30=0,H30=0),0,IF(G30=0,"New",(H30-G30)/G30))</f>
        <v>-1</v>
      </c>
    </row>
    <row r="31" customFormat="false" ht="15" hidden="false" customHeight="false" outlineLevel="0" collapsed="false">
      <c r="A31" s="7" t="s">
        <v>96</v>
      </c>
      <c r="B31" s="7" t="str">
        <f aca="false">IFERROR(INDEX('Source 2026'!$C:$C,MATCH($A31,'Source 2026'!$B:$B,0)),IFERROR(INDEX('Source 2025'!$C:$C,MATCH($A31,'Source 2025'!$B:$B,0)),""))</f>
        <v>שרוול מגן לבוניון</v>
      </c>
      <c r="C31" s="8" t="n">
        <f aca="false">SUMIFS('Source 2025'!$K:$K,'Source 2025'!$B:$B,$A31,'Source 2025'!$A:$A,"Quantity (units)")</f>
        <v>25</v>
      </c>
      <c r="D31" s="8" t="n">
        <f aca="false">SUMIFS('Source 2026'!$K:$K,'Source 2026'!$B:$B,$A31,'Source 2026'!$A:$A,"Quantity (units)")</f>
        <v>11</v>
      </c>
      <c r="E31" s="8" t="n">
        <f aca="false">D31-C31</f>
        <v>-14</v>
      </c>
      <c r="F31" s="9" t="n">
        <f aca="false">IF(AND(C31=0,D31=0),0,IF(C31=0,"New",(D31-C31)/C31))</f>
        <v>-0.56</v>
      </c>
      <c r="G31" s="10" t="n">
        <f aca="false">SUMIFS('Source 2025'!$K:$K,'Source 2025'!$B:$B,$A31,'Source 2025'!$A:$A,"Amount (NIS)")</f>
        <v>778</v>
      </c>
      <c r="H31" s="10" t="n">
        <f aca="false">SUMIFS('Source 2026'!$K:$K,'Source 2026'!$B:$B,$A31,'Source 2026'!$A:$A,"Amount (NIS)")</f>
        <v>342.3</v>
      </c>
      <c r="I31" s="10" t="n">
        <f aca="false">H31-G31</f>
        <v>-435.7</v>
      </c>
      <c r="J31" s="9" t="n">
        <f aca="false">IF(AND(G31=0,H31=0),0,IF(G31=0,"New",(H31-G31)/G31))</f>
        <v>-0.560025706940874</v>
      </c>
    </row>
    <row r="32" customFormat="false" ht="15" hidden="false" customHeight="false" outlineLevel="0" collapsed="false">
      <c r="A32" s="7" t="s">
        <v>242</v>
      </c>
      <c r="B32" s="7" t="str">
        <f aca="false">IFERROR(INDEX('Source 2026'!$C:$C,MATCH($A32,'Source 2026'!$B:$B,0)),IFERROR(INDEX('Source 2025'!$C:$C,MATCH($A32,'Source 2025'!$B:$B,0)),""))</f>
        <v>Lמפר.אצבע סיליק. ליבל.זוג</v>
      </c>
      <c r="C32" s="8" t="n">
        <f aca="false">SUMIFS('Source 2025'!$K:$K,'Source 2025'!$B:$B,$A32,'Source 2025'!$A:$A,"Quantity (units)")</f>
        <v>67</v>
      </c>
      <c r="D32" s="8" t="n">
        <f aca="false">SUMIFS('Source 2026'!$K:$K,'Source 2026'!$B:$B,$A32,'Source 2026'!$A:$A,"Quantity (units)")</f>
        <v>36</v>
      </c>
      <c r="E32" s="8" t="n">
        <f aca="false">D32-C32</f>
        <v>-31</v>
      </c>
      <c r="F32" s="9" t="n">
        <f aca="false">IF(AND(C32=0,D32=0),0,IF(C32=0,"New",(D32-C32)/C32))</f>
        <v>-0.462686567164179</v>
      </c>
      <c r="G32" s="10" t="n">
        <f aca="false">SUMIFS('Source 2025'!$K:$K,'Source 2025'!$B:$B,$A32,'Source 2025'!$A:$A,"Amount (NIS)")</f>
        <v>905.8</v>
      </c>
      <c r="H32" s="10" t="n">
        <f aca="false">SUMIFS('Source 2026'!$K:$K,'Source 2026'!$B:$B,$A32,'Source 2026'!$A:$A,"Amount (NIS)")</f>
        <v>486.7</v>
      </c>
      <c r="I32" s="10" t="n">
        <f aca="false">H32-G32</f>
        <v>-419.1</v>
      </c>
      <c r="J32" s="9" t="n">
        <f aca="false">IF(AND(G32=0,H32=0),0,IF(G32=0,"New",(H32-G32)/G32))</f>
        <v>-0.462684919408258</v>
      </c>
    </row>
    <row r="33" customFormat="false" ht="15" hidden="false" customHeight="false" outlineLevel="0" collapsed="false">
      <c r="A33" s="7" t="s">
        <v>269</v>
      </c>
      <c r="B33" s="7" t="str">
        <f aca="false">IFERROR(INDEX('Source 2026'!$C:$C,MATCH($A33,'Source 2026'!$B:$B,0)),IFERROR(INDEX('Source 2025'!$C:$C,MATCH($A33,'Source 2025'!$B:$B,0)),""))</f>
        <v>שרוול מסיליקון לאצבע</v>
      </c>
      <c r="C33" s="8" t="n">
        <f aca="false">SUMIFS('Source 2025'!$K:$K,'Source 2025'!$B:$B,$A33,'Source 2025'!$A:$A,"Quantity (units)")</f>
        <v>54</v>
      </c>
      <c r="D33" s="8" t="n">
        <f aca="false">SUMIFS('Source 2026'!$K:$K,'Source 2026'!$B:$B,$A33,'Source 2026'!$A:$A,"Quantity (units)")</f>
        <v>30</v>
      </c>
      <c r="E33" s="8" t="n">
        <f aca="false">D33-C33</f>
        <v>-24</v>
      </c>
      <c r="F33" s="9" t="n">
        <f aca="false">IF(AND(C33=0,D33=0),0,IF(C33=0,"New",(D33-C33)/C33))</f>
        <v>-0.444444444444444</v>
      </c>
      <c r="G33" s="10" t="n">
        <f aca="false">SUMIFS('Source 2025'!$K:$K,'Source 2025'!$B:$B,$A33,'Source 2025'!$A:$A,"Amount (NIS)")</f>
        <v>895.3</v>
      </c>
      <c r="H33" s="10" t="n">
        <f aca="false">SUMIFS('Source 2026'!$K:$K,'Source 2026'!$B:$B,$A33,'Source 2026'!$A:$A,"Amount (NIS)")</f>
        <v>497.4</v>
      </c>
      <c r="I33" s="10" t="n">
        <f aca="false">H33-G33</f>
        <v>-397.9</v>
      </c>
      <c r="J33" s="9" t="n">
        <f aca="false">IF(AND(G33=0,H33=0),0,IF(G33=0,"New",(H33-G33)/G33))</f>
        <v>-0.444432033955099</v>
      </c>
    </row>
    <row r="34" customFormat="false" ht="15" hidden="false" customHeight="false" outlineLevel="0" collapsed="false">
      <c r="A34" s="7" t="s">
        <v>279</v>
      </c>
      <c r="B34" s="7" t="str">
        <f aca="false">IFERROR(INDEX('Source 2026'!$C:$C,MATCH($A34,'Source 2026'!$B:$B,0)),IFERROR(INDEX('Source 2025'!$C:$C,MATCH($A34,'Source 2025'!$B:$B,0)),""))</f>
        <v>בוהן סיליקון קשיח</v>
      </c>
      <c r="C34" s="8" t="n">
        <f aca="false">SUMIFS('Source 2025'!$K:$K,'Source 2025'!$B:$B,$A34,'Source 2025'!$A:$A,"Quantity (units)")</f>
        <v>24</v>
      </c>
      <c r="D34" s="8" t="n">
        <f aca="false">SUMIFS('Source 2026'!$K:$K,'Source 2026'!$B:$B,$A34,'Source 2026'!$A:$A,"Quantity (units)")</f>
        <v>5</v>
      </c>
      <c r="E34" s="8" t="n">
        <f aca="false">D34-C34</f>
        <v>-19</v>
      </c>
      <c r="F34" s="9" t="n">
        <f aca="false">IF(AND(C34=0,D34=0),0,IF(C34=0,"New",(D34-C34)/C34))</f>
        <v>-0.791666666666667</v>
      </c>
      <c r="G34" s="10" t="n">
        <f aca="false">SUMIFS('Source 2025'!$K:$K,'Source 2025'!$B:$B,$A34,'Source 2025'!$A:$A,"Amount (NIS)")</f>
        <v>473.9</v>
      </c>
      <c r="H34" s="10" t="n">
        <f aca="false">SUMIFS('Source 2026'!$K:$K,'Source 2026'!$B:$B,$A34,'Source 2026'!$A:$A,"Amount (NIS)")</f>
        <v>98.7</v>
      </c>
      <c r="I34" s="10" t="n">
        <f aca="false">H34-G34</f>
        <v>-375.2</v>
      </c>
      <c r="J34" s="9" t="n">
        <f aca="false">IF(AND(G34=0,H34=0),0,IF(G34=0,"New",(H34-G34)/G34))</f>
        <v>-0.791728212703102</v>
      </c>
    </row>
    <row r="35" customFormat="false" ht="15" hidden="false" customHeight="false" outlineLevel="0" collapsed="false">
      <c r="A35" s="7" t="s">
        <v>158</v>
      </c>
      <c r="B35" s="7" t="str">
        <f aca="false">IFERROR(INDEX('Source 2026'!$C:$C,MATCH($A35,'Source 2026'!$B:$B,0)),IFERROR(INDEX('Source 2025'!$C:$C,MATCH($A35,'Source 2025'!$B:$B,0)),""))</f>
        <v>קיבוע לאצבע הדק</v>
      </c>
      <c r="C35" s="8" t="n">
        <f aca="false">SUMIFS('Source 2025'!$K:$K,'Source 2025'!$B:$B,$A35,'Source 2025'!$A:$A,"Quantity (units)")</f>
        <v>0</v>
      </c>
      <c r="D35" s="8" t="n">
        <f aca="false">SUMIFS('Source 2026'!$K:$K,'Source 2026'!$B:$B,$A35,'Source 2026'!$A:$A,"Quantity (units)")</f>
        <v>9</v>
      </c>
      <c r="E35" s="8" t="n">
        <f aca="false">D35-C35</f>
        <v>9</v>
      </c>
      <c r="F35" s="9" t="str">
        <f aca="false">IF(AND(C35=0,D35=0),0,IF(C35=0,"New",(D35-C35)/C35))</f>
        <v>New</v>
      </c>
      <c r="G35" s="10" t="n">
        <f aca="false">SUMIFS('Source 2025'!$K:$K,'Source 2025'!$B:$B,$A35,'Source 2025'!$A:$A,"Amount (NIS)")</f>
        <v>0</v>
      </c>
      <c r="H35" s="10" t="n">
        <f aca="false">SUMIFS('Source 2026'!$K:$K,'Source 2026'!$B:$B,$A35,'Source 2026'!$A:$A,"Amount (NIS)")</f>
        <v>365</v>
      </c>
      <c r="I35" s="10" t="n">
        <f aca="false">H35-G35</f>
        <v>365</v>
      </c>
      <c r="J35" s="9" t="str">
        <f aca="false">IF(AND(G35=0,H35=0),0,IF(G35=0,"New",(H35-G35)/G35))</f>
        <v>New</v>
      </c>
    </row>
    <row r="36" customFormat="false" ht="15" hidden="false" customHeight="false" outlineLevel="0" collapsed="false">
      <c r="A36" s="7" t="s">
        <v>277</v>
      </c>
      <c r="B36" s="7" t="str">
        <f aca="false">IFERROR(INDEX('Source 2026'!$C:$C,MATCH($A36,'Source 2026'!$B:$B,0)),IFERROR(INDEX('Source 2025'!$C:$C,MATCH($A36,'Source 2025'!$B:$B,0)),""))</f>
        <v>רפידת אנטי ריח -זוג</v>
      </c>
      <c r="C36" s="8" t="n">
        <f aca="false">SUMIFS('Source 2025'!$K:$K,'Source 2025'!$B:$B,$A36,'Source 2025'!$A:$A,"Quantity (units)")</f>
        <v>16</v>
      </c>
      <c r="D36" s="8" t="n">
        <f aca="false">SUMIFS('Source 2026'!$K:$K,'Source 2026'!$B:$B,$A36,'Source 2026'!$A:$A,"Quantity (units)")</f>
        <v>41</v>
      </c>
      <c r="E36" s="8" t="n">
        <f aca="false">D36-C36</f>
        <v>25</v>
      </c>
      <c r="F36" s="9" t="n">
        <f aca="false">IF(AND(C36=0,D36=0),0,IF(C36=0,"New",(D36-C36)/C36))</f>
        <v>1.5625</v>
      </c>
      <c r="G36" s="10" t="n">
        <f aca="false">SUMIFS('Source 2025'!$K:$K,'Source 2025'!$B:$B,$A36,'Source 2025'!$A:$A,"Amount (NIS)")</f>
        <v>217</v>
      </c>
      <c r="H36" s="10" t="n">
        <f aca="false">SUMIFS('Source 2026'!$K:$K,'Source 2026'!$B:$B,$A36,'Source 2026'!$A:$A,"Amount (NIS)")</f>
        <v>556</v>
      </c>
      <c r="I36" s="10" t="n">
        <f aca="false">H36-G36</f>
        <v>339</v>
      </c>
      <c r="J36" s="9" t="n">
        <f aca="false">IF(AND(G36=0,H36=0),0,IF(G36=0,"New",(H36-G36)/G36))</f>
        <v>1.56221198156682</v>
      </c>
    </row>
    <row r="37" customFormat="false" ht="15" hidden="false" customHeight="false" outlineLevel="0" collapsed="false">
      <c r="A37" s="7" t="s">
        <v>81</v>
      </c>
      <c r="B37" s="7" t="str">
        <f aca="false">IFERROR(INDEX('Source 2026'!$C:$C,MATCH($A37,'Source 2026'!$B:$B,0)),IFERROR(INDEX('Source 2025'!$C:$C,MATCH($A37,'Source 2025'!$B:$B,0)),""))</f>
        <v>0 מ.בוניון+מפריד אצבע</v>
      </c>
      <c r="C37" s="8" t="n">
        <f aca="false">SUMIFS('Source 2025'!$K:$K,'Source 2025'!$B:$B,$A37,'Source 2025'!$A:$A,"Quantity (units)")</f>
        <v>13</v>
      </c>
      <c r="D37" s="8" t="n">
        <f aca="false">SUMIFS('Source 2026'!$K:$K,'Source 2026'!$B:$B,$A37,'Source 2026'!$A:$A,"Quantity (units)")</f>
        <v>22</v>
      </c>
      <c r="E37" s="8" t="n">
        <f aca="false">D37-C37</f>
        <v>9</v>
      </c>
      <c r="F37" s="9" t="n">
        <f aca="false">IF(AND(C37=0,D37=0),0,IF(C37=0,"New",(D37-C37)/C37))</f>
        <v>0.692307692307692</v>
      </c>
      <c r="G37" s="10" t="n">
        <f aca="false">SUMIFS('Source 2025'!$K:$K,'Source 2025'!$B:$B,$A37,'Source 2025'!$A:$A,"Amount (NIS)")</f>
        <v>486.2</v>
      </c>
      <c r="H37" s="10" t="n">
        <f aca="false">SUMIFS('Source 2026'!$K:$K,'Source 2026'!$B:$B,$A37,'Source 2026'!$A:$A,"Amount (NIS)")</f>
        <v>822.8</v>
      </c>
      <c r="I37" s="10" t="n">
        <f aca="false">H37-G37</f>
        <v>336.6</v>
      </c>
      <c r="J37" s="9" t="n">
        <f aca="false">IF(AND(G37=0,H37=0),0,IF(G37=0,"New",(H37-G37)/G37))</f>
        <v>0.692307692307692</v>
      </c>
    </row>
    <row r="38" customFormat="false" ht="15" hidden="false" customHeight="false" outlineLevel="0" collapsed="false">
      <c r="A38" s="7" t="s">
        <v>184</v>
      </c>
      <c r="B38" s="7" t="str">
        <f aca="false">IFERROR(INDEX('Source 2026'!$C:$C,MATCH($A38,'Source 2026'!$B:$B,0)),IFERROR(INDEX('Source 2025'!$C:$C,MATCH($A38,'Source 2025'!$B:$B,0)),""))</f>
        <v>37-38 מדרסי סיליק.לח.סכרת</v>
      </c>
      <c r="C38" s="8" t="n">
        <f aca="false">SUMIFS('Source 2025'!$K:$K,'Source 2025'!$B:$B,$A38,'Source 2025'!$A:$A,"Quantity (units)")</f>
        <v>3</v>
      </c>
      <c r="D38" s="8" t="n">
        <f aca="false">SUMIFS('Source 2026'!$K:$K,'Source 2026'!$B:$B,$A38,'Source 2026'!$A:$A,"Quantity (units)")</f>
        <v>0</v>
      </c>
      <c r="E38" s="8" t="n">
        <f aca="false">D38-C38</f>
        <v>-3</v>
      </c>
      <c r="F38" s="9" t="n">
        <f aca="false">IF(AND(C38=0,D38=0),0,IF(C38=0,"New",(D38-C38)/C38))</f>
        <v>-1</v>
      </c>
      <c r="G38" s="10" t="n">
        <f aca="false">SUMIFS('Source 2025'!$K:$K,'Source 2025'!$B:$B,$A38,'Source 2025'!$A:$A,"Amount (NIS)")</f>
        <v>331.5</v>
      </c>
      <c r="H38" s="10" t="n">
        <f aca="false">SUMIFS('Source 2026'!$K:$K,'Source 2026'!$B:$B,$A38,'Source 2026'!$A:$A,"Amount (NIS)")</f>
        <v>0</v>
      </c>
      <c r="I38" s="10" t="n">
        <f aca="false">H38-G38</f>
        <v>-331.5</v>
      </c>
      <c r="J38" s="9" t="n">
        <f aca="false">IF(AND(G38=0,H38=0),0,IF(G38=0,"New",(H38-G38)/G38))</f>
        <v>-1</v>
      </c>
    </row>
    <row r="39" customFormat="false" ht="15" hidden="false" customHeight="false" outlineLevel="0" collapsed="false">
      <c r="A39" s="7" t="s">
        <v>149</v>
      </c>
      <c r="B39" s="7" t="str">
        <f aca="false">IFERROR(INDEX('Source 2026'!$C:$C,MATCH($A39,'Source 2026'!$B:$B,0)),IFERROR(INDEX('Source 2025'!$C:$C,MATCH($A39,'Source 2025'!$B:$B,0)),""))</f>
        <v>סד לאגודל</v>
      </c>
      <c r="C39" s="8" t="n">
        <f aca="false">SUMIFS('Source 2025'!$K:$K,'Source 2025'!$B:$B,$A39,'Source 2025'!$A:$A,"Quantity (units)")</f>
        <v>0</v>
      </c>
      <c r="D39" s="8" t="n">
        <f aca="false">SUMIFS('Source 2026'!$K:$K,'Source 2026'!$B:$B,$A39,'Source 2026'!$A:$A,"Quantity (units)")</f>
        <v>3</v>
      </c>
      <c r="E39" s="8" t="n">
        <f aca="false">D39-C39</f>
        <v>3</v>
      </c>
      <c r="F39" s="9" t="str">
        <f aca="false">IF(AND(C39=0,D39=0),0,IF(C39=0,"New",(D39-C39)/C39))</f>
        <v>New</v>
      </c>
      <c r="G39" s="10" t="n">
        <f aca="false">SUMIFS('Source 2025'!$K:$K,'Source 2025'!$B:$B,$A39,'Source 2025'!$A:$A,"Amount (NIS)")</f>
        <v>0</v>
      </c>
      <c r="H39" s="10" t="n">
        <f aca="false">SUMIFS('Source 2026'!$K:$K,'Source 2026'!$B:$B,$A39,'Source 2026'!$A:$A,"Amount (NIS)")</f>
        <v>330.8</v>
      </c>
      <c r="I39" s="10" t="n">
        <f aca="false">H39-G39</f>
        <v>330.8</v>
      </c>
      <c r="J39" s="9" t="str">
        <f aca="false">IF(AND(G39=0,H39=0),0,IF(G39=0,"New",(H39-G39)/G39))</f>
        <v>New</v>
      </c>
    </row>
    <row r="40" customFormat="false" ht="15" hidden="false" customHeight="false" outlineLevel="0" collapsed="false">
      <c r="A40" s="7" t="s">
        <v>100</v>
      </c>
      <c r="B40" s="7" t="str">
        <f aca="false">IFERROR(INDEX('Source 2026'!$C:$C,MATCH($A40,'Source 2026'!$B:$B,0)),IFERROR(INDEX('Source 2025'!$C:$C,MATCH($A40,'Source 2025'!$B:$B,0)),""))</f>
        <v>L חבק יד מתכוון עם צמדן</v>
      </c>
      <c r="C40" s="8" t="n">
        <f aca="false">SUMIFS('Source 2025'!$K:$K,'Source 2025'!$B:$B,$A40,'Source 2025'!$A:$A,"Quantity (units)")</f>
        <v>23</v>
      </c>
      <c r="D40" s="8" t="n">
        <f aca="false">SUMIFS('Source 2026'!$K:$K,'Source 2026'!$B:$B,$A40,'Source 2026'!$A:$A,"Quantity (units)")</f>
        <v>11</v>
      </c>
      <c r="E40" s="8" t="n">
        <f aca="false">D40-C40</f>
        <v>-12</v>
      </c>
      <c r="F40" s="9" t="n">
        <f aca="false">IF(AND(C40=0,D40=0),0,IF(C40=0,"New",(D40-C40)/C40))</f>
        <v>-0.521739130434783</v>
      </c>
      <c r="G40" s="10" t="n">
        <f aca="false">SUMIFS('Source 2025'!$K:$K,'Source 2025'!$B:$B,$A40,'Source 2025'!$A:$A,"Amount (NIS)")</f>
        <v>624</v>
      </c>
      <c r="H40" s="10" t="n">
        <f aca="false">SUMIFS('Source 2026'!$K:$K,'Source 2026'!$B:$B,$A40,'Source 2026'!$A:$A,"Amount (NIS)")</f>
        <v>298.5</v>
      </c>
      <c r="I40" s="10" t="n">
        <f aca="false">H40-G40</f>
        <v>-325.5</v>
      </c>
      <c r="J40" s="9" t="n">
        <f aca="false">IF(AND(G40=0,H40=0),0,IF(G40=0,"New",(H40-G40)/G40))</f>
        <v>-0.521634615384615</v>
      </c>
    </row>
    <row r="41" customFormat="false" ht="15" hidden="false" customHeight="false" outlineLevel="0" collapsed="false">
      <c r="A41" s="7" t="s">
        <v>169</v>
      </c>
      <c r="B41" s="7" t="str">
        <f aca="false">IFERROR(INDEX('Source 2026'!$C:$C,MATCH($A41,'Source 2026'!$B:$B,0)),IFERROR(INDEX('Source 2025'!$C:$C,MATCH($A41,'Source 2025'!$B:$B,0)),""))</f>
        <v>S-Lטבעת אלסטית מסיליקון</v>
      </c>
      <c r="C41" s="8" t="n">
        <f aca="false">SUMIFS('Source 2025'!$K:$K,'Source 2025'!$B:$B,$A41,'Source 2025'!$A:$A,"Quantity (units)")</f>
        <v>53</v>
      </c>
      <c r="D41" s="8" t="n">
        <f aca="false">SUMIFS('Source 2026'!$K:$K,'Source 2026'!$B:$B,$A41,'Source 2026'!$A:$A,"Quantity (units)")</f>
        <v>28</v>
      </c>
      <c r="E41" s="8" t="n">
        <f aca="false">D41-C41</f>
        <v>-25</v>
      </c>
      <c r="F41" s="9" t="n">
        <f aca="false">IF(AND(C41=0,D41=0),0,IF(C41=0,"New",(D41-C41)/C41))</f>
        <v>-0.471698113207547</v>
      </c>
      <c r="G41" s="10" t="n">
        <f aca="false">SUMIFS('Source 2025'!$K:$K,'Source 2025'!$B:$B,$A41,'Source 2025'!$A:$A,"Amount (NIS)")</f>
        <v>670.7</v>
      </c>
      <c r="H41" s="10" t="n">
        <f aca="false">SUMIFS('Source 2026'!$K:$K,'Source 2026'!$B:$B,$A41,'Source 2026'!$A:$A,"Amount (NIS)")</f>
        <v>349.3</v>
      </c>
      <c r="I41" s="10" t="n">
        <f aca="false">H41-G41</f>
        <v>-321.4</v>
      </c>
      <c r="J41" s="9" t="n">
        <f aca="false">IF(AND(G41=0,H41=0),0,IF(G41=0,"New",(H41-G41)/G41))</f>
        <v>-0.479200834948561</v>
      </c>
    </row>
    <row r="42" customFormat="false" ht="15" hidden="false" customHeight="false" outlineLevel="0" collapsed="false">
      <c r="A42" s="7" t="s">
        <v>78</v>
      </c>
      <c r="B42" s="7" t="str">
        <f aca="false">IFERROR(INDEX('Source 2026'!$C:$C,MATCH($A42,'Source 2026'!$B:$B,0)),IFERROR(INDEX('Source 2025'!$C:$C,MATCH($A42,'Source 2025'!$B:$B,0)),""))</f>
        <v>טייפ קינזיולוגי</v>
      </c>
      <c r="C42" s="8" t="n">
        <f aca="false">SUMIFS('Source 2025'!$K:$K,'Source 2025'!$B:$B,$A42,'Source 2025'!$A:$A,"Quantity (units)")</f>
        <v>24</v>
      </c>
      <c r="D42" s="8" t="n">
        <f aca="false">SUMIFS('Source 2026'!$K:$K,'Source 2026'!$B:$B,$A42,'Source 2026'!$A:$A,"Quantity (units)")</f>
        <v>17</v>
      </c>
      <c r="E42" s="8" t="n">
        <f aca="false">D42-C42</f>
        <v>-7</v>
      </c>
      <c r="F42" s="9" t="n">
        <f aca="false">IF(AND(C42=0,D42=0),0,IF(C42=0,"New",(D42-C42)/C42))</f>
        <v>-0.291666666666667</v>
      </c>
      <c r="G42" s="10" t="n">
        <f aca="false">SUMIFS('Source 2025'!$K:$K,'Source 2025'!$B:$B,$A42,'Source 2025'!$A:$A,"Amount (NIS)")</f>
        <v>1057.9</v>
      </c>
      <c r="H42" s="10" t="n">
        <f aca="false">SUMIFS('Source 2026'!$K:$K,'Source 2026'!$B:$B,$A42,'Source 2026'!$A:$A,"Amount (NIS)")</f>
        <v>749.4</v>
      </c>
      <c r="I42" s="10" t="n">
        <f aca="false">H42-G42</f>
        <v>-308.5</v>
      </c>
      <c r="J42" s="9" t="n">
        <f aca="false">IF(AND(G42=0,H42=0),0,IF(G42=0,"New",(H42-G42)/G42))</f>
        <v>-0.291615464599679</v>
      </c>
    </row>
    <row r="43" customFormat="false" ht="15" hidden="false" customHeight="false" outlineLevel="0" collapsed="false">
      <c r="A43" s="7" t="s">
        <v>150</v>
      </c>
      <c r="B43" s="7" t="str">
        <f aca="false">IFERROR(INDEX('Source 2026'!$C:$C,MATCH($A43,'Source 2026'!$B:$B,0)),IFERROR(INDEX('Source 2025'!$C:$C,MATCH($A43,'Source 2025'!$B:$B,0)),""))</f>
        <v>S מגן קרסול שמאל</v>
      </c>
      <c r="C43" s="8" t="n">
        <f aca="false">SUMIFS('Source 2025'!$K:$K,'Source 2025'!$B:$B,$A43,'Source 2025'!$A:$A,"Quantity (units)")</f>
        <v>4</v>
      </c>
      <c r="D43" s="8" t="n">
        <f aca="false">SUMIFS('Source 2026'!$K:$K,'Source 2026'!$B:$B,$A43,'Source 2026'!$A:$A,"Quantity (units)")</f>
        <v>0</v>
      </c>
      <c r="E43" s="8" t="n">
        <f aca="false">D43-C43</f>
        <v>-4</v>
      </c>
      <c r="F43" s="9" t="n">
        <f aca="false">IF(AND(C43=0,D43=0),0,IF(C43=0,"New",(D43-C43)/C43))</f>
        <v>-1</v>
      </c>
      <c r="G43" s="10" t="n">
        <f aca="false">SUMIFS('Source 2025'!$K:$K,'Source 2025'!$B:$B,$A43,'Source 2025'!$A:$A,"Amount (NIS)")</f>
        <v>298</v>
      </c>
      <c r="H43" s="10" t="n">
        <f aca="false">SUMIFS('Source 2026'!$K:$K,'Source 2026'!$B:$B,$A43,'Source 2026'!$A:$A,"Amount (NIS)")</f>
        <v>0</v>
      </c>
      <c r="I43" s="10" t="n">
        <f aca="false">H43-G43</f>
        <v>-298</v>
      </c>
      <c r="J43" s="9" t="n">
        <f aca="false">IF(AND(G43=0,H43=0),0,IF(G43=0,"New",(H43-G43)/G43))</f>
        <v>-1</v>
      </c>
    </row>
    <row r="44" customFormat="false" ht="15" hidden="false" customHeight="false" outlineLevel="0" collapsed="false">
      <c r="A44" s="7" t="s">
        <v>61</v>
      </c>
      <c r="B44" s="7" t="str">
        <f aca="false">IFERROR(INDEX('Source 2026'!$C:$C,MATCH($A44,'Source 2026'!$B:$B,0)),IFERROR(INDEX('Source 2025'!$C:$C,MATCH($A44,'Source 2025'!$B:$B,0)),""))</f>
        <v>חגורת גב אפורה</v>
      </c>
      <c r="C44" s="8" t="n">
        <f aca="false">SUMIFS('Source 2025'!$K:$K,'Source 2025'!$B:$B,$A44,'Source 2025'!$A:$A,"Quantity (units)")</f>
        <v>5</v>
      </c>
      <c r="D44" s="8" t="n">
        <f aca="false">SUMIFS('Source 2026'!$K:$K,'Source 2026'!$B:$B,$A44,'Source 2026'!$A:$A,"Quantity (units)")</f>
        <v>2</v>
      </c>
      <c r="E44" s="8" t="n">
        <f aca="false">D44-C44</f>
        <v>-3</v>
      </c>
      <c r="F44" s="9" t="n">
        <f aca="false">IF(AND(C44=0,D44=0),0,IF(C44=0,"New",(D44-C44)/C44))</f>
        <v>-0.6</v>
      </c>
      <c r="G44" s="10" t="n">
        <f aca="false">SUMIFS('Source 2025'!$K:$K,'Source 2025'!$B:$B,$A44,'Source 2025'!$A:$A,"Amount (NIS)")</f>
        <v>496.2</v>
      </c>
      <c r="H44" s="10" t="n">
        <f aca="false">SUMIFS('Source 2026'!$K:$K,'Source 2026'!$B:$B,$A44,'Source 2026'!$A:$A,"Amount (NIS)")</f>
        <v>198.5</v>
      </c>
      <c r="I44" s="10" t="n">
        <f aca="false">H44-G44</f>
        <v>-297.7</v>
      </c>
      <c r="J44" s="9" t="n">
        <f aca="false">IF(AND(G44=0,H44=0),0,IF(G44=0,"New",(H44-G44)/G44))</f>
        <v>-0.599959693671907</v>
      </c>
    </row>
    <row r="45" customFormat="false" ht="15" hidden="false" customHeight="false" outlineLevel="0" collapsed="false">
      <c r="A45" s="7" t="s">
        <v>156</v>
      </c>
      <c r="B45" s="7" t="str">
        <f aca="false">IFERROR(INDEX('Source 2026'!$C:$C,MATCH($A45,'Source 2026'!$B:$B,0)),IFERROR(INDEX('Source 2025'!$C:$C,MATCH($A45,'Source 2025'!$B:$B,0)),""))</f>
        <v>כרית ליישור אצבע פטיש</v>
      </c>
      <c r="C45" s="8" t="n">
        <f aca="false">SUMIFS('Source 2025'!$K:$K,'Source 2025'!$B:$B,$A45,'Source 2025'!$A:$A,"Quantity (units)")</f>
        <v>9</v>
      </c>
      <c r="D45" s="8" t="n">
        <f aca="false">SUMIFS('Source 2026'!$K:$K,'Source 2026'!$B:$B,$A45,'Source 2026'!$A:$A,"Quantity (units)")</f>
        <v>20</v>
      </c>
      <c r="E45" s="8" t="n">
        <f aca="false">D45-C45</f>
        <v>11</v>
      </c>
      <c r="F45" s="9" t="n">
        <f aca="false">IF(AND(C45=0,D45=0),0,IF(C45=0,"New",(D45-C45)/C45))</f>
        <v>1.22222222222222</v>
      </c>
      <c r="G45" s="10" t="n">
        <f aca="false">SUMIFS('Source 2025'!$K:$K,'Source 2025'!$B:$B,$A45,'Source 2025'!$A:$A,"Amount (NIS)")</f>
        <v>235.9</v>
      </c>
      <c r="H45" s="10" t="n">
        <f aca="false">SUMIFS('Source 2026'!$K:$K,'Source 2026'!$B:$B,$A45,'Source 2026'!$A:$A,"Amount (NIS)")</f>
        <v>524.2</v>
      </c>
      <c r="I45" s="10" t="n">
        <f aca="false">H45-G45</f>
        <v>288.3</v>
      </c>
      <c r="J45" s="9" t="n">
        <f aca="false">IF(AND(G45=0,H45=0),0,IF(G45=0,"New",(H45-G45)/G45))</f>
        <v>1.22212802034761</v>
      </c>
    </row>
    <row r="46" customFormat="false" ht="15" hidden="false" customHeight="false" outlineLevel="0" collapsed="false">
      <c r="A46" s="7" t="s">
        <v>110</v>
      </c>
      <c r="B46" s="7" t="str">
        <f aca="false">IFERROR(INDEX('Source 2026'!$C:$C,MATCH($A46,'Source 2026'!$B:$B,0)),IFERROR(INDEX('Source 2025'!$C:$C,MATCH($A46,'Source 2025'!$B:$B,0)),""))</f>
        <v>חבק טניס</v>
      </c>
      <c r="C46" s="8" t="n">
        <f aca="false">SUMIFS('Source 2025'!$K:$K,'Source 2025'!$B:$B,$A46,'Source 2025'!$A:$A,"Quantity (units)")</f>
        <v>9</v>
      </c>
      <c r="D46" s="8" t="n">
        <f aca="false">SUMIFS('Source 2026'!$K:$K,'Source 2026'!$B:$B,$A46,'Source 2026'!$A:$A,"Quantity (units)")</f>
        <v>19</v>
      </c>
      <c r="E46" s="8" t="n">
        <f aca="false">D46-C46</f>
        <v>10</v>
      </c>
      <c r="F46" s="9" t="n">
        <f aca="false">IF(AND(C46=0,D46=0),0,IF(C46=0,"New",(D46-C46)/C46))</f>
        <v>1.11111111111111</v>
      </c>
      <c r="G46" s="10" t="n">
        <f aca="false">SUMIFS('Source 2025'!$K:$K,'Source 2025'!$B:$B,$A46,'Source 2025'!$A:$A,"Amount (NIS)")</f>
        <v>259.5</v>
      </c>
      <c r="H46" s="10" t="n">
        <f aca="false">SUMIFS('Source 2026'!$K:$K,'Source 2026'!$B:$B,$A46,'Source 2026'!$A:$A,"Amount (NIS)")</f>
        <v>547.8</v>
      </c>
      <c r="I46" s="10" t="n">
        <f aca="false">H46-G46</f>
        <v>288.3</v>
      </c>
      <c r="J46" s="9" t="n">
        <f aca="false">IF(AND(G46=0,H46=0),0,IF(G46=0,"New",(H46-G46)/G46))</f>
        <v>1.11098265895954</v>
      </c>
    </row>
    <row r="47" customFormat="false" ht="15" hidden="false" customHeight="false" outlineLevel="0" collapsed="false">
      <c r="A47" s="7" t="s">
        <v>286</v>
      </c>
      <c r="B47" s="7" t="str">
        <f aca="false">IFERROR(INDEX('Source 2026'!$C:$C,MATCH($A47,'Source 2026'!$B:$B,0)),IFERROR(INDEX('Source 2025'!$C:$C,MATCH($A47,'Source 2025'!$B:$B,0)),""))</f>
        <v>רפידת נוחות-זוג</v>
      </c>
      <c r="C47" s="8" t="n">
        <f aca="false">SUMIFS('Source 2025'!$K:$K,'Source 2025'!$B:$B,$A47,'Source 2025'!$A:$A,"Quantity (units)")</f>
        <v>63</v>
      </c>
      <c r="D47" s="8" t="n">
        <f aca="false">SUMIFS('Source 2026'!$K:$K,'Source 2026'!$B:$B,$A47,'Source 2026'!$A:$A,"Quantity (units)")</f>
        <v>36</v>
      </c>
      <c r="E47" s="8" t="n">
        <f aca="false">D47-C47</f>
        <v>-27</v>
      </c>
      <c r="F47" s="9" t="n">
        <f aca="false">IF(AND(C47=0,D47=0),0,IF(C47=0,"New",(D47-C47)/C47))</f>
        <v>-0.428571428571429</v>
      </c>
      <c r="G47" s="10" t="n">
        <f aca="false">SUMIFS('Source 2025'!$K:$K,'Source 2025'!$B:$B,$A47,'Source 2025'!$A:$A,"Amount (NIS)")</f>
        <v>672.8</v>
      </c>
      <c r="H47" s="10" t="n">
        <f aca="false">SUMIFS('Source 2026'!$K:$K,'Source 2026'!$B:$B,$A47,'Source 2026'!$A:$A,"Amount (NIS)")</f>
        <v>384.5</v>
      </c>
      <c r="I47" s="10" t="n">
        <f aca="false">H47-G47</f>
        <v>-288.3</v>
      </c>
      <c r="J47" s="9" t="n">
        <f aca="false">IF(AND(G47=0,H47=0),0,IF(G47=0,"New",(H47-G47)/G47))</f>
        <v>-0.428507728894174</v>
      </c>
    </row>
    <row r="48" customFormat="false" ht="15" hidden="false" customHeight="false" outlineLevel="0" collapsed="false">
      <c r="A48" s="7" t="s">
        <v>202</v>
      </c>
      <c r="B48" s="7" t="str">
        <f aca="false">IFERROR(INDEX('Source 2026'!$C:$C,MATCH($A48,'Source 2026'!$B:$B,0)),IFERROR(INDEX('Source 2025'!$C:$C,MATCH($A48,'Source 2025'!$B:$B,0)),""))</f>
        <v>S ח.הריון מכנס למניעת כאבים</v>
      </c>
      <c r="C48" s="8" t="n">
        <f aca="false">SUMIFS('Source 2025'!$K:$K,'Source 2025'!$B:$B,$A48,'Source 2025'!$A:$A,"Quantity (units)")</f>
        <v>1</v>
      </c>
      <c r="D48" s="8" t="n">
        <f aca="false">SUMIFS('Source 2026'!$K:$K,'Source 2026'!$B:$B,$A48,'Source 2026'!$A:$A,"Quantity (units)")</f>
        <v>0</v>
      </c>
      <c r="E48" s="8" t="n">
        <f aca="false">D48-C48</f>
        <v>-1</v>
      </c>
      <c r="F48" s="9" t="n">
        <f aca="false">IF(AND(C48=0,D48=0),0,IF(C48=0,"New",(D48-C48)/C48))</f>
        <v>-1</v>
      </c>
      <c r="G48" s="10" t="n">
        <f aca="false">SUMIFS('Source 2025'!$K:$K,'Source 2025'!$B:$B,$A48,'Source 2025'!$A:$A,"Amount (NIS)")</f>
        <v>286.8</v>
      </c>
      <c r="H48" s="10" t="n">
        <f aca="false">SUMIFS('Source 2026'!$K:$K,'Source 2026'!$B:$B,$A48,'Source 2026'!$A:$A,"Amount (NIS)")</f>
        <v>0</v>
      </c>
      <c r="I48" s="10" t="n">
        <f aca="false">H48-G48</f>
        <v>-286.8</v>
      </c>
      <c r="J48" s="9" t="n">
        <f aca="false">IF(AND(G48=0,H48=0),0,IF(G48=0,"New",(H48-G48)/G48))</f>
        <v>-1</v>
      </c>
    </row>
    <row r="49" customFormat="false" ht="15" hidden="false" customHeight="false" outlineLevel="0" collapsed="false">
      <c r="A49" s="7" t="s">
        <v>168</v>
      </c>
      <c r="B49" s="7" t="str">
        <f aca="false">IFERROR(INDEX('Source 2026'!$C:$C,MATCH($A49,'Source 2026'!$B:$B,0)),IFERROR(INDEX('Source 2025'!$C:$C,MATCH($A49,'Source 2025'!$B:$B,0)),""))</f>
        <v>גרב כסף לסכרתיים לבן35-38</v>
      </c>
      <c r="C49" s="8" t="n">
        <f aca="false">SUMIFS('Source 2025'!$K:$K,'Source 2025'!$B:$B,$A49,'Source 2025'!$A:$A,"Quantity (units)")</f>
        <v>9</v>
      </c>
      <c r="D49" s="8" t="n">
        <f aca="false">SUMIFS('Source 2026'!$K:$K,'Source 2026'!$B:$B,$A49,'Source 2026'!$A:$A,"Quantity (units)")</f>
        <v>0</v>
      </c>
      <c r="E49" s="8" t="n">
        <f aca="false">D49-C49</f>
        <v>-9</v>
      </c>
      <c r="F49" s="9" t="n">
        <f aca="false">IF(AND(C49=0,D49=0),0,IF(C49=0,"New",(D49-C49)/C49))</f>
        <v>-1</v>
      </c>
      <c r="G49" s="10" t="n">
        <f aca="false">SUMIFS('Source 2025'!$K:$K,'Source 2025'!$B:$B,$A49,'Source 2025'!$A:$A,"Amount (NIS)")</f>
        <v>283.1</v>
      </c>
      <c r="H49" s="10" t="n">
        <f aca="false">SUMIFS('Source 2026'!$K:$K,'Source 2026'!$B:$B,$A49,'Source 2026'!$A:$A,"Amount (NIS)")</f>
        <v>0</v>
      </c>
      <c r="I49" s="10" t="n">
        <f aca="false">H49-G49</f>
        <v>-283.1</v>
      </c>
      <c r="J49" s="9" t="n">
        <f aca="false">IF(AND(G49=0,H49=0),0,IF(G49=0,"New",(H49-G49)/G49))</f>
        <v>-1</v>
      </c>
    </row>
    <row r="50" customFormat="false" ht="15" hidden="false" customHeight="false" outlineLevel="0" collapsed="false">
      <c r="A50" s="7" t="s">
        <v>58</v>
      </c>
      <c r="B50" s="7" t="str">
        <f aca="false">IFERROR(INDEX('Source 2026'!$C:$C,MATCH($A50,'Source 2026'!$B:$B,0)),IFERROR(INDEX('Source 2025'!$C:$C,MATCH($A50,'Source 2025'!$B:$B,0)),""))</f>
        <v>L מגן ברך לבן</v>
      </c>
      <c r="C50" s="8" t="n">
        <f aca="false">SUMIFS('Source 2025'!$K:$K,'Source 2025'!$B:$B,$A50,'Source 2025'!$A:$A,"Quantity (units)")</f>
        <v>45</v>
      </c>
      <c r="D50" s="8" t="n">
        <f aca="false">SUMIFS('Source 2026'!$K:$K,'Source 2026'!$B:$B,$A50,'Source 2026'!$A:$A,"Quantity (units)")</f>
        <v>35</v>
      </c>
      <c r="E50" s="8" t="n">
        <f aca="false">D50-C50</f>
        <v>-10</v>
      </c>
      <c r="F50" s="9" t="n">
        <f aca="false">IF(AND(C50=0,D50=0),0,IF(C50=0,"New",(D50-C50)/C50))</f>
        <v>-0.222222222222222</v>
      </c>
      <c r="G50" s="10" t="n">
        <f aca="false">SUMIFS('Source 2025'!$K:$K,'Source 2025'!$B:$B,$A50,'Source 2025'!$A:$A,"Amount (NIS)")</f>
        <v>1249.2</v>
      </c>
      <c r="H50" s="10" t="n">
        <f aca="false">SUMIFS('Source 2026'!$K:$K,'Source 2026'!$B:$B,$A50,'Source 2026'!$A:$A,"Amount (NIS)")</f>
        <v>971.6</v>
      </c>
      <c r="I50" s="10" t="n">
        <f aca="false">H50-G50</f>
        <v>-277.6</v>
      </c>
      <c r="J50" s="9" t="n">
        <f aca="false">IF(AND(G50=0,H50=0),0,IF(G50=0,"New",(H50-G50)/G50))</f>
        <v>-0.222222222222222</v>
      </c>
    </row>
    <row r="51" customFormat="false" ht="15" hidden="false" customHeight="false" outlineLevel="0" collapsed="false">
      <c r="A51" s="7" t="s">
        <v>115</v>
      </c>
      <c r="B51" s="7" t="str">
        <f aca="false">IFERROR(INDEX('Source 2026'!$C:$C,MATCH($A51,'Source 2026'!$B:$B,0)),IFERROR(INDEX('Source 2025'!$C:$C,MATCH($A51,'Source 2025'!$B:$B,0)),""))</f>
        <v>סד ליישור אצבע</v>
      </c>
      <c r="C51" s="8" t="n">
        <f aca="false">SUMIFS('Source 2025'!$K:$K,'Source 2025'!$B:$B,$A51,'Source 2025'!$A:$A,"Quantity (units)")</f>
        <v>28</v>
      </c>
      <c r="D51" s="8" t="n">
        <f aca="false">SUMIFS('Source 2026'!$K:$K,'Source 2026'!$B:$B,$A51,'Source 2026'!$A:$A,"Quantity (units)")</f>
        <v>10</v>
      </c>
      <c r="E51" s="8" t="n">
        <f aca="false">D51-C51</f>
        <v>-18</v>
      </c>
      <c r="F51" s="9" t="n">
        <f aca="false">IF(AND(C51=0,D51=0),0,IF(C51=0,"New",(D51-C51)/C51))</f>
        <v>-0.642857142857143</v>
      </c>
      <c r="G51" s="10" t="n">
        <f aca="false">SUMIFS('Source 2025'!$K:$K,'Source 2025'!$B:$B,$A51,'Source 2025'!$A:$A,"Amount (NIS)")</f>
        <v>431.2</v>
      </c>
      <c r="H51" s="10" t="n">
        <f aca="false">SUMIFS('Source 2026'!$K:$K,'Source 2026'!$B:$B,$A51,'Source 2026'!$A:$A,"Amount (NIS)")</f>
        <v>154</v>
      </c>
      <c r="I51" s="10" t="n">
        <f aca="false">H51-G51</f>
        <v>-277.2</v>
      </c>
      <c r="J51" s="9" t="n">
        <f aca="false">IF(AND(G51=0,H51=0),0,IF(G51=0,"New",(H51-G51)/G51))</f>
        <v>-0.642857142857143</v>
      </c>
    </row>
    <row r="52" customFormat="false" ht="15" hidden="false" customHeight="false" outlineLevel="0" collapsed="false">
      <c r="A52" s="7" t="s">
        <v>306</v>
      </c>
      <c r="B52" s="7" t="str">
        <f aca="false">IFERROR(INDEX('Source 2026'!$C:$C,MATCH($A52,'Source 2026'!$B:$B,0)),IFERROR(INDEX('Source 2025'!$C:$C,MATCH($A52,'Source 2025'!$B:$B,0)),""))</f>
        <v>טייפ חבישה לספורט</v>
      </c>
      <c r="C52" s="8" t="n">
        <f aca="false">SUMIFS('Source 2025'!$K:$K,'Source 2025'!$B:$B,$A52,'Source 2025'!$A:$A,"Quantity (units)")</f>
        <v>36</v>
      </c>
      <c r="D52" s="8" t="n">
        <f aca="false">SUMIFS('Source 2026'!$K:$K,'Source 2026'!$B:$B,$A52,'Source 2026'!$A:$A,"Quantity (units)")</f>
        <v>18</v>
      </c>
      <c r="E52" s="8" t="n">
        <f aca="false">D52-C52</f>
        <v>-18</v>
      </c>
      <c r="F52" s="9" t="n">
        <f aca="false">IF(AND(C52=0,D52=0),0,IF(C52=0,"New",(D52-C52)/C52))</f>
        <v>-0.5</v>
      </c>
      <c r="G52" s="10" t="n">
        <f aca="false">SUMIFS('Source 2025'!$K:$K,'Source 2025'!$B:$B,$A52,'Source 2025'!$A:$A,"Amount (NIS)")</f>
        <v>554.4</v>
      </c>
      <c r="H52" s="10" t="n">
        <f aca="false">SUMIFS('Source 2026'!$K:$K,'Source 2026'!$B:$B,$A52,'Source 2026'!$A:$A,"Amount (NIS)")</f>
        <v>277.2</v>
      </c>
      <c r="I52" s="10" t="n">
        <f aca="false">H52-G52</f>
        <v>-277.2</v>
      </c>
      <c r="J52" s="9" t="n">
        <f aca="false">IF(AND(G52=0,H52=0),0,IF(G52=0,"New",(H52-G52)/G52))</f>
        <v>-0.5</v>
      </c>
    </row>
    <row r="53" customFormat="false" ht="15" hidden="false" customHeight="false" outlineLevel="0" collapsed="false">
      <c r="A53" s="7" t="s">
        <v>63</v>
      </c>
      <c r="B53" s="7" t="str">
        <f aca="false">IFERROR(INDEX('Source 2026'!$C:$C,MATCH($A53,'Source 2026'!$B:$B,0)),IFERROR(INDEX('Source 2025'!$C:$C,MATCH($A53,'Source 2025'!$B:$B,0)),""))</f>
        <v>L עקבים לדורבן-זוג כריות</v>
      </c>
      <c r="C53" s="8" t="n">
        <f aca="false">SUMIFS('Source 2025'!$K:$K,'Source 2025'!$B:$B,$A53,'Source 2025'!$A:$A,"Quantity (units)")</f>
        <v>34</v>
      </c>
      <c r="D53" s="8" t="n">
        <f aca="false">SUMIFS('Source 2026'!$K:$K,'Source 2026'!$B:$B,$A53,'Source 2026'!$A:$A,"Quantity (units)")</f>
        <v>31</v>
      </c>
      <c r="E53" s="8" t="n">
        <f aca="false">D53-C53</f>
        <v>-3</v>
      </c>
      <c r="F53" s="9" t="n">
        <f aca="false">IF(AND(C53=0,D53=0),0,IF(C53=0,"New",(D53-C53)/C53))</f>
        <v>-0.0882352941176471</v>
      </c>
      <c r="G53" s="10" t="n">
        <f aca="false">SUMIFS('Source 2025'!$K:$K,'Source 2025'!$B:$B,$A53,'Source 2025'!$A:$A,"Amount (NIS)")</f>
        <v>2973.4</v>
      </c>
      <c r="H53" s="10" t="n">
        <f aca="false">SUMIFS('Source 2026'!$K:$K,'Source 2026'!$B:$B,$A53,'Source 2026'!$A:$A,"Amount (NIS)")</f>
        <v>2711.1</v>
      </c>
      <c r="I53" s="10" t="n">
        <f aca="false">H53-G53</f>
        <v>-262.3</v>
      </c>
      <c r="J53" s="9" t="n">
        <f aca="false">IF(AND(G53=0,H53=0),0,IF(G53=0,"New",(H53-G53)/G53))</f>
        <v>-0.088215510862985</v>
      </c>
    </row>
    <row r="54" customFormat="false" ht="15" hidden="false" customHeight="false" outlineLevel="0" collapsed="false">
      <c r="A54" s="7" t="s">
        <v>266</v>
      </c>
      <c r="B54" s="7" t="str">
        <f aca="false">IFERROR(INDEX('Source 2026'!$C:$C,MATCH($A54,'Source 2026'!$B:$B,0)),IFERROR(INDEX('Source 2025'!$C:$C,MATCH($A54,'Source 2025'!$B:$B,0)),""))</f>
        <v>חגורת גב עם תמיכות</v>
      </c>
      <c r="C54" s="8" t="n">
        <f aca="false">SUMIFS('Source 2025'!$K:$K,'Source 2025'!$B:$B,$A54,'Source 2025'!$A:$A,"Quantity (units)")</f>
        <v>1</v>
      </c>
      <c r="D54" s="8" t="n">
        <f aca="false">SUMIFS('Source 2026'!$K:$K,'Source 2026'!$B:$B,$A54,'Source 2026'!$A:$A,"Quantity (units)")</f>
        <v>4</v>
      </c>
      <c r="E54" s="8" t="n">
        <f aca="false">D54-C54</f>
        <v>3</v>
      </c>
      <c r="F54" s="9" t="n">
        <f aca="false">IF(AND(C54=0,D54=0),0,IF(C54=0,"New",(D54-C54)/C54))</f>
        <v>3</v>
      </c>
      <c r="G54" s="10" t="n">
        <f aca="false">SUMIFS('Source 2025'!$K:$K,'Source 2025'!$B:$B,$A54,'Source 2025'!$A:$A,"Amount (NIS)")</f>
        <v>87.1</v>
      </c>
      <c r="H54" s="10" t="n">
        <f aca="false">SUMIFS('Source 2026'!$K:$K,'Source 2026'!$B:$B,$A54,'Source 2026'!$A:$A,"Amount (NIS)")</f>
        <v>348.2</v>
      </c>
      <c r="I54" s="10" t="n">
        <f aca="false">H54-G54</f>
        <v>261.1</v>
      </c>
      <c r="J54" s="9" t="n">
        <f aca="false">IF(AND(G54=0,H54=0),0,IF(G54=0,"New",(H54-G54)/G54))</f>
        <v>2.99770378874857</v>
      </c>
    </row>
    <row r="55" customFormat="false" ht="15" hidden="false" customHeight="false" outlineLevel="0" collapsed="false">
      <c r="A55" s="7" t="s">
        <v>87</v>
      </c>
      <c r="B55" s="7" t="str">
        <f aca="false">IFERROR(INDEX('Source 2026'!$C:$C,MATCH($A55,'Source 2026'!$B:$B,0)),IFERROR(INDEX('Source 2025'!$C:$C,MATCH($A55,'Source 2025'!$B:$B,0)),""))</f>
        <v>טלק מעושר באלוורה</v>
      </c>
      <c r="C55" s="8" t="n">
        <f aca="false">SUMIFS('Source 2025'!$K:$K,'Source 2025'!$B:$B,$A55,'Source 2025'!$A:$A,"Quantity (units)")</f>
        <v>93</v>
      </c>
      <c r="D55" s="8" t="n">
        <f aca="false">SUMIFS('Source 2026'!$K:$K,'Source 2026'!$B:$B,$A55,'Source 2026'!$A:$A,"Quantity (units)")</f>
        <v>79</v>
      </c>
      <c r="E55" s="8" t="n">
        <f aca="false">D55-C55</f>
        <v>-14</v>
      </c>
      <c r="F55" s="9" t="n">
        <f aca="false">IF(AND(C55=0,D55=0),0,IF(C55=0,"New",(D55-C55)/C55))</f>
        <v>-0.150537634408602</v>
      </c>
      <c r="G55" s="10" t="n">
        <f aca="false">SUMIFS('Source 2025'!$K:$K,'Source 2025'!$B:$B,$A55,'Source 2025'!$A:$A,"Amount (NIS)")</f>
        <v>1627.5</v>
      </c>
      <c r="H55" s="10" t="n">
        <f aca="false">SUMIFS('Source 2026'!$K:$K,'Source 2026'!$B:$B,$A55,'Source 2026'!$A:$A,"Amount (NIS)")</f>
        <v>1382.5</v>
      </c>
      <c r="I55" s="10" t="n">
        <f aca="false">H55-G55</f>
        <v>-245</v>
      </c>
      <c r="J55" s="9" t="n">
        <f aca="false">IF(AND(G55=0,H55=0),0,IF(G55=0,"New",(H55-G55)/G55))</f>
        <v>-0.150537634408602</v>
      </c>
    </row>
    <row r="56" customFormat="false" ht="15" hidden="false" customHeight="false" outlineLevel="0" collapsed="false">
      <c r="A56" s="7" t="s">
        <v>88</v>
      </c>
      <c r="B56" s="7" t="str">
        <f aca="false">IFERROR(INDEX('Source 2026'!$C:$C,MATCH($A56,'Source 2026'!$B:$B,0)),IFERROR(INDEX('Source 2025'!$C:$C,MATCH($A56,'Source 2025'!$B:$B,0)),""))</f>
        <v>למניעת שפשוף 5 יח</v>
      </c>
      <c r="C56" s="8" t="n">
        <f aca="false">SUMIFS('Source 2025'!$K:$K,'Source 2025'!$B:$B,$A56,'Source 2025'!$A:$A,"Quantity (units)")</f>
        <v>36</v>
      </c>
      <c r="D56" s="8" t="n">
        <f aca="false">SUMIFS('Source 2026'!$K:$K,'Source 2026'!$B:$B,$A56,'Source 2026'!$A:$A,"Quantity (units)")</f>
        <v>18</v>
      </c>
      <c r="E56" s="8" t="n">
        <f aca="false">D56-C56</f>
        <v>-18</v>
      </c>
      <c r="F56" s="9" t="n">
        <f aca="false">IF(AND(C56=0,D56=0),0,IF(C56=0,"New",(D56-C56)/C56))</f>
        <v>-0.5</v>
      </c>
      <c r="G56" s="10" t="n">
        <f aca="false">SUMIFS('Source 2025'!$K:$K,'Source 2025'!$B:$B,$A56,'Source 2025'!$A:$A,"Amount (NIS)")</f>
        <v>480.3</v>
      </c>
      <c r="H56" s="10" t="n">
        <f aca="false">SUMIFS('Source 2026'!$K:$K,'Source 2026'!$B:$B,$A56,'Source 2026'!$A:$A,"Amount (NIS)")</f>
        <v>240.1</v>
      </c>
      <c r="I56" s="10" t="n">
        <f aca="false">H56-G56</f>
        <v>-240.2</v>
      </c>
      <c r="J56" s="9" t="n">
        <f aca="false">IF(AND(G56=0,H56=0),0,IF(G56=0,"New",(H56-G56)/G56))</f>
        <v>-0.500104101603165</v>
      </c>
    </row>
    <row r="57" customFormat="false" ht="15" hidden="false" customHeight="false" outlineLevel="0" collapsed="false">
      <c r="A57" s="7" t="s">
        <v>177</v>
      </c>
      <c r="B57" s="7" t="str">
        <f aca="false">IFERROR(INDEX('Source 2026'!$C:$C,MATCH($A57,'Source 2026'!$B:$B,0)),IFERROR(INDEX('Source 2025'!$C:$C,MATCH($A57,'Source 2025'!$B:$B,0)),""))</f>
        <v>35-38 גרב.כסף לסכרתים לבן</v>
      </c>
      <c r="C57" s="8" t="n">
        <f aca="false">SUMIFS('Source 2025'!$K:$K,'Source 2025'!$B:$B,$A57,'Source 2025'!$A:$A,"Quantity (units)")</f>
        <v>10</v>
      </c>
      <c r="D57" s="8" t="n">
        <f aca="false">SUMIFS('Source 2026'!$K:$K,'Source 2026'!$B:$B,$A57,'Source 2026'!$A:$A,"Quantity (units)")</f>
        <v>0</v>
      </c>
      <c r="E57" s="8" t="n">
        <f aca="false">D57-C57</f>
        <v>-10</v>
      </c>
      <c r="F57" s="9" t="n">
        <f aca="false">IF(AND(C57=0,D57=0),0,IF(C57=0,"New",(D57-C57)/C57))</f>
        <v>-1</v>
      </c>
      <c r="G57" s="10" t="n">
        <f aca="false">SUMIFS('Source 2025'!$K:$K,'Source 2025'!$B:$B,$A57,'Source 2025'!$A:$A,"Amount (NIS)")</f>
        <v>240.2</v>
      </c>
      <c r="H57" s="10" t="n">
        <f aca="false">SUMIFS('Source 2026'!$K:$K,'Source 2026'!$B:$B,$A57,'Source 2026'!$A:$A,"Amount (NIS)")</f>
        <v>0</v>
      </c>
      <c r="I57" s="10" t="n">
        <f aca="false">H57-G57</f>
        <v>-240.2</v>
      </c>
      <c r="J57" s="9" t="n">
        <f aca="false">IF(AND(G57=0,H57=0),0,IF(G57=0,"New",(H57-G57)/G57))</f>
        <v>-1</v>
      </c>
    </row>
    <row r="58" customFormat="false" ht="15" hidden="false" customHeight="false" outlineLevel="0" collapsed="false">
      <c r="A58" s="7" t="s">
        <v>73</v>
      </c>
      <c r="B58" s="7" t="str">
        <f aca="false">IFERROR(INDEX('Source 2026'!$C:$C,MATCH($A58,'Source 2026'!$B:$B,0)),IFERROR(INDEX('Source 2025'!$C:$C,MATCH($A58,'Source 2025'!$B:$B,0)),""))</f>
        <v>L צוארון ספוגי</v>
      </c>
      <c r="C58" s="8" t="n">
        <f aca="false">SUMIFS('Source 2025'!$K:$K,'Source 2025'!$B:$B,$A58,'Source 2025'!$A:$A,"Quantity (units)")</f>
        <v>12</v>
      </c>
      <c r="D58" s="8" t="n">
        <f aca="false">SUMIFS('Source 2026'!$K:$K,'Source 2026'!$B:$B,$A58,'Source 2026'!$A:$A,"Quantity (units)")</f>
        <v>5</v>
      </c>
      <c r="E58" s="8" t="n">
        <f aca="false">D58-C58</f>
        <v>-7</v>
      </c>
      <c r="F58" s="9" t="n">
        <f aca="false">IF(AND(C58=0,D58=0),0,IF(C58=0,"New",(D58-C58)/C58))</f>
        <v>-0.583333333333333</v>
      </c>
      <c r="G58" s="10" t="n">
        <f aca="false">SUMIFS('Source 2025'!$K:$K,'Source 2025'!$B:$B,$A58,'Source 2025'!$A:$A,"Amount (NIS)")</f>
        <v>387.7</v>
      </c>
      <c r="H58" s="10" t="n">
        <f aca="false">SUMIFS('Source 2026'!$K:$K,'Source 2026'!$B:$B,$A58,'Source 2026'!$A:$A,"Amount (NIS)")</f>
        <v>161.5</v>
      </c>
      <c r="I58" s="10" t="n">
        <f aca="false">H58-G58</f>
        <v>-226.2</v>
      </c>
      <c r="J58" s="9" t="n">
        <f aca="false">IF(AND(G58=0,H58=0),0,IF(G58=0,"New",(H58-G58)/G58))</f>
        <v>-0.583440804745938</v>
      </c>
    </row>
    <row r="59" customFormat="false" ht="15" hidden="false" customHeight="false" outlineLevel="0" collapsed="false">
      <c r="A59" s="7" t="s">
        <v>166</v>
      </c>
      <c r="B59" s="7" t="str">
        <f aca="false">IFERROR(INDEX('Source 2026'!$C:$C,MATCH($A59,'Source 2026'!$B:$B,0)),IFERROR(INDEX('Source 2025'!$C:$C,MATCH($A59,'Source 2025'!$B:$B,0)),""))</f>
        <v>S מגן מרפק</v>
      </c>
      <c r="C59" s="8" t="n">
        <f aca="false">SUMIFS('Source 2025'!$K:$K,'Source 2025'!$B:$B,$A59,'Source 2025'!$A:$A,"Quantity (units)")</f>
        <v>5</v>
      </c>
      <c r="D59" s="8" t="n">
        <f aca="false">SUMIFS('Source 2026'!$K:$K,'Source 2026'!$B:$B,$A59,'Source 2026'!$A:$A,"Quantity (units)")</f>
        <v>2</v>
      </c>
      <c r="E59" s="8" t="n">
        <f aca="false">D59-C59</f>
        <v>-3</v>
      </c>
      <c r="F59" s="9" t="n">
        <f aca="false">IF(AND(C59=0,D59=0),0,IF(C59=0,"New",(D59-C59)/C59))</f>
        <v>-0.6</v>
      </c>
      <c r="G59" s="10" t="n">
        <f aca="false">SUMIFS('Source 2025'!$K:$K,'Source 2025'!$B:$B,$A59,'Source 2025'!$A:$A,"Amount (NIS)")</f>
        <v>372.5</v>
      </c>
      <c r="H59" s="10" t="n">
        <f aca="false">SUMIFS('Source 2026'!$K:$K,'Source 2026'!$B:$B,$A59,'Source 2026'!$A:$A,"Amount (NIS)")</f>
        <v>149</v>
      </c>
      <c r="I59" s="10" t="n">
        <f aca="false">H59-G59</f>
        <v>-223.5</v>
      </c>
      <c r="J59" s="9" t="n">
        <f aca="false">IF(AND(G59=0,H59=0),0,IF(G59=0,"New",(H59-G59)/G59))</f>
        <v>-0.6</v>
      </c>
    </row>
    <row r="60" customFormat="false" ht="15" hidden="false" customHeight="false" outlineLevel="0" collapsed="false">
      <c r="A60" s="7" t="s">
        <v>65</v>
      </c>
      <c r="B60" s="7" t="str">
        <f aca="false">IFERROR(INDEX('Source 2026'!$C:$C,MATCH($A60,'Source 2026'!$B:$B,0)),IFERROR(INDEX('Source 2025'!$C:$C,MATCH($A60,'Source 2025'!$B:$B,0)),""))</f>
        <v>M 'מגן מרפק בז</v>
      </c>
      <c r="C60" s="8" t="n">
        <f aca="false">SUMIFS('Source 2025'!$K:$K,'Source 2025'!$B:$B,$A60,'Source 2025'!$A:$A,"Quantity (units)")</f>
        <v>26</v>
      </c>
      <c r="D60" s="8" t="n">
        <f aca="false">SUMIFS('Source 2026'!$K:$K,'Source 2026'!$B:$B,$A60,'Source 2026'!$A:$A,"Quantity (units)")</f>
        <v>18</v>
      </c>
      <c r="E60" s="8" t="n">
        <f aca="false">D60-C60</f>
        <v>-8</v>
      </c>
      <c r="F60" s="9" t="n">
        <f aca="false">IF(AND(C60=0,D60=0),0,IF(C60=0,"New",(D60-C60)/C60))</f>
        <v>-0.307692307692308</v>
      </c>
      <c r="G60" s="10" t="n">
        <f aca="false">SUMIFS('Source 2025'!$K:$K,'Source 2025'!$B:$B,$A60,'Source 2025'!$A:$A,"Amount (NIS)")</f>
        <v>721.8</v>
      </c>
      <c r="H60" s="10" t="n">
        <f aca="false">SUMIFS('Source 2026'!$K:$K,'Source 2026'!$B:$B,$A60,'Source 2026'!$A:$A,"Amount (NIS)")</f>
        <v>499.7</v>
      </c>
      <c r="I60" s="10" t="n">
        <f aca="false">H60-G60</f>
        <v>-222.1</v>
      </c>
      <c r="J60" s="9" t="n">
        <f aca="false">IF(AND(G60=0,H60=0),0,IF(G60=0,"New",(H60-G60)/G60))</f>
        <v>-0.307702964810197</v>
      </c>
    </row>
    <row r="61" customFormat="false" ht="15" hidden="false" customHeight="false" outlineLevel="0" collapsed="false">
      <c r="A61" s="7" t="s">
        <v>229</v>
      </c>
      <c r="B61" s="7" t="str">
        <f aca="false">IFERROR(INDEX('Source 2026'!$C:$C,MATCH($A61,'Source 2026'!$B:$B,0)),IFERROR(INDEX('Source 2025'!$C:$C,MATCH($A61,'Source 2025'!$B:$B,0)),""))</f>
        <v>Lעקבים סיליקון כחול לדורבן</v>
      </c>
      <c r="C61" s="8" t="n">
        <f aca="false">SUMIFS('Source 2025'!$K:$K,'Source 2025'!$B:$B,$A61,'Source 2025'!$A:$A,"Quantity (units)")</f>
        <v>6</v>
      </c>
      <c r="D61" s="8" t="n">
        <f aca="false">SUMIFS('Source 2026'!$K:$K,'Source 2026'!$B:$B,$A61,'Source 2026'!$A:$A,"Quantity (units)")</f>
        <v>10</v>
      </c>
      <c r="E61" s="8" t="n">
        <f aca="false">D61-C61</f>
        <v>4</v>
      </c>
      <c r="F61" s="9" t="n">
        <f aca="false">IF(AND(C61=0,D61=0),0,IF(C61=0,"New",(D61-C61)/C61))</f>
        <v>0.666666666666667</v>
      </c>
      <c r="G61" s="10" t="n">
        <f aca="false">SUMIFS('Source 2025'!$K:$K,'Source 2025'!$B:$B,$A61,'Source 2025'!$A:$A,"Amount (NIS)")</f>
        <v>327.1</v>
      </c>
      <c r="H61" s="10" t="n">
        <f aca="false">SUMIFS('Source 2026'!$K:$K,'Source 2026'!$B:$B,$A61,'Source 2026'!$A:$A,"Amount (NIS)")</f>
        <v>545.2</v>
      </c>
      <c r="I61" s="10" t="n">
        <f aca="false">H61-G61</f>
        <v>218.1</v>
      </c>
      <c r="J61" s="9" t="n">
        <f aca="false">IF(AND(G61=0,H61=0),0,IF(G61=0,"New",(H61-G61)/G61))</f>
        <v>0.666768572302048</v>
      </c>
    </row>
    <row r="62" customFormat="false" ht="15" hidden="false" customHeight="false" outlineLevel="0" collapsed="false">
      <c r="A62" s="7" t="s">
        <v>167</v>
      </c>
      <c r="B62" s="7" t="str">
        <f aca="false">IFERROR(INDEX('Source 2026'!$C:$C,MATCH($A62,'Source 2026'!$B:$B,0)),IFERROR(INDEX('Source 2025'!$C:$C,MATCH($A62,'Source 2025'!$B:$B,0)),""))</f>
        <v>S מגן ברך מחמם</v>
      </c>
      <c r="C62" s="8" t="n">
        <f aca="false">SUMIFS('Source 2025'!$K:$K,'Source 2025'!$B:$B,$A62,'Source 2025'!$A:$A,"Quantity (units)")</f>
        <v>4</v>
      </c>
      <c r="D62" s="8" t="n">
        <f aca="false">SUMIFS('Source 2026'!$K:$K,'Source 2026'!$B:$B,$A62,'Source 2026'!$A:$A,"Quantity (units)")</f>
        <v>0</v>
      </c>
      <c r="E62" s="8" t="n">
        <f aca="false">D62-C62</f>
        <v>-4</v>
      </c>
      <c r="F62" s="9" t="n">
        <f aca="false">IF(AND(C62=0,D62=0),0,IF(C62=0,"New",(D62-C62)/C62))</f>
        <v>-1</v>
      </c>
      <c r="G62" s="10" t="n">
        <f aca="false">SUMIFS('Source 2025'!$K:$K,'Source 2025'!$B:$B,$A62,'Source 2025'!$A:$A,"Amount (NIS)")</f>
        <v>209.4</v>
      </c>
      <c r="H62" s="10" t="n">
        <f aca="false">SUMIFS('Source 2026'!$K:$K,'Source 2026'!$B:$B,$A62,'Source 2026'!$A:$A,"Amount (NIS)")</f>
        <v>0</v>
      </c>
      <c r="I62" s="10" t="n">
        <f aca="false">H62-G62</f>
        <v>-209.4</v>
      </c>
      <c r="J62" s="9" t="n">
        <f aca="false">IF(AND(G62=0,H62=0),0,IF(G62=0,"New",(H62-G62)/G62))</f>
        <v>-1</v>
      </c>
    </row>
    <row r="63" customFormat="false" ht="15" hidden="false" customHeight="false" outlineLevel="0" collapsed="false">
      <c r="A63" s="7" t="s">
        <v>283</v>
      </c>
      <c r="B63" s="7" t="str">
        <f aca="false">IFERROR(INDEX('Source 2026'!$C:$C,MATCH($A63,'Source 2026'!$B:$B,0)),IFERROR(INDEX('Source 2025'!$C:$C,MATCH($A63,'Source 2025'!$B:$B,0)),""))</f>
        <v>לחץ א.הבוניון</v>
      </c>
      <c r="C63" s="8" t="n">
        <f aca="false">SUMIFS('Source 2025'!$K:$K,'Source 2025'!$B:$B,$A63,'Source 2025'!$A:$A,"Quantity (units)")</f>
        <v>11</v>
      </c>
      <c r="D63" s="8" t="n">
        <f aca="false">SUMIFS('Source 2026'!$K:$K,'Source 2026'!$B:$B,$A63,'Source 2026'!$A:$A,"Quantity (units)")</f>
        <v>0</v>
      </c>
      <c r="E63" s="8" t="n">
        <f aca="false">D63-C63</f>
        <v>-11</v>
      </c>
      <c r="F63" s="9" t="n">
        <f aca="false">IF(AND(C63=0,D63=0),0,IF(C63=0,"New",(D63-C63)/C63))</f>
        <v>-1</v>
      </c>
      <c r="G63" s="10" t="n">
        <f aca="false">SUMIFS('Source 2025'!$K:$K,'Source 2025'!$B:$B,$A63,'Source 2025'!$A:$A,"Amount (NIS)")</f>
        <v>206.9</v>
      </c>
      <c r="H63" s="10" t="n">
        <f aca="false">SUMIFS('Source 2026'!$K:$K,'Source 2026'!$B:$B,$A63,'Source 2026'!$A:$A,"Amount (NIS)")</f>
        <v>0</v>
      </c>
      <c r="I63" s="10" t="n">
        <f aca="false">H63-G63</f>
        <v>-206.9</v>
      </c>
      <c r="J63" s="9" t="n">
        <f aca="false">IF(AND(G63=0,H63=0),0,IF(G63=0,"New",(H63-G63)/G63))</f>
        <v>-1</v>
      </c>
    </row>
    <row r="64" customFormat="false" ht="15" hidden="false" customHeight="false" outlineLevel="0" collapsed="false">
      <c r="A64" s="7" t="s">
        <v>245</v>
      </c>
      <c r="B64" s="7" t="str">
        <f aca="false">IFERROR(INDEX('Source 2026'!$C:$C,MATCH($A64,'Source 2026'!$B:$B,0)),IFERROR(INDEX('Source 2025'!$C:$C,MATCH($A64,'Source 2025'!$B:$B,0)),""))</f>
        <v>XLמפריד אצבע סיליקון ליבלת</v>
      </c>
      <c r="C64" s="8" t="n">
        <f aca="false">SUMIFS('Source 2025'!$K:$K,'Source 2025'!$B:$B,$A64,'Source 2025'!$A:$A,"Quantity (units)")</f>
        <v>20</v>
      </c>
      <c r="D64" s="8" t="n">
        <f aca="false">SUMIFS('Source 2026'!$K:$K,'Source 2026'!$B:$B,$A64,'Source 2026'!$A:$A,"Quantity (units)")</f>
        <v>5</v>
      </c>
      <c r="E64" s="8" t="n">
        <f aca="false">D64-C64</f>
        <v>-15</v>
      </c>
      <c r="F64" s="9" t="n">
        <f aca="false">IF(AND(C64=0,D64=0),0,IF(C64=0,"New",(D64-C64)/C64))</f>
        <v>-0.75</v>
      </c>
      <c r="G64" s="10" t="n">
        <f aca="false">SUMIFS('Source 2025'!$K:$K,'Source 2025'!$B:$B,$A64,'Source 2025'!$A:$A,"Amount (NIS)")</f>
        <v>270.4</v>
      </c>
      <c r="H64" s="10" t="n">
        <f aca="false">SUMIFS('Source 2026'!$K:$K,'Source 2026'!$B:$B,$A64,'Source 2026'!$A:$A,"Amount (NIS)")</f>
        <v>67.6</v>
      </c>
      <c r="I64" s="10" t="n">
        <f aca="false">H64-G64</f>
        <v>-202.8</v>
      </c>
      <c r="J64" s="9" t="n">
        <f aca="false">IF(AND(G64=0,H64=0),0,IF(G64=0,"New",(H64-G64)/G64))</f>
        <v>-0.75</v>
      </c>
    </row>
    <row r="65" customFormat="false" ht="15" hidden="false" customHeight="false" outlineLevel="0" collapsed="false">
      <c r="A65" s="7" t="s">
        <v>90</v>
      </c>
      <c r="B65" s="7" t="str">
        <f aca="false">IFERROR(INDEX('Source 2026'!$C:$C,MATCH($A65,'Source 2026'!$B:$B,0)),IFERROR(INDEX('Source 2025'!$C:$C,MATCH($A65,'Source 2025'!$B:$B,0)),""))</f>
        <v>מטטרזלי סיליקון362</v>
      </c>
      <c r="C65" s="8" t="n">
        <f aca="false">SUMIFS('Source 2025'!$K:$K,'Source 2025'!$B:$B,$A65,'Source 2025'!$A:$A,"Quantity (units)")</f>
        <v>8</v>
      </c>
      <c r="D65" s="8" t="n">
        <f aca="false">SUMIFS('Source 2026'!$K:$K,'Source 2026'!$B:$B,$A65,'Source 2026'!$A:$A,"Quantity (units)")</f>
        <v>16</v>
      </c>
      <c r="E65" s="8" t="n">
        <f aca="false">D65-C65</f>
        <v>8</v>
      </c>
      <c r="F65" s="9" t="n">
        <f aca="false">IF(AND(C65=0,D65=0),0,IF(C65=0,"New",(D65-C65)/C65))</f>
        <v>1</v>
      </c>
      <c r="G65" s="10" t="n">
        <f aca="false">SUMIFS('Source 2025'!$K:$K,'Source 2025'!$B:$B,$A65,'Source 2025'!$A:$A,"Amount (NIS)")</f>
        <v>200.2</v>
      </c>
      <c r="H65" s="10" t="n">
        <f aca="false">SUMIFS('Source 2026'!$K:$K,'Source 2026'!$B:$B,$A65,'Source 2026'!$A:$A,"Amount (NIS)")</f>
        <v>400.5</v>
      </c>
      <c r="I65" s="10" t="n">
        <f aca="false">H65-G65</f>
        <v>200.3</v>
      </c>
      <c r="J65" s="9" t="n">
        <f aca="false">IF(AND(G65=0,H65=0),0,IF(G65=0,"New",(H65-G65)/G65))</f>
        <v>1.0004995004995</v>
      </c>
    </row>
    <row r="66" customFormat="false" ht="15" hidden="false" customHeight="false" outlineLevel="0" collapsed="false">
      <c r="A66" s="7" t="s">
        <v>97</v>
      </c>
      <c r="B66" s="7" t="str">
        <f aca="false">IFERROR(INDEX('Source 2026'!$C:$C,MATCH($A66,'Source 2026'!$B:$B,0)),IFERROR(INDEX('Source 2025'!$C:$C,MATCH($A66,'Source 2025'!$B:$B,0)),""))</f>
        <v>חגורת גב אפורה</v>
      </c>
      <c r="C66" s="8" t="n">
        <f aca="false">SUMIFS('Source 2025'!$K:$K,'Source 2025'!$B:$B,$A66,'Source 2025'!$A:$A,"Quantity (units)")</f>
        <v>0</v>
      </c>
      <c r="D66" s="8" t="n">
        <f aca="false">SUMIFS('Source 2026'!$K:$K,'Source 2026'!$B:$B,$A66,'Source 2026'!$A:$A,"Quantity (units)")</f>
        <v>2</v>
      </c>
      <c r="E66" s="8" t="n">
        <f aca="false">D66-C66</f>
        <v>2</v>
      </c>
      <c r="F66" s="9" t="str">
        <f aca="false">IF(AND(C66=0,D66=0),0,IF(C66=0,"New",(D66-C66)/C66))</f>
        <v>New</v>
      </c>
      <c r="G66" s="10" t="n">
        <f aca="false">SUMIFS('Source 2025'!$K:$K,'Source 2025'!$B:$B,$A66,'Source 2025'!$A:$A,"Amount (NIS)")</f>
        <v>0</v>
      </c>
      <c r="H66" s="10" t="n">
        <f aca="false">SUMIFS('Source 2026'!$K:$K,'Source 2026'!$B:$B,$A66,'Source 2026'!$A:$A,"Amount (NIS)")</f>
        <v>198.5</v>
      </c>
      <c r="I66" s="10" t="n">
        <f aca="false">H66-G66</f>
        <v>198.5</v>
      </c>
      <c r="J66" s="9" t="str">
        <f aca="false">IF(AND(G66=0,H66=0),0,IF(G66=0,"New",(H66-G66)/G66))</f>
        <v>New</v>
      </c>
    </row>
    <row r="67" customFormat="false" ht="15" hidden="false" customHeight="false" outlineLevel="0" collapsed="false">
      <c r="A67" s="7" t="s">
        <v>173</v>
      </c>
      <c r="B67" s="7" t="str">
        <f aca="false">IFERROR(INDEX('Source 2026'!$C:$C,MATCH($A67,'Source 2026'!$B:$B,0)),IFERROR(INDEX('Source 2025'!$C:$C,MATCH($A67,'Source 2025'!$B:$B,0)),""))</f>
        <v>S ח.גב סג. כפולה שחור+אדום</v>
      </c>
      <c r="C67" s="8" t="n">
        <f aca="false">SUMIFS('Source 2025'!$K:$K,'Source 2025'!$B:$B,$A67,'Source 2025'!$A:$A,"Quantity (units)")</f>
        <v>2</v>
      </c>
      <c r="D67" s="8" t="n">
        <f aca="false">SUMIFS('Source 2026'!$K:$K,'Source 2026'!$B:$B,$A67,'Source 2026'!$A:$A,"Quantity (units)")</f>
        <v>0</v>
      </c>
      <c r="E67" s="8" t="n">
        <f aca="false">D67-C67</f>
        <v>-2</v>
      </c>
      <c r="F67" s="9" t="n">
        <f aca="false">IF(AND(C67=0,D67=0),0,IF(C67=0,"New",(D67-C67)/C67))</f>
        <v>-1</v>
      </c>
      <c r="G67" s="10" t="n">
        <f aca="false">SUMIFS('Source 2025'!$K:$K,'Source 2025'!$B:$B,$A67,'Source 2025'!$A:$A,"Amount (NIS)")</f>
        <v>198.5</v>
      </c>
      <c r="H67" s="10" t="n">
        <f aca="false">SUMIFS('Source 2026'!$K:$K,'Source 2026'!$B:$B,$A67,'Source 2026'!$A:$A,"Amount (NIS)")</f>
        <v>0</v>
      </c>
      <c r="I67" s="10" t="n">
        <f aca="false">H67-G67</f>
        <v>-198.5</v>
      </c>
      <c r="J67" s="9" t="n">
        <f aca="false">IF(AND(G67=0,H67=0),0,IF(G67=0,"New",(H67-G67)/G67))</f>
        <v>-1</v>
      </c>
    </row>
    <row r="68" customFormat="false" ht="15" hidden="false" customHeight="false" outlineLevel="0" collapsed="false">
      <c r="A68" s="7" t="s">
        <v>265</v>
      </c>
      <c r="B68" s="7" t="str">
        <f aca="false">IFERROR(INDEX('Source 2026'!$C:$C,MATCH($A68,'Source 2026'!$B:$B,0)),IFERROR(INDEX('Source 2025'!$C:$C,MATCH($A68,'Source 2025'!$B:$B,0)),""))</f>
        <v>מדרס ג'ל לגבר</v>
      </c>
      <c r="C68" s="8" t="n">
        <f aca="false">SUMIFS('Source 2025'!$K:$K,'Source 2025'!$B:$B,$A68,'Source 2025'!$A:$A,"Quantity (units)")</f>
        <v>30</v>
      </c>
      <c r="D68" s="8" t="n">
        <f aca="false">SUMIFS('Source 2026'!$K:$K,'Source 2026'!$B:$B,$A68,'Source 2026'!$A:$A,"Quantity (units)")</f>
        <v>33</v>
      </c>
      <c r="E68" s="8" t="n">
        <f aca="false">D68-C68</f>
        <v>3</v>
      </c>
      <c r="F68" s="9" t="n">
        <f aca="false">IF(AND(C68=0,D68=0),0,IF(C68=0,"New",(D68-C68)/C68))</f>
        <v>0.1</v>
      </c>
      <c r="G68" s="10" t="n">
        <f aca="false">SUMIFS('Source 2025'!$K:$K,'Source 2025'!$B:$B,$A68,'Source 2025'!$A:$A,"Amount (NIS)")</f>
        <v>1968.9</v>
      </c>
      <c r="H68" s="10" t="n">
        <f aca="false">SUMIFS('Source 2026'!$K:$K,'Source 2026'!$B:$B,$A68,'Source 2026'!$A:$A,"Amount (NIS)")</f>
        <v>2165.8</v>
      </c>
      <c r="I68" s="10" t="n">
        <f aca="false">H68-G68</f>
        <v>196.9</v>
      </c>
      <c r="J68" s="9" t="n">
        <f aca="false">IF(AND(G68=0,H68=0),0,IF(G68=0,"New",(H68-G68)/G68))</f>
        <v>0.100005078978109</v>
      </c>
    </row>
    <row r="69" customFormat="false" ht="15" hidden="false" customHeight="false" outlineLevel="0" collapsed="false">
      <c r="A69" s="7" t="s">
        <v>91</v>
      </c>
      <c r="B69" s="7" t="str">
        <f aca="false">IFERROR(INDEX('Source 2026'!$C:$C,MATCH($A69,'Source 2026'!$B:$B,0)),IFERROR(INDEX('Source 2025'!$C:$C,MATCH($A69,'Source 2025'!$B:$B,0)),""))</f>
        <v>בליסטר פלסטר</v>
      </c>
      <c r="C69" s="8" t="n">
        <f aca="false">SUMIFS('Source 2025'!$K:$K,'Source 2025'!$B:$B,$A69,'Source 2025'!$A:$A,"Quantity (units)")</f>
        <v>20</v>
      </c>
      <c r="D69" s="8" t="n">
        <f aca="false">SUMIFS('Source 2026'!$K:$K,'Source 2026'!$B:$B,$A69,'Source 2026'!$A:$A,"Quantity (units)")</f>
        <v>10</v>
      </c>
      <c r="E69" s="8" t="n">
        <f aca="false">D69-C69</f>
        <v>-10</v>
      </c>
      <c r="F69" s="9" t="n">
        <f aca="false">IF(AND(C69=0,D69=0),0,IF(C69=0,"New",(D69-C69)/C69))</f>
        <v>-0.5</v>
      </c>
      <c r="G69" s="10" t="n">
        <f aca="false">SUMIFS('Source 2025'!$K:$K,'Source 2025'!$B:$B,$A69,'Source 2025'!$A:$A,"Amount (NIS)")</f>
        <v>383.4</v>
      </c>
      <c r="H69" s="10" t="n">
        <f aca="false">SUMIFS('Source 2026'!$K:$K,'Source 2026'!$B:$B,$A69,'Source 2026'!$A:$A,"Amount (NIS)")</f>
        <v>191.7</v>
      </c>
      <c r="I69" s="10" t="n">
        <f aca="false">H69-G69</f>
        <v>-191.7</v>
      </c>
      <c r="J69" s="9" t="n">
        <f aca="false">IF(AND(G69=0,H69=0),0,IF(G69=0,"New",(H69-G69)/G69))</f>
        <v>-0.5</v>
      </c>
    </row>
    <row r="70" customFormat="false" ht="15" hidden="false" customHeight="false" outlineLevel="0" collapsed="false">
      <c r="A70" s="7" t="s">
        <v>70</v>
      </c>
      <c r="B70" s="7" t="str">
        <f aca="false">IFERROR(INDEX('Source 2026'!$C:$C,MATCH($A70,'Source 2026'!$B:$B,0)),IFERROR(INDEX('Source 2025'!$C:$C,MATCH($A70,'Source 2025'!$B:$B,0)),""))</f>
        <v>תחבושת א.נצמ</v>
      </c>
      <c r="C70" s="8" t="n">
        <f aca="false">SUMIFS('Source 2025'!$K:$K,'Source 2025'!$B:$B,$A70,'Source 2025'!$A:$A,"Quantity (units)")</f>
        <v>7</v>
      </c>
      <c r="D70" s="8" t="n">
        <f aca="false">SUMIFS('Source 2026'!$K:$K,'Source 2026'!$B:$B,$A70,'Source 2026'!$A:$A,"Quantity (units)")</f>
        <v>24</v>
      </c>
      <c r="E70" s="8" t="n">
        <f aca="false">D70-C70</f>
        <v>17</v>
      </c>
      <c r="F70" s="9" t="n">
        <f aca="false">IF(AND(C70=0,D70=0),0,IF(C70=0,"New",(D70-C70)/C70))</f>
        <v>2.42857142857143</v>
      </c>
      <c r="G70" s="10" t="n">
        <f aca="false">SUMIFS('Source 2025'!$K:$K,'Source 2025'!$B:$B,$A70,'Source 2025'!$A:$A,"Amount (NIS)")</f>
        <v>76.9</v>
      </c>
      <c r="H70" s="10" t="n">
        <f aca="false">SUMIFS('Source 2026'!$K:$K,'Source 2026'!$B:$B,$A70,'Source 2026'!$A:$A,"Amount (NIS)")</f>
        <v>263.5</v>
      </c>
      <c r="I70" s="10" t="n">
        <f aca="false">H70-G70</f>
        <v>186.6</v>
      </c>
      <c r="J70" s="9" t="n">
        <f aca="false">IF(AND(G70=0,H70=0),0,IF(G70=0,"New",(H70-G70)/G70))</f>
        <v>2.42652795838752</v>
      </c>
    </row>
    <row r="71" customFormat="false" ht="15" hidden="false" customHeight="false" outlineLevel="0" collapsed="false">
      <c r="A71" s="7" t="s">
        <v>300</v>
      </c>
      <c r="B71" s="7" t="str">
        <f aca="false">IFERROR(INDEX('Source 2026'!$C:$C,MATCH($A71,'Source 2026'!$B:$B,0)),IFERROR(INDEX('Source 2025'!$C:$C,MATCH($A71,'Source 2025'!$B:$B,0)),""))</f>
        <v>סיליק.לכרית כף הרגל373</v>
      </c>
      <c r="C71" s="8" t="n">
        <f aca="false">SUMIFS('Source 2025'!$K:$K,'Source 2025'!$B:$B,$A71,'Source 2025'!$A:$A,"Quantity (units)")</f>
        <v>9</v>
      </c>
      <c r="D71" s="8" t="n">
        <f aca="false">SUMIFS('Source 2026'!$K:$K,'Source 2026'!$B:$B,$A71,'Source 2026'!$A:$A,"Quantity (units)")</f>
        <v>0</v>
      </c>
      <c r="E71" s="8" t="n">
        <f aca="false">D71-C71</f>
        <v>-9</v>
      </c>
      <c r="F71" s="9" t="n">
        <f aca="false">IF(AND(C71=0,D71=0),0,IF(C71=0,"New",(D71-C71)/C71))</f>
        <v>-1</v>
      </c>
      <c r="G71" s="10" t="n">
        <f aca="false">SUMIFS('Source 2025'!$K:$K,'Source 2025'!$B:$B,$A71,'Source 2025'!$A:$A,"Amount (NIS)")</f>
        <v>176.8</v>
      </c>
      <c r="H71" s="10" t="n">
        <f aca="false">SUMIFS('Source 2026'!$K:$K,'Source 2026'!$B:$B,$A71,'Source 2026'!$A:$A,"Amount (NIS)")</f>
        <v>0</v>
      </c>
      <c r="I71" s="10" t="n">
        <f aca="false">H71-G71</f>
        <v>-176.8</v>
      </c>
      <c r="J71" s="9" t="n">
        <f aca="false">IF(AND(G71=0,H71=0),0,IF(G71=0,"New",(H71-G71)/G71))</f>
        <v>-1</v>
      </c>
    </row>
    <row r="72" customFormat="false" ht="15" hidden="false" customHeight="false" outlineLevel="0" collapsed="false">
      <c r="A72" s="7" t="s">
        <v>42</v>
      </c>
      <c r="B72" s="7" t="str">
        <f aca="false">IFERROR(INDEX('Source 2026'!$C:$C,MATCH($A72,'Source 2026'!$B:$B,0)),IFERROR(INDEX('Source 2025'!$C:$C,MATCH($A72,'Source 2025'!$B:$B,0)),""))</f>
        <v>L סד ליד דו צדדי לאחר שבר</v>
      </c>
      <c r="C72" s="8" t="n">
        <f aca="false">SUMIFS('Source 2025'!$K:$K,'Source 2025'!$B:$B,$A72,'Source 2025'!$A:$A,"Quantity (units)")</f>
        <v>9</v>
      </c>
      <c r="D72" s="8" t="n">
        <f aca="false">SUMIFS('Source 2026'!$K:$K,'Source 2026'!$B:$B,$A72,'Source 2026'!$A:$A,"Quantity (units)")</f>
        <v>7</v>
      </c>
      <c r="E72" s="8" t="n">
        <f aca="false">D72-C72</f>
        <v>-2</v>
      </c>
      <c r="F72" s="9" t="n">
        <f aca="false">IF(AND(C72=0,D72=0),0,IF(C72=0,"New",(D72-C72)/C72))</f>
        <v>-0.222222222222222</v>
      </c>
      <c r="G72" s="10" t="n">
        <f aca="false">SUMIFS('Source 2025'!$K:$K,'Source 2025'!$B:$B,$A72,'Source 2025'!$A:$A,"Amount (NIS)")</f>
        <v>793.8</v>
      </c>
      <c r="H72" s="10" t="n">
        <f aca="false">SUMIFS('Source 2026'!$K:$K,'Source 2026'!$B:$B,$A72,'Source 2026'!$A:$A,"Amount (NIS)")</f>
        <v>617.4</v>
      </c>
      <c r="I72" s="10" t="n">
        <f aca="false">H72-G72</f>
        <v>-176.4</v>
      </c>
      <c r="J72" s="9" t="n">
        <f aca="false">IF(AND(G72=0,H72=0),0,IF(G72=0,"New",(H72-G72)/G72))</f>
        <v>-0.222222222222222</v>
      </c>
    </row>
    <row r="73" customFormat="false" ht="15" hidden="false" customHeight="false" outlineLevel="0" collapsed="false">
      <c r="A73" s="7" t="s">
        <v>118</v>
      </c>
      <c r="B73" s="7" t="str">
        <f aca="false">IFERROR(INDEX('Source 2026'!$C:$C,MATCH($A73,'Source 2026'!$B:$B,0)),IFERROR(INDEX('Source 2025'!$C:$C,MATCH($A73,'Source 2025'!$B:$B,0)),""))</f>
        <v>S-M חבק יד עם צמדן</v>
      </c>
      <c r="C73" s="8" t="n">
        <f aca="false">SUMIFS('Source 2025'!$K:$K,'Source 2025'!$B:$B,$A73,'Source 2025'!$A:$A,"Quantity (units)")</f>
        <v>7</v>
      </c>
      <c r="D73" s="8" t="n">
        <f aca="false">SUMIFS('Source 2026'!$K:$K,'Source 2026'!$B:$B,$A73,'Source 2026'!$A:$A,"Quantity (units)")</f>
        <v>12</v>
      </c>
      <c r="E73" s="8" t="n">
        <f aca="false">D73-C73</f>
        <v>5</v>
      </c>
      <c r="F73" s="9" t="n">
        <f aca="false">IF(AND(C73=0,D73=0),0,IF(C73=0,"New",(D73-C73)/C73))</f>
        <v>0.714285714285714</v>
      </c>
      <c r="G73" s="10" t="n">
        <f aca="false">SUMIFS('Source 2025'!$K:$K,'Source 2025'!$B:$B,$A73,'Source 2025'!$A:$A,"Amount (NIS)")</f>
        <v>240.6</v>
      </c>
      <c r="H73" s="10" t="n">
        <f aca="false">SUMIFS('Source 2026'!$K:$K,'Source 2026'!$B:$B,$A73,'Source 2026'!$A:$A,"Amount (NIS)")</f>
        <v>412.4</v>
      </c>
      <c r="I73" s="10" t="n">
        <f aca="false">H73-G73</f>
        <v>171.8</v>
      </c>
      <c r="J73" s="9" t="n">
        <f aca="false">IF(AND(G73=0,H73=0),0,IF(G73=0,"New",(H73-G73)/G73))</f>
        <v>0.71404821280133</v>
      </c>
    </row>
    <row r="74" customFormat="false" ht="15" hidden="false" customHeight="false" outlineLevel="0" collapsed="false">
      <c r="A74" s="7" t="s">
        <v>192</v>
      </c>
      <c r="B74" s="7" t="str">
        <f aca="false">IFERROR(INDEX('Source 2026'!$C:$C,MATCH($A74,'Source 2026'!$B:$B,0)),IFERROR(INDEX('Source 2025'!$C:$C,MATCH($A74,'Source 2025'!$B:$B,0)),""))</f>
        <v>להסרת עור קשה</v>
      </c>
      <c r="C74" s="8" t="n">
        <f aca="false">SUMIFS('Source 2025'!$K:$K,'Source 2025'!$B:$B,$A74,'Source 2025'!$A:$A,"Quantity (units)")</f>
        <v>11</v>
      </c>
      <c r="D74" s="8" t="n">
        <f aca="false">SUMIFS('Source 2026'!$K:$K,'Source 2026'!$B:$B,$A74,'Source 2026'!$A:$A,"Quantity (units)")</f>
        <v>5</v>
      </c>
      <c r="E74" s="8" t="n">
        <f aca="false">D74-C74</f>
        <v>-6</v>
      </c>
      <c r="F74" s="9" t="n">
        <f aca="false">IF(AND(C74=0,D74=0),0,IF(C74=0,"New",(D74-C74)/C74))</f>
        <v>-0.545454545454545</v>
      </c>
      <c r="G74" s="10" t="n">
        <f aca="false">SUMIFS('Source 2025'!$K:$K,'Source 2025'!$B:$B,$A74,'Source 2025'!$A:$A,"Amount (NIS)")</f>
        <v>293.5</v>
      </c>
      <c r="H74" s="10" t="n">
        <f aca="false">SUMIFS('Source 2026'!$K:$K,'Source 2026'!$B:$B,$A74,'Source 2026'!$A:$A,"Amount (NIS)")</f>
        <v>133.4</v>
      </c>
      <c r="I74" s="10" t="n">
        <f aca="false">H74-G74</f>
        <v>-160.1</v>
      </c>
      <c r="J74" s="9" t="n">
        <f aca="false">IF(AND(G74=0,H74=0),0,IF(G74=0,"New",(H74-G74)/G74))</f>
        <v>-0.545485519591141</v>
      </c>
    </row>
    <row r="75" customFormat="false" ht="15" hidden="false" customHeight="false" outlineLevel="0" collapsed="false">
      <c r="A75" s="7" t="s">
        <v>119</v>
      </c>
      <c r="B75" s="7" t="str">
        <f aca="false">IFERROR(INDEX('Source 2026'!$C:$C,MATCH($A75,'Source 2026'!$B:$B,0)),IFERROR(INDEX('Source 2025'!$C:$C,MATCH($A75,'Source 2025'!$B:$B,0)),""))</f>
        <v>גרב.כסף לסכרתים שחור35-38</v>
      </c>
      <c r="C75" s="8" t="n">
        <f aca="false">SUMIFS('Source 2025'!$K:$K,'Source 2025'!$B:$B,$A75,'Source 2025'!$A:$A,"Quantity (units)")</f>
        <v>5</v>
      </c>
      <c r="D75" s="8" t="n">
        <f aca="false">SUMIFS('Source 2026'!$K:$K,'Source 2026'!$B:$B,$A75,'Source 2026'!$A:$A,"Quantity (units)")</f>
        <v>0</v>
      </c>
      <c r="E75" s="8" t="n">
        <f aca="false">D75-C75</f>
        <v>-5</v>
      </c>
      <c r="F75" s="9" t="n">
        <f aca="false">IF(AND(C75=0,D75=0),0,IF(C75=0,"New",(D75-C75)/C75))</f>
        <v>-1</v>
      </c>
      <c r="G75" s="10" t="n">
        <f aca="false">SUMIFS('Source 2025'!$K:$K,'Source 2025'!$B:$B,$A75,'Source 2025'!$A:$A,"Amount (NIS)")</f>
        <v>157.3</v>
      </c>
      <c r="H75" s="10" t="n">
        <f aca="false">SUMIFS('Source 2026'!$K:$K,'Source 2026'!$B:$B,$A75,'Source 2026'!$A:$A,"Amount (NIS)")</f>
        <v>0</v>
      </c>
      <c r="I75" s="10" t="n">
        <f aca="false">H75-G75</f>
        <v>-157.3</v>
      </c>
      <c r="J75" s="9" t="n">
        <f aca="false">IF(AND(G75=0,H75=0),0,IF(G75=0,"New",(H75-G75)/G75))</f>
        <v>-1</v>
      </c>
    </row>
    <row r="76" customFormat="false" ht="15" hidden="false" customHeight="false" outlineLevel="0" collapsed="false">
      <c r="A76" s="7" t="s">
        <v>102</v>
      </c>
      <c r="B76" s="7" t="str">
        <f aca="false">IFERROR(INDEX('Source 2026'!$C:$C,MATCH($A76,'Source 2026'!$B:$B,0)),IFERROR(INDEX('Source 2025'!$C:$C,MATCH($A76,'Source 2025'!$B:$B,0)),""))</f>
        <v>3667 מגן בוניון</v>
      </c>
      <c r="C76" s="8" t="n">
        <f aca="false">SUMIFS('Source 2025'!$K:$K,'Source 2025'!$B:$B,$A76,'Source 2025'!$A:$A,"Quantity (units)")</f>
        <v>12</v>
      </c>
      <c r="D76" s="8" t="n">
        <f aca="false">SUMIFS('Source 2026'!$K:$K,'Source 2026'!$B:$B,$A76,'Source 2026'!$A:$A,"Quantity (units)")</f>
        <v>7</v>
      </c>
      <c r="E76" s="8" t="n">
        <f aca="false">D76-C76</f>
        <v>-5</v>
      </c>
      <c r="F76" s="9" t="n">
        <f aca="false">IF(AND(C76=0,D76=0),0,IF(C76=0,"New",(D76-C76)/C76))</f>
        <v>-0.416666666666667</v>
      </c>
      <c r="G76" s="10" t="n">
        <f aca="false">SUMIFS('Source 2025'!$K:$K,'Source 2025'!$B:$B,$A76,'Source 2025'!$A:$A,"Amount (NIS)")</f>
        <v>346</v>
      </c>
      <c r="H76" s="10" t="n">
        <f aca="false">SUMIFS('Source 2026'!$K:$K,'Source 2026'!$B:$B,$A76,'Source 2026'!$A:$A,"Amount (NIS)")</f>
        <v>201.8</v>
      </c>
      <c r="I76" s="10" t="n">
        <f aca="false">H76-G76</f>
        <v>-144.2</v>
      </c>
      <c r="J76" s="9" t="n">
        <f aca="false">IF(AND(G76=0,H76=0),0,IF(G76=0,"New",(H76-G76)/G76))</f>
        <v>-0.416763005780347</v>
      </c>
    </row>
    <row r="77" customFormat="false" ht="15" hidden="false" customHeight="false" outlineLevel="0" collapsed="false">
      <c r="A77" s="7" t="s">
        <v>109</v>
      </c>
      <c r="B77" s="7" t="str">
        <f aca="false">IFERROR(INDEX('Source 2026'!$C:$C,MATCH($A77,'Source 2026'!$B:$B,0)),IFERROR(INDEX('Source 2025'!$C:$C,MATCH($A77,'Source 2025'!$B:$B,0)),""))</f>
        <v>גרב.כסף לסכרתים שחור35-38</v>
      </c>
      <c r="C77" s="8" t="n">
        <f aca="false">SUMIFS('Source 2025'!$K:$K,'Source 2025'!$B:$B,$A77,'Source 2025'!$A:$A,"Quantity (units)")</f>
        <v>6</v>
      </c>
      <c r="D77" s="8" t="n">
        <f aca="false">SUMIFS('Source 2026'!$K:$K,'Source 2026'!$B:$B,$A77,'Source 2026'!$A:$A,"Quantity (units)")</f>
        <v>0</v>
      </c>
      <c r="E77" s="8" t="n">
        <f aca="false">D77-C77</f>
        <v>-6</v>
      </c>
      <c r="F77" s="9" t="n">
        <f aca="false">IF(AND(C77=0,D77=0),0,IF(C77=0,"New",(D77-C77)/C77))</f>
        <v>-1</v>
      </c>
      <c r="G77" s="10" t="n">
        <f aca="false">SUMIFS('Source 2025'!$K:$K,'Source 2025'!$B:$B,$A77,'Source 2025'!$A:$A,"Amount (NIS)")</f>
        <v>144.1</v>
      </c>
      <c r="H77" s="10" t="n">
        <f aca="false">SUMIFS('Source 2026'!$K:$K,'Source 2026'!$B:$B,$A77,'Source 2026'!$A:$A,"Amount (NIS)")</f>
        <v>0</v>
      </c>
      <c r="I77" s="10" t="n">
        <f aca="false">H77-G77</f>
        <v>-144.1</v>
      </c>
      <c r="J77" s="9" t="n">
        <f aca="false">IF(AND(G77=0,H77=0),0,IF(G77=0,"New",(H77-G77)/G77))</f>
        <v>-1</v>
      </c>
    </row>
    <row r="78" customFormat="false" ht="15" hidden="false" customHeight="false" outlineLevel="0" collapsed="false">
      <c r="A78" s="7" t="s">
        <v>174</v>
      </c>
      <c r="B78" s="7" t="str">
        <f aca="false">IFERROR(INDEX('Source 2026'!$C:$C,MATCH($A78,'Source 2026'!$B:$B,0)),IFERROR(INDEX('Source 2025'!$C:$C,MATCH($A78,'Source 2025'!$B:$B,0)),""))</f>
        <v>סד ליישור אצבע</v>
      </c>
      <c r="C78" s="8" t="n">
        <f aca="false">SUMIFS('Source 2025'!$K:$K,'Source 2025'!$B:$B,$A78,'Source 2025'!$A:$A,"Quantity (units)")</f>
        <v>22</v>
      </c>
      <c r="D78" s="8" t="n">
        <f aca="false">SUMIFS('Source 2026'!$K:$K,'Source 2026'!$B:$B,$A78,'Source 2026'!$A:$A,"Quantity (units)")</f>
        <v>31</v>
      </c>
      <c r="E78" s="8" t="n">
        <f aca="false">D78-C78</f>
        <v>9</v>
      </c>
      <c r="F78" s="9" t="n">
        <f aca="false">IF(AND(C78=0,D78=0),0,IF(C78=0,"New",(D78-C78)/C78))</f>
        <v>0.409090909090909</v>
      </c>
      <c r="G78" s="10" t="n">
        <f aca="false">SUMIFS('Source 2025'!$K:$K,'Source 2025'!$B:$B,$A78,'Source 2025'!$A:$A,"Amount (NIS)")</f>
        <v>338.8</v>
      </c>
      <c r="H78" s="10" t="n">
        <f aca="false">SUMIFS('Source 2026'!$K:$K,'Source 2026'!$B:$B,$A78,'Source 2026'!$A:$A,"Amount (NIS)")</f>
        <v>477.4</v>
      </c>
      <c r="I78" s="10" t="n">
        <f aca="false">H78-G78</f>
        <v>138.6</v>
      </c>
      <c r="J78" s="9" t="n">
        <f aca="false">IF(AND(G78=0,H78=0),0,IF(G78=0,"New",(H78-G78)/G78))</f>
        <v>0.409090909090909</v>
      </c>
    </row>
    <row r="79" customFormat="false" ht="15" hidden="false" customHeight="false" outlineLevel="0" collapsed="false">
      <c r="A79" s="7" t="s">
        <v>273</v>
      </c>
      <c r="B79" s="7" t="str">
        <f aca="false">IFERROR(INDEX('Source 2026'!$C:$C,MATCH($A79,'Source 2026'!$B:$B,0)),IFERROR(INDEX('Source 2025'!$C:$C,MATCH($A79,'Source 2025'!$B:$B,0)),""))</f>
        <v>סד לש.כף יד ימין</v>
      </c>
      <c r="C79" s="8" t="n">
        <f aca="false">SUMIFS('Source 2025'!$K:$K,'Source 2025'!$B:$B,$A79,'Source 2025'!$A:$A,"Quantity (units)")</f>
        <v>4</v>
      </c>
      <c r="D79" s="8" t="n">
        <f aca="false">SUMIFS('Source 2026'!$K:$K,'Source 2026'!$B:$B,$A79,'Source 2026'!$A:$A,"Quantity (units)")</f>
        <v>0</v>
      </c>
      <c r="E79" s="8" t="n">
        <f aca="false">D79-C79</f>
        <v>-4</v>
      </c>
      <c r="F79" s="9" t="n">
        <f aca="false">IF(AND(C79=0,D79=0),0,IF(C79=0,"New",(D79-C79)/C79))</f>
        <v>-1</v>
      </c>
      <c r="G79" s="10" t="n">
        <f aca="false">SUMIFS('Source 2025'!$K:$K,'Source 2025'!$B:$B,$A79,'Source 2025'!$A:$A,"Amount (NIS)")</f>
        <v>137.1</v>
      </c>
      <c r="H79" s="10" t="n">
        <f aca="false">SUMIFS('Source 2026'!$K:$K,'Source 2026'!$B:$B,$A79,'Source 2026'!$A:$A,"Amount (NIS)")</f>
        <v>0</v>
      </c>
      <c r="I79" s="10" t="n">
        <f aca="false">H79-G79</f>
        <v>-137.1</v>
      </c>
      <c r="J79" s="9" t="n">
        <f aca="false">IF(AND(G79=0,H79=0),0,IF(G79=0,"New",(H79-G79)/G79))</f>
        <v>-1</v>
      </c>
    </row>
    <row r="80" customFormat="false" ht="15" hidden="false" customHeight="false" outlineLevel="0" collapsed="false">
      <c r="A80" s="7" t="s">
        <v>223</v>
      </c>
      <c r="B80" s="7" t="str">
        <f aca="false">IFERROR(INDEX('Source 2026'!$C:$C,MATCH($A80,'Source 2026'!$B:$B,0)),IFERROR(INDEX('Source 2025'!$C:$C,MATCH($A80,'Source 2025'!$B:$B,0)),""))</f>
        <v>L מגן ברך מוצלב+מוט</v>
      </c>
      <c r="C80" s="8" t="n">
        <f aca="false">SUMIFS('Source 2025'!$K:$K,'Source 2025'!$B:$B,$A80,'Source 2025'!$A:$A,"Quantity (units)")</f>
        <v>1</v>
      </c>
      <c r="D80" s="8" t="n">
        <f aca="false">SUMIFS('Source 2026'!$K:$K,'Source 2026'!$B:$B,$A80,'Source 2026'!$A:$A,"Quantity (units)")</f>
        <v>0</v>
      </c>
      <c r="E80" s="8" t="n">
        <f aca="false">D80-C80</f>
        <v>-1</v>
      </c>
      <c r="F80" s="9" t="n">
        <f aca="false">IF(AND(C80=0,D80=0),0,IF(C80=0,"New",(D80-C80)/C80))</f>
        <v>-1</v>
      </c>
      <c r="G80" s="10" t="n">
        <f aca="false">SUMIFS('Source 2025'!$K:$K,'Source 2025'!$B:$B,$A80,'Source 2025'!$A:$A,"Amount (NIS)")</f>
        <v>125.7</v>
      </c>
      <c r="H80" s="10" t="n">
        <f aca="false">SUMIFS('Source 2026'!$K:$K,'Source 2026'!$B:$B,$A80,'Source 2026'!$A:$A,"Amount (NIS)")</f>
        <v>0</v>
      </c>
      <c r="I80" s="10" t="n">
        <f aca="false">H80-G80</f>
        <v>-125.7</v>
      </c>
      <c r="J80" s="9" t="n">
        <f aca="false">IF(AND(G80=0,H80=0),0,IF(G80=0,"New",(H80-G80)/G80))</f>
        <v>-1</v>
      </c>
    </row>
    <row r="81" customFormat="false" ht="15" hidden="false" customHeight="false" outlineLevel="0" collapsed="false">
      <c r="A81" s="7" t="s">
        <v>101</v>
      </c>
      <c r="B81" s="7" t="str">
        <f aca="false">IFERROR(INDEX('Source 2026'!$C:$C,MATCH($A81,'Source 2026'!$B:$B,0)),IFERROR(INDEX('Source 2025'!$C:$C,MATCH($A81,'Source 2025'!$B:$B,0)),""))</f>
        <v>S מגן קרסול מתכוון עם סקוטש</v>
      </c>
      <c r="C81" s="8" t="n">
        <f aca="false">SUMIFS('Source 2025'!$K:$K,'Source 2025'!$B:$B,$A81,'Source 2025'!$A:$A,"Quantity (units)")</f>
        <v>2</v>
      </c>
      <c r="D81" s="8" t="n">
        <f aca="false">SUMIFS('Source 2026'!$K:$K,'Source 2026'!$B:$B,$A81,'Source 2026'!$A:$A,"Quantity (units)")</f>
        <v>0</v>
      </c>
      <c r="E81" s="8" t="n">
        <f aca="false">D81-C81</f>
        <v>-2</v>
      </c>
      <c r="F81" s="9" t="n">
        <f aca="false">IF(AND(C81=0,D81=0),0,IF(C81=0,"New",(D81-C81)/C81))</f>
        <v>-1</v>
      </c>
      <c r="G81" s="10" t="n">
        <f aca="false">SUMIFS('Source 2025'!$K:$K,'Source 2025'!$B:$B,$A81,'Source 2025'!$A:$A,"Amount (NIS)")</f>
        <v>123.5</v>
      </c>
      <c r="H81" s="10" t="n">
        <f aca="false">SUMIFS('Source 2026'!$K:$K,'Source 2026'!$B:$B,$A81,'Source 2026'!$A:$A,"Amount (NIS)")</f>
        <v>0</v>
      </c>
      <c r="I81" s="10" t="n">
        <f aca="false">H81-G81</f>
        <v>-123.5</v>
      </c>
      <c r="J81" s="9" t="n">
        <f aca="false">IF(AND(G81=0,H81=0),0,IF(G81=0,"New",(H81-G81)/G81))</f>
        <v>-1</v>
      </c>
    </row>
    <row r="82" customFormat="false" ht="15" hidden="false" customHeight="false" outlineLevel="0" collapsed="false">
      <c r="A82" s="7" t="s">
        <v>143</v>
      </c>
      <c r="B82" s="7" t="str">
        <f aca="false">IFERROR(INDEX('Source 2026'!$C:$C,MATCH($A82,'Source 2026'!$B:$B,0)),IFERROR(INDEX('Source 2025'!$C:$C,MATCH($A82,'Source 2025'!$B:$B,0)),""))</f>
        <v>בננה לתמיכת אצבעות ז.כרית</v>
      </c>
      <c r="C82" s="8" t="n">
        <f aca="false">SUMIFS('Source 2025'!$K:$K,'Source 2025'!$B:$B,$A82,'Source 2025'!$A:$A,"Quantity (units)")</f>
        <v>7</v>
      </c>
      <c r="D82" s="8" t="n">
        <f aca="false">SUMIFS('Source 2026'!$K:$K,'Source 2026'!$B:$B,$A82,'Source 2026'!$A:$A,"Quantity (units)")</f>
        <v>2</v>
      </c>
      <c r="E82" s="8" t="n">
        <f aca="false">D82-C82</f>
        <v>-5</v>
      </c>
      <c r="F82" s="9" t="n">
        <f aca="false">IF(AND(C82=0,D82=0),0,IF(C82=0,"New",(D82-C82)/C82))</f>
        <v>-0.714285714285714</v>
      </c>
      <c r="G82" s="10" t="n">
        <f aca="false">SUMIFS('Source 2025'!$K:$K,'Source 2025'!$B:$B,$A82,'Source 2025'!$A:$A,"Amount (NIS)")</f>
        <v>165.1</v>
      </c>
      <c r="H82" s="10" t="n">
        <f aca="false">SUMIFS('Source 2026'!$K:$K,'Source 2026'!$B:$B,$A82,'Source 2026'!$A:$A,"Amount (NIS)")</f>
        <v>47.2</v>
      </c>
      <c r="I82" s="10" t="n">
        <f aca="false">H82-G82</f>
        <v>-117.9</v>
      </c>
      <c r="J82" s="9" t="n">
        <f aca="false">IF(AND(G82=0,H82=0),0,IF(G82=0,"New",(H82-G82)/G82))</f>
        <v>-0.714112658994549</v>
      </c>
    </row>
    <row r="83" customFormat="false" ht="15" hidden="false" customHeight="false" outlineLevel="0" collapsed="false">
      <c r="A83" s="7" t="s">
        <v>82</v>
      </c>
      <c r="B83" s="7" t="str">
        <f aca="false">IFERROR(INDEX('Source 2026'!$C:$C,MATCH($A83,'Source 2026'!$B:$B,0)),IFERROR(INDEX('Source 2025'!$C:$C,MATCH($A83,'Source 2025'!$B:$B,0)),""))</f>
        <v>S-L אצבעון מסיליקון יחידה</v>
      </c>
      <c r="C83" s="8" t="n">
        <f aca="false">SUMIFS('Source 2025'!$K:$K,'Source 2025'!$B:$B,$A83,'Source 2025'!$A:$A,"Quantity (units)")</f>
        <v>18</v>
      </c>
      <c r="D83" s="8" t="n">
        <f aca="false">SUMIFS('Source 2026'!$K:$K,'Source 2026'!$B:$B,$A83,'Source 2026'!$A:$A,"Quantity (units)")</f>
        <v>23</v>
      </c>
      <c r="E83" s="8" t="n">
        <f aca="false">D83-C83</f>
        <v>5</v>
      </c>
      <c r="F83" s="9" t="n">
        <f aca="false">IF(AND(C83=0,D83=0),0,IF(C83=0,"New",(D83-C83)/C83))</f>
        <v>0.277777777777778</v>
      </c>
      <c r="G83" s="10" t="n">
        <f aca="false">SUMIFS('Source 2025'!$K:$K,'Source 2025'!$B:$B,$A83,'Source 2025'!$A:$A,"Amount (NIS)")</f>
        <v>373.4</v>
      </c>
      <c r="H83" s="10" t="n">
        <f aca="false">SUMIFS('Source 2026'!$K:$K,'Source 2026'!$B:$B,$A83,'Source 2026'!$A:$A,"Amount (NIS)")</f>
        <v>490.1</v>
      </c>
      <c r="I83" s="10" t="n">
        <f aca="false">H83-G83</f>
        <v>116.7</v>
      </c>
      <c r="J83" s="9" t="n">
        <f aca="false">IF(AND(G83=0,H83=0),0,IF(G83=0,"New",(H83-G83)/G83))</f>
        <v>0.312533476164971</v>
      </c>
    </row>
    <row r="84" customFormat="false" ht="15" hidden="false" customHeight="false" outlineLevel="0" collapsed="false">
      <c r="A84" s="7" t="s">
        <v>113</v>
      </c>
      <c r="B84" s="7" t="str">
        <f aca="false">IFERROR(INDEX('Source 2026'!$C:$C,MATCH($A84,'Source 2026'!$B:$B,0)),IFERROR(INDEX('Source 2025'!$C:$C,MATCH($A84,'Source 2025'!$B:$B,0)),""))</f>
        <v>S מגן קרסול עקב סגור+רצוע</v>
      </c>
      <c r="C84" s="8" t="n">
        <f aca="false">SUMIFS('Source 2025'!$K:$K,'Source 2025'!$B:$B,$A84,'Source 2025'!$A:$A,"Quantity (units)")</f>
        <v>21</v>
      </c>
      <c r="D84" s="8" t="n">
        <f aca="false">SUMIFS('Source 2026'!$K:$K,'Source 2026'!$B:$B,$A84,'Source 2026'!$A:$A,"Quantity (units)")</f>
        <v>19</v>
      </c>
      <c r="E84" s="8" t="n">
        <f aca="false">D84-C84</f>
        <v>-2</v>
      </c>
      <c r="F84" s="9" t="n">
        <f aca="false">IF(AND(C84=0,D84=0),0,IF(C84=0,"New",(D84-C84)/C84))</f>
        <v>-0.0952380952380952</v>
      </c>
      <c r="G84" s="10" t="n">
        <f aca="false">SUMIFS('Source 2025'!$K:$K,'Source 2025'!$B:$B,$A84,'Source 2025'!$A:$A,"Amount (NIS)")</f>
        <v>1203.5</v>
      </c>
      <c r="H84" s="10" t="n">
        <f aca="false">SUMIFS('Source 2026'!$K:$K,'Source 2026'!$B:$B,$A84,'Source 2026'!$A:$A,"Amount (NIS)")</f>
        <v>1088.9</v>
      </c>
      <c r="I84" s="10" t="n">
        <f aca="false">H84-G84</f>
        <v>-114.6</v>
      </c>
      <c r="J84" s="9" t="n">
        <f aca="false">IF(AND(G84=0,H84=0),0,IF(G84=0,"New",(H84-G84)/G84))</f>
        <v>-0.0952222683838803</v>
      </c>
    </row>
    <row r="85" customFormat="false" ht="15" hidden="false" customHeight="false" outlineLevel="0" collapsed="false">
      <c r="A85" s="7" t="s">
        <v>151</v>
      </c>
      <c r="B85" s="7" t="str">
        <f aca="false">IFERROR(INDEX('Source 2026'!$C:$C,MATCH($A85,'Source 2026'!$B:$B,0)),IFERROR(INDEX('Source 2025'!$C:$C,MATCH($A85,'Source 2025'!$B:$B,0)),""))</f>
        <v>L-XL חגורת הריון</v>
      </c>
      <c r="C85" s="8" t="n">
        <f aca="false">SUMIFS('Source 2025'!$K:$K,'Source 2025'!$B:$B,$A85,'Source 2025'!$A:$A,"Quantity (units)")</f>
        <v>1</v>
      </c>
      <c r="D85" s="8" t="n">
        <f aca="false">SUMIFS('Source 2026'!$K:$K,'Source 2026'!$B:$B,$A85,'Source 2026'!$A:$A,"Quantity (units)")</f>
        <v>0</v>
      </c>
      <c r="E85" s="8" t="n">
        <f aca="false">D85-C85</f>
        <v>-1</v>
      </c>
      <c r="F85" s="9" t="n">
        <f aca="false">IF(AND(C85=0,D85=0),0,IF(C85=0,"New",(D85-C85)/C85))</f>
        <v>-1</v>
      </c>
      <c r="G85" s="10" t="n">
        <f aca="false">SUMIFS('Source 2025'!$K:$K,'Source 2025'!$B:$B,$A85,'Source 2025'!$A:$A,"Amount (NIS)")</f>
        <v>108.9</v>
      </c>
      <c r="H85" s="10" t="n">
        <f aca="false">SUMIFS('Source 2026'!$K:$K,'Source 2026'!$B:$B,$A85,'Source 2026'!$A:$A,"Amount (NIS)")</f>
        <v>0</v>
      </c>
      <c r="I85" s="10" t="n">
        <f aca="false">H85-G85</f>
        <v>-108.9</v>
      </c>
      <c r="J85" s="9" t="n">
        <f aca="false">IF(AND(G85=0,H85=0),0,IF(G85=0,"New",(H85-G85)/G85))</f>
        <v>-1</v>
      </c>
    </row>
    <row r="86" customFormat="false" ht="15" hidden="false" customHeight="false" outlineLevel="0" collapsed="false">
      <c r="A86" s="7" t="s">
        <v>225</v>
      </c>
      <c r="B86" s="7" t="str">
        <f aca="false">IFERROR(INDEX('Source 2026'!$C:$C,MATCH($A86,'Source 2026'!$B:$B,0)),IFERROR(INDEX('Source 2025'!$C:$C,MATCH($A86,'Source 2025'!$B:$B,0)),""))</f>
        <v>ריפוד סיליקון לנעלי אצבע</v>
      </c>
      <c r="C86" s="8" t="n">
        <f aca="false">SUMIFS('Source 2025'!$K:$K,'Source 2025'!$B:$B,$A86,'Source 2025'!$A:$A,"Quantity (units)")</f>
        <v>1</v>
      </c>
      <c r="D86" s="8" t="n">
        <f aca="false">SUMIFS('Source 2026'!$K:$K,'Source 2026'!$B:$B,$A86,'Source 2026'!$A:$A,"Quantity (units)")</f>
        <v>5</v>
      </c>
      <c r="E86" s="8" t="n">
        <f aca="false">D86-C86</f>
        <v>4</v>
      </c>
      <c r="F86" s="9" t="n">
        <f aca="false">IF(AND(C86=0,D86=0),0,IF(C86=0,"New",(D86-C86)/C86))</f>
        <v>4</v>
      </c>
      <c r="G86" s="10" t="n">
        <f aca="false">SUMIFS('Source 2025'!$K:$K,'Source 2025'!$B:$B,$A86,'Source 2025'!$A:$A,"Amount (NIS)")</f>
        <v>26.2</v>
      </c>
      <c r="H86" s="10" t="n">
        <f aca="false">SUMIFS('Source 2026'!$K:$K,'Source 2026'!$B:$B,$A86,'Source 2026'!$A:$A,"Amount (NIS)")</f>
        <v>131.1</v>
      </c>
      <c r="I86" s="10" t="n">
        <f aca="false">H86-G86</f>
        <v>104.9</v>
      </c>
      <c r="J86" s="9" t="n">
        <f aca="false">IF(AND(G86=0,H86=0),0,IF(G86=0,"New",(H86-G86)/G86))</f>
        <v>4.00381679389313</v>
      </c>
    </row>
    <row r="87" customFormat="false" ht="15" hidden="false" customHeight="false" outlineLevel="0" collapsed="false">
      <c r="A87" s="7" t="s">
        <v>51</v>
      </c>
      <c r="B87" s="7" t="str">
        <f aca="false">IFERROR(INDEX('Source 2026'!$C:$C,MATCH($A87,'Source 2026'!$B:$B,0)),IFERROR(INDEX('Source 2025'!$C:$C,MATCH($A87,'Source 2025'!$B:$B,0)),""))</f>
        <v>Sמגן ברך ארוך לבן</v>
      </c>
      <c r="C87" s="8" t="n">
        <f aca="false">SUMIFS('Source 2025'!$K:$K,'Source 2025'!$B:$B,$A87,'Source 2025'!$A:$A,"Quantity (units)")</f>
        <v>42</v>
      </c>
      <c r="D87" s="8" t="n">
        <f aca="false">SUMIFS('Source 2026'!$K:$K,'Source 2026'!$B:$B,$A87,'Source 2026'!$A:$A,"Quantity (units)")</f>
        <v>39</v>
      </c>
      <c r="E87" s="8" t="n">
        <f aca="false">D87-C87</f>
        <v>-3</v>
      </c>
      <c r="F87" s="9" t="n">
        <f aca="false">IF(AND(C87=0,D87=0),0,IF(C87=0,"New",(D87-C87)/C87))</f>
        <v>-0.0714285714285714</v>
      </c>
      <c r="G87" s="10" t="n">
        <f aca="false">SUMIFS('Source 2025'!$K:$K,'Source 2025'!$B:$B,$A87,'Source 2025'!$A:$A,"Amount (NIS)")</f>
        <v>1406.7</v>
      </c>
      <c r="H87" s="10" t="n">
        <f aca="false">SUMIFS('Source 2026'!$K:$K,'Source 2026'!$B:$B,$A87,'Source 2026'!$A:$A,"Amount (NIS)")</f>
        <v>1306.2</v>
      </c>
      <c r="I87" s="10" t="n">
        <f aca="false">H87-G87</f>
        <v>-100.5</v>
      </c>
      <c r="J87" s="9" t="n">
        <f aca="false">IF(AND(G87=0,H87=0),0,IF(G87=0,"New",(H87-G87)/G87))</f>
        <v>-0.0714438046491789</v>
      </c>
    </row>
    <row r="88" customFormat="false" ht="15" hidden="false" customHeight="false" outlineLevel="0" collapsed="false">
      <c r="A88" s="7" t="s">
        <v>276</v>
      </c>
      <c r="B88" s="7" t="str">
        <f aca="false">IFERROR(INDEX('Source 2026'!$C:$C,MATCH($A88,'Source 2026'!$B:$B,0)),IFERROR(INDEX('Source 2025'!$C:$C,MATCH($A88,'Source 2025'!$B:$B,0)),""))</f>
        <v>מגן ברך + צירים</v>
      </c>
      <c r="C88" s="8" t="n">
        <f aca="false">SUMIFS('Source 2025'!$K:$K,'Source 2025'!$B:$B,$A88,'Source 2025'!$A:$A,"Quantity (units)")</f>
        <v>1</v>
      </c>
      <c r="D88" s="8" t="n">
        <f aca="false">SUMIFS('Source 2026'!$K:$K,'Source 2026'!$B:$B,$A88,'Source 2026'!$A:$A,"Quantity (units)")</f>
        <v>2</v>
      </c>
      <c r="E88" s="8" t="n">
        <f aca="false">D88-C88</f>
        <v>1</v>
      </c>
      <c r="F88" s="9" t="n">
        <f aca="false">IF(AND(C88=0,D88=0),0,IF(C88=0,"New",(D88-C88)/C88))</f>
        <v>1</v>
      </c>
      <c r="G88" s="10" t="n">
        <f aca="false">SUMIFS('Source 2025'!$K:$K,'Source 2025'!$B:$B,$A88,'Source 2025'!$A:$A,"Amount (NIS)")</f>
        <v>90.1</v>
      </c>
      <c r="H88" s="10" t="n">
        <f aca="false">SUMIFS('Source 2026'!$K:$K,'Source 2026'!$B:$B,$A88,'Source 2026'!$A:$A,"Amount (NIS)")</f>
        <v>180.2</v>
      </c>
      <c r="I88" s="10" t="n">
        <f aca="false">H88-G88</f>
        <v>90.1</v>
      </c>
      <c r="J88" s="9" t="n">
        <f aca="false">IF(AND(G88=0,H88=0),0,IF(G88=0,"New",(H88-G88)/G88))</f>
        <v>1</v>
      </c>
    </row>
    <row r="89" customFormat="false" ht="15" hidden="false" customHeight="false" outlineLevel="0" collapsed="false">
      <c r="A89" s="7" t="s">
        <v>340</v>
      </c>
      <c r="B89" s="7" t="str">
        <f aca="false">IFERROR(INDEX('Source 2026'!$C:$C,MATCH($A89,'Source 2026'!$B:$B,0)),IFERROR(INDEX('Source 2025'!$C:$C,MATCH($A89,'Source 2025'!$B:$B,0)),""))</f>
        <v>ריפוד סיליקון לעקב אחורי</v>
      </c>
      <c r="C89" s="8" t="n">
        <f aca="false">SUMIFS('Source 2025'!$K:$K,'Source 2025'!$B:$B,$A89,'Source 2025'!$A:$A,"Quantity (units)")</f>
        <v>8</v>
      </c>
      <c r="D89" s="8" t="n">
        <f aca="false">SUMIFS('Source 2026'!$K:$K,'Source 2026'!$B:$B,$A89,'Source 2026'!$A:$A,"Quantity (units)")</f>
        <v>4</v>
      </c>
      <c r="E89" s="8" t="n">
        <f aca="false">D89-C89</f>
        <v>-4</v>
      </c>
      <c r="F89" s="9" t="n">
        <f aca="false">IF(AND(C89=0,D89=0),0,IF(C89=0,"New",(D89-C89)/C89))</f>
        <v>-0.5</v>
      </c>
      <c r="G89" s="10" t="n">
        <f aca="false">SUMIFS('Source 2025'!$K:$K,'Source 2025'!$B:$B,$A89,'Source 2025'!$A:$A,"Amount (NIS)")</f>
        <v>174.6</v>
      </c>
      <c r="H89" s="10" t="n">
        <f aca="false">SUMIFS('Source 2026'!$K:$K,'Source 2026'!$B:$B,$A89,'Source 2026'!$A:$A,"Amount (NIS)")</f>
        <v>87.3</v>
      </c>
      <c r="I89" s="10" t="n">
        <f aca="false">H89-G89</f>
        <v>-87.3</v>
      </c>
      <c r="J89" s="9" t="n">
        <f aca="false">IF(AND(G89=0,H89=0),0,IF(G89=0,"New",(H89-G89)/G89))</f>
        <v>-0.5</v>
      </c>
    </row>
    <row r="90" customFormat="false" ht="15" hidden="false" customHeight="false" outlineLevel="0" collapsed="false">
      <c r="A90" s="7" t="s">
        <v>287</v>
      </c>
      <c r="B90" s="7" t="str">
        <f aca="false">IFERROR(INDEX('Source 2026'!$C:$C,MATCH($A90,'Source 2026'!$B:$B,0)),IFERROR(INDEX('Source 2025'!$C:$C,MATCH($A90,'Source 2025'!$B:$B,0)),""))</f>
        <v>רפידת בולמת זעזועים -זוג</v>
      </c>
      <c r="C90" s="8" t="n">
        <f aca="false">SUMIFS('Source 2025'!$K:$K,'Source 2025'!$B:$B,$A90,'Source 2025'!$A:$A,"Quantity (units)")</f>
        <v>14</v>
      </c>
      <c r="D90" s="8" t="n">
        <f aca="false">SUMIFS('Source 2026'!$K:$K,'Source 2026'!$B:$B,$A90,'Source 2026'!$A:$A,"Quantity (units)")</f>
        <v>20</v>
      </c>
      <c r="E90" s="8" t="n">
        <f aca="false">D90-C90</f>
        <v>6</v>
      </c>
      <c r="F90" s="9" t="n">
        <f aca="false">IF(AND(C90=0,D90=0),0,IF(C90=0,"New",(D90-C90)/C90))</f>
        <v>0.428571428571429</v>
      </c>
      <c r="G90" s="10" t="n">
        <f aca="false">SUMIFS('Source 2025'!$K:$K,'Source 2025'!$B:$B,$A90,'Source 2025'!$A:$A,"Amount (NIS)")</f>
        <v>186.8</v>
      </c>
      <c r="H90" s="10" t="n">
        <f aca="false">SUMIFS('Source 2026'!$K:$K,'Source 2026'!$B:$B,$A90,'Source 2026'!$A:$A,"Amount (NIS)")</f>
        <v>266.8</v>
      </c>
      <c r="I90" s="10" t="n">
        <f aca="false">H90-G90</f>
        <v>80</v>
      </c>
      <c r="J90" s="9" t="n">
        <f aca="false">IF(AND(G90=0,H90=0),0,IF(G90=0,"New",(H90-G90)/G90))</f>
        <v>0.428265524625268</v>
      </c>
    </row>
    <row r="91" customFormat="false" ht="15" hidden="false" customHeight="false" outlineLevel="0" collapsed="false">
      <c r="A91" s="7" t="s">
        <v>160</v>
      </c>
      <c r="B91" s="7" t="str">
        <f aca="false">IFERROR(INDEX('Source 2026'!$C:$C,MATCH($A91,'Source 2026'!$B:$B,0)),IFERROR(INDEX('Source 2025'!$C:$C,MATCH($A91,'Source 2025'!$B:$B,0)),""))</f>
        <v>סד ליישור אצבע</v>
      </c>
      <c r="C91" s="8" t="n">
        <f aca="false">SUMIFS('Source 2025'!$K:$K,'Source 2025'!$B:$B,$A91,'Source 2025'!$A:$A,"Quantity (units)")</f>
        <v>25</v>
      </c>
      <c r="D91" s="8" t="n">
        <f aca="false">SUMIFS('Source 2026'!$K:$K,'Source 2026'!$B:$B,$A91,'Source 2026'!$A:$A,"Quantity (units)")</f>
        <v>30</v>
      </c>
      <c r="E91" s="8" t="n">
        <f aca="false">D91-C91</f>
        <v>5</v>
      </c>
      <c r="F91" s="9" t="n">
        <f aca="false">IF(AND(C91=0,D91=0),0,IF(C91=0,"New",(D91-C91)/C91))</f>
        <v>0.2</v>
      </c>
      <c r="G91" s="10" t="n">
        <f aca="false">SUMIFS('Source 2025'!$K:$K,'Source 2025'!$B:$B,$A91,'Source 2025'!$A:$A,"Amount (NIS)")</f>
        <v>385</v>
      </c>
      <c r="H91" s="10" t="n">
        <f aca="false">SUMIFS('Source 2026'!$K:$K,'Source 2026'!$B:$B,$A91,'Source 2026'!$A:$A,"Amount (NIS)")</f>
        <v>462</v>
      </c>
      <c r="I91" s="10" t="n">
        <f aca="false">H91-G91</f>
        <v>77</v>
      </c>
      <c r="J91" s="9" t="n">
        <f aca="false">IF(AND(G91=0,H91=0),0,IF(G91=0,"New",(H91-G91)/G91))</f>
        <v>0.2</v>
      </c>
    </row>
    <row r="92" customFormat="false" ht="15" hidden="false" customHeight="false" outlineLevel="0" collapsed="false">
      <c r="A92" s="7" t="s">
        <v>75</v>
      </c>
      <c r="B92" s="7" t="str">
        <f aca="false">IFERROR(INDEX('Source 2026'!$C:$C,MATCH($A92,'Source 2026'!$B:$B,0)),IFERROR(INDEX('Source 2025'!$C:$C,MATCH($A92,'Source 2025'!$B:$B,0)),""))</f>
        <v>חבק ""טניס אלבו רצועה</v>
      </c>
      <c r="C92" s="8" t="n">
        <f aca="false">SUMIFS('Source 2025'!$K:$K,'Source 2025'!$B:$B,$A92,'Source 2025'!$A:$A,"Quantity (units)")</f>
        <v>1</v>
      </c>
      <c r="D92" s="8" t="n">
        <f aca="false">SUMIFS('Source 2026'!$K:$K,'Source 2026'!$B:$B,$A92,'Source 2026'!$A:$A,"Quantity (units)")</f>
        <v>0</v>
      </c>
      <c r="E92" s="8" t="n">
        <f aca="false">D92-C92</f>
        <v>-1</v>
      </c>
      <c r="F92" s="9" t="n">
        <f aca="false">IF(AND(C92=0,D92=0),0,IF(C92=0,"New",(D92-C92)/C92))</f>
        <v>-1</v>
      </c>
      <c r="G92" s="10" t="n">
        <f aca="false">SUMIFS('Source 2025'!$K:$K,'Source 2025'!$B:$B,$A92,'Source 2025'!$A:$A,"Amount (NIS)")</f>
        <v>75</v>
      </c>
      <c r="H92" s="10" t="n">
        <f aca="false">SUMIFS('Source 2026'!$K:$K,'Source 2026'!$B:$B,$A92,'Source 2026'!$A:$A,"Amount (NIS)")</f>
        <v>0</v>
      </c>
      <c r="I92" s="10" t="n">
        <f aca="false">H92-G92</f>
        <v>-75</v>
      </c>
      <c r="J92" s="9" t="n">
        <f aca="false">IF(AND(G92=0,H92=0),0,IF(G92=0,"New",(H92-G92)/G92))</f>
        <v>-1</v>
      </c>
    </row>
    <row r="93" customFormat="false" ht="15" hidden="false" customHeight="false" outlineLevel="0" collapsed="false">
      <c r="A93" s="7" t="s">
        <v>270</v>
      </c>
      <c r="B93" s="7" t="str">
        <f aca="false">IFERROR(INDEX('Source 2026'!$C:$C,MATCH($A93,'Source 2026'!$B:$B,0)),IFERROR(INDEX('Source 2025'!$C:$C,MATCH($A93,'Source 2025'!$B:$B,0)),""))</f>
        <v>חבק לשורש כף היד</v>
      </c>
      <c r="C93" s="8" t="n">
        <f aca="false">SUMIFS('Source 2025'!$K:$K,'Source 2025'!$B:$B,$A93,'Source 2025'!$A:$A,"Quantity (units)")</f>
        <v>3</v>
      </c>
      <c r="D93" s="8" t="n">
        <f aca="false">SUMIFS('Source 2026'!$K:$K,'Source 2026'!$B:$B,$A93,'Source 2026'!$A:$A,"Quantity (units)")</f>
        <v>0</v>
      </c>
      <c r="E93" s="8" t="n">
        <f aca="false">D93-C93</f>
        <v>-3</v>
      </c>
      <c r="F93" s="9" t="n">
        <f aca="false">IF(AND(C93=0,D93=0),0,IF(C93=0,"New",(D93-C93)/C93))</f>
        <v>-1</v>
      </c>
      <c r="G93" s="10" t="n">
        <f aca="false">SUMIFS('Source 2025'!$K:$K,'Source 2025'!$B:$B,$A93,'Source 2025'!$A:$A,"Amount (NIS)")</f>
        <v>74.8</v>
      </c>
      <c r="H93" s="10" t="n">
        <f aca="false">SUMIFS('Source 2026'!$K:$K,'Source 2026'!$B:$B,$A93,'Source 2026'!$A:$A,"Amount (NIS)")</f>
        <v>0</v>
      </c>
      <c r="I93" s="10" t="n">
        <f aca="false">H93-G93</f>
        <v>-74.8</v>
      </c>
      <c r="J93" s="9" t="n">
        <f aca="false">IF(AND(G93=0,H93=0),0,IF(G93=0,"New",(H93-G93)/G93))</f>
        <v>-1</v>
      </c>
    </row>
    <row r="94" customFormat="false" ht="15" hidden="false" customHeight="false" outlineLevel="0" collapsed="false">
      <c r="A94" s="7" t="s">
        <v>53</v>
      </c>
      <c r="B94" s="7" t="str">
        <f aca="false">IFERROR(INDEX('Source 2026'!$C:$C,MATCH($A94,'Source 2026'!$B:$B,0)),IFERROR(INDEX('Source 2025'!$C:$C,MATCH($A94,'Source 2025'!$B:$B,0)),""))</f>
        <v>סד ליד דו צדדי</v>
      </c>
      <c r="C94" s="8" t="n">
        <f aca="false">SUMIFS('Source 2025'!$K:$K,'Source 2025'!$B:$B,$A94,'Source 2025'!$A:$A,"Quantity (units)")</f>
        <v>11</v>
      </c>
      <c r="D94" s="8" t="n">
        <f aca="false">SUMIFS('Source 2026'!$K:$K,'Source 2026'!$B:$B,$A94,'Source 2026'!$A:$A,"Quantity (units)")</f>
        <v>12</v>
      </c>
      <c r="E94" s="8" t="n">
        <f aca="false">D94-C94</f>
        <v>1</v>
      </c>
      <c r="F94" s="9" t="n">
        <f aca="false">IF(AND(C94=0,D94=0),0,IF(C94=0,"New",(D94-C94)/C94))</f>
        <v>0.0909090909090909</v>
      </c>
      <c r="G94" s="10" t="n">
        <f aca="false">SUMIFS('Source 2025'!$K:$K,'Source 2025'!$B:$B,$A94,'Source 2025'!$A:$A,"Amount (NIS)")</f>
        <v>800.4</v>
      </c>
      <c r="H94" s="10" t="n">
        <f aca="false">SUMIFS('Source 2026'!$K:$K,'Source 2026'!$B:$B,$A94,'Source 2026'!$A:$A,"Amount (NIS)")</f>
        <v>873.1</v>
      </c>
      <c r="I94" s="10" t="n">
        <f aca="false">H94-G94</f>
        <v>72.7000000000001</v>
      </c>
      <c r="J94" s="9" t="n">
        <f aca="false">IF(AND(G94=0,H94=0),0,IF(G94=0,"New",(H94-G94)/G94))</f>
        <v>0.0908295852073964</v>
      </c>
    </row>
    <row r="95" customFormat="false" ht="15" hidden="false" customHeight="false" outlineLevel="0" collapsed="false">
      <c r="A95" s="7" t="s">
        <v>89</v>
      </c>
      <c r="B95" s="7" t="str">
        <f aca="false">IFERROR(INDEX('Source 2026'!$C:$C,MATCH($A95,'Source 2026'!$B:$B,0)),IFERROR(INDEX('Source 2025'!$C:$C,MATCH($A95,'Source 2025'!$B:$B,0)),""))</f>
        <v>מדרס אורטופ.מתכוון35-36</v>
      </c>
      <c r="C95" s="8" t="n">
        <f aca="false">SUMIFS('Source 2025'!$K:$K,'Source 2025'!$B:$B,$A95,'Source 2025'!$A:$A,"Quantity (units)")</f>
        <v>2</v>
      </c>
      <c r="D95" s="8" t="n">
        <f aca="false">SUMIFS('Source 2026'!$K:$K,'Source 2026'!$B:$B,$A95,'Source 2026'!$A:$A,"Quantity (units)")</f>
        <v>3</v>
      </c>
      <c r="E95" s="8" t="n">
        <f aca="false">D95-C95</f>
        <v>1</v>
      </c>
      <c r="F95" s="9" t="n">
        <f aca="false">IF(AND(C95=0,D95=0),0,IF(C95=0,"New",(D95-C95)/C95))</f>
        <v>0.5</v>
      </c>
      <c r="G95" s="10" t="n">
        <f aca="false">SUMIFS('Source 2025'!$K:$K,'Source 2025'!$B:$B,$A95,'Source 2025'!$A:$A,"Amount (NIS)")</f>
        <v>139.9</v>
      </c>
      <c r="H95" s="10" t="n">
        <f aca="false">SUMIFS('Source 2026'!$K:$K,'Source 2026'!$B:$B,$A95,'Source 2026'!$A:$A,"Amount (NIS)")</f>
        <v>209.9</v>
      </c>
      <c r="I95" s="10" t="n">
        <f aca="false">H95-G95</f>
        <v>70</v>
      </c>
      <c r="J95" s="9" t="n">
        <f aca="false">IF(AND(G95=0,H95=0),0,IF(G95=0,"New",(H95-G95)/G95))</f>
        <v>0.50035739814153</v>
      </c>
    </row>
    <row r="96" customFormat="false" ht="15" hidden="false" customHeight="false" outlineLevel="0" collapsed="false">
      <c r="A96" s="7" t="s">
        <v>142</v>
      </c>
      <c r="B96" s="7" t="str">
        <f aca="false">IFERROR(INDEX('Source 2026'!$C:$C,MATCH($A96,'Source 2026'!$B:$B,0)),IFERROR(INDEX('Source 2025'!$C:$C,MATCH($A96,'Source 2025'!$B:$B,0)),""))</f>
        <v>9 מ""ס להתאמהX5 מדבקה גדולה</v>
      </c>
      <c r="C96" s="8" t="n">
        <f aca="false">SUMIFS('Source 2025'!$K:$K,'Source 2025'!$B:$B,$A96,'Source 2025'!$A:$A,"Quantity (units)")</f>
        <v>4</v>
      </c>
      <c r="D96" s="8" t="n">
        <f aca="false">SUMIFS('Source 2026'!$K:$K,'Source 2026'!$B:$B,$A96,'Source 2026'!$A:$A,"Quantity (units)")</f>
        <v>1</v>
      </c>
      <c r="E96" s="8" t="n">
        <f aca="false">D96-C96</f>
        <v>-3</v>
      </c>
      <c r="F96" s="9" t="n">
        <f aca="false">IF(AND(C96=0,D96=0),0,IF(C96=0,"New",(D96-C96)/C96))</f>
        <v>-0.75</v>
      </c>
      <c r="G96" s="10" t="n">
        <f aca="false">SUMIFS('Source 2025'!$K:$K,'Source 2025'!$B:$B,$A96,'Source 2025'!$A:$A,"Amount (NIS)")</f>
        <v>85.4</v>
      </c>
      <c r="H96" s="10" t="n">
        <f aca="false">SUMIFS('Source 2026'!$K:$K,'Source 2026'!$B:$B,$A96,'Source 2026'!$A:$A,"Amount (NIS)")</f>
        <v>21.3</v>
      </c>
      <c r="I96" s="10" t="n">
        <f aca="false">H96-G96</f>
        <v>-64.1</v>
      </c>
      <c r="J96" s="9" t="n">
        <f aca="false">IF(AND(G96=0,H96=0),0,IF(G96=0,"New",(H96-G96)/G96))</f>
        <v>-0.750585480093677</v>
      </c>
    </row>
    <row r="97" customFormat="false" ht="15" hidden="false" customHeight="false" outlineLevel="0" collapsed="false">
      <c r="A97" s="7" t="s">
        <v>352</v>
      </c>
      <c r="B97" s="7" t="str">
        <f aca="false">IFERROR(INDEX('Source 2026'!$C:$C,MATCH($A97,'Source 2026'!$B:$B,0)),IFERROR(INDEX('Source 2025'!$C:$C,MATCH($A97,'Source 2025'!$B:$B,0)),""))</f>
        <v>Mמגן קרסול+ צמדן</v>
      </c>
      <c r="C97" s="8" t="n">
        <f aca="false">SUMIFS('Source 2025'!$K:$K,'Source 2025'!$B:$B,$A97,'Source 2025'!$A:$A,"Quantity (units)")</f>
        <v>1</v>
      </c>
      <c r="D97" s="8" t="n">
        <f aca="false">SUMIFS('Source 2026'!$K:$K,'Source 2026'!$B:$B,$A97,'Source 2026'!$A:$A,"Quantity (units)")</f>
        <v>0</v>
      </c>
      <c r="E97" s="8" t="n">
        <f aca="false">D97-C97</f>
        <v>-1</v>
      </c>
      <c r="F97" s="9" t="n">
        <f aca="false">IF(AND(C97=0,D97=0),0,IF(C97=0,"New",(D97-C97)/C97))</f>
        <v>-1</v>
      </c>
      <c r="G97" s="10" t="n">
        <f aca="false">SUMIFS('Source 2025'!$K:$K,'Source 2025'!$B:$B,$A97,'Source 2025'!$A:$A,"Amount (NIS)")</f>
        <v>61.7</v>
      </c>
      <c r="H97" s="10" t="n">
        <f aca="false">SUMIFS('Source 2026'!$K:$K,'Source 2026'!$B:$B,$A97,'Source 2026'!$A:$A,"Amount (NIS)")</f>
        <v>0</v>
      </c>
      <c r="I97" s="10" t="n">
        <f aca="false">H97-G97</f>
        <v>-61.7</v>
      </c>
      <c r="J97" s="9" t="n">
        <f aca="false">IF(AND(G97=0,H97=0),0,IF(G97=0,"New",(H97-G97)/G97))</f>
        <v>-1</v>
      </c>
    </row>
    <row r="98" customFormat="false" ht="15" hidden="false" customHeight="false" outlineLevel="0" collapsed="false">
      <c r="A98" s="7" t="s">
        <v>175</v>
      </c>
      <c r="B98" s="7" t="str">
        <f aca="false">IFERROR(INDEX('Source 2026'!$C:$C,MATCH($A98,'Source 2026'!$B:$B,0)),IFERROR(INDEX('Source 2025'!$C:$C,MATCH($A98,'Source 2025'!$B:$B,0)),""))</f>
        <v>סד ליישור אצבע</v>
      </c>
      <c r="C98" s="8" t="n">
        <f aca="false">SUMIFS('Source 2025'!$K:$K,'Source 2025'!$B:$B,$A98,'Source 2025'!$A:$A,"Quantity (units)")</f>
        <v>2</v>
      </c>
      <c r="D98" s="8" t="n">
        <f aca="false">SUMIFS('Source 2026'!$K:$K,'Source 2026'!$B:$B,$A98,'Source 2026'!$A:$A,"Quantity (units)")</f>
        <v>6</v>
      </c>
      <c r="E98" s="8" t="n">
        <f aca="false">D98-C98</f>
        <v>4</v>
      </c>
      <c r="F98" s="9" t="n">
        <f aca="false">IF(AND(C98=0,D98=0),0,IF(C98=0,"New",(D98-C98)/C98))</f>
        <v>2</v>
      </c>
      <c r="G98" s="10" t="n">
        <f aca="false">SUMIFS('Source 2025'!$K:$K,'Source 2025'!$B:$B,$A98,'Source 2025'!$A:$A,"Amount (NIS)")</f>
        <v>30.8</v>
      </c>
      <c r="H98" s="10" t="n">
        <f aca="false">SUMIFS('Source 2026'!$K:$K,'Source 2026'!$B:$B,$A98,'Source 2026'!$A:$A,"Amount (NIS)")</f>
        <v>92.4</v>
      </c>
      <c r="I98" s="10" t="n">
        <f aca="false">H98-G98</f>
        <v>61.6</v>
      </c>
      <c r="J98" s="9" t="n">
        <f aca="false">IF(AND(G98=0,H98=0),0,IF(G98=0,"New",(H98-G98)/G98))</f>
        <v>2</v>
      </c>
    </row>
    <row r="99" customFormat="false" ht="15" hidden="false" customHeight="false" outlineLevel="0" collapsed="false">
      <c r="A99" s="7" t="s">
        <v>162</v>
      </c>
      <c r="B99" s="7" t="str">
        <f aca="false">IFERROR(INDEX('Source 2026'!$C:$C,MATCH($A99,'Source 2026'!$B:$B,0)),IFERROR(INDEX('Source 2025'!$C:$C,MATCH($A99,'Source 2025'!$B:$B,0)),""))</f>
        <v>מגן קרסול עקב סגור+רצוע</v>
      </c>
      <c r="C99" s="8" t="n">
        <f aca="false">SUMIFS('Source 2025'!$K:$K,'Source 2025'!$B:$B,$A99,'Source 2025'!$A:$A,"Quantity (units)")</f>
        <v>4</v>
      </c>
      <c r="D99" s="8" t="n">
        <f aca="false">SUMIFS('Source 2026'!$K:$K,'Source 2026'!$B:$B,$A99,'Source 2026'!$A:$A,"Quantity (units)")</f>
        <v>3</v>
      </c>
      <c r="E99" s="8" t="n">
        <f aca="false">D99-C99</f>
        <v>-1</v>
      </c>
      <c r="F99" s="9" t="n">
        <f aca="false">IF(AND(C99=0,D99=0),0,IF(C99=0,"New",(D99-C99)/C99))</f>
        <v>-0.25</v>
      </c>
      <c r="G99" s="10" t="n">
        <f aca="false">SUMIFS('Source 2025'!$K:$K,'Source 2025'!$B:$B,$A99,'Source 2025'!$A:$A,"Amount (NIS)")</f>
        <v>229.2</v>
      </c>
      <c r="H99" s="10" t="n">
        <f aca="false">SUMIFS('Source 2026'!$K:$K,'Source 2026'!$B:$B,$A99,'Source 2026'!$A:$A,"Amount (NIS)")</f>
        <v>171.9</v>
      </c>
      <c r="I99" s="10" t="n">
        <f aca="false">H99-G99</f>
        <v>-57.3</v>
      </c>
      <c r="J99" s="9" t="n">
        <f aca="false">IF(AND(G99=0,H99=0),0,IF(G99=0,"New",(H99-G99)/G99))</f>
        <v>-0.25</v>
      </c>
    </row>
    <row r="100" customFormat="false" ht="15" hidden="false" customHeight="false" outlineLevel="0" collapsed="false">
      <c r="A100" s="7" t="s">
        <v>196</v>
      </c>
      <c r="B100" s="7" t="str">
        <f aca="false">IFERROR(INDEX('Source 2026'!$C:$C,MATCH($A100,'Source 2026'!$B:$B,0)),IFERROR(INDEX('Source 2025'!$C:$C,MATCH($A100,'Source 2025'!$B:$B,0)),""))</f>
        <v>מגן זרת מסיליקון</v>
      </c>
      <c r="C100" s="8" t="n">
        <f aca="false">SUMIFS('Source 2025'!$K:$K,'Source 2025'!$B:$B,$A100,'Source 2025'!$A:$A,"Quantity (units)")</f>
        <v>5</v>
      </c>
      <c r="D100" s="8" t="n">
        <f aca="false">SUMIFS('Source 2026'!$K:$K,'Source 2026'!$B:$B,$A100,'Source 2026'!$A:$A,"Quantity (units)")</f>
        <v>3</v>
      </c>
      <c r="E100" s="8" t="n">
        <f aca="false">D100-C100</f>
        <v>-2</v>
      </c>
      <c r="F100" s="9" t="n">
        <f aca="false">IF(AND(C100=0,D100=0),0,IF(C100=0,"New",(D100-C100)/C100))</f>
        <v>-0.4</v>
      </c>
      <c r="G100" s="10" t="n">
        <f aca="false">SUMIFS('Source 2025'!$K:$K,'Source 2025'!$B:$B,$A100,'Source 2025'!$A:$A,"Amount (NIS)")</f>
        <v>137.6</v>
      </c>
      <c r="H100" s="10" t="n">
        <f aca="false">SUMIFS('Source 2026'!$K:$K,'Source 2026'!$B:$B,$A100,'Source 2026'!$A:$A,"Amount (NIS)")</f>
        <v>82.6</v>
      </c>
      <c r="I100" s="10" t="n">
        <f aca="false">H100-G100</f>
        <v>-55</v>
      </c>
      <c r="J100" s="9" t="n">
        <f aca="false">IF(AND(G100=0,H100=0),0,IF(G100=0,"New",(H100-G100)/G100))</f>
        <v>-0.399709302325581</v>
      </c>
    </row>
    <row r="101" customFormat="false" ht="15" hidden="false" customHeight="false" outlineLevel="0" collapsed="false">
      <c r="A101" s="7" t="s">
        <v>92</v>
      </c>
      <c r="B101" s="7" t="str">
        <f aca="false">IFERROR(INDEX('Source 2026'!$C:$C,MATCH($A101,'Source 2026'!$B:$B,0)),IFERROR(INDEX('Source 2025'!$C:$C,MATCH($A101,'Source 2025'!$B:$B,0)),""))</f>
        <v>תחבושת א.נצמ</v>
      </c>
      <c r="C101" s="8" t="n">
        <f aca="false">SUMIFS('Source 2025'!$K:$K,'Source 2025'!$B:$B,$A101,'Source 2025'!$A:$A,"Quantity (units)")</f>
        <v>3</v>
      </c>
      <c r="D101" s="8" t="n">
        <f aca="false">SUMIFS('Source 2026'!$K:$K,'Source 2026'!$B:$B,$A101,'Source 2026'!$A:$A,"Quantity (units)")</f>
        <v>8</v>
      </c>
      <c r="E101" s="8" t="n">
        <f aca="false">D101-C101</f>
        <v>5</v>
      </c>
      <c r="F101" s="9" t="n">
        <f aca="false">IF(AND(C101=0,D101=0),0,IF(C101=0,"New",(D101-C101)/C101))</f>
        <v>1.66666666666667</v>
      </c>
      <c r="G101" s="10" t="n">
        <f aca="false">SUMIFS('Source 2025'!$K:$K,'Source 2025'!$B:$B,$A101,'Source 2025'!$A:$A,"Amount (NIS)")</f>
        <v>32.9</v>
      </c>
      <c r="H101" s="10" t="n">
        <f aca="false">SUMIFS('Source 2026'!$K:$K,'Source 2026'!$B:$B,$A101,'Source 2026'!$A:$A,"Amount (NIS)")</f>
        <v>87.8</v>
      </c>
      <c r="I101" s="10" t="n">
        <f aca="false">H101-G101</f>
        <v>54.9</v>
      </c>
      <c r="J101" s="9" t="n">
        <f aca="false">IF(AND(G101=0,H101=0),0,IF(G101=0,"New",(H101-G101)/G101))</f>
        <v>1.66869300911854</v>
      </c>
    </row>
    <row r="102" customFormat="false" ht="15" hidden="false" customHeight="false" outlineLevel="0" collapsed="false">
      <c r="A102" s="7" t="s">
        <v>127</v>
      </c>
      <c r="B102" s="7" t="str">
        <f aca="false">IFERROR(INDEX('Source 2026'!$C:$C,MATCH($A102,'Source 2026'!$B:$B,0)),IFERROR(INDEX('Source 2025'!$C:$C,MATCH($A102,'Source 2025'!$B:$B,0)),""))</f>
        <v>מתלה ליד לילדים</v>
      </c>
      <c r="C102" s="8" t="n">
        <f aca="false">SUMIFS('Source 2025'!$K:$K,'Source 2025'!$B:$B,$A102,'Source 2025'!$A:$A,"Quantity (units)")</f>
        <v>2</v>
      </c>
      <c r="D102" s="8" t="n">
        <f aca="false">SUMIFS('Source 2026'!$K:$K,'Source 2026'!$B:$B,$A102,'Source 2026'!$A:$A,"Quantity (units)")</f>
        <v>1</v>
      </c>
      <c r="E102" s="8" t="n">
        <f aca="false">D102-C102</f>
        <v>-1</v>
      </c>
      <c r="F102" s="9" t="n">
        <f aca="false">IF(AND(C102=0,D102=0),0,IF(C102=0,"New",(D102-C102)/C102))</f>
        <v>-0.5</v>
      </c>
      <c r="G102" s="10" t="n">
        <f aca="false">SUMIFS('Source 2025'!$K:$K,'Source 2025'!$B:$B,$A102,'Source 2025'!$A:$A,"Amount (NIS)")</f>
        <v>97</v>
      </c>
      <c r="H102" s="10" t="n">
        <f aca="false">SUMIFS('Source 2026'!$K:$K,'Source 2026'!$B:$B,$A102,'Source 2026'!$A:$A,"Amount (NIS)")</f>
        <v>48.5</v>
      </c>
      <c r="I102" s="10" t="n">
        <f aca="false">H102-G102</f>
        <v>-48.5</v>
      </c>
      <c r="J102" s="9" t="n">
        <f aca="false">IF(AND(G102=0,H102=0),0,IF(G102=0,"New",(H102-G102)/G102))</f>
        <v>-0.5</v>
      </c>
    </row>
    <row r="103" customFormat="false" ht="15" hidden="false" customHeight="false" outlineLevel="0" collapsed="false">
      <c r="A103" s="7" t="s">
        <v>104</v>
      </c>
      <c r="B103" s="7" t="str">
        <f aca="false">IFERROR(INDEX('Source 2026'!$C:$C,MATCH($A103,'Source 2026'!$B:$B,0)),IFERROR(INDEX('Source 2025'!$C:$C,MATCH($A103,'Source 2025'!$B:$B,0)),""))</f>
        <v>מיישר בוניון-האלוקס ולגוס</v>
      </c>
      <c r="C103" s="8" t="n">
        <f aca="false">SUMIFS('Source 2025'!$K:$K,'Source 2025'!$B:$B,$A103,'Source 2025'!$A:$A,"Quantity (units)")</f>
        <v>3</v>
      </c>
      <c r="D103" s="8" t="n">
        <f aca="false">SUMIFS('Source 2026'!$K:$K,'Source 2026'!$B:$B,$A103,'Source 2026'!$A:$A,"Quantity (units)")</f>
        <v>2</v>
      </c>
      <c r="E103" s="8" t="n">
        <f aca="false">D103-C103</f>
        <v>-1</v>
      </c>
      <c r="F103" s="9" t="n">
        <f aca="false">IF(AND(C103=0,D103=0),0,IF(C103=0,"New",(D103-C103)/C103))</f>
        <v>-0.333333333333333</v>
      </c>
      <c r="G103" s="10" t="n">
        <f aca="false">SUMIFS('Source 2025'!$K:$K,'Source 2025'!$B:$B,$A103,'Source 2025'!$A:$A,"Amount (NIS)")</f>
        <v>132.2</v>
      </c>
      <c r="H103" s="10" t="n">
        <f aca="false">SUMIFS('Source 2026'!$K:$K,'Source 2026'!$B:$B,$A103,'Source 2026'!$A:$A,"Amount (NIS)")</f>
        <v>88.2</v>
      </c>
      <c r="I103" s="10" t="n">
        <f aca="false">H103-G103</f>
        <v>-44</v>
      </c>
      <c r="J103" s="9" t="n">
        <f aca="false">IF(AND(G103=0,H103=0),0,IF(G103=0,"New",(H103-G103)/G103))</f>
        <v>-0.332829046898638</v>
      </c>
    </row>
    <row r="104" customFormat="false" ht="15" hidden="false" customHeight="false" outlineLevel="0" collapsed="false">
      <c r="A104" s="7" t="s">
        <v>247</v>
      </c>
      <c r="B104" s="7" t="str">
        <f aca="false">IFERROR(INDEX('Source 2026'!$C:$C,MATCH($A104,'Source 2026'!$B:$B,0)),IFERROR(INDEX('Source 2025'!$C:$C,MATCH($A104,'Source 2025'!$B:$B,0)),""))</f>
        <v>ריפוד סיליק.לעקב תחתון</v>
      </c>
      <c r="C104" s="8" t="n">
        <f aca="false">SUMIFS('Source 2025'!$K:$K,'Source 2025'!$B:$B,$A104,'Source 2025'!$A:$A,"Quantity (units)")</f>
        <v>5</v>
      </c>
      <c r="D104" s="8" t="n">
        <f aca="false">SUMIFS('Source 2026'!$K:$K,'Source 2026'!$B:$B,$A104,'Source 2026'!$A:$A,"Quantity (units)")</f>
        <v>3</v>
      </c>
      <c r="E104" s="8" t="n">
        <f aca="false">D104-C104</f>
        <v>-2</v>
      </c>
      <c r="F104" s="9" t="n">
        <f aca="false">IF(AND(C104=0,D104=0),0,IF(C104=0,"New",(D104-C104)/C104))</f>
        <v>-0.4</v>
      </c>
      <c r="G104" s="10" t="n">
        <f aca="false">SUMIFS('Source 2025'!$K:$K,'Source 2025'!$B:$B,$A104,'Source 2025'!$A:$A,"Amount (NIS)")</f>
        <v>109.2</v>
      </c>
      <c r="H104" s="10" t="n">
        <f aca="false">SUMIFS('Source 2026'!$K:$K,'Source 2026'!$B:$B,$A104,'Source 2026'!$A:$A,"Amount (NIS)")</f>
        <v>65.5</v>
      </c>
      <c r="I104" s="10" t="n">
        <f aca="false">H104-G104</f>
        <v>-43.7</v>
      </c>
      <c r="J104" s="9" t="n">
        <f aca="false">IF(AND(G104=0,H104=0),0,IF(G104=0,"New",(H104-G104)/G104))</f>
        <v>-0.40018315018315</v>
      </c>
    </row>
    <row r="105" customFormat="false" ht="15" hidden="false" customHeight="false" outlineLevel="0" collapsed="false">
      <c r="A105" s="7" t="s">
        <v>60</v>
      </c>
      <c r="B105" s="7" t="str">
        <f aca="false">IFERROR(INDEX('Source 2026'!$C:$C,MATCH($A105,'Source 2026'!$B:$B,0)),IFERROR(INDEX('Source 2025'!$C:$C,MATCH($A105,'Source 2025'!$B:$B,0)),""))</f>
        <v>יד אגודלי</v>
      </c>
      <c r="C105" s="8" t="n">
        <f aca="false">SUMIFS('Source 2025'!$K:$K,'Source 2025'!$B:$B,$A105,'Source 2025'!$A:$A,"Quantity (units)")</f>
        <v>14</v>
      </c>
      <c r="D105" s="8" t="n">
        <f aca="false">SUMIFS('Source 2026'!$K:$K,'Source 2026'!$B:$B,$A105,'Source 2026'!$A:$A,"Quantity (units)")</f>
        <v>13</v>
      </c>
      <c r="E105" s="8" t="n">
        <f aca="false">D105-C105</f>
        <v>-1</v>
      </c>
      <c r="F105" s="9" t="n">
        <f aca="false">IF(AND(C105=0,D105=0),0,IF(C105=0,"New",(D105-C105)/C105))</f>
        <v>-0.0714285714285714</v>
      </c>
      <c r="G105" s="10" t="n">
        <f aca="false">SUMIFS('Source 2025'!$K:$K,'Source 2025'!$B:$B,$A105,'Source 2025'!$A:$A,"Amount (NIS)")</f>
        <v>555.2</v>
      </c>
      <c r="H105" s="10" t="n">
        <f aca="false">SUMIFS('Source 2026'!$K:$K,'Source 2026'!$B:$B,$A105,'Source 2026'!$A:$A,"Amount (NIS)")</f>
        <v>515.6</v>
      </c>
      <c r="I105" s="10" t="n">
        <f aca="false">H105-G105</f>
        <v>-39.6</v>
      </c>
      <c r="J105" s="9" t="n">
        <f aca="false">IF(AND(G105=0,H105=0),0,IF(G105=0,"New",(H105-G105)/G105))</f>
        <v>-0.0713256484149856</v>
      </c>
    </row>
    <row r="106" customFormat="false" ht="15" hidden="false" customHeight="false" outlineLevel="0" collapsed="false">
      <c r="A106" s="7" t="s">
        <v>112</v>
      </c>
      <c r="B106" s="7" t="str">
        <f aca="false">IFERROR(INDEX('Source 2026'!$C:$C,MATCH($A106,'Source 2026'!$B:$B,0)),IFERROR(INDEX('Source 2025'!$C:$C,MATCH($A106,'Source 2025'!$B:$B,0)),""))</f>
        <v>אמבט לכף הרגל</v>
      </c>
      <c r="C106" s="8" t="n">
        <f aca="false">SUMIFS('Source 2025'!$K:$K,'Source 2025'!$B:$B,$A106,'Source 2025'!$A:$A,"Quantity (units)")</f>
        <v>4</v>
      </c>
      <c r="D106" s="8" t="n">
        <f aca="false">SUMIFS('Source 2026'!$K:$K,'Source 2026'!$B:$B,$A106,'Source 2026'!$A:$A,"Quantity (units)")</f>
        <v>1</v>
      </c>
      <c r="E106" s="8" t="n">
        <f aca="false">D106-C106</f>
        <v>-3</v>
      </c>
      <c r="F106" s="9" t="n">
        <f aca="false">IF(AND(C106=0,D106=0),0,IF(C106=0,"New",(D106-C106)/C106))</f>
        <v>-0.75</v>
      </c>
      <c r="G106" s="10" t="n">
        <f aca="false">SUMIFS('Source 2025'!$K:$K,'Source 2025'!$B:$B,$A106,'Source 2025'!$A:$A,"Amount (NIS)")</f>
        <v>43.8</v>
      </c>
      <c r="H106" s="10" t="n">
        <f aca="false">SUMIFS('Source 2026'!$K:$K,'Source 2026'!$B:$B,$A106,'Source 2026'!$A:$A,"Amount (NIS)")</f>
        <v>10.9</v>
      </c>
      <c r="I106" s="10" t="n">
        <f aca="false">H106-G106</f>
        <v>-32.9</v>
      </c>
      <c r="J106" s="9" t="n">
        <f aca="false">IF(AND(G106=0,H106=0),0,IF(G106=0,"New",(H106-G106)/G106))</f>
        <v>-0.751141552511416</v>
      </c>
    </row>
    <row r="107" customFormat="false" ht="15" hidden="false" customHeight="false" outlineLevel="0" collapsed="false">
      <c r="A107" s="7" t="s">
        <v>69</v>
      </c>
      <c r="B107" s="7" t="str">
        <f aca="false">IFERROR(INDEX('Source 2026'!$C:$C,MATCH($A107,'Source 2026'!$B:$B,0)),IFERROR(INDEX('Source 2025'!$C:$C,MATCH($A107,'Source 2025'!$B:$B,0)),""))</f>
        <v>לציפורן חודרנית</v>
      </c>
      <c r="C107" s="8" t="n">
        <f aca="false">SUMIFS('Source 2025'!$K:$K,'Source 2025'!$B:$B,$A107,'Source 2025'!$A:$A,"Quantity (units)")</f>
        <v>6</v>
      </c>
      <c r="D107" s="8" t="n">
        <f aca="false">SUMIFS('Source 2026'!$K:$K,'Source 2026'!$B:$B,$A107,'Source 2026'!$A:$A,"Quantity (units)")</f>
        <v>6</v>
      </c>
      <c r="E107" s="8" t="n">
        <f aca="false">D107-C107</f>
        <v>0</v>
      </c>
      <c r="F107" s="9" t="n">
        <f aca="false">IF(AND(C107=0,D107=0),0,IF(C107=0,"New",(D107-C107)/C107))</f>
        <v>0</v>
      </c>
      <c r="G107" s="10" t="n">
        <f aca="false">SUMIFS('Source 2025'!$K:$K,'Source 2025'!$B:$B,$A107,'Source 2025'!$A:$A,"Amount (NIS)")</f>
        <v>172.1</v>
      </c>
      <c r="H107" s="10" t="n">
        <f aca="false">SUMIFS('Source 2026'!$K:$K,'Source 2026'!$B:$B,$A107,'Source 2026'!$A:$A,"Amount (NIS)")</f>
        <v>202.1</v>
      </c>
      <c r="I107" s="10" t="n">
        <f aca="false">H107-G107</f>
        <v>30</v>
      </c>
      <c r="J107" s="9" t="n">
        <f aca="false">IF(AND(G107=0,H107=0),0,IF(G107=0,"New",(H107-G107)/G107))</f>
        <v>0.174317257408483</v>
      </c>
    </row>
    <row r="108" customFormat="false" ht="15" hidden="false" customHeight="false" outlineLevel="0" collapsed="false">
      <c r="A108" s="7" t="s">
        <v>74</v>
      </c>
      <c r="B108" s="7" t="str">
        <f aca="false">IFERROR(INDEX('Source 2026'!$C:$C,MATCH($A108,'Source 2026'!$B:$B,0)),IFERROR(INDEX('Source 2025'!$C:$C,MATCH($A108,'Source 2025'!$B:$B,0)),""))</f>
        <v>L מגן מרפק רגיל לבן</v>
      </c>
      <c r="C108" s="8" t="n">
        <f aca="false">SUMIFS('Source 2025'!$K:$K,'Source 2025'!$B:$B,$A108,'Source 2025'!$A:$A,"Quantity (units)")</f>
        <v>21</v>
      </c>
      <c r="D108" s="8" t="n">
        <f aca="false">SUMIFS('Source 2026'!$K:$K,'Source 2026'!$B:$B,$A108,'Source 2026'!$A:$A,"Quantity (units)")</f>
        <v>22</v>
      </c>
      <c r="E108" s="8" t="n">
        <f aca="false">D108-C108</f>
        <v>1</v>
      </c>
      <c r="F108" s="9" t="n">
        <f aca="false">IF(AND(C108=0,D108=0),0,IF(C108=0,"New",(D108-C108)/C108))</f>
        <v>0.0476190476190476</v>
      </c>
      <c r="G108" s="10" t="n">
        <f aca="false">SUMIFS('Source 2025'!$K:$K,'Source 2025'!$B:$B,$A108,'Source 2025'!$A:$A,"Amount (NIS)")</f>
        <v>583</v>
      </c>
      <c r="H108" s="10" t="n">
        <f aca="false">SUMIFS('Source 2026'!$K:$K,'Source 2026'!$B:$B,$A108,'Source 2026'!$A:$A,"Amount (NIS)")</f>
        <v>610.7</v>
      </c>
      <c r="I108" s="10" t="n">
        <f aca="false">H108-G108</f>
        <v>27.7</v>
      </c>
      <c r="J108" s="9" t="n">
        <f aca="false">IF(AND(G108=0,H108=0),0,IF(G108=0,"New",(H108-G108)/G108))</f>
        <v>0.0475128644939966</v>
      </c>
    </row>
    <row r="109" customFormat="false" ht="15" hidden="false" customHeight="false" outlineLevel="0" collapsed="false">
      <c r="A109" s="7" t="s">
        <v>181</v>
      </c>
      <c r="B109" s="7" t="str">
        <f aca="false">IFERROR(INDEX('Source 2026'!$C:$C,MATCH($A109,'Source 2026'!$B:$B,0)),IFERROR(INDEX('Source 2025'!$C:$C,MATCH($A109,'Source 2025'!$B:$B,0)),""))</f>
        <v>מדרס מטטרזלי לנעלי עקב</v>
      </c>
      <c r="C109" s="8" t="n">
        <f aca="false">SUMIFS('Source 2025'!$K:$K,'Source 2025'!$B:$B,$A109,'Source 2025'!$A:$A,"Quantity (units)")</f>
        <v>6</v>
      </c>
      <c r="D109" s="8" t="n">
        <f aca="false">SUMIFS('Source 2026'!$K:$K,'Source 2026'!$B:$B,$A109,'Source 2026'!$A:$A,"Quantity (units)")</f>
        <v>5</v>
      </c>
      <c r="E109" s="8" t="n">
        <f aca="false">D109-C109</f>
        <v>-1</v>
      </c>
      <c r="F109" s="9" t="n">
        <f aca="false">IF(AND(C109=0,D109=0),0,IF(C109=0,"New",(D109-C109)/C109))</f>
        <v>-0.166666666666667</v>
      </c>
      <c r="G109" s="10" t="n">
        <f aca="false">SUMIFS('Source 2025'!$K:$K,'Source 2025'!$B:$B,$A109,'Source 2025'!$A:$A,"Amount (NIS)")</f>
        <v>131</v>
      </c>
      <c r="H109" s="10" t="n">
        <f aca="false">SUMIFS('Source 2026'!$K:$K,'Source 2026'!$B:$B,$A109,'Source 2026'!$A:$A,"Amount (NIS)")</f>
        <v>109.2</v>
      </c>
      <c r="I109" s="10" t="n">
        <f aca="false">H109-G109</f>
        <v>-21.8</v>
      </c>
      <c r="J109" s="9" t="n">
        <f aca="false">IF(AND(G109=0,H109=0),0,IF(G109=0,"New",(H109-G109)/G109))</f>
        <v>-0.166412213740458</v>
      </c>
    </row>
    <row r="110" customFormat="false" ht="15" hidden="false" customHeight="false" outlineLevel="0" collapsed="false">
      <c r="A110" s="7" t="s">
        <v>293</v>
      </c>
      <c r="B110" s="7" t="str">
        <f aca="false">IFERROR(INDEX('Source 2026'!$C:$C,MATCH($A110,'Source 2026'!$B:$B,0)),IFERROR(INDEX('Source 2025'!$C:$C,MATCH($A110,'Source 2025'!$B:$B,0)),""))</f>
        <v>344-אבן טבעית להסרת עור קשה</v>
      </c>
      <c r="C110" s="8" t="n">
        <f aca="false">SUMIFS('Source 2025'!$K:$K,'Source 2025'!$B:$B,$A110,'Source 2025'!$A:$A,"Quantity (units)")</f>
        <v>8</v>
      </c>
      <c r="D110" s="8" t="n">
        <f aca="false">SUMIFS('Source 2026'!$K:$K,'Source 2026'!$B:$B,$A110,'Source 2026'!$A:$A,"Quantity (units)")</f>
        <v>5</v>
      </c>
      <c r="E110" s="8" t="n">
        <f aca="false">D110-C110</f>
        <v>-3</v>
      </c>
      <c r="F110" s="9" t="n">
        <f aca="false">IF(AND(C110=0,D110=0),0,IF(C110=0,"New",(D110-C110)/C110))</f>
        <v>-0.375</v>
      </c>
      <c r="G110" s="10" t="n">
        <f aca="false">SUMIFS('Source 2025'!$K:$K,'Source 2025'!$B:$B,$A110,'Source 2025'!$A:$A,"Amount (NIS)")</f>
        <v>57.8</v>
      </c>
      <c r="H110" s="10" t="n">
        <f aca="false">SUMIFS('Source 2026'!$K:$K,'Source 2026'!$B:$B,$A110,'Source 2026'!$A:$A,"Amount (NIS)")</f>
        <v>36.1</v>
      </c>
      <c r="I110" s="10" t="n">
        <f aca="false">H110-G110</f>
        <v>-21.7</v>
      </c>
      <c r="J110" s="9" t="n">
        <f aca="false">IF(AND(G110=0,H110=0),0,IF(G110=0,"New",(H110-G110)/G110))</f>
        <v>-0.375432525951557</v>
      </c>
    </row>
    <row r="111" customFormat="false" ht="15" hidden="false" customHeight="false" outlineLevel="0" collapsed="false">
      <c r="A111" s="7" t="s">
        <v>284</v>
      </c>
      <c r="B111" s="7" t="str">
        <f aca="false">IFERROR(INDEX('Source 2026'!$C:$C,MATCH($A111,'Source 2026'!$B:$B,0)),IFERROR(INDEX('Source 2025'!$C:$C,MATCH($A111,'Source 2025'!$B:$B,0)),""))</f>
        <v>לחץ מיבלת2יח</v>
      </c>
      <c r="C111" s="8" t="n">
        <f aca="false">SUMIFS('Source 2025'!$K:$K,'Source 2025'!$B:$B,$A111,'Source 2025'!$A:$A,"Quantity (units)")</f>
        <v>6</v>
      </c>
      <c r="D111" s="8" t="n">
        <f aca="false">SUMIFS('Source 2026'!$K:$K,'Source 2026'!$B:$B,$A111,'Source 2026'!$A:$A,"Quantity (units)")</f>
        <v>7</v>
      </c>
      <c r="E111" s="8" t="n">
        <f aca="false">D111-C111</f>
        <v>1</v>
      </c>
      <c r="F111" s="9" t="n">
        <f aca="false">IF(AND(C111=0,D111=0),0,IF(C111=0,"New",(D111-C111)/C111))</f>
        <v>0.166666666666667</v>
      </c>
      <c r="G111" s="10" t="n">
        <f aca="false">SUMIFS('Source 2025'!$K:$K,'Source 2025'!$B:$B,$A111,'Source 2025'!$A:$A,"Amount (NIS)")</f>
        <v>78.5</v>
      </c>
      <c r="H111" s="10" t="n">
        <f aca="false">SUMIFS('Source 2026'!$K:$K,'Source 2026'!$B:$B,$A111,'Source 2026'!$A:$A,"Amount (NIS)")</f>
        <v>91.6</v>
      </c>
      <c r="I111" s="10" t="n">
        <f aca="false">H111-G111</f>
        <v>13.1</v>
      </c>
      <c r="J111" s="9" t="n">
        <f aca="false">IF(AND(G111=0,H111=0),0,IF(G111=0,"New",(H111-G111)/G111))</f>
        <v>0.16687898089172</v>
      </c>
    </row>
    <row r="112" customFormat="false" ht="15" hidden="false" customHeight="false" outlineLevel="0" collapsed="false">
      <c r="A112" s="7" t="s">
        <v>241</v>
      </c>
      <c r="B112" s="7" t="str">
        <f aca="false">IFERROR(INDEX('Source 2026'!$C:$C,MATCH($A112,'Source 2026'!$B:$B,0)),IFERROR(INDEX('Source 2025'!$C:$C,MATCH($A112,'Source 2025'!$B:$B,0)),""))</f>
        <v>רפידת מגבת כותנה-זוג</v>
      </c>
      <c r="C112" s="8" t="n">
        <f aca="false">SUMIFS('Source 2025'!$K:$K,'Source 2025'!$B:$B,$A112,'Source 2025'!$A:$A,"Quantity (units)")</f>
        <v>5</v>
      </c>
      <c r="D112" s="8" t="n">
        <f aca="false">SUMIFS('Source 2026'!$K:$K,'Source 2026'!$B:$B,$A112,'Source 2026'!$A:$A,"Quantity (units)")</f>
        <v>4</v>
      </c>
      <c r="E112" s="8" t="n">
        <f aca="false">D112-C112</f>
        <v>-1</v>
      </c>
      <c r="F112" s="9" t="n">
        <f aca="false">IF(AND(C112=0,D112=0),0,IF(C112=0,"New",(D112-C112)/C112))</f>
        <v>-0.2</v>
      </c>
      <c r="G112" s="10" t="n">
        <f aca="false">SUMIFS('Source 2025'!$K:$K,'Source 2025'!$B:$B,$A112,'Source 2025'!$A:$A,"Amount (NIS)")</f>
        <v>53.4</v>
      </c>
      <c r="H112" s="10" t="n">
        <f aca="false">SUMIFS('Source 2026'!$K:$K,'Source 2026'!$B:$B,$A112,'Source 2026'!$A:$A,"Amount (NIS)")</f>
        <v>42.7</v>
      </c>
      <c r="I112" s="10" t="n">
        <f aca="false">H112-G112</f>
        <v>-10.7</v>
      </c>
      <c r="J112" s="9" t="n">
        <f aca="false">IF(AND(G112=0,H112=0),0,IF(G112=0,"New",(H112-G112)/G112))</f>
        <v>-0.200374531835206</v>
      </c>
    </row>
    <row r="113" customFormat="false" ht="15" hidden="false" customHeight="false" outlineLevel="0" collapsed="false">
      <c r="A113" s="7" t="s">
        <v>194</v>
      </c>
      <c r="B113" s="7" t="str">
        <f aca="false">IFERROR(INDEX('Source 2026'!$C:$C,MATCH($A113,'Source 2026'!$B:$B,0)),IFERROR(INDEX('Source 2025'!$C:$C,MATCH($A113,'Source 2025'!$B:$B,0)),""))</f>
        <v>סכינים למקצוע</v>
      </c>
      <c r="C113" s="8" t="n">
        <f aca="false">SUMIFS('Source 2025'!$K:$K,'Source 2025'!$B:$B,$A113,'Source 2025'!$A:$A,"Quantity (units)")</f>
        <v>3</v>
      </c>
      <c r="D113" s="8" t="n">
        <f aca="false">SUMIFS('Source 2026'!$K:$K,'Source 2026'!$B:$B,$A113,'Source 2026'!$A:$A,"Quantity (units)")</f>
        <v>2</v>
      </c>
      <c r="E113" s="8" t="n">
        <f aca="false">D113-C113</f>
        <v>-1</v>
      </c>
      <c r="F113" s="9" t="n">
        <f aca="false">IF(AND(C113=0,D113=0),0,IF(C113=0,"New",(D113-C113)/C113))</f>
        <v>-0.333333333333333</v>
      </c>
      <c r="G113" s="10" t="n">
        <f aca="false">SUMIFS('Source 2025'!$K:$K,'Source 2025'!$B:$B,$A113,'Source 2025'!$A:$A,"Amount (NIS)")</f>
        <v>24.5</v>
      </c>
      <c r="H113" s="10" t="n">
        <f aca="false">SUMIFS('Source 2026'!$K:$K,'Source 2026'!$B:$B,$A113,'Source 2026'!$A:$A,"Amount (NIS)")</f>
        <v>16.4</v>
      </c>
      <c r="I113" s="10" t="n">
        <f aca="false">H113-G113</f>
        <v>-8.1</v>
      </c>
      <c r="J113" s="9" t="n">
        <f aca="false">IF(AND(G113=0,H113=0),0,IF(G113=0,"New",(H113-G113)/G113))</f>
        <v>-0.330612244897959</v>
      </c>
    </row>
    <row r="114" customFormat="false" ht="15" hidden="false" customHeight="false" outlineLevel="0" collapsed="false">
      <c r="A114" s="7" t="s">
        <v>80</v>
      </c>
      <c r="B114" s="7" t="str">
        <f aca="false">IFERROR(INDEX('Source 2026'!$C:$C,MATCH($A114,'Source 2026'!$B:$B,0)),IFERROR(INDEX('Source 2025'!$C:$C,MATCH($A114,'Source 2025'!$B:$B,0)),""))</f>
        <v>45 M מגן ברך רגיל</v>
      </c>
      <c r="C114" s="8" t="n">
        <f aca="false">SUMIFS('Source 2025'!$K:$K,'Source 2025'!$B:$B,$A114,'Source 2025'!$A:$A,"Quantity (units)")</f>
        <v>4</v>
      </c>
      <c r="D114" s="8" t="n">
        <f aca="false">SUMIFS('Source 2026'!$K:$K,'Source 2026'!$B:$B,$A114,'Source 2026'!$A:$A,"Quantity (units)")</f>
        <v>4</v>
      </c>
      <c r="E114" s="8" t="n">
        <f aca="false">D114-C114</f>
        <v>0</v>
      </c>
      <c r="F114" s="9" t="n">
        <f aca="false">IF(AND(C114=0,D114=0),0,IF(C114=0,"New",(D114-C114)/C114))</f>
        <v>0</v>
      </c>
      <c r="G114" s="10" t="n">
        <f aca="false">SUMIFS('Source 2025'!$K:$K,'Source 2025'!$B:$B,$A114,'Source 2025'!$A:$A,"Amount (NIS)")</f>
        <v>388.1</v>
      </c>
      <c r="H114" s="10" t="n">
        <f aca="false">SUMIFS('Source 2026'!$K:$K,'Source 2026'!$B:$B,$A114,'Source 2026'!$A:$A,"Amount (NIS)")</f>
        <v>388.1</v>
      </c>
      <c r="I114" s="10" t="n">
        <f aca="false">H114-G114</f>
        <v>0</v>
      </c>
      <c r="J114" s="9" t="n">
        <f aca="false">IF(AND(G114=0,H114=0),0,IF(G114=0,"New",(H114-G114)/G114))</f>
        <v>0</v>
      </c>
    </row>
    <row r="115" customFormat="false" ht="15" hidden="false" customHeight="false" outlineLevel="0" collapsed="false">
      <c r="A115" s="7" t="s">
        <v>68</v>
      </c>
      <c r="B115" s="7" t="str">
        <f aca="false">IFERROR(INDEX('Source 2026'!$C:$C,MATCH($A115,'Source 2026'!$B:$B,0)),IFERROR(INDEX('Source 2025'!$C:$C,MATCH($A115,'Source 2025'!$B:$B,0)),""))</f>
        <v>פיקה לברך</v>
      </c>
      <c r="C115" s="8" t="n">
        <f aca="false">SUMIFS('Source 2025'!$K:$K,'Source 2025'!$B:$B,$A115,'Source 2025'!$A:$A,"Quantity (units)")</f>
        <v>2</v>
      </c>
      <c r="D115" s="8" t="n">
        <f aca="false">SUMIFS('Source 2026'!$K:$K,'Source 2026'!$B:$B,$A115,'Source 2026'!$A:$A,"Quantity (units)")</f>
        <v>2</v>
      </c>
      <c r="E115" s="8" t="n">
        <f aca="false">D115-C115</f>
        <v>0</v>
      </c>
      <c r="F115" s="9" t="n">
        <f aca="false">IF(AND(C115=0,D115=0),0,IF(C115=0,"New",(D115-C115)/C115))</f>
        <v>0</v>
      </c>
      <c r="G115" s="10" t="n">
        <f aca="false">SUMIFS('Source 2025'!$K:$K,'Source 2025'!$B:$B,$A115,'Source 2025'!$A:$A,"Amount (NIS)")</f>
        <v>97</v>
      </c>
      <c r="H115" s="10" t="n">
        <f aca="false">SUMIFS('Source 2026'!$K:$K,'Source 2026'!$B:$B,$A115,'Source 2026'!$A:$A,"Amount (NIS)")</f>
        <v>97</v>
      </c>
      <c r="I115" s="10" t="n">
        <f aca="false">H115-G115</f>
        <v>0</v>
      </c>
      <c r="J115" s="9" t="n">
        <f aca="false">IF(AND(G115=0,H115=0),0,IF(G115=0,"New",(H115-G115)/G115))</f>
        <v>0</v>
      </c>
    </row>
    <row r="116" customFormat="false" ht="15" hidden="false" customHeight="false" outlineLevel="0" collapsed="false">
      <c r="A116" s="7" t="s">
        <v>129</v>
      </c>
      <c r="B116" s="7" t="str">
        <f aca="false">IFERROR(INDEX('Source 2026'!$C:$C,MATCH($A116,'Source 2026'!$B:$B,0)),IFERROR(INDEX('Source 2025'!$C:$C,MATCH($A116,'Source 2025'!$B:$B,0)),""))</f>
        <v>תחבושת א.נצמ</v>
      </c>
      <c r="C116" s="8" t="n">
        <f aca="false">SUMIFS('Source 2025'!$K:$K,'Source 2025'!$B:$B,$A116,'Source 2025'!$A:$A,"Quantity (units)")</f>
        <v>3</v>
      </c>
      <c r="D116" s="8" t="n">
        <f aca="false">SUMIFS('Source 2026'!$K:$K,'Source 2026'!$B:$B,$A116,'Source 2026'!$A:$A,"Quantity (units)")</f>
        <v>3</v>
      </c>
      <c r="E116" s="8" t="n">
        <f aca="false">D116-C116</f>
        <v>0</v>
      </c>
      <c r="F116" s="9" t="n">
        <f aca="false">IF(AND(C116=0,D116=0),0,IF(C116=0,"New",(D116-C116)/C116))</f>
        <v>0</v>
      </c>
      <c r="G116" s="10" t="n">
        <f aca="false">SUMIFS('Source 2025'!$K:$K,'Source 2025'!$B:$B,$A116,'Source 2025'!$A:$A,"Amount (NIS)")</f>
        <v>32.9</v>
      </c>
      <c r="H116" s="10" t="n">
        <f aca="false">SUMIFS('Source 2026'!$K:$K,'Source 2026'!$B:$B,$A116,'Source 2026'!$A:$A,"Amount (NIS)")</f>
        <v>32.9</v>
      </c>
      <c r="I116" s="10" t="n">
        <f aca="false">H116-G116</f>
        <v>0</v>
      </c>
      <c r="J116" s="9" t="n">
        <f aca="false">IF(AND(G116=0,H116=0),0,IF(G116=0,"New",(H116-G116)/G116))</f>
        <v>0</v>
      </c>
    </row>
    <row r="117" customFormat="false" ht="15" hidden="false" customHeight="false" outlineLevel="0" collapsed="false">
      <c r="A117" s="7" t="s">
        <v>108</v>
      </c>
      <c r="B117" s="7" t="str">
        <f aca="false">IFERROR(INDEX('Source 2026'!$C:$C,MATCH($A117,'Source 2026'!$B:$B,0)),IFERROR(INDEX('Source 2025'!$C:$C,MATCH($A117,'Source 2025'!$B:$B,0)),""))</f>
        <v>גב אפורה</v>
      </c>
      <c r="C117" s="8" t="n">
        <f aca="false">SUMIFS('Source 2025'!$K:$K,'Source 2025'!$B:$B,$A117,'Source 2025'!$A:$A,"Quantity (units)")</f>
        <v>3</v>
      </c>
      <c r="D117" s="8" t="n">
        <f aca="false">SUMIFS('Source 2026'!$K:$K,'Source 2026'!$B:$B,$A117,'Source 2026'!$A:$A,"Quantity (units)")</f>
        <v>3</v>
      </c>
      <c r="E117" s="8" t="n">
        <f aca="false">D117-C117</f>
        <v>0</v>
      </c>
      <c r="F117" s="9" t="n">
        <f aca="false">IF(AND(C117=0,D117=0),0,IF(C117=0,"New",(D117-C117)/C117))</f>
        <v>0</v>
      </c>
      <c r="G117" s="10" t="n">
        <f aca="false">SUMIFS('Source 2025'!$K:$K,'Source 2025'!$B:$B,$A117,'Source 2025'!$A:$A,"Amount (NIS)")</f>
        <v>297.7</v>
      </c>
      <c r="H117" s="10" t="n">
        <f aca="false">SUMIFS('Source 2026'!$K:$K,'Source 2026'!$B:$B,$A117,'Source 2026'!$A:$A,"Amount (NIS)")</f>
        <v>297.7</v>
      </c>
      <c r="I117" s="10" t="n">
        <f aca="false">H117-G117</f>
        <v>0</v>
      </c>
      <c r="J117" s="9" t="n">
        <f aca="false">IF(AND(G117=0,H117=0),0,IF(G117=0,"New",(H117-G117)/G117))</f>
        <v>0</v>
      </c>
    </row>
    <row r="118" customFormat="false" ht="15" hidden="false" customHeight="false" outlineLevel="0" collapsed="false">
      <c r="A118" s="7" t="s">
        <v>54</v>
      </c>
      <c r="B118" s="7" t="str">
        <f aca="false">IFERROR(INDEX('Source 2026'!$C:$C,MATCH($A118,'Source 2026'!$B:$B,0)),IFERROR(INDEX('Source 2025'!$C:$C,MATCH($A118,'Source 2025'!$B:$B,0)),""))</f>
        <v>גב אפורה</v>
      </c>
      <c r="C118" s="8" t="n">
        <f aca="false">SUMIFS('Source 2025'!$K:$K,'Source 2025'!$B:$B,$A118,'Source 2025'!$A:$A,"Quantity (units)")</f>
        <v>3</v>
      </c>
      <c r="D118" s="8" t="n">
        <f aca="false">SUMIFS('Source 2026'!$K:$K,'Source 2026'!$B:$B,$A118,'Source 2026'!$A:$A,"Quantity (units)")</f>
        <v>3</v>
      </c>
      <c r="E118" s="8" t="n">
        <f aca="false">D118-C118</f>
        <v>0</v>
      </c>
      <c r="F118" s="9" t="n">
        <f aca="false">IF(AND(C118=0,D118=0),0,IF(C118=0,"New",(D118-C118)/C118))</f>
        <v>0</v>
      </c>
      <c r="G118" s="10" t="n">
        <f aca="false">SUMIFS('Source 2025'!$K:$K,'Source 2025'!$B:$B,$A118,'Source 2025'!$A:$A,"Amount (NIS)")</f>
        <v>297.7</v>
      </c>
      <c r="H118" s="10" t="n">
        <f aca="false">SUMIFS('Source 2026'!$K:$K,'Source 2026'!$B:$B,$A118,'Source 2026'!$A:$A,"Amount (NIS)")</f>
        <v>297.7</v>
      </c>
      <c r="I118" s="10" t="n">
        <f aca="false">H118-G118</f>
        <v>0</v>
      </c>
      <c r="J118" s="9" t="n">
        <f aca="false">IF(AND(G118=0,H118=0),0,IF(G118=0,"New",(H118-G118)/G118))</f>
        <v>0</v>
      </c>
    </row>
    <row r="119" customFormat="false" ht="15" hidden="false" customHeight="false" outlineLevel="0" collapsed="false">
      <c r="A119" s="7" t="s">
        <v>48</v>
      </c>
      <c r="B119" s="7" t="str">
        <f aca="false">IFERROR(INDEX('Source 2026'!$C:$C,MATCH($A119,'Source 2026'!$B:$B,0)),IFERROR(INDEX('Source 2025'!$C:$C,MATCH($A119,'Source 2025'!$B:$B,0)),""))</f>
        <v>מישר כתפיים אקטיב</v>
      </c>
      <c r="C119" s="8" t="n">
        <f aca="false">SUMIFS('Source 2025'!$K:$K,'Source 2025'!$B:$B,$A119,'Source 2025'!$A:$A,"Quantity (units)")</f>
        <v>17</v>
      </c>
      <c r="D119" s="8" t="n">
        <f aca="false">SUMIFS('Source 2026'!$K:$K,'Source 2026'!$B:$B,$A119,'Source 2026'!$A:$A,"Quantity (units)")</f>
        <v>17</v>
      </c>
      <c r="E119" s="8" t="n">
        <f aca="false">D119-C119</f>
        <v>0</v>
      </c>
      <c r="F119" s="9" t="n">
        <f aca="false">IF(AND(C119=0,D119=0),0,IF(C119=0,"New",(D119-C119)/C119))</f>
        <v>0</v>
      </c>
      <c r="G119" s="10" t="n">
        <f aca="false">SUMIFS('Source 2025'!$K:$K,'Source 2025'!$B:$B,$A119,'Source 2025'!$A:$A,"Amount (NIS)")</f>
        <v>1351.5</v>
      </c>
      <c r="H119" s="10" t="n">
        <f aca="false">SUMIFS('Source 2026'!$K:$K,'Source 2026'!$B:$B,$A119,'Source 2026'!$A:$A,"Amount (NIS)")</f>
        <v>1351.5</v>
      </c>
      <c r="I119" s="10" t="n">
        <f aca="false">H119-G119</f>
        <v>0</v>
      </c>
      <c r="J119" s="9" t="n">
        <f aca="false">IF(AND(G119=0,H119=0),0,IF(G119=0,"New",(H119-G119)/G119))</f>
        <v>0</v>
      </c>
    </row>
    <row r="120" customFormat="false" ht="15" hidden="false" customHeight="false" outlineLevel="0" collapsed="false">
      <c r="A120" s="7" t="s">
        <v>114</v>
      </c>
      <c r="B120" s="7" t="str">
        <f aca="false">IFERROR(INDEX('Source 2026'!$C:$C,MATCH($A120,'Source 2026'!$B:$B,0)),IFERROR(INDEX('Source 2025'!$C:$C,MATCH($A120,'Source 2025'!$B:$B,0)),""))</f>
        <v>מדבקה לשחרור לחץ 2 יח</v>
      </c>
      <c r="C120" s="8" t="n">
        <f aca="false">SUMIFS('Source 2025'!$K:$K,'Source 2025'!$B:$B,$A120,'Source 2025'!$A:$A,"Quantity (units)")</f>
        <v>7</v>
      </c>
      <c r="D120" s="8" t="n">
        <f aca="false">SUMIFS('Source 2026'!$K:$K,'Source 2026'!$B:$B,$A120,'Source 2026'!$A:$A,"Quantity (units)")</f>
        <v>7</v>
      </c>
      <c r="E120" s="8" t="n">
        <f aca="false">D120-C120</f>
        <v>0</v>
      </c>
      <c r="F120" s="9" t="n">
        <f aca="false">IF(AND(C120=0,D120=0),0,IF(C120=0,"New",(D120-C120)/C120))</f>
        <v>0</v>
      </c>
      <c r="G120" s="10" t="n">
        <f aca="false">SUMIFS('Source 2025'!$K:$K,'Source 2025'!$B:$B,$A120,'Source 2025'!$A:$A,"Amount (NIS)")</f>
        <v>202.1</v>
      </c>
      <c r="H120" s="10" t="n">
        <f aca="false">SUMIFS('Source 2026'!$K:$K,'Source 2026'!$B:$B,$A120,'Source 2026'!$A:$A,"Amount (NIS)")</f>
        <v>202.1</v>
      </c>
      <c r="I120" s="10" t="n">
        <f aca="false">H120-G120</f>
        <v>0</v>
      </c>
      <c r="J120" s="9" t="n">
        <f aca="false">IF(AND(G120=0,H120=0),0,IF(G120=0,"New",(H120-G120)/G120))</f>
        <v>0</v>
      </c>
    </row>
    <row r="121" customFormat="false" ht="15" hidden="false" customHeight="false" outlineLevel="0" collapsed="false">
      <c r="A121" s="7" t="s">
        <v>153</v>
      </c>
      <c r="B121" s="7" t="str">
        <f aca="false">IFERROR(INDEX('Source 2026'!$C:$C,MATCH($A121,'Source 2026'!$B:$B,0)),IFERROR(INDEX('Source 2025'!$C:$C,MATCH($A121,'Source 2025'!$B:$B,0)),""))</f>
        <v>S-M סד לאגודל</v>
      </c>
      <c r="C121" s="8" t="n">
        <f aca="false">SUMIFS('Source 2025'!$K:$K,'Source 2025'!$B:$B,$A121,'Source 2025'!$A:$A,"Quantity (units)")</f>
        <v>6</v>
      </c>
      <c r="D121" s="8" t="n">
        <f aca="false">SUMIFS('Source 2026'!$K:$K,'Source 2026'!$B:$B,$A121,'Source 2026'!$A:$A,"Quantity (units)")</f>
        <v>6</v>
      </c>
      <c r="E121" s="8" t="n">
        <f aca="false">D121-C121</f>
        <v>0</v>
      </c>
      <c r="F121" s="9" t="n">
        <f aca="false">IF(AND(C121=0,D121=0),0,IF(C121=0,"New",(D121-C121)/C121))</f>
        <v>0</v>
      </c>
      <c r="G121" s="10" t="n">
        <f aca="false">SUMIFS('Source 2025'!$K:$K,'Source 2025'!$B:$B,$A121,'Source 2025'!$A:$A,"Amount (NIS)")</f>
        <v>378.4</v>
      </c>
      <c r="H121" s="10" t="n">
        <f aca="false">SUMIFS('Source 2026'!$K:$K,'Source 2026'!$B:$B,$A121,'Source 2026'!$A:$A,"Amount (NIS)")</f>
        <v>378.4</v>
      </c>
      <c r="I121" s="10" t="n">
        <f aca="false">H121-G121</f>
        <v>0</v>
      </c>
      <c r="J121" s="9" t="n">
        <f aca="false">IF(AND(G121=0,H121=0),0,IF(G121=0,"New",(H121-G121)/G121))</f>
        <v>0</v>
      </c>
    </row>
    <row r="123" customFormat="false" ht="15" hidden="false" customHeight="false" outlineLevel="0" collapsed="false">
      <c r="A123" s="11"/>
      <c r="B123" s="12" t="s">
        <v>257</v>
      </c>
      <c r="C123" s="13" t="n">
        <f aca="false">SUM(C6:C121)</f>
        <v>2393</v>
      </c>
      <c r="D123" s="13" t="n">
        <f aca="false">SUM(D6:D121)</f>
        <v>1501</v>
      </c>
      <c r="E123" s="13" t="n">
        <f aca="false">SUM(E6:E121)</f>
        <v>-892</v>
      </c>
      <c r="F123" s="14" t="n">
        <f aca="false">IF(C123=0,"N/A",E123/C123)</f>
        <v>-0.372753865440869</v>
      </c>
      <c r="G123" s="15" t="n">
        <f aca="false">SUM(G6:G121)</f>
        <v>65581.4</v>
      </c>
      <c r="H123" s="15" t="n">
        <f aca="false">SUM(H6:H121)</f>
        <v>49349.3</v>
      </c>
      <c r="I123" s="15" t="n">
        <f aca="false">SUM(I6:I121)</f>
        <v>-16232.1</v>
      </c>
      <c r="J123" s="14" t="n">
        <f aca="false">IF(G123=0,"N/A",I123/G123)</f>
        <v>-0.247510727126899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360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265</v>
      </c>
      <c r="B6" s="7" t="str">
        <f aca="false">IFERROR(INDEX('Source 2026'!$C:$C,MATCH($A6,'Source 2026'!$B:$B,0)),IFERROR(INDEX('Source 2025'!$C:$C,MATCH($A6,'Source 2025'!$B:$B,0)),""))</f>
        <v>מדרס ג'ל לגבר</v>
      </c>
      <c r="C6" s="8" t="n">
        <f aca="false">SUMIFS('Source 2025'!$L:$L,'Source 2025'!$B:$B,$A6,'Source 2025'!$A:$A,"Quantity (units)")</f>
        <v>-9</v>
      </c>
      <c r="D6" s="8" t="n">
        <f aca="false">SUMIFS('Source 2026'!$L:$L,'Source 2026'!$B:$B,$A6,'Source 2026'!$A:$A,"Quantity (units)")</f>
        <v>-2</v>
      </c>
      <c r="E6" s="8" t="n">
        <f aca="false">D6-C6</f>
        <v>7</v>
      </c>
      <c r="F6" s="9" t="n">
        <f aca="false">IF(AND(C6=0,D6=0),0,IF(C6=0,"New",(D6-C6)/C6))</f>
        <v>-0.777777777777778</v>
      </c>
      <c r="G6" s="10" t="n">
        <f aca="false">SUMIFS('Source 2025'!$L:$L,'Source 2025'!$B:$B,$A6,'Source 2025'!$A:$A,"Amount (NIS)")</f>
        <v>-590.7</v>
      </c>
      <c r="H6" s="10" t="n">
        <f aca="false">SUMIFS('Source 2026'!$L:$L,'Source 2026'!$B:$B,$A6,'Source 2026'!$A:$A,"Amount (NIS)")</f>
        <v>-131.3</v>
      </c>
      <c r="I6" s="10" t="n">
        <f aca="false">H6-G6</f>
        <v>459.4</v>
      </c>
      <c r="J6" s="9" t="n">
        <f aca="false">IF(AND(G6=0,H6=0),0,IF(G6=0,"New",(H6-G6)/G6))</f>
        <v>-0.77772134755375</v>
      </c>
    </row>
    <row r="7" customFormat="false" ht="15" hidden="false" customHeight="false" outlineLevel="0" collapsed="false">
      <c r="A7" s="7" t="s">
        <v>180</v>
      </c>
      <c r="B7" s="7" t="str">
        <f aca="false">IFERROR(INDEX('Source 2026'!$C:$C,MATCH($A7,'Source 2026'!$B:$B,0)),IFERROR(INDEX('Source 2025'!$C:$C,MATCH($A7,'Source 2025'!$B:$B,0)),""))</f>
        <v>S מגן ברך</v>
      </c>
      <c r="C7" s="8" t="n">
        <f aca="false">SUMIFS('Source 2025'!$L:$L,'Source 2025'!$B:$B,$A7,'Source 2025'!$A:$A,"Quantity (units)")</f>
        <v>-2</v>
      </c>
      <c r="D7" s="8" t="n">
        <f aca="false">SUMIFS('Source 2026'!$L:$L,'Source 2026'!$B:$B,$A7,'Source 2026'!$A:$A,"Quantity (units)")</f>
        <v>0</v>
      </c>
      <c r="E7" s="8" t="n">
        <f aca="false">D7-C7</f>
        <v>2</v>
      </c>
      <c r="F7" s="9" t="n">
        <f aca="false">IF(AND(C7=0,D7=0),0,IF(C7=0,"New",(D7-C7)/C7))</f>
        <v>-1</v>
      </c>
      <c r="G7" s="10" t="n">
        <f aca="false">SUMIFS('Source 2025'!$L:$L,'Source 2025'!$B:$B,$A7,'Source 2025'!$A:$A,"Amount (NIS)")</f>
        <v>-271.5</v>
      </c>
      <c r="H7" s="10" t="n">
        <f aca="false">SUMIFS('Source 2026'!$L:$L,'Source 2026'!$B:$B,$A7,'Source 2026'!$A:$A,"Amount (NIS)")</f>
        <v>0</v>
      </c>
      <c r="I7" s="10" t="n">
        <f aca="false">H7-G7</f>
        <v>271.5</v>
      </c>
      <c r="J7" s="9" t="n">
        <f aca="false">IF(AND(G7=0,H7=0),0,IF(G7=0,"New",(H7-G7)/G7))</f>
        <v>-1</v>
      </c>
    </row>
    <row r="8" customFormat="false" ht="15" hidden="false" customHeight="false" outlineLevel="0" collapsed="false">
      <c r="A8" s="7" t="s">
        <v>89</v>
      </c>
      <c r="B8" s="7" t="str">
        <f aca="false">IFERROR(INDEX('Source 2026'!$C:$C,MATCH($A8,'Source 2026'!$B:$B,0)),IFERROR(INDEX('Source 2025'!$C:$C,MATCH($A8,'Source 2025'!$B:$B,0)),""))</f>
        <v>מדרס אורטופ.מתכוון35-36</v>
      </c>
      <c r="C8" s="8" t="n">
        <f aca="false">SUMIFS('Source 2025'!$L:$L,'Source 2025'!$B:$B,$A8,'Source 2025'!$A:$A,"Quantity (units)")</f>
        <v>-3</v>
      </c>
      <c r="D8" s="8" t="n">
        <f aca="false">SUMIFS('Source 2026'!$L:$L,'Source 2026'!$B:$B,$A8,'Source 2026'!$A:$A,"Quantity (units)")</f>
        <v>0</v>
      </c>
      <c r="E8" s="8" t="n">
        <f aca="false">D8-C8</f>
        <v>3</v>
      </c>
      <c r="F8" s="9" t="n">
        <f aca="false">IF(AND(C8=0,D8=0),0,IF(C8=0,"New",(D8-C8)/C8))</f>
        <v>-1</v>
      </c>
      <c r="G8" s="10" t="n">
        <f aca="false">SUMIFS('Source 2025'!$L:$L,'Source 2025'!$B:$B,$A8,'Source 2025'!$A:$A,"Amount (NIS)")</f>
        <v>-210</v>
      </c>
      <c r="H8" s="10" t="n">
        <f aca="false">SUMIFS('Source 2026'!$L:$L,'Source 2026'!$B:$B,$A8,'Source 2026'!$A:$A,"Amount (NIS)")</f>
        <v>0</v>
      </c>
      <c r="I8" s="10" t="n">
        <f aca="false">H8-G8</f>
        <v>210</v>
      </c>
      <c r="J8" s="9" t="n">
        <f aca="false">IF(AND(G8=0,H8=0),0,IF(G8=0,"New",(H8-G8)/G8))</f>
        <v>-1</v>
      </c>
    </row>
    <row r="9" customFormat="false" ht="15" hidden="false" customHeight="false" outlineLevel="0" collapsed="false">
      <c r="A9" s="7" t="s">
        <v>84</v>
      </c>
      <c r="B9" s="7" t="str">
        <f aca="false">IFERROR(INDEX('Source 2026'!$C:$C,MATCH($A9,'Source 2026'!$B:$B,0)),IFERROR(INDEX('Source 2025'!$C:$C,MATCH($A9,'Source 2025'!$B:$B,0)),""))</f>
        <v>Sמיישר כתף יציב יישור גב צר</v>
      </c>
      <c r="C9" s="8" t="n">
        <f aca="false">SUMIFS('Source 2025'!$L:$L,'Source 2025'!$B:$B,$A9,'Source 2025'!$A:$A,"Quantity (units)")</f>
        <v>-1</v>
      </c>
      <c r="D9" s="8" t="n">
        <f aca="false">SUMIFS('Source 2026'!$L:$L,'Source 2026'!$B:$B,$A9,'Source 2026'!$A:$A,"Quantity (units)")</f>
        <v>-2</v>
      </c>
      <c r="E9" s="8" t="n">
        <f aca="false">D9-C9</f>
        <v>-1</v>
      </c>
      <c r="F9" s="9" t="n">
        <f aca="false">IF(AND(C9=0,D9=0),0,IF(C9=0,"New",(D9-C9)/C9))</f>
        <v>1</v>
      </c>
      <c r="G9" s="10" t="n">
        <f aca="false">SUMIFS('Source 2025'!$L:$L,'Source 2025'!$B:$B,$A9,'Source 2025'!$A:$A,"Amount (NIS)")</f>
        <v>-141.2</v>
      </c>
      <c r="H9" s="10" t="n">
        <f aca="false">SUMIFS('Source 2026'!$L:$L,'Source 2026'!$B:$B,$A9,'Source 2026'!$A:$A,"Amount (NIS)")</f>
        <v>-282.3</v>
      </c>
      <c r="I9" s="10" t="n">
        <f aca="false">H9-G9</f>
        <v>-141.1</v>
      </c>
      <c r="J9" s="9" t="n">
        <f aca="false">IF(AND(G9=0,H9=0),0,IF(G9=0,"New",(H9-G9)/G9))</f>
        <v>0.99929178470255</v>
      </c>
    </row>
    <row r="10" customFormat="false" ht="15" hidden="false" customHeight="false" outlineLevel="0" collapsed="false">
      <c r="A10" s="7" t="s">
        <v>153</v>
      </c>
      <c r="B10" s="7" t="str">
        <f aca="false">IFERROR(INDEX('Source 2026'!$C:$C,MATCH($A10,'Source 2026'!$B:$B,0)),IFERROR(INDEX('Source 2025'!$C:$C,MATCH($A10,'Source 2025'!$B:$B,0)),""))</f>
        <v>S-M סד לאגודל</v>
      </c>
      <c r="C10" s="8" t="n">
        <f aca="false">SUMIFS('Source 2025'!$L:$L,'Source 2025'!$B:$B,$A10,'Source 2025'!$A:$A,"Quantity (units)")</f>
        <v>-2</v>
      </c>
      <c r="D10" s="8" t="n">
        <f aca="false">SUMIFS('Source 2026'!$L:$L,'Source 2026'!$B:$B,$A10,'Source 2026'!$A:$A,"Quantity (units)")</f>
        <v>0</v>
      </c>
      <c r="E10" s="8" t="n">
        <f aca="false">D10-C10</f>
        <v>2</v>
      </c>
      <c r="F10" s="9" t="n">
        <f aca="false">IF(AND(C10=0,D10=0),0,IF(C10=0,"New",(D10-C10)/C10))</f>
        <v>-1</v>
      </c>
      <c r="G10" s="10" t="n">
        <f aca="false">SUMIFS('Source 2025'!$L:$L,'Source 2025'!$B:$B,$A10,'Source 2025'!$A:$A,"Amount (NIS)")</f>
        <v>-126.1</v>
      </c>
      <c r="H10" s="10" t="n">
        <f aca="false">SUMIFS('Source 2026'!$L:$L,'Source 2026'!$B:$B,$A10,'Source 2026'!$A:$A,"Amount (NIS)")</f>
        <v>0</v>
      </c>
      <c r="I10" s="10" t="n">
        <f aca="false">H10-G10</f>
        <v>126.1</v>
      </c>
      <c r="J10" s="9" t="n">
        <f aca="false">IF(AND(G10=0,H10=0),0,IF(G10=0,"New",(H10-G10)/G10))</f>
        <v>-1</v>
      </c>
    </row>
    <row r="11" customFormat="false" ht="15" hidden="false" customHeight="false" outlineLevel="0" collapsed="false">
      <c r="A11" s="7" t="s">
        <v>87</v>
      </c>
      <c r="B11" s="7" t="str">
        <f aca="false">IFERROR(INDEX('Source 2026'!$C:$C,MATCH($A11,'Source 2026'!$B:$B,0)),IFERROR(INDEX('Source 2025'!$C:$C,MATCH($A11,'Source 2025'!$B:$B,0)),""))</f>
        <v>טלק מעושר באלוורה</v>
      </c>
      <c r="C11" s="8" t="n">
        <f aca="false">SUMIFS('Source 2025'!$L:$L,'Source 2025'!$B:$B,$A11,'Source 2025'!$A:$A,"Quantity (units)")</f>
        <v>-6</v>
      </c>
      <c r="D11" s="8" t="n">
        <f aca="false">SUMIFS('Source 2026'!$L:$L,'Source 2026'!$B:$B,$A11,'Source 2026'!$A:$A,"Quantity (units)")</f>
        <v>0</v>
      </c>
      <c r="E11" s="8" t="n">
        <f aca="false">D11-C11</f>
        <v>6</v>
      </c>
      <c r="F11" s="9" t="n">
        <f aca="false">IF(AND(C11=0,D11=0),0,IF(C11=0,"New",(D11-C11)/C11))</f>
        <v>-1</v>
      </c>
      <c r="G11" s="10" t="n">
        <f aca="false">SUMIFS('Source 2025'!$L:$L,'Source 2025'!$B:$B,$A11,'Source 2025'!$A:$A,"Amount (NIS)")</f>
        <v>-105</v>
      </c>
      <c r="H11" s="10" t="n">
        <f aca="false">SUMIFS('Source 2026'!$L:$L,'Source 2026'!$B:$B,$A11,'Source 2026'!$A:$A,"Amount (NIS)")</f>
        <v>0</v>
      </c>
      <c r="I11" s="10" t="n">
        <f aca="false">H11-G11</f>
        <v>105</v>
      </c>
      <c r="J11" s="9" t="n">
        <f aca="false">IF(AND(G11=0,H11=0),0,IF(G11=0,"New",(H11-G11)/G11))</f>
        <v>-1</v>
      </c>
    </row>
    <row r="12" customFormat="false" ht="15" hidden="false" customHeight="false" outlineLevel="0" collapsed="false">
      <c r="A12" s="7" t="s">
        <v>209</v>
      </c>
      <c r="B12" s="7" t="str">
        <f aca="false">IFERROR(INDEX('Source 2026'!$C:$C,MATCH($A12,'Source 2026'!$B:$B,0)),IFERROR(INDEX('Source 2025'!$C:$C,MATCH($A12,'Source 2025'!$B:$B,0)),""))</f>
        <v>S מתלה אשכים לאחר ניתוח</v>
      </c>
      <c r="C12" s="8" t="n">
        <f aca="false">SUMIFS('Source 2025'!$L:$L,'Source 2025'!$B:$B,$A12,'Source 2025'!$A:$A,"Quantity (units)")</f>
        <v>0</v>
      </c>
      <c r="D12" s="8" t="n">
        <f aca="false">SUMIFS('Source 2026'!$L:$L,'Source 2026'!$B:$B,$A12,'Source 2026'!$A:$A,"Quantity (units)")</f>
        <v>-1</v>
      </c>
      <c r="E12" s="8" t="n">
        <f aca="false">D12-C12</f>
        <v>-1</v>
      </c>
      <c r="F12" s="9" t="str">
        <f aca="false">IF(AND(C12=0,D12=0),0,IF(C12=0,"New",(D12-C12)/C12))</f>
        <v>New</v>
      </c>
      <c r="G12" s="10" t="n">
        <f aca="false">SUMIFS('Source 2025'!$L:$L,'Source 2025'!$B:$B,$A12,'Source 2025'!$A:$A,"Amount (NIS)")</f>
        <v>0</v>
      </c>
      <c r="H12" s="10" t="n">
        <f aca="false">SUMIFS('Source 2026'!$L:$L,'Source 2026'!$B:$B,$A12,'Source 2026'!$A:$A,"Amount (NIS)")</f>
        <v>-104.2</v>
      </c>
      <c r="I12" s="10" t="n">
        <f aca="false">H12-G12</f>
        <v>-104.2</v>
      </c>
      <c r="J12" s="9" t="str">
        <f aca="false">IF(AND(G12=0,H12=0),0,IF(G12=0,"New",(H12-G12)/G12))</f>
        <v>New</v>
      </c>
    </row>
    <row r="13" customFormat="false" ht="15" hidden="false" customHeight="false" outlineLevel="0" collapsed="false">
      <c r="A13" s="7" t="s">
        <v>52</v>
      </c>
      <c r="B13" s="7" t="str">
        <f aca="false">IFERROR(INDEX('Source 2026'!$C:$C,MATCH($A13,'Source 2026'!$B:$B,0)),IFERROR(INDEX('Source 2025'!$C:$C,MATCH($A13,'Source 2025'!$B:$B,0)),""))</f>
        <v>L סד לאגודל לאחר שבר</v>
      </c>
      <c r="C13" s="8" t="n">
        <f aca="false">SUMIFS('Source 2025'!$L:$L,'Source 2025'!$B:$B,$A13,'Source 2025'!$A:$A,"Quantity (units)")</f>
        <v>-1</v>
      </c>
      <c r="D13" s="8" t="n">
        <f aca="false">SUMIFS('Source 2026'!$L:$L,'Source 2026'!$B:$B,$A13,'Source 2026'!$A:$A,"Quantity (units)")</f>
        <v>0</v>
      </c>
      <c r="E13" s="8" t="n">
        <f aca="false">D13-C13</f>
        <v>1</v>
      </c>
      <c r="F13" s="9" t="n">
        <f aca="false">IF(AND(C13=0,D13=0),0,IF(C13=0,"New",(D13-C13)/C13))</f>
        <v>-1</v>
      </c>
      <c r="G13" s="10" t="n">
        <f aca="false">SUMIFS('Source 2025'!$L:$L,'Source 2025'!$B:$B,$A13,'Source 2025'!$A:$A,"Amount (NIS)")</f>
        <v>-88.2</v>
      </c>
      <c r="H13" s="10" t="n">
        <f aca="false">SUMIFS('Source 2026'!$L:$L,'Source 2026'!$B:$B,$A13,'Source 2026'!$A:$A,"Amount (NIS)")</f>
        <v>0</v>
      </c>
      <c r="I13" s="10" t="n">
        <f aca="false">H13-G13</f>
        <v>88.2</v>
      </c>
      <c r="J13" s="9" t="n">
        <f aca="false">IF(AND(G13=0,H13=0),0,IF(G13=0,"New",(H13-G13)/G13))</f>
        <v>-1</v>
      </c>
    </row>
    <row r="14" customFormat="false" ht="15" hidden="false" customHeight="false" outlineLevel="0" collapsed="false">
      <c r="A14" s="7" t="s">
        <v>196</v>
      </c>
      <c r="B14" s="7" t="str">
        <f aca="false">IFERROR(INDEX('Source 2026'!$C:$C,MATCH($A14,'Source 2026'!$B:$B,0)),IFERROR(INDEX('Source 2025'!$C:$C,MATCH($A14,'Source 2025'!$B:$B,0)),""))</f>
        <v>מגן זרת מסיליקון</v>
      </c>
      <c r="C14" s="8" t="n">
        <f aca="false">SUMIFS('Source 2025'!$L:$L,'Source 2025'!$B:$B,$A14,'Source 2025'!$A:$A,"Quantity (units)")</f>
        <v>-3</v>
      </c>
      <c r="D14" s="8" t="n">
        <f aca="false">SUMIFS('Source 2026'!$L:$L,'Source 2026'!$B:$B,$A14,'Source 2026'!$A:$A,"Quantity (units)")</f>
        <v>0</v>
      </c>
      <c r="E14" s="8" t="n">
        <f aca="false">D14-C14</f>
        <v>3</v>
      </c>
      <c r="F14" s="9" t="n">
        <f aca="false">IF(AND(C14=0,D14=0),0,IF(C14=0,"New",(D14-C14)/C14))</f>
        <v>-1</v>
      </c>
      <c r="G14" s="10" t="n">
        <f aca="false">SUMIFS('Source 2025'!$L:$L,'Source 2025'!$B:$B,$A14,'Source 2025'!$A:$A,"Amount (NIS)")</f>
        <v>-82.6</v>
      </c>
      <c r="H14" s="10" t="n">
        <f aca="false">SUMIFS('Source 2026'!$L:$L,'Source 2026'!$B:$B,$A14,'Source 2026'!$A:$A,"Amount (NIS)")</f>
        <v>0</v>
      </c>
      <c r="I14" s="10" t="n">
        <f aca="false">H14-G14</f>
        <v>82.6</v>
      </c>
      <c r="J14" s="9" t="n">
        <f aca="false">IF(AND(G14=0,H14=0),0,IF(G14=0,"New",(H14-G14)/G14))</f>
        <v>-1</v>
      </c>
    </row>
    <row r="15" customFormat="false" ht="15" hidden="false" customHeight="false" outlineLevel="0" collapsed="false">
      <c r="A15" s="7" t="s">
        <v>246</v>
      </c>
      <c r="B15" s="7" t="str">
        <f aca="false">IFERROR(INDEX('Source 2026'!$C:$C,MATCH($A15,'Source 2026'!$B:$B,0)),IFERROR(INDEX('Source 2025'!$C:$C,MATCH($A15,'Source 2025'!$B:$B,0)),""))</f>
        <v>ציפורניים</v>
      </c>
      <c r="C15" s="8" t="n">
        <f aca="false">SUMIFS('Source 2025'!$L:$L,'Source 2025'!$B:$B,$A15,'Source 2025'!$A:$A,"Quantity (units)")</f>
        <v>-5</v>
      </c>
      <c r="D15" s="8" t="n">
        <f aca="false">SUMIFS('Source 2026'!$L:$L,'Source 2026'!$B:$B,$A15,'Source 2026'!$A:$A,"Quantity (units)")</f>
        <v>0</v>
      </c>
      <c r="E15" s="8" t="n">
        <f aca="false">D15-C15</f>
        <v>5</v>
      </c>
      <c r="F15" s="9" t="n">
        <f aca="false">IF(AND(C15=0,D15=0),0,IF(C15=0,"New",(D15-C15)/C15))</f>
        <v>-1</v>
      </c>
      <c r="G15" s="10" t="n">
        <f aca="false">SUMIFS('Source 2025'!$L:$L,'Source 2025'!$B:$B,$A15,'Source 2025'!$A:$A,"Amount (NIS)")</f>
        <v>-65.8</v>
      </c>
      <c r="H15" s="10" t="n">
        <f aca="false">SUMIFS('Source 2026'!$L:$L,'Source 2026'!$B:$B,$A15,'Source 2026'!$A:$A,"Amount (NIS)")</f>
        <v>0</v>
      </c>
      <c r="I15" s="10" t="n">
        <f aca="false">H15-G15</f>
        <v>65.8</v>
      </c>
      <c r="J15" s="9" t="n">
        <f aca="false">IF(AND(G15=0,H15=0),0,IF(G15=0,"New",(H15-G15)/G15))</f>
        <v>-1</v>
      </c>
    </row>
    <row r="16" customFormat="false" ht="15" hidden="false" customHeight="false" outlineLevel="0" collapsed="false">
      <c r="A16" s="7" t="s">
        <v>281</v>
      </c>
      <c r="B16" s="7" t="str">
        <f aca="false">IFERROR(INDEX('Source 2026'!$C:$C,MATCH($A16,'Source 2026'!$B:$B,0)),IFERROR(INDEX('Source 2025'!$C:$C,MATCH($A16,'Source 2025'!$B:$B,0)),""))</f>
        <v>M מדרס ג'ל ספורט לגבר</v>
      </c>
      <c r="C16" s="8" t="n">
        <f aca="false">SUMIFS('Source 2025'!$L:$L,'Source 2025'!$B:$B,$A16,'Source 2025'!$A:$A,"Quantity (units)")</f>
        <v>-1</v>
      </c>
      <c r="D16" s="8" t="n">
        <f aca="false">SUMIFS('Source 2026'!$L:$L,'Source 2026'!$B:$B,$A16,'Source 2026'!$A:$A,"Quantity (units)")</f>
        <v>0</v>
      </c>
      <c r="E16" s="8" t="n">
        <f aca="false">D16-C16</f>
        <v>1</v>
      </c>
      <c r="F16" s="9" t="n">
        <f aca="false">IF(AND(C16=0,D16=0),0,IF(C16=0,"New",(D16-C16)/C16))</f>
        <v>-1</v>
      </c>
      <c r="G16" s="10" t="n">
        <f aca="false">SUMIFS('Source 2025'!$L:$L,'Source 2025'!$B:$B,$A16,'Source 2025'!$A:$A,"Amount (NIS)")</f>
        <v>-65.6</v>
      </c>
      <c r="H16" s="10" t="n">
        <f aca="false">SUMIFS('Source 2026'!$L:$L,'Source 2026'!$B:$B,$A16,'Source 2026'!$A:$A,"Amount (NIS)")</f>
        <v>0</v>
      </c>
      <c r="I16" s="10" t="n">
        <f aca="false">H16-G16</f>
        <v>65.6</v>
      </c>
      <c r="J16" s="9" t="n">
        <f aca="false">IF(AND(G16=0,H16=0),0,IF(G16=0,"New",(H16-G16)/G16))</f>
        <v>-1</v>
      </c>
    </row>
    <row r="17" customFormat="false" ht="15" hidden="false" customHeight="false" outlineLevel="0" collapsed="false">
      <c r="A17" s="7" t="s">
        <v>229</v>
      </c>
      <c r="B17" s="7" t="str">
        <f aca="false">IFERROR(INDEX('Source 2026'!$C:$C,MATCH($A17,'Source 2026'!$B:$B,0)),IFERROR(INDEX('Source 2025'!$C:$C,MATCH($A17,'Source 2025'!$B:$B,0)),""))</f>
        <v>Lעקבים סיליקון כחול לדורבן</v>
      </c>
      <c r="C17" s="8" t="n">
        <f aca="false">SUMIFS('Source 2025'!$L:$L,'Source 2025'!$B:$B,$A17,'Source 2025'!$A:$A,"Quantity (units)")</f>
        <v>-1</v>
      </c>
      <c r="D17" s="8" t="n">
        <f aca="false">SUMIFS('Source 2026'!$L:$L,'Source 2026'!$B:$B,$A17,'Source 2026'!$A:$A,"Quantity (units)")</f>
        <v>0</v>
      </c>
      <c r="E17" s="8" t="n">
        <f aca="false">D17-C17</f>
        <v>1</v>
      </c>
      <c r="F17" s="9" t="n">
        <f aca="false">IF(AND(C17=0,D17=0),0,IF(C17=0,"New",(D17-C17)/C17))</f>
        <v>-1</v>
      </c>
      <c r="G17" s="10" t="n">
        <f aca="false">SUMIFS('Source 2025'!$L:$L,'Source 2025'!$B:$B,$A17,'Source 2025'!$A:$A,"Amount (NIS)")</f>
        <v>-54.5</v>
      </c>
      <c r="H17" s="10" t="n">
        <f aca="false">SUMIFS('Source 2026'!$L:$L,'Source 2026'!$B:$B,$A17,'Source 2026'!$A:$A,"Amount (NIS)")</f>
        <v>0</v>
      </c>
      <c r="I17" s="10" t="n">
        <f aca="false">H17-G17</f>
        <v>54.5</v>
      </c>
      <c r="J17" s="9" t="n">
        <f aca="false">IF(AND(G17=0,H17=0),0,IF(G17=0,"New",(H17-G17)/G17))</f>
        <v>-1</v>
      </c>
    </row>
    <row r="18" customFormat="false" ht="15" hidden="false" customHeight="false" outlineLevel="0" collapsed="false">
      <c r="A18" s="7" t="s">
        <v>81</v>
      </c>
      <c r="B18" s="7" t="str">
        <f aca="false">IFERROR(INDEX('Source 2026'!$C:$C,MATCH($A18,'Source 2026'!$B:$B,0)),IFERROR(INDEX('Source 2025'!$C:$C,MATCH($A18,'Source 2025'!$B:$B,0)),""))</f>
        <v>0 מ.בוניון+מפריד אצבע</v>
      </c>
      <c r="C18" s="8" t="n">
        <f aca="false">SUMIFS('Source 2025'!$L:$L,'Source 2025'!$B:$B,$A18,'Source 2025'!$A:$A,"Quantity (units)")</f>
        <v>-1</v>
      </c>
      <c r="D18" s="8" t="n">
        <f aca="false">SUMIFS('Source 2026'!$L:$L,'Source 2026'!$B:$B,$A18,'Source 2026'!$A:$A,"Quantity (units)")</f>
        <v>0</v>
      </c>
      <c r="E18" s="8" t="n">
        <f aca="false">D18-C18</f>
        <v>1</v>
      </c>
      <c r="F18" s="9" t="n">
        <f aca="false">IF(AND(C18=0,D18=0),0,IF(C18=0,"New",(D18-C18)/C18))</f>
        <v>-1</v>
      </c>
      <c r="G18" s="10" t="n">
        <f aca="false">SUMIFS('Source 2025'!$L:$L,'Source 2025'!$B:$B,$A18,'Source 2025'!$A:$A,"Amount (NIS)")</f>
        <v>-37.4</v>
      </c>
      <c r="H18" s="10" t="n">
        <f aca="false">SUMIFS('Source 2026'!$L:$L,'Source 2026'!$B:$B,$A18,'Source 2026'!$A:$A,"Amount (NIS)")</f>
        <v>0</v>
      </c>
      <c r="I18" s="10" t="n">
        <f aca="false">H18-G18</f>
        <v>37.4</v>
      </c>
      <c r="J18" s="9" t="n">
        <f aca="false">IF(AND(G18=0,H18=0),0,IF(G18=0,"New",(H18-G18)/G18))</f>
        <v>-1</v>
      </c>
    </row>
    <row r="19" customFormat="false" ht="15" hidden="false" customHeight="false" outlineLevel="0" collapsed="false">
      <c r="A19" s="7" t="s">
        <v>269</v>
      </c>
      <c r="B19" s="7" t="str">
        <f aca="false">IFERROR(INDEX('Source 2026'!$C:$C,MATCH($A19,'Source 2026'!$B:$B,0)),IFERROR(INDEX('Source 2025'!$C:$C,MATCH($A19,'Source 2025'!$B:$B,0)),""))</f>
        <v>שרוול מסיליקון לאצבע</v>
      </c>
      <c r="C19" s="8" t="n">
        <f aca="false">SUMIFS('Source 2025'!$L:$L,'Source 2025'!$B:$B,$A19,'Source 2025'!$A:$A,"Quantity (units)")</f>
        <v>-2</v>
      </c>
      <c r="D19" s="8" t="n">
        <f aca="false">SUMIFS('Source 2026'!$L:$L,'Source 2026'!$B:$B,$A19,'Source 2026'!$A:$A,"Quantity (units)")</f>
        <v>0</v>
      </c>
      <c r="E19" s="8" t="n">
        <f aca="false">D19-C19</f>
        <v>2</v>
      </c>
      <c r="F19" s="9" t="n">
        <f aca="false">IF(AND(C19=0,D19=0),0,IF(C19=0,"New",(D19-C19)/C19))</f>
        <v>-1</v>
      </c>
      <c r="G19" s="10" t="n">
        <f aca="false">SUMIFS('Source 2025'!$L:$L,'Source 2025'!$B:$B,$A19,'Source 2025'!$A:$A,"Amount (NIS)")</f>
        <v>-33.2</v>
      </c>
      <c r="H19" s="10" t="n">
        <f aca="false">SUMIFS('Source 2026'!$L:$L,'Source 2026'!$B:$B,$A19,'Source 2026'!$A:$A,"Amount (NIS)")</f>
        <v>0</v>
      </c>
      <c r="I19" s="10" t="n">
        <f aca="false">H19-G19</f>
        <v>33.2</v>
      </c>
      <c r="J19" s="9" t="n">
        <f aca="false">IF(AND(G19=0,H19=0),0,IF(G19=0,"New",(H19-G19)/G19))</f>
        <v>-1</v>
      </c>
    </row>
    <row r="20" customFormat="false" ht="15" hidden="false" customHeight="false" outlineLevel="0" collapsed="false">
      <c r="A20" s="7" t="s">
        <v>168</v>
      </c>
      <c r="B20" s="7" t="str">
        <f aca="false">IFERROR(INDEX('Source 2026'!$C:$C,MATCH($A20,'Source 2026'!$B:$B,0)),IFERROR(INDEX('Source 2025'!$C:$C,MATCH($A20,'Source 2025'!$B:$B,0)),""))</f>
        <v>גרב כסף לסכרתיים לבן35-38</v>
      </c>
      <c r="C20" s="8" t="n">
        <f aca="false">SUMIFS('Source 2025'!$L:$L,'Source 2025'!$B:$B,$A20,'Source 2025'!$A:$A,"Quantity (units)")</f>
        <v>-1</v>
      </c>
      <c r="D20" s="8" t="n">
        <f aca="false">SUMIFS('Source 2026'!$L:$L,'Source 2026'!$B:$B,$A20,'Source 2026'!$A:$A,"Quantity (units)")</f>
        <v>0</v>
      </c>
      <c r="E20" s="8" t="n">
        <f aca="false">D20-C20</f>
        <v>1</v>
      </c>
      <c r="F20" s="9" t="n">
        <f aca="false">IF(AND(C20=0,D20=0),0,IF(C20=0,"New",(D20-C20)/C20))</f>
        <v>-1</v>
      </c>
      <c r="G20" s="10" t="n">
        <f aca="false">SUMIFS('Source 2025'!$L:$L,'Source 2025'!$B:$B,$A20,'Source 2025'!$A:$A,"Amount (NIS)")</f>
        <v>-31.5</v>
      </c>
      <c r="H20" s="10" t="n">
        <f aca="false">SUMIFS('Source 2026'!$L:$L,'Source 2026'!$B:$B,$A20,'Source 2026'!$A:$A,"Amount (NIS)")</f>
        <v>0</v>
      </c>
      <c r="I20" s="10" t="n">
        <f aca="false">H20-G20</f>
        <v>31.5</v>
      </c>
      <c r="J20" s="9" t="n">
        <f aca="false">IF(AND(G20=0,H20=0),0,IF(G20=0,"New",(H20-G20)/G20))</f>
        <v>-1</v>
      </c>
    </row>
    <row r="21" customFormat="false" ht="15" hidden="false" customHeight="false" outlineLevel="0" collapsed="false">
      <c r="A21" s="7" t="s">
        <v>102</v>
      </c>
      <c r="B21" s="7" t="str">
        <f aca="false">IFERROR(INDEX('Source 2026'!$C:$C,MATCH($A21,'Source 2026'!$B:$B,0)),IFERROR(INDEX('Source 2025'!$C:$C,MATCH($A21,'Source 2025'!$B:$B,0)),""))</f>
        <v>3667 מגן בוניון</v>
      </c>
      <c r="C21" s="8" t="n">
        <f aca="false">SUMIFS('Source 2025'!$L:$L,'Source 2025'!$B:$B,$A21,'Source 2025'!$A:$A,"Quantity (units)")</f>
        <v>-1</v>
      </c>
      <c r="D21" s="8" t="n">
        <f aca="false">SUMIFS('Source 2026'!$L:$L,'Source 2026'!$B:$B,$A21,'Source 2026'!$A:$A,"Quantity (units)")</f>
        <v>0</v>
      </c>
      <c r="E21" s="8" t="n">
        <f aca="false">D21-C21</f>
        <v>1</v>
      </c>
      <c r="F21" s="9" t="n">
        <f aca="false">IF(AND(C21=0,D21=0),0,IF(C21=0,"New",(D21-C21)/C21))</f>
        <v>-1</v>
      </c>
      <c r="G21" s="10" t="n">
        <f aca="false">SUMIFS('Source 2025'!$L:$L,'Source 2025'!$B:$B,$A21,'Source 2025'!$A:$A,"Amount (NIS)")</f>
        <v>-28.8</v>
      </c>
      <c r="H21" s="10" t="n">
        <f aca="false">SUMIFS('Source 2026'!$L:$L,'Source 2026'!$B:$B,$A21,'Source 2026'!$A:$A,"Amount (NIS)")</f>
        <v>0</v>
      </c>
      <c r="I21" s="10" t="n">
        <f aca="false">H21-G21</f>
        <v>28.8</v>
      </c>
      <c r="J21" s="9" t="n">
        <f aca="false">IF(AND(G21=0,H21=0),0,IF(G21=0,"New",(H21-G21)/G21))</f>
        <v>-1</v>
      </c>
    </row>
    <row r="22" customFormat="false" ht="15" hidden="false" customHeight="false" outlineLevel="0" collapsed="false">
      <c r="A22" s="7" t="s">
        <v>177</v>
      </c>
      <c r="B22" s="7" t="str">
        <f aca="false">IFERROR(INDEX('Source 2026'!$C:$C,MATCH($A22,'Source 2026'!$B:$B,0)),IFERROR(INDEX('Source 2025'!$C:$C,MATCH($A22,'Source 2025'!$B:$B,0)),""))</f>
        <v>35-38 גרב.כסף לסכרתים לבן</v>
      </c>
      <c r="C22" s="8" t="n">
        <f aca="false">SUMIFS('Source 2025'!$L:$L,'Source 2025'!$B:$B,$A22,'Source 2025'!$A:$A,"Quantity (units)")</f>
        <v>-1</v>
      </c>
      <c r="D22" s="8" t="n">
        <f aca="false">SUMIFS('Source 2026'!$L:$L,'Source 2026'!$B:$B,$A22,'Source 2026'!$A:$A,"Quantity (units)")</f>
        <v>0</v>
      </c>
      <c r="E22" s="8" t="n">
        <f aca="false">D22-C22</f>
        <v>1</v>
      </c>
      <c r="F22" s="9" t="n">
        <f aca="false">IF(AND(C22=0,D22=0),0,IF(C22=0,"New",(D22-C22)/C22))</f>
        <v>-1</v>
      </c>
      <c r="G22" s="10" t="n">
        <f aca="false">SUMIFS('Source 2025'!$L:$L,'Source 2025'!$B:$B,$A22,'Source 2025'!$A:$A,"Amount (NIS)")</f>
        <v>-24</v>
      </c>
      <c r="H22" s="10" t="n">
        <f aca="false">SUMIFS('Source 2026'!$L:$L,'Source 2026'!$B:$B,$A22,'Source 2026'!$A:$A,"Amount (NIS)")</f>
        <v>0</v>
      </c>
      <c r="I22" s="10" t="n">
        <f aca="false">H22-G22</f>
        <v>24</v>
      </c>
      <c r="J22" s="9" t="n">
        <f aca="false">IF(AND(G22=0,H22=0),0,IF(G22=0,"New",(H22-G22)/G22))</f>
        <v>-1</v>
      </c>
    </row>
    <row r="23" customFormat="false" ht="15" hidden="false" customHeight="false" outlineLevel="0" collapsed="false">
      <c r="A23" s="7" t="s">
        <v>112</v>
      </c>
      <c r="B23" s="7" t="str">
        <f aca="false">IFERROR(INDEX('Source 2026'!$C:$C,MATCH($A23,'Source 2026'!$B:$B,0)),IFERROR(INDEX('Source 2025'!$C:$C,MATCH($A23,'Source 2025'!$B:$B,0)),""))</f>
        <v>אמבט לכף הרגל</v>
      </c>
      <c r="C23" s="8" t="n">
        <f aca="false">SUMIFS('Source 2025'!$L:$L,'Source 2025'!$B:$B,$A23,'Source 2025'!$A:$A,"Quantity (units)")</f>
        <v>-2</v>
      </c>
      <c r="D23" s="8" t="n">
        <f aca="false">SUMIFS('Source 2026'!$L:$L,'Source 2026'!$B:$B,$A23,'Source 2026'!$A:$A,"Quantity (units)")</f>
        <v>0</v>
      </c>
      <c r="E23" s="8" t="n">
        <f aca="false">D23-C23</f>
        <v>2</v>
      </c>
      <c r="F23" s="9" t="n">
        <f aca="false">IF(AND(C23=0,D23=0),0,IF(C23=0,"New",(D23-C23)/C23))</f>
        <v>-1</v>
      </c>
      <c r="G23" s="10" t="n">
        <f aca="false">SUMIFS('Source 2025'!$L:$L,'Source 2025'!$B:$B,$A23,'Source 2025'!$A:$A,"Amount (NIS)")</f>
        <v>-21.9</v>
      </c>
      <c r="H23" s="10" t="n">
        <f aca="false">SUMIFS('Source 2026'!$L:$L,'Source 2026'!$B:$B,$A23,'Source 2026'!$A:$A,"Amount (NIS)")</f>
        <v>0</v>
      </c>
      <c r="I23" s="10" t="n">
        <f aca="false">H23-G23</f>
        <v>21.9</v>
      </c>
      <c r="J23" s="9" t="n">
        <f aca="false">IF(AND(G23=0,H23=0),0,IF(G23=0,"New",(H23-G23)/G23))</f>
        <v>-1</v>
      </c>
    </row>
    <row r="24" customFormat="false" ht="15" hidden="false" customHeight="false" outlineLevel="0" collapsed="false">
      <c r="A24" s="7" t="s">
        <v>91</v>
      </c>
      <c r="B24" s="7" t="str">
        <f aca="false">IFERROR(INDEX('Source 2026'!$C:$C,MATCH($A24,'Source 2026'!$B:$B,0)),IFERROR(INDEX('Source 2025'!$C:$C,MATCH($A24,'Source 2025'!$B:$B,0)),""))</f>
        <v>בליסטר פלסטר</v>
      </c>
      <c r="C24" s="8" t="n">
        <f aca="false">SUMIFS('Source 2025'!$L:$L,'Source 2025'!$B:$B,$A24,'Source 2025'!$A:$A,"Quantity (units)")</f>
        <v>-1</v>
      </c>
      <c r="D24" s="8" t="n">
        <f aca="false">SUMIFS('Source 2026'!$L:$L,'Source 2026'!$B:$B,$A24,'Source 2026'!$A:$A,"Quantity (units)")</f>
        <v>0</v>
      </c>
      <c r="E24" s="8" t="n">
        <f aca="false">D24-C24</f>
        <v>1</v>
      </c>
      <c r="F24" s="9" t="n">
        <f aca="false">IF(AND(C24=0,D24=0),0,IF(C24=0,"New",(D24-C24)/C24))</f>
        <v>-1</v>
      </c>
      <c r="G24" s="10" t="n">
        <f aca="false">SUMIFS('Source 2025'!$L:$L,'Source 2025'!$B:$B,$A24,'Source 2025'!$A:$A,"Amount (NIS)")</f>
        <v>-19.2</v>
      </c>
      <c r="H24" s="10" t="n">
        <f aca="false">SUMIFS('Source 2026'!$L:$L,'Source 2026'!$B:$B,$A24,'Source 2026'!$A:$A,"Amount (NIS)")</f>
        <v>0</v>
      </c>
      <c r="I24" s="10" t="n">
        <f aca="false">H24-G24</f>
        <v>19.2</v>
      </c>
      <c r="J24" s="9" t="n">
        <f aca="false">IF(AND(G24=0,H24=0),0,IF(G24=0,"New",(H24-G24)/G24))</f>
        <v>-1</v>
      </c>
    </row>
    <row r="25" customFormat="false" ht="15" hidden="false" customHeight="false" outlineLevel="0" collapsed="false">
      <c r="A25" s="7" t="s">
        <v>297</v>
      </c>
      <c r="B25" s="7" t="str">
        <f aca="false">IFERROR(INDEX('Source 2026'!$C:$C,MATCH($A25,'Source 2026'!$B:$B,0)),IFERROR(INDEX('Source 2025'!$C:$C,MATCH($A25,'Source 2025'!$B:$B,0)),""))</f>
        <v>טייפ חבישה לספורט</v>
      </c>
      <c r="C25" s="8" t="n">
        <f aca="false">SUMIFS('Source 2025'!$L:$L,'Source 2025'!$B:$B,$A25,'Source 2025'!$A:$A,"Quantity (units)")</f>
        <v>-1</v>
      </c>
      <c r="D25" s="8" t="n">
        <f aca="false">SUMIFS('Source 2026'!$L:$L,'Source 2026'!$B:$B,$A25,'Source 2026'!$A:$A,"Quantity (units)")</f>
        <v>0</v>
      </c>
      <c r="E25" s="8" t="n">
        <f aca="false">D25-C25</f>
        <v>1</v>
      </c>
      <c r="F25" s="9" t="n">
        <f aca="false">IF(AND(C25=0,D25=0),0,IF(C25=0,"New",(D25-C25)/C25))</f>
        <v>-1</v>
      </c>
      <c r="G25" s="10" t="n">
        <f aca="false">SUMIFS('Source 2025'!$L:$L,'Source 2025'!$B:$B,$A25,'Source 2025'!$A:$A,"Amount (NIS)")</f>
        <v>-15.4</v>
      </c>
      <c r="H25" s="10" t="n">
        <f aca="false">SUMIFS('Source 2026'!$L:$L,'Source 2026'!$B:$B,$A25,'Source 2026'!$A:$A,"Amount (NIS)")</f>
        <v>0</v>
      </c>
      <c r="I25" s="10" t="n">
        <f aca="false">H25-G25</f>
        <v>15.4</v>
      </c>
      <c r="J25" s="9" t="n">
        <f aca="false">IF(AND(G25=0,H25=0),0,IF(G25=0,"New",(H25-G25)/G25))</f>
        <v>-1</v>
      </c>
    </row>
    <row r="26" customFormat="false" ht="15" hidden="false" customHeight="false" outlineLevel="0" collapsed="false">
      <c r="A26" s="7" t="s">
        <v>88</v>
      </c>
      <c r="B26" s="7" t="str">
        <f aca="false">IFERROR(INDEX('Source 2026'!$C:$C,MATCH($A26,'Source 2026'!$B:$B,0)),IFERROR(INDEX('Source 2025'!$C:$C,MATCH($A26,'Source 2025'!$B:$B,0)),""))</f>
        <v>למניעת שפשוף 5 יח</v>
      </c>
      <c r="C26" s="8" t="n">
        <f aca="false">SUMIFS('Source 2025'!$L:$L,'Source 2025'!$B:$B,$A26,'Source 2025'!$A:$A,"Quantity (units)")</f>
        <v>-1</v>
      </c>
      <c r="D26" s="8" t="n">
        <f aca="false">SUMIFS('Source 2026'!$L:$L,'Source 2026'!$B:$B,$A26,'Source 2026'!$A:$A,"Quantity (units)")</f>
        <v>0</v>
      </c>
      <c r="E26" s="8" t="n">
        <f aca="false">D26-C26</f>
        <v>1</v>
      </c>
      <c r="F26" s="9" t="n">
        <f aca="false">IF(AND(C26=0,D26=0),0,IF(C26=0,"New",(D26-C26)/C26))</f>
        <v>-1</v>
      </c>
      <c r="G26" s="10" t="n">
        <f aca="false">SUMIFS('Source 2025'!$L:$L,'Source 2025'!$B:$B,$A26,'Source 2025'!$A:$A,"Amount (NIS)")</f>
        <v>-13.3</v>
      </c>
      <c r="H26" s="10" t="n">
        <f aca="false">SUMIFS('Source 2026'!$L:$L,'Source 2026'!$B:$B,$A26,'Source 2026'!$A:$A,"Amount (NIS)")</f>
        <v>0</v>
      </c>
      <c r="I26" s="10" t="n">
        <f aca="false">H26-G26</f>
        <v>13.3</v>
      </c>
      <c r="J26" s="9" t="n">
        <f aca="false">IF(AND(G26=0,H26=0),0,IF(G26=0,"New",(H26-G26)/G26))</f>
        <v>-1</v>
      </c>
    </row>
    <row r="27" customFormat="false" ht="15" hidden="false" customHeight="false" outlineLevel="0" collapsed="false">
      <c r="A27" s="7" t="s">
        <v>169</v>
      </c>
      <c r="B27" s="7" t="str">
        <f aca="false">IFERROR(INDEX('Source 2026'!$C:$C,MATCH($A27,'Source 2026'!$B:$B,0)),IFERROR(INDEX('Source 2025'!$C:$C,MATCH($A27,'Source 2025'!$B:$B,0)),""))</f>
        <v>S-Lטבעת אלסטית מסיליקון</v>
      </c>
      <c r="C27" s="8" t="n">
        <f aca="false">SUMIFS('Source 2025'!$L:$L,'Source 2025'!$B:$B,$A27,'Source 2025'!$A:$A,"Quantity (units)")</f>
        <v>-1</v>
      </c>
      <c r="D27" s="8" t="n">
        <f aca="false">SUMIFS('Source 2026'!$L:$L,'Source 2026'!$B:$B,$A27,'Source 2026'!$A:$A,"Quantity (units)")</f>
        <v>0</v>
      </c>
      <c r="E27" s="8" t="n">
        <f aca="false">D27-C27</f>
        <v>1</v>
      </c>
      <c r="F27" s="9" t="n">
        <f aca="false">IF(AND(C27=0,D27=0),0,IF(C27=0,"New",(D27-C27)/C27))</f>
        <v>-1</v>
      </c>
      <c r="G27" s="10" t="n">
        <f aca="false">SUMIFS('Source 2025'!$L:$L,'Source 2025'!$B:$B,$A27,'Source 2025'!$A:$A,"Amount (NIS)")</f>
        <v>-13.1</v>
      </c>
      <c r="H27" s="10" t="n">
        <f aca="false">SUMIFS('Source 2026'!$L:$L,'Source 2026'!$B:$B,$A27,'Source 2026'!$A:$A,"Amount (NIS)")</f>
        <v>0</v>
      </c>
      <c r="I27" s="10" t="n">
        <f aca="false">H27-G27</f>
        <v>13.1</v>
      </c>
      <c r="J27" s="9" t="n">
        <f aca="false">IF(AND(G27=0,H27=0),0,IF(G27=0,"New",(H27-G27)/G27))</f>
        <v>-1</v>
      </c>
    </row>
    <row r="28" customFormat="false" ht="15" hidden="false" customHeight="false" outlineLevel="0" collapsed="false">
      <c r="A28" s="7" t="s">
        <v>93</v>
      </c>
      <c r="B28" s="7" t="str">
        <f aca="false">IFERROR(INDEX('Source 2026'!$C:$C,MATCH($A28,'Source 2026'!$B:$B,0)),IFERROR(INDEX('Source 2025'!$C:$C,MATCH($A28,'Source 2025'!$B:$B,0)),""))</f>
        <v>תחבושת א.נצמ</v>
      </c>
      <c r="C28" s="8" t="n">
        <f aca="false">SUMIFS('Source 2025'!$L:$L,'Source 2025'!$B:$B,$A28,'Source 2025'!$A:$A,"Quantity (units)")</f>
        <v>-1</v>
      </c>
      <c r="D28" s="8" t="n">
        <f aca="false">SUMIFS('Source 2026'!$L:$L,'Source 2026'!$B:$B,$A28,'Source 2026'!$A:$A,"Quantity (units)")</f>
        <v>0</v>
      </c>
      <c r="E28" s="8" t="n">
        <f aca="false">D28-C28</f>
        <v>1</v>
      </c>
      <c r="F28" s="9" t="n">
        <f aca="false">IF(AND(C28=0,D28=0),0,IF(C28=0,"New",(D28-C28)/C28))</f>
        <v>-1</v>
      </c>
      <c r="G28" s="10" t="n">
        <f aca="false">SUMIFS('Source 2025'!$L:$L,'Source 2025'!$B:$B,$A28,'Source 2025'!$A:$A,"Amount (NIS)")</f>
        <v>-11</v>
      </c>
      <c r="H28" s="10" t="n">
        <f aca="false">SUMIFS('Source 2026'!$L:$L,'Source 2026'!$B:$B,$A28,'Source 2026'!$A:$A,"Amount (NIS)")</f>
        <v>0</v>
      </c>
      <c r="I28" s="10" t="n">
        <f aca="false">H28-G28</f>
        <v>11</v>
      </c>
      <c r="J28" s="9" t="n">
        <f aca="false">IF(AND(G28=0,H28=0),0,IF(G28=0,"New",(H28-G28)/G28))</f>
        <v>-1</v>
      </c>
    </row>
    <row r="30" customFormat="false" ht="15" hidden="false" customHeight="false" outlineLevel="0" collapsed="false">
      <c r="A30" s="11"/>
      <c r="B30" s="12" t="s">
        <v>257</v>
      </c>
      <c r="C30" s="13" t="n">
        <f aca="false">SUM(C6:C28)</f>
        <v>-47</v>
      </c>
      <c r="D30" s="13" t="n">
        <f aca="false">SUM(D6:D28)</f>
        <v>-5</v>
      </c>
      <c r="E30" s="13" t="n">
        <f aca="false">SUM(E6:E28)</f>
        <v>42</v>
      </c>
      <c r="F30" s="14" t="n">
        <f aca="false">IF(C30=0,"N/A",E30/C30)</f>
        <v>-0.893617021276596</v>
      </c>
      <c r="G30" s="15" t="n">
        <f aca="false">SUM(G6:G28)</f>
        <v>-2050</v>
      </c>
      <c r="H30" s="15" t="n">
        <f aca="false">SUM(H6:H28)</f>
        <v>-517.8</v>
      </c>
      <c r="I30" s="15" t="n">
        <f aca="false">SUM(I6:I28)</f>
        <v>1532.2</v>
      </c>
      <c r="J30" s="14" t="n">
        <f aca="false">IF(G30=0,"N/A",I30/G30)</f>
        <v>-0.747414634146342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362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265</v>
      </c>
      <c r="B6" s="7" t="str">
        <f aca="false">IFERROR(INDEX('Source 2026'!$C:$C,MATCH($A6,'Source 2026'!$B:$B,0)),IFERROR(INDEX('Source 2025'!$C:$C,MATCH($A6,'Source 2025'!$B:$B,0)),""))</f>
        <v>מדרס ג'ל לגבר</v>
      </c>
      <c r="C6" s="8" t="n">
        <f aca="false">SUMIFS('Source 2025'!$M:$M,'Source 2025'!$B:$B,$A6,'Source 2025'!$A:$A,"Quantity (units)")</f>
        <v>12</v>
      </c>
      <c r="D6" s="8" t="n">
        <f aca="false">SUMIFS('Source 2026'!$M:$M,'Source 2026'!$B:$B,$A6,'Source 2026'!$A:$A,"Quantity (units)")</f>
        <v>-5</v>
      </c>
      <c r="E6" s="8" t="n">
        <f aca="false">D6-C6</f>
        <v>-17</v>
      </c>
      <c r="F6" s="9" t="n">
        <f aca="false">IF(AND(C6=0,D6=0),0,IF(C6=0,"New",(D6-C6)/C6))</f>
        <v>-1.41666666666667</v>
      </c>
      <c r="G6" s="10" t="n">
        <f aca="false">SUMIFS('Source 2025'!$M:$M,'Source 2025'!$B:$B,$A6,'Source 2025'!$A:$A,"Amount (NIS)")</f>
        <v>850.4</v>
      </c>
      <c r="H6" s="10" t="n">
        <f aca="false">SUMIFS('Source 2026'!$M:$M,'Source 2026'!$B:$B,$A6,'Source 2026'!$A:$A,"Amount (NIS)")</f>
        <v>-355</v>
      </c>
      <c r="I6" s="10" t="n">
        <f aca="false">H6-G6</f>
        <v>-1205.4</v>
      </c>
      <c r="J6" s="9" t="n">
        <f aca="false">IF(AND(G6=0,H6=0),0,IF(G6=0,"New",(H6-G6)/G6))</f>
        <v>-1.41745061147695</v>
      </c>
    </row>
    <row r="7" customFormat="false" ht="15" hidden="false" customHeight="false" outlineLevel="0" collapsed="false">
      <c r="A7" s="7" t="s">
        <v>87</v>
      </c>
      <c r="B7" s="7" t="str">
        <f aca="false">IFERROR(INDEX('Source 2026'!$C:$C,MATCH($A7,'Source 2026'!$B:$B,0)),IFERROR(INDEX('Source 2025'!$C:$C,MATCH($A7,'Source 2025'!$B:$B,0)),""))</f>
        <v>טלק מעושר באלוורה</v>
      </c>
      <c r="C7" s="8" t="n">
        <f aca="false">SUMIFS('Source 2025'!$M:$M,'Source 2025'!$B:$B,$A7,'Source 2025'!$A:$A,"Quantity (units)")</f>
        <v>25</v>
      </c>
      <c r="D7" s="8" t="n">
        <f aca="false">SUMIFS('Source 2026'!$M:$M,'Source 2026'!$B:$B,$A7,'Source 2026'!$A:$A,"Quantity (units)")</f>
        <v>3</v>
      </c>
      <c r="E7" s="8" t="n">
        <f aca="false">D7-C7</f>
        <v>-22</v>
      </c>
      <c r="F7" s="9" t="n">
        <f aca="false">IF(AND(C7=0,D7=0),0,IF(C7=0,"New",(D7-C7)/C7))</f>
        <v>-0.88</v>
      </c>
      <c r="G7" s="10" t="n">
        <f aca="false">SUMIFS('Source 2025'!$M:$M,'Source 2025'!$B:$B,$A7,'Source 2025'!$A:$A,"Amount (NIS)")</f>
        <v>554.3</v>
      </c>
      <c r="H7" s="10" t="n">
        <f aca="false">SUMIFS('Source 2026'!$M:$M,'Source 2026'!$B:$B,$A7,'Source 2026'!$A:$A,"Amount (NIS)")</f>
        <v>70.2</v>
      </c>
      <c r="I7" s="10" t="n">
        <f aca="false">H7-G7</f>
        <v>-484.1</v>
      </c>
      <c r="J7" s="9" t="n">
        <f aca="false">IF(AND(G7=0,H7=0),0,IF(G7=0,"New",(H7-G7)/G7))</f>
        <v>-0.873353779541764</v>
      </c>
    </row>
    <row r="8" customFormat="false" ht="15" hidden="false" customHeight="false" outlineLevel="0" collapsed="false">
      <c r="A8" s="7" t="s">
        <v>63</v>
      </c>
      <c r="B8" s="7" t="str">
        <f aca="false">IFERROR(INDEX('Source 2026'!$C:$C,MATCH($A8,'Source 2026'!$B:$B,0)),IFERROR(INDEX('Source 2025'!$C:$C,MATCH($A8,'Source 2025'!$B:$B,0)),""))</f>
        <v>L עקבים לדורבן-זוג כריות</v>
      </c>
      <c r="C8" s="8" t="n">
        <f aca="false">SUMIFS('Source 2025'!$M:$M,'Source 2025'!$B:$B,$A8,'Source 2025'!$A:$A,"Quantity (units)")</f>
        <v>5</v>
      </c>
      <c r="D8" s="8" t="n">
        <f aca="false">SUMIFS('Source 2026'!$M:$M,'Source 2026'!$B:$B,$A8,'Source 2026'!$A:$A,"Quantity (units)")</f>
        <v>0</v>
      </c>
      <c r="E8" s="8" t="n">
        <f aca="false">D8-C8</f>
        <v>-5</v>
      </c>
      <c r="F8" s="9" t="n">
        <f aca="false">IF(AND(C8=0,D8=0),0,IF(C8=0,"New",(D8-C8)/C8))</f>
        <v>-1</v>
      </c>
      <c r="G8" s="10" t="n">
        <f aca="false">SUMIFS('Source 2025'!$M:$M,'Source 2025'!$B:$B,$A8,'Source 2025'!$A:$A,"Amount (NIS)")</f>
        <v>461.2</v>
      </c>
      <c r="H8" s="10" t="n">
        <f aca="false">SUMIFS('Source 2026'!$M:$M,'Source 2026'!$B:$B,$A8,'Source 2026'!$A:$A,"Amount (NIS)")</f>
        <v>0</v>
      </c>
      <c r="I8" s="10" t="n">
        <f aca="false">H8-G8</f>
        <v>-461.2</v>
      </c>
      <c r="J8" s="9" t="n">
        <f aca="false">IF(AND(G8=0,H8=0),0,IF(G8=0,"New",(H8-G8)/G8))</f>
        <v>-1</v>
      </c>
    </row>
    <row r="9" customFormat="false" ht="15" hidden="false" customHeight="false" outlineLevel="0" collapsed="false">
      <c r="A9" s="7" t="s">
        <v>66</v>
      </c>
      <c r="B9" s="7" t="str">
        <f aca="false">IFERROR(INDEX('Source 2026'!$C:$C,MATCH($A9,'Source 2026'!$B:$B,0)),IFERROR(INDEX('Source 2025'!$C:$C,MATCH($A9,'Source 2025'!$B:$B,0)),""))</f>
        <v>מגן ברך עם תמיכות</v>
      </c>
      <c r="C9" s="8" t="n">
        <f aca="false">SUMIFS('Source 2025'!$M:$M,'Source 2025'!$B:$B,$A9,'Source 2025'!$A:$A,"Quantity (units)")</f>
        <v>11</v>
      </c>
      <c r="D9" s="8" t="n">
        <f aca="false">SUMIFS('Source 2026'!$M:$M,'Source 2026'!$B:$B,$A9,'Source 2026'!$A:$A,"Quantity (units)")</f>
        <v>16</v>
      </c>
      <c r="E9" s="8" t="n">
        <f aca="false">D9-C9</f>
        <v>5</v>
      </c>
      <c r="F9" s="9" t="n">
        <f aca="false">IF(AND(C9=0,D9=0),0,IF(C9=0,"New",(D9-C9)/C9))</f>
        <v>0.454545454545455</v>
      </c>
      <c r="G9" s="10" t="n">
        <f aca="false">SUMIFS('Source 2025'!$M:$M,'Source 2025'!$B:$B,$A9,'Source 2025'!$A:$A,"Amount (NIS)")</f>
        <v>795.8</v>
      </c>
      <c r="H9" s="10" t="n">
        <f aca="false">SUMIFS('Source 2026'!$M:$M,'Source 2026'!$B:$B,$A9,'Source 2026'!$A:$A,"Amount (NIS)")</f>
        <v>1199.2</v>
      </c>
      <c r="I9" s="10" t="n">
        <f aca="false">H9-G9</f>
        <v>403.4</v>
      </c>
      <c r="J9" s="9" t="n">
        <f aca="false">IF(AND(G9=0,H9=0),0,IF(G9=0,"New",(H9-G9)/G9))</f>
        <v>0.506911284242272</v>
      </c>
    </row>
    <row r="10" customFormat="false" ht="15" hidden="false" customHeight="false" outlineLevel="0" collapsed="false">
      <c r="A10" s="7" t="s">
        <v>62</v>
      </c>
      <c r="B10" s="7" t="str">
        <f aca="false">IFERROR(INDEX('Source 2026'!$C:$C,MATCH($A10,'Source 2026'!$B:$B,0)),IFERROR(INDEX('Source 2025'!$C:$C,MATCH($A10,'Source 2025'!$B:$B,0)),""))</f>
        <v>L (מתלה ליד )כיס</v>
      </c>
      <c r="C10" s="8" t="n">
        <f aca="false">SUMIFS('Source 2025'!$M:$M,'Source 2025'!$B:$B,$A10,'Source 2025'!$A:$A,"Quantity (units)")</f>
        <v>6</v>
      </c>
      <c r="D10" s="8" t="n">
        <f aca="false">SUMIFS('Source 2026'!$M:$M,'Source 2026'!$B:$B,$A10,'Source 2026'!$A:$A,"Quantity (units)")</f>
        <v>0</v>
      </c>
      <c r="E10" s="8" t="n">
        <f aca="false">D10-C10</f>
        <v>-6</v>
      </c>
      <c r="F10" s="9" t="n">
        <f aca="false">IF(AND(C10=0,D10=0),0,IF(C10=0,"New",(D10-C10)/C10))</f>
        <v>-1</v>
      </c>
      <c r="G10" s="10" t="n">
        <f aca="false">SUMIFS('Source 2025'!$M:$M,'Source 2025'!$B:$B,$A10,'Source 2025'!$A:$A,"Amount (NIS)")</f>
        <v>340</v>
      </c>
      <c r="H10" s="10" t="n">
        <f aca="false">SUMIFS('Source 2026'!$M:$M,'Source 2026'!$B:$B,$A10,'Source 2026'!$A:$A,"Amount (NIS)")</f>
        <v>0</v>
      </c>
      <c r="I10" s="10" t="n">
        <f aca="false">H10-G10</f>
        <v>-340</v>
      </c>
      <c r="J10" s="9" t="n">
        <f aca="false">IF(AND(G10=0,H10=0),0,IF(G10=0,"New",(H10-G10)/G10))</f>
        <v>-1</v>
      </c>
    </row>
    <row r="11" customFormat="false" ht="15" hidden="false" customHeight="false" outlineLevel="0" collapsed="false">
      <c r="A11" s="7" t="s">
        <v>48</v>
      </c>
      <c r="B11" s="7" t="str">
        <f aca="false">IFERROR(INDEX('Source 2026'!$C:$C,MATCH($A11,'Source 2026'!$B:$B,0)),IFERROR(INDEX('Source 2025'!$C:$C,MATCH($A11,'Source 2025'!$B:$B,0)),""))</f>
        <v>מישר כתפיים אקטיב</v>
      </c>
      <c r="C11" s="8" t="n">
        <f aca="false">SUMIFS('Source 2025'!$M:$M,'Source 2025'!$B:$B,$A11,'Source 2025'!$A:$A,"Quantity (units)")</f>
        <v>0</v>
      </c>
      <c r="D11" s="8" t="n">
        <f aca="false">SUMIFS('Source 2026'!$M:$M,'Source 2026'!$B:$B,$A11,'Source 2026'!$A:$A,"Quantity (units)")</f>
        <v>4</v>
      </c>
      <c r="E11" s="8" t="n">
        <f aca="false">D11-C11</f>
        <v>4</v>
      </c>
      <c r="F11" s="9" t="str">
        <f aca="false">IF(AND(C11=0,D11=0),0,IF(C11=0,"New",(D11-C11)/C11))</f>
        <v>New</v>
      </c>
      <c r="G11" s="10" t="n">
        <f aca="false">SUMIFS('Source 2025'!$M:$M,'Source 2025'!$B:$B,$A11,'Source 2025'!$A:$A,"Amount (NIS)")</f>
        <v>0</v>
      </c>
      <c r="H11" s="10" t="n">
        <f aca="false">SUMIFS('Source 2026'!$M:$M,'Source 2026'!$B:$B,$A11,'Source 2026'!$A:$A,"Amount (NIS)")</f>
        <v>318.5</v>
      </c>
      <c r="I11" s="10" t="n">
        <f aca="false">H11-G11</f>
        <v>318.5</v>
      </c>
      <c r="J11" s="9" t="str">
        <f aca="false">IF(AND(G11=0,H11=0),0,IF(G11=0,"New",(H11-G11)/G11))</f>
        <v>New</v>
      </c>
    </row>
    <row r="12" customFormat="false" ht="15" hidden="false" customHeight="false" outlineLevel="0" collapsed="false">
      <c r="A12" s="7" t="s">
        <v>127</v>
      </c>
      <c r="B12" s="7" t="str">
        <f aca="false">IFERROR(INDEX('Source 2026'!$C:$C,MATCH($A12,'Source 2026'!$B:$B,0)),IFERROR(INDEX('Source 2025'!$C:$C,MATCH($A12,'Source 2025'!$B:$B,0)),""))</f>
        <v>מתלה ליד לילדים</v>
      </c>
      <c r="C12" s="8" t="n">
        <f aca="false">SUMIFS('Source 2025'!$M:$M,'Source 2025'!$B:$B,$A12,'Source 2025'!$A:$A,"Quantity (units)")</f>
        <v>5</v>
      </c>
      <c r="D12" s="8" t="n">
        <f aca="false">SUMIFS('Source 2026'!$M:$M,'Source 2026'!$B:$B,$A12,'Source 2026'!$A:$A,"Quantity (units)")</f>
        <v>0</v>
      </c>
      <c r="E12" s="8" t="n">
        <f aca="false">D12-C12</f>
        <v>-5</v>
      </c>
      <c r="F12" s="9" t="n">
        <f aca="false">IF(AND(C12=0,D12=0),0,IF(C12=0,"New",(D12-C12)/C12))</f>
        <v>-1</v>
      </c>
      <c r="G12" s="10" t="n">
        <f aca="false">SUMIFS('Source 2025'!$M:$M,'Source 2025'!$B:$B,$A12,'Source 2025'!$A:$A,"Amount (NIS)")</f>
        <v>259.8</v>
      </c>
      <c r="H12" s="10" t="n">
        <f aca="false">SUMIFS('Source 2026'!$M:$M,'Source 2026'!$B:$B,$A12,'Source 2026'!$A:$A,"Amount (NIS)")</f>
        <v>0</v>
      </c>
      <c r="I12" s="10" t="n">
        <f aca="false">H12-G12</f>
        <v>-259.8</v>
      </c>
      <c r="J12" s="9" t="n">
        <f aca="false">IF(AND(G12=0,H12=0),0,IF(G12=0,"New",(H12-G12)/G12))</f>
        <v>-1</v>
      </c>
    </row>
    <row r="13" customFormat="false" ht="15" hidden="false" customHeight="false" outlineLevel="0" collapsed="false">
      <c r="A13" s="7" t="s">
        <v>98</v>
      </c>
      <c r="B13" s="7" t="str">
        <f aca="false">IFERROR(INDEX('Source 2026'!$C:$C,MATCH($A13,'Source 2026'!$B:$B,0)),IFERROR(INDEX('Source 2025'!$C:$C,MATCH($A13,'Source 2025'!$B:$B,0)),""))</f>
        <v>דאודורנט אנטיבק.נעל333</v>
      </c>
      <c r="C13" s="8" t="n">
        <f aca="false">SUMIFS('Source 2025'!$M:$M,'Source 2025'!$B:$B,$A13,'Source 2025'!$A:$A,"Quantity (units)")</f>
        <v>12</v>
      </c>
      <c r="D13" s="8" t="n">
        <f aca="false">SUMIFS('Source 2026'!$M:$M,'Source 2026'!$B:$B,$A13,'Source 2026'!$A:$A,"Quantity (units)")</f>
        <v>0</v>
      </c>
      <c r="E13" s="8" t="n">
        <f aca="false">D13-C13</f>
        <v>-12</v>
      </c>
      <c r="F13" s="9" t="n">
        <f aca="false">IF(AND(C13=0,D13=0),0,IF(C13=0,"New",(D13-C13)/C13))</f>
        <v>-1</v>
      </c>
      <c r="G13" s="10" t="n">
        <f aca="false">SUMIFS('Source 2025'!$M:$M,'Source 2025'!$B:$B,$A13,'Source 2025'!$A:$A,"Amount (NIS)")</f>
        <v>212.3</v>
      </c>
      <c r="H13" s="10" t="n">
        <f aca="false">SUMIFS('Source 2026'!$M:$M,'Source 2026'!$B:$B,$A13,'Source 2026'!$A:$A,"Amount (NIS)")</f>
        <v>0</v>
      </c>
      <c r="I13" s="10" t="n">
        <f aca="false">H13-G13</f>
        <v>-212.3</v>
      </c>
      <c r="J13" s="9" t="n">
        <f aca="false">IF(AND(G13=0,H13=0),0,IF(G13=0,"New",(H13-G13)/G13))</f>
        <v>-1</v>
      </c>
    </row>
    <row r="14" customFormat="false" ht="15" hidden="false" customHeight="false" outlineLevel="0" collapsed="false">
      <c r="A14" s="7" t="s">
        <v>104</v>
      </c>
      <c r="B14" s="7" t="str">
        <f aca="false">IFERROR(INDEX('Source 2026'!$C:$C,MATCH($A14,'Source 2026'!$B:$B,0)),IFERROR(INDEX('Source 2025'!$C:$C,MATCH($A14,'Source 2025'!$B:$B,0)),""))</f>
        <v>מיישר בוניון-האלוקס ולגוס</v>
      </c>
      <c r="C14" s="8" t="n">
        <f aca="false">SUMIFS('Source 2025'!$M:$M,'Source 2025'!$B:$B,$A14,'Source 2025'!$A:$A,"Quantity (units)")</f>
        <v>4</v>
      </c>
      <c r="D14" s="8" t="n">
        <f aca="false">SUMIFS('Source 2026'!$M:$M,'Source 2026'!$B:$B,$A14,'Source 2026'!$A:$A,"Quantity (units)")</f>
        <v>0</v>
      </c>
      <c r="E14" s="8" t="n">
        <f aca="false">D14-C14</f>
        <v>-4</v>
      </c>
      <c r="F14" s="9" t="n">
        <f aca="false">IF(AND(C14=0,D14=0),0,IF(C14=0,"New",(D14-C14)/C14))</f>
        <v>-1</v>
      </c>
      <c r="G14" s="10" t="n">
        <f aca="false">SUMIFS('Source 2025'!$M:$M,'Source 2025'!$B:$B,$A14,'Source 2025'!$A:$A,"Amount (NIS)")</f>
        <v>189</v>
      </c>
      <c r="H14" s="10" t="n">
        <f aca="false">SUMIFS('Source 2026'!$M:$M,'Source 2026'!$B:$B,$A14,'Source 2026'!$A:$A,"Amount (NIS)")</f>
        <v>0</v>
      </c>
      <c r="I14" s="10" t="n">
        <f aca="false">H14-G14</f>
        <v>-189</v>
      </c>
      <c r="J14" s="9" t="n">
        <f aca="false">IF(AND(G14=0,H14=0),0,IF(G14=0,"New",(H14-G14)/G14))</f>
        <v>-1</v>
      </c>
    </row>
    <row r="15" customFormat="false" ht="15" hidden="false" customHeight="false" outlineLevel="0" collapsed="false">
      <c r="A15" s="7" t="s">
        <v>160</v>
      </c>
      <c r="B15" s="7" t="str">
        <f aca="false">IFERROR(INDEX('Source 2026'!$C:$C,MATCH($A15,'Source 2026'!$B:$B,0)),IFERROR(INDEX('Source 2025'!$C:$C,MATCH($A15,'Source 2025'!$B:$B,0)),""))</f>
        <v>סד ליישור אצבע</v>
      </c>
      <c r="C15" s="8" t="n">
        <f aca="false">SUMIFS('Source 2025'!$M:$M,'Source 2025'!$B:$B,$A15,'Source 2025'!$A:$A,"Quantity (units)")</f>
        <v>9</v>
      </c>
      <c r="D15" s="8" t="n">
        <f aca="false">SUMIFS('Source 2026'!$M:$M,'Source 2026'!$B:$B,$A15,'Source 2026'!$A:$A,"Quantity (units)")</f>
        <v>0</v>
      </c>
      <c r="E15" s="8" t="n">
        <f aca="false">D15-C15</f>
        <v>-9</v>
      </c>
      <c r="F15" s="9" t="n">
        <f aca="false">IF(AND(C15=0,D15=0),0,IF(C15=0,"New",(D15-C15)/C15))</f>
        <v>-1</v>
      </c>
      <c r="G15" s="10" t="n">
        <f aca="false">SUMIFS('Source 2025'!$M:$M,'Source 2025'!$B:$B,$A15,'Source 2025'!$A:$A,"Amount (NIS)")</f>
        <v>180.9</v>
      </c>
      <c r="H15" s="10" t="n">
        <f aca="false">SUMIFS('Source 2026'!$M:$M,'Source 2026'!$B:$B,$A15,'Source 2026'!$A:$A,"Amount (NIS)")</f>
        <v>0</v>
      </c>
      <c r="I15" s="10" t="n">
        <f aca="false">H15-G15</f>
        <v>-180.9</v>
      </c>
      <c r="J15" s="9" t="n">
        <f aca="false">IF(AND(G15=0,H15=0),0,IF(G15=0,"New",(H15-G15)/G15))</f>
        <v>-1</v>
      </c>
    </row>
    <row r="16" customFormat="false" ht="15" hidden="false" customHeight="false" outlineLevel="0" collapsed="false">
      <c r="A16" s="7" t="s">
        <v>176</v>
      </c>
      <c r="B16" s="7" t="str">
        <f aca="false">IFERROR(INDEX('Source 2026'!$C:$C,MATCH($A16,'Source 2026'!$B:$B,0)),IFERROR(INDEX('Source 2025'!$C:$C,MATCH($A16,'Source 2025'!$B:$B,0)),""))</f>
        <v>סד לאגודל</v>
      </c>
      <c r="C16" s="8" t="n">
        <f aca="false">SUMIFS('Source 2025'!$M:$M,'Source 2025'!$B:$B,$A16,'Source 2025'!$A:$A,"Quantity (units)")</f>
        <v>9</v>
      </c>
      <c r="D16" s="8" t="n">
        <f aca="false">SUMIFS('Source 2026'!$M:$M,'Source 2026'!$B:$B,$A16,'Source 2026'!$A:$A,"Quantity (units)")</f>
        <v>3</v>
      </c>
      <c r="E16" s="8" t="n">
        <f aca="false">D16-C16</f>
        <v>-6</v>
      </c>
      <c r="F16" s="9" t="n">
        <f aca="false">IF(AND(C16=0,D16=0),0,IF(C16=0,"New",(D16-C16)/C16))</f>
        <v>-0.666666666666667</v>
      </c>
      <c r="G16" s="10" t="n">
        <f aca="false">SUMIFS('Source 2025'!$M:$M,'Source 2025'!$B:$B,$A16,'Source 2025'!$A:$A,"Amount (NIS)")</f>
        <v>268.9</v>
      </c>
      <c r="H16" s="10" t="n">
        <f aca="false">SUMIFS('Source 2026'!$M:$M,'Source 2026'!$B:$B,$A16,'Source 2026'!$A:$A,"Amount (NIS)")</f>
        <v>126.4</v>
      </c>
      <c r="I16" s="10" t="n">
        <f aca="false">H16-G16</f>
        <v>-142.5</v>
      </c>
      <c r="J16" s="9" t="n">
        <f aca="false">IF(AND(G16=0,H16=0),0,IF(G16=0,"New",(H16-G16)/G16))</f>
        <v>-0.529936779471923</v>
      </c>
    </row>
    <row r="17" customFormat="false" ht="15" hidden="false" customHeight="false" outlineLevel="0" collapsed="false">
      <c r="A17" s="7" t="s">
        <v>301</v>
      </c>
      <c r="B17" s="7" t="str">
        <f aca="false">IFERROR(INDEX('Source 2026'!$C:$C,MATCH($A17,'Source 2026'!$B:$B,0)),IFERROR(INDEX('Source 2025'!$C:$C,MATCH($A17,'Source 2025'!$B:$B,0)),""))</f>
        <v>רפידת ג'ל כחול36-40</v>
      </c>
      <c r="C17" s="8" t="n">
        <f aca="false">SUMIFS('Source 2025'!$M:$M,'Source 2025'!$B:$B,$A17,'Source 2025'!$A:$A,"Quantity (units)")</f>
        <v>0</v>
      </c>
      <c r="D17" s="8" t="n">
        <f aca="false">SUMIFS('Source 2026'!$M:$M,'Source 2026'!$B:$B,$A17,'Source 2026'!$A:$A,"Quantity (units)")</f>
        <v>-2</v>
      </c>
      <c r="E17" s="8" t="n">
        <f aca="false">D17-C17</f>
        <v>-2</v>
      </c>
      <c r="F17" s="9" t="str">
        <f aca="false">IF(AND(C17=0,D17=0),0,IF(C17=0,"New",(D17-C17)/C17))</f>
        <v>New</v>
      </c>
      <c r="G17" s="10" t="n">
        <f aca="false">SUMIFS('Source 2025'!$M:$M,'Source 2025'!$B:$B,$A17,'Source 2025'!$A:$A,"Amount (NIS)")</f>
        <v>-7.2</v>
      </c>
      <c r="H17" s="10" t="n">
        <f aca="false">SUMIFS('Source 2026'!$M:$M,'Source 2026'!$B:$B,$A17,'Source 2026'!$A:$A,"Amount (NIS)")</f>
        <v>-146.6</v>
      </c>
      <c r="I17" s="10" t="n">
        <f aca="false">H17-G17</f>
        <v>-139.4</v>
      </c>
      <c r="J17" s="9" t="n">
        <f aca="false">IF(AND(G17=0,H17=0),0,IF(G17=0,"New",(H17-G17)/G17))</f>
        <v>19.3611111111111</v>
      </c>
    </row>
    <row r="18" customFormat="false" ht="15" hidden="false" customHeight="false" outlineLevel="0" collapsed="false">
      <c r="A18" s="7" t="s">
        <v>169</v>
      </c>
      <c r="B18" s="7" t="str">
        <f aca="false">IFERROR(INDEX('Source 2026'!$C:$C,MATCH($A18,'Source 2026'!$B:$B,0)),IFERROR(INDEX('Source 2025'!$C:$C,MATCH($A18,'Source 2025'!$B:$B,0)),""))</f>
        <v>S-Lטבעת אלסטית מסיליקון</v>
      </c>
      <c r="C18" s="8" t="n">
        <f aca="false">SUMIFS('Source 2025'!$M:$M,'Source 2025'!$B:$B,$A18,'Source 2025'!$A:$A,"Quantity (units)")</f>
        <v>10</v>
      </c>
      <c r="D18" s="8" t="n">
        <f aca="false">SUMIFS('Source 2026'!$M:$M,'Source 2026'!$B:$B,$A18,'Source 2026'!$A:$A,"Quantity (units)")</f>
        <v>0</v>
      </c>
      <c r="E18" s="8" t="n">
        <f aca="false">D18-C18</f>
        <v>-10</v>
      </c>
      <c r="F18" s="9" t="n">
        <f aca="false">IF(AND(C18=0,D18=0),0,IF(C18=0,"New",(D18-C18)/C18))</f>
        <v>-1</v>
      </c>
      <c r="G18" s="10" t="n">
        <f aca="false">SUMIFS('Source 2025'!$M:$M,'Source 2025'!$B:$B,$A18,'Source 2025'!$A:$A,"Amount (NIS)")</f>
        <v>136.7</v>
      </c>
      <c r="H18" s="10" t="n">
        <f aca="false">SUMIFS('Source 2026'!$M:$M,'Source 2026'!$B:$B,$A18,'Source 2026'!$A:$A,"Amount (NIS)")</f>
        <v>0</v>
      </c>
      <c r="I18" s="10" t="n">
        <f aca="false">H18-G18</f>
        <v>-136.7</v>
      </c>
      <c r="J18" s="9" t="n">
        <f aca="false">IF(AND(G18=0,H18=0),0,IF(G18=0,"New",(H18-G18)/G18))</f>
        <v>-1</v>
      </c>
    </row>
    <row r="19" customFormat="false" ht="15" hidden="false" customHeight="false" outlineLevel="0" collapsed="false">
      <c r="A19" s="7" t="s">
        <v>294</v>
      </c>
      <c r="B19" s="7" t="str">
        <f aca="false">IFERROR(INDEX('Source 2026'!$C:$C,MATCH($A19,'Source 2026'!$B:$B,0)),IFERROR(INDEX('Source 2025'!$C:$C,MATCH($A19,'Source 2025'!$B:$B,0)),""))</f>
        <v>מגן קרסול נושם</v>
      </c>
      <c r="C19" s="8" t="n">
        <f aca="false">SUMIFS('Source 2025'!$M:$M,'Source 2025'!$B:$B,$A19,'Source 2025'!$A:$A,"Quantity (units)")</f>
        <v>9</v>
      </c>
      <c r="D19" s="8" t="n">
        <f aca="false">SUMIFS('Source 2026'!$M:$M,'Source 2026'!$B:$B,$A19,'Source 2026'!$A:$A,"Quantity (units)")</f>
        <v>5</v>
      </c>
      <c r="E19" s="8" t="n">
        <f aca="false">D19-C19</f>
        <v>-4</v>
      </c>
      <c r="F19" s="9" t="n">
        <f aca="false">IF(AND(C19=0,D19=0),0,IF(C19=0,"New",(D19-C19)/C19))</f>
        <v>-0.444444444444444</v>
      </c>
      <c r="G19" s="10" t="n">
        <f aca="false">SUMIFS('Source 2025'!$M:$M,'Source 2025'!$B:$B,$A19,'Source 2025'!$A:$A,"Amount (NIS)")</f>
        <v>321.7</v>
      </c>
      <c r="H19" s="10" t="n">
        <f aca="false">SUMIFS('Source 2026'!$M:$M,'Source 2026'!$B:$B,$A19,'Source 2026'!$A:$A,"Amount (NIS)")</f>
        <v>187.3</v>
      </c>
      <c r="I19" s="10" t="n">
        <f aca="false">H19-G19</f>
        <v>-134.4</v>
      </c>
      <c r="J19" s="9" t="n">
        <f aca="false">IF(AND(G19=0,H19=0),0,IF(G19=0,"New",(H19-G19)/G19))</f>
        <v>-0.417780540876593</v>
      </c>
    </row>
    <row r="20" customFormat="false" ht="15" hidden="false" customHeight="false" outlineLevel="0" collapsed="false">
      <c r="A20" s="7" t="s">
        <v>100</v>
      </c>
      <c r="B20" s="7" t="str">
        <f aca="false">IFERROR(INDEX('Source 2026'!$C:$C,MATCH($A20,'Source 2026'!$B:$B,0)),IFERROR(INDEX('Source 2025'!$C:$C,MATCH($A20,'Source 2025'!$B:$B,0)),""))</f>
        <v>L חבק יד מתכוון עם צמדן</v>
      </c>
      <c r="C20" s="8" t="n">
        <f aca="false">SUMIFS('Source 2025'!$M:$M,'Source 2025'!$B:$B,$A20,'Source 2025'!$A:$A,"Quantity (units)")</f>
        <v>2</v>
      </c>
      <c r="D20" s="8" t="n">
        <f aca="false">SUMIFS('Source 2026'!$M:$M,'Source 2026'!$B:$B,$A20,'Source 2026'!$A:$A,"Quantity (units)")</f>
        <v>6</v>
      </c>
      <c r="E20" s="8" t="n">
        <f aca="false">D20-C20</f>
        <v>4</v>
      </c>
      <c r="F20" s="9" t="n">
        <f aca="false">IF(AND(C20=0,D20=0),0,IF(C20=0,"New",(D20-C20)/C20))</f>
        <v>2</v>
      </c>
      <c r="G20" s="10" t="n">
        <f aca="false">SUMIFS('Source 2025'!$M:$M,'Source 2025'!$B:$B,$A20,'Source 2025'!$A:$A,"Amount (NIS)")</f>
        <v>66</v>
      </c>
      <c r="H20" s="10" t="n">
        <f aca="false">SUMIFS('Source 2026'!$M:$M,'Source 2026'!$B:$B,$A20,'Source 2026'!$A:$A,"Amount (NIS)")</f>
        <v>199.5</v>
      </c>
      <c r="I20" s="10" t="n">
        <f aca="false">H20-G20</f>
        <v>133.5</v>
      </c>
      <c r="J20" s="9" t="n">
        <f aca="false">IF(AND(G20=0,H20=0),0,IF(G20=0,"New",(H20-G20)/G20))</f>
        <v>2.02272727272727</v>
      </c>
    </row>
    <row r="21" customFormat="false" ht="15" hidden="false" customHeight="false" outlineLevel="0" collapsed="false">
      <c r="A21" s="7" t="s">
        <v>43</v>
      </c>
      <c r="B21" s="7" t="str">
        <f aca="false">IFERROR(INDEX('Source 2026'!$C:$C,MATCH($A21,'Source 2026'!$B:$B,0)),IFERROR(INDEX('Source 2025'!$C:$C,MATCH($A21,'Source 2025'!$B:$B,0)),""))</f>
        <v>S מגן קרסול חום</v>
      </c>
      <c r="C21" s="8" t="n">
        <f aca="false">SUMIFS('Source 2025'!$M:$M,'Source 2025'!$B:$B,$A21,'Source 2025'!$A:$A,"Quantity (units)")</f>
        <v>0</v>
      </c>
      <c r="D21" s="8" t="n">
        <f aca="false">SUMIFS('Source 2026'!$M:$M,'Source 2026'!$B:$B,$A21,'Source 2026'!$A:$A,"Quantity (units)")</f>
        <v>4</v>
      </c>
      <c r="E21" s="8" t="n">
        <f aca="false">D21-C21</f>
        <v>4</v>
      </c>
      <c r="F21" s="9" t="str">
        <f aca="false">IF(AND(C21=0,D21=0),0,IF(C21=0,"New",(D21-C21)/C21))</f>
        <v>New</v>
      </c>
      <c r="G21" s="10" t="n">
        <f aca="false">SUMIFS('Source 2025'!$M:$M,'Source 2025'!$B:$B,$A21,'Source 2025'!$A:$A,"Amount (NIS)")</f>
        <v>0</v>
      </c>
      <c r="H21" s="10" t="n">
        <f aca="false">SUMIFS('Source 2026'!$M:$M,'Source 2026'!$B:$B,$A21,'Source 2026'!$A:$A,"Amount (NIS)")</f>
        <v>123.6</v>
      </c>
      <c r="I21" s="10" t="n">
        <f aca="false">H21-G21</f>
        <v>123.6</v>
      </c>
      <c r="J21" s="9" t="str">
        <f aca="false">IF(AND(G21=0,H21=0),0,IF(G21=0,"New",(H21-G21)/G21))</f>
        <v>New</v>
      </c>
    </row>
    <row r="22" customFormat="false" ht="15" hidden="false" customHeight="false" outlineLevel="0" collapsed="false">
      <c r="A22" s="7" t="s">
        <v>91</v>
      </c>
      <c r="B22" s="7" t="str">
        <f aca="false">IFERROR(INDEX('Source 2026'!$C:$C,MATCH($A22,'Source 2026'!$B:$B,0)),IFERROR(INDEX('Source 2025'!$C:$C,MATCH($A22,'Source 2025'!$B:$B,0)),""))</f>
        <v>בליסטר פלסטר</v>
      </c>
      <c r="C22" s="8" t="n">
        <f aca="false">SUMIFS('Source 2025'!$M:$M,'Source 2025'!$B:$B,$A22,'Source 2025'!$A:$A,"Quantity (units)")</f>
        <v>3</v>
      </c>
      <c r="D22" s="8" t="n">
        <f aca="false">SUMIFS('Source 2026'!$M:$M,'Source 2026'!$B:$B,$A22,'Source 2026'!$A:$A,"Quantity (units)")</f>
        <v>8</v>
      </c>
      <c r="E22" s="8" t="n">
        <f aca="false">D22-C22</f>
        <v>5</v>
      </c>
      <c r="F22" s="9" t="n">
        <f aca="false">IF(AND(C22=0,D22=0),0,IF(C22=0,"New",(D22-C22)/C22))</f>
        <v>1.66666666666667</v>
      </c>
      <c r="G22" s="10" t="n">
        <f aca="false">SUMIFS('Source 2025'!$M:$M,'Source 2025'!$B:$B,$A22,'Source 2025'!$A:$A,"Amount (NIS)")</f>
        <v>58.9</v>
      </c>
      <c r="H22" s="10" t="n">
        <f aca="false">SUMIFS('Source 2026'!$M:$M,'Source 2026'!$B:$B,$A22,'Source 2026'!$A:$A,"Amount (NIS)")</f>
        <v>157.1</v>
      </c>
      <c r="I22" s="10" t="n">
        <f aca="false">H22-G22</f>
        <v>98.2</v>
      </c>
      <c r="J22" s="9" t="n">
        <f aca="false">IF(AND(G22=0,H22=0),0,IF(G22=0,"New",(H22-G22)/G22))</f>
        <v>1.66723259762309</v>
      </c>
    </row>
    <row r="23" customFormat="false" ht="15" hidden="false" customHeight="false" outlineLevel="0" collapsed="false">
      <c r="A23" s="7" t="s">
        <v>286</v>
      </c>
      <c r="B23" s="7" t="str">
        <f aca="false">IFERROR(INDEX('Source 2026'!$C:$C,MATCH($A23,'Source 2026'!$B:$B,0)),IFERROR(INDEX('Source 2025'!$C:$C,MATCH($A23,'Source 2025'!$B:$B,0)),""))</f>
        <v>רפידת נוחות-זוג</v>
      </c>
      <c r="C23" s="8" t="n">
        <f aca="false">SUMIFS('Source 2025'!$M:$M,'Source 2025'!$B:$B,$A23,'Source 2025'!$A:$A,"Quantity (units)")</f>
        <v>6</v>
      </c>
      <c r="D23" s="8" t="n">
        <f aca="false">SUMIFS('Source 2026'!$M:$M,'Source 2026'!$B:$B,$A23,'Source 2026'!$A:$A,"Quantity (units)")</f>
        <v>14</v>
      </c>
      <c r="E23" s="8" t="n">
        <f aca="false">D23-C23</f>
        <v>8</v>
      </c>
      <c r="F23" s="9" t="n">
        <f aca="false">IF(AND(C23=0,D23=0),0,IF(C23=0,"New",(D23-C23)/C23))</f>
        <v>1.33333333333333</v>
      </c>
      <c r="G23" s="10" t="n">
        <f aca="false">SUMIFS('Source 2025'!$M:$M,'Source 2025'!$B:$B,$A23,'Source 2025'!$A:$A,"Amount (NIS)")</f>
        <v>78.5</v>
      </c>
      <c r="H23" s="10" t="n">
        <f aca="false">SUMIFS('Source 2026'!$M:$M,'Source 2026'!$B:$B,$A23,'Source 2026'!$A:$A,"Amount (NIS)")</f>
        <v>172.7</v>
      </c>
      <c r="I23" s="10" t="n">
        <f aca="false">H23-G23</f>
        <v>94.2</v>
      </c>
      <c r="J23" s="9" t="n">
        <f aca="false">IF(AND(G23=0,H23=0),0,IF(G23=0,"New",(H23-G23)/G23))</f>
        <v>1.2</v>
      </c>
    </row>
    <row r="24" customFormat="false" ht="15" hidden="false" customHeight="false" outlineLevel="0" collapsed="false">
      <c r="A24" s="7" t="s">
        <v>266</v>
      </c>
      <c r="B24" s="7" t="str">
        <f aca="false">IFERROR(INDEX('Source 2026'!$C:$C,MATCH($A24,'Source 2026'!$B:$B,0)),IFERROR(INDEX('Source 2025'!$C:$C,MATCH($A24,'Source 2025'!$B:$B,0)),""))</f>
        <v>חגורת גב עם תמיכות</v>
      </c>
      <c r="C24" s="8" t="n">
        <f aca="false">SUMIFS('Source 2025'!$M:$M,'Source 2025'!$B:$B,$A24,'Source 2025'!$A:$A,"Quantity (units)")</f>
        <v>6</v>
      </c>
      <c r="D24" s="8" t="n">
        <f aca="false">SUMIFS('Source 2026'!$M:$M,'Source 2026'!$B:$B,$A24,'Source 2026'!$A:$A,"Quantity (units)")</f>
        <v>5</v>
      </c>
      <c r="E24" s="8" t="n">
        <f aca="false">D24-C24</f>
        <v>-1</v>
      </c>
      <c r="F24" s="9" t="n">
        <f aca="false">IF(AND(C24=0,D24=0),0,IF(C24=0,"New",(D24-C24)/C24))</f>
        <v>-0.166666666666667</v>
      </c>
      <c r="G24" s="10" t="n">
        <f aca="false">SUMIFS('Source 2025'!$M:$M,'Source 2025'!$B:$B,$A24,'Source 2025'!$A:$A,"Amount (NIS)")</f>
        <v>562.2</v>
      </c>
      <c r="H24" s="10" t="n">
        <f aca="false">SUMIFS('Source 2026'!$M:$M,'Source 2026'!$B:$B,$A24,'Source 2026'!$A:$A,"Amount (NIS)")</f>
        <v>468.5</v>
      </c>
      <c r="I24" s="10" t="n">
        <f aca="false">H24-G24</f>
        <v>-93.7000000000001</v>
      </c>
      <c r="J24" s="9" t="n">
        <f aca="false">IF(AND(G24=0,H24=0),0,IF(G24=0,"New",(H24-G24)/G24))</f>
        <v>-0.166666666666667</v>
      </c>
    </row>
    <row r="25" customFormat="false" ht="15" hidden="false" customHeight="false" outlineLevel="0" collapsed="false">
      <c r="A25" s="7" t="s">
        <v>59</v>
      </c>
      <c r="B25" s="7" t="str">
        <f aca="false">IFERROR(INDEX('Source 2026'!$C:$C,MATCH($A25,'Source 2026'!$B:$B,0)),IFERROR(INDEX('Source 2025'!$C:$C,MATCH($A25,'Source 2025'!$B:$B,0)),""))</f>
        <v>יד אגודלי</v>
      </c>
      <c r="C25" s="8" t="n">
        <f aca="false">SUMIFS('Source 2025'!$M:$M,'Source 2025'!$B:$B,$A25,'Source 2025'!$A:$A,"Quantity (units)")</f>
        <v>7</v>
      </c>
      <c r="D25" s="8" t="n">
        <f aca="false">SUMIFS('Source 2026'!$M:$M,'Source 2026'!$B:$B,$A25,'Source 2026'!$A:$A,"Quantity (units)")</f>
        <v>5</v>
      </c>
      <c r="E25" s="8" t="n">
        <f aca="false">D25-C25</f>
        <v>-2</v>
      </c>
      <c r="F25" s="9" t="n">
        <f aca="false">IF(AND(C25=0,D25=0),0,IF(C25=0,"New",(D25-C25)/C25))</f>
        <v>-0.285714285714286</v>
      </c>
      <c r="G25" s="10" t="n">
        <f aca="false">SUMIFS('Source 2025'!$M:$M,'Source 2025'!$B:$B,$A25,'Source 2025'!$A:$A,"Amount (NIS)")</f>
        <v>327.8</v>
      </c>
      <c r="H25" s="10" t="n">
        <f aca="false">SUMIFS('Source 2026'!$M:$M,'Source 2026'!$B:$B,$A25,'Source 2026'!$A:$A,"Amount (NIS)")</f>
        <v>234.1</v>
      </c>
      <c r="I25" s="10" t="n">
        <f aca="false">H25-G25</f>
        <v>-93.7</v>
      </c>
      <c r="J25" s="9" t="n">
        <f aca="false">IF(AND(G25=0,H25=0),0,IF(G25=0,"New",(H25-G25)/G25))</f>
        <v>-0.285845027455766</v>
      </c>
    </row>
    <row r="26" customFormat="false" ht="15" hidden="false" customHeight="false" outlineLevel="0" collapsed="false">
      <c r="A26" s="7" t="s">
        <v>272</v>
      </c>
      <c r="B26" s="7" t="str">
        <f aca="false">IFERROR(INDEX('Source 2026'!$C:$C,MATCH($A26,'Source 2026'!$B:$B,0)),IFERROR(INDEX('Source 2025'!$C:$C,MATCH($A26,'Source 2025'!$B:$B,0)),""))</f>
        <v>סד לש.כף יד שמאל</v>
      </c>
      <c r="C26" s="8" t="n">
        <f aca="false">SUMIFS('Source 2025'!$M:$M,'Source 2025'!$B:$B,$A26,'Source 2025'!$A:$A,"Quantity (units)")</f>
        <v>0</v>
      </c>
      <c r="D26" s="8" t="n">
        <f aca="false">SUMIFS('Source 2026'!$M:$M,'Source 2026'!$B:$B,$A26,'Source 2026'!$A:$A,"Quantity (units)")</f>
        <v>2</v>
      </c>
      <c r="E26" s="8" t="n">
        <f aca="false">D26-C26</f>
        <v>2</v>
      </c>
      <c r="F26" s="9" t="str">
        <f aca="false">IF(AND(C26=0,D26=0),0,IF(C26=0,"New",(D26-C26)/C26))</f>
        <v>New</v>
      </c>
      <c r="G26" s="10" t="n">
        <f aca="false">SUMIFS('Source 2025'!$M:$M,'Source 2025'!$B:$B,$A26,'Source 2025'!$A:$A,"Amount (NIS)")</f>
        <v>0</v>
      </c>
      <c r="H26" s="10" t="n">
        <f aca="false">SUMIFS('Source 2026'!$M:$M,'Source 2026'!$B:$B,$A26,'Source 2026'!$A:$A,"Amount (NIS)")</f>
        <v>93.6</v>
      </c>
      <c r="I26" s="10" t="n">
        <f aca="false">H26-G26</f>
        <v>93.6</v>
      </c>
      <c r="J26" s="9" t="str">
        <f aca="false">IF(AND(G26=0,H26=0),0,IF(G26=0,"New",(H26-G26)/G26))</f>
        <v>New</v>
      </c>
    </row>
    <row r="27" customFormat="false" ht="15" hidden="false" customHeight="false" outlineLevel="0" collapsed="false">
      <c r="A27" s="7" t="s">
        <v>49</v>
      </c>
      <c r="B27" s="7" t="str">
        <f aca="false">IFERROR(INDEX('Source 2026'!$C:$C,MATCH($A27,'Source 2026'!$B:$B,0)),IFERROR(INDEX('Source 2025'!$C:$C,MATCH($A27,'Source 2025'!$B:$B,0)),""))</f>
        <v>S מגן ברך חום</v>
      </c>
      <c r="C27" s="8" t="n">
        <f aca="false">SUMIFS('Source 2025'!$M:$M,'Source 2025'!$B:$B,$A27,'Source 2025'!$A:$A,"Quantity (units)")</f>
        <v>0</v>
      </c>
      <c r="D27" s="8" t="n">
        <f aca="false">SUMIFS('Source 2026'!$M:$M,'Source 2026'!$B:$B,$A27,'Source 2026'!$A:$A,"Quantity (units)")</f>
        <v>3</v>
      </c>
      <c r="E27" s="8" t="n">
        <f aca="false">D27-C27</f>
        <v>3</v>
      </c>
      <c r="F27" s="9" t="str">
        <f aca="false">IF(AND(C27=0,D27=0),0,IF(C27=0,"New",(D27-C27)/C27))</f>
        <v>New</v>
      </c>
      <c r="G27" s="10" t="n">
        <f aca="false">SUMIFS('Source 2025'!$M:$M,'Source 2025'!$B:$B,$A27,'Source 2025'!$A:$A,"Amount (NIS)")</f>
        <v>0</v>
      </c>
      <c r="H27" s="10" t="n">
        <f aca="false">SUMIFS('Source 2026'!$M:$M,'Source 2026'!$B:$B,$A27,'Source 2026'!$A:$A,"Amount (NIS)")</f>
        <v>92.7</v>
      </c>
      <c r="I27" s="10" t="n">
        <f aca="false">H27-G27</f>
        <v>92.7</v>
      </c>
      <c r="J27" s="9" t="str">
        <f aca="false">IF(AND(G27=0,H27=0),0,IF(G27=0,"New",(H27-G27)/G27))</f>
        <v>New</v>
      </c>
    </row>
    <row r="28" customFormat="false" ht="15" hidden="false" customHeight="false" outlineLevel="0" collapsed="false">
      <c r="A28" s="7" t="s">
        <v>136</v>
      </c>
      <c r="B28" s="7" t="str">
        <f aca="false">IFERROR(INDEX('Source 2026'!$C:$C,MATCH($A28,'Source 2026'!$B:$B,0)),IFERROR(INDEX('Source 2025'!$C:$C,MATCH($A28,'Source 2025'!$B:$B,0)),""))</f>
        <v>תחבושת אלסטית מקררת</v>
      </c>
      <c r="C28" s="8" t="n">
        <f aca="false">SUMIFS('Source 2025'!$M:$M,'Source 2025'!$B:$B,$A28,'Source 2025'!$A:$A,"Quantity (units)")</f>
        <v>2</v>
      </c>
      <c r="D28" s="8" t="n">
        <f aca="false">SUMIFS('Source 2026'!$M:$M,'Source 2026'!$B:$B,$A28,'Source 2026'!$A:$A,"Quantity (units)")</f>
        <v>6</v>
      </c>
      <c r="E28" s="8" t="n">
        <f aca="false">D28-C28</f>
        <v>4</v>
      </c>
      <c r="F28" s="9" t="n">
        <f aca="false">IF(AND(C28=0,D28=0),0,IF(C28=0,"New",(D28-C28)/C28))</f>
        <v>2</v>
      </c>
      <c r="G28" s="10" t="n">
        <f aca="false">SUMIFS('Source 2025'!$M:$M,'Source 2025'!$B:$B,$A28,'Source 2025'!$A:$A,"Amount (NIS)")</f>
        <v>40</v>
      </c>
      <c r="H28" s="10" t="n">
        <f aca="false">SUMIFS('Source 2026'!$M:$M,'Source 2026'!$B:$B,$A28,'Source 2026'!$A:$A,"Amount (NIS)")</f>
        <v>129.1</v>
      </c>
      <c r="I28" s="10" t="n">
        <f aca="false">H28-G28</f>
        <v>89.1</v>
      </c>
      <c r="J28" s="9" t="n">
        <f aca="false">IF(AND(G28=0,H28=0),0,IF(G28=0,"New",(H28-G28)/G28))</f>
        <v>2.2275</v>
      </c>
    </row>
    <row r="29" customFormat="false" ht="15" hidden="false" customHeight="false" outlineLevel="0" collapsed="false">
      <c r="A29" s="7" t="s">
        <v>90</v>
      </c>
      <c r="B29" s="7" t="str">
        <f aca="false">IFERROR(INDEX('Source 2026'!$C:$C,MATCH($A29,'Source 2026'!$B:$B,0)),IFERROR(INDEX('Source 2025'!$C:$C,MATCH($A29,'Source 2025'!$B:$B,0)),""))</f>
        <v>מטטרזלי סיליקון362</v>
      </c>
      <c r="C29" s="8" t="n">
        <f aca="false">SUMIFS('Source 2025'!$M:$M,'Source 2025'!$B:$B,$A29,'Source 2025'!$A:$A,"Quantity (units)")</f>
        <v>3</v>
      </c>
      <c r="D29" s="8" t="n">
        <f aca="false">SUMIFS('Source 2026'!$M:$M,'Source 2026'!$B:$B,$A29,'Source 2026'!$A:$A,"Quantity (units)")</f>
        <v>0</v>
      </c>
      <c r="E29" s="8" t="n">
        <f aca="false">D29-C29</f>
        <v>-3</v>
      </c>
      <c r="F29" s="9" t="n">
        <f aca="false">IF(AND(C29=0,D29=0),0,IF(C29=0,"New",(D29-C29)/C29))</f>
        <v>-1</v>
      </c>
      <c r="G29" s="10" t="n">
        <f aca="false">SUMIFS('Source 2025'!$M:$M,'Source 2025'!$B:$B,$A29,'Source 2025'!$A:$A,"Amount (NIS)")</f>
        <v>80.6</v>
      </c>
      <c r="H29" s="10" t="n">
        <f aca="false">SUMIFS('Source 2026'!$M:$M,'Source 2026'!$B:$B,$A29,'Source 2026'!$A:$A,"Amount (NIS)")</f>
        <v>0</v>
      </c>
      <c r="I29" s="10" t="n">
        <f aca="false">H29-G29</f>
        <v>-80.6</v>
      </c>
      <c r="J29" s="9" t="n">
        <f aca="false">IF(AND(G29=0,H29=0),0,IF(G29=0,"New",(H29-G29)/G29))</f>
        <v>-1</v>
      </c>
    </row>
    <row r="30" customFormat="false" ht="15" hidden="false" customHeight="false" outlineLevel="0" collapsed="false">
      <c r="A30" s="7" t="s">
        <v>175</v>
      </c>
      <c r="B30" s="7" t="str">
        <f aca="false">IFERROR(INDEX('Source 2026'!$C:$C,MATCH($A30,'Source 2026'!$B:$B,0)),IFERROR(INDEX('Source 2025'!$C:$C,MATCH($A30,'Source 2025'!$B:$B,0)),""))</f>
        <v>סד ליישור אצבע</v>
      </c>
      <c r="C30" s="8" t="n">
        <f aca="false">SUMIFS('Source 2025'!$M:$M,'Source 2025'!$B:$B,$A30,'Source 2025'!$A:$A,"Quantity (units)")</f>
        <v>4</v>
      </c>
      <c r="D30" s="8" t="n">
        <f aca="false">SUMIFS('Source 2026'!$M:$M,'Source 2026'!$B:$B,$A30,'Source 2026'!$A:$A,"Quantity (units)")</f>
        <v>0</v>
      </c>
      <c r="E30" s="8" t="n">
        <f aca="false">D30-C30</f>
        <v>-4</v>
      </c>
      <c r="F30" s="9" t="n">
        <f aca="false">IF(AND(C30=0,D30=0),0,IF(C30=0,"New",(D30-C30)/C30))</f>
        <v>-1</v>
      </c>
      <c r="G30" s="10" t="n">
        <f aca="false">SUMIFS('Source 2025'!$M:$M,'Source 2025'!$B:$B,$A30,'Source 2025'!$A:$A,"Amount (NIS)")</f>
        <v>80.4</v>
      </c>
      <c r="H30" s="10" t="n">
        <f aca="false">SUMIFS('Source 2026'!$M:$M,'Source 2026'!$B:$B,$A30,'Source 2026'!$A:$A,"Amount (NIS)")</f>
        <v>0</v>
      </c>
      <c r="I30" s="10" t="n">
        <f aca="false">H30-G30</f>
        <v>-80.4</v>
      </c>
      <c r="J30" s="9" t="n">
        <f aca="false">IF(AND(G30=0,H30=0),0,IF(G30=0,"New",(H30-G30)/G30))</f>
        <v>-1</v>
      </c>
    </row>
    <row r="31" customFormat="false" ht="15" hidden="false" customHeight="false" outlineLevel="0" collapsed="false">
      <c r="A31" s="7" t="s">
        <v>69</v>
      </c>
      <c r="B31" s="7" t="str">
        <f aca="false">IFERROR(INDEX('Source 2026'!$C:$C,MATCH($A31,'Source 2026'!$B:$B,0)),IFERROR(INDEX('Source 2025'!$C:$C,MATCH($A31,'Source 2025'!$B:$B,0)),""))</f>
        <v>לציפורן חודרנית</v>
      </c>
      <c r="C31" s="8" t="n">
        <f aca="false">SUMIFS('Source 2025'!$M:$M,'Source 2025'!$B:$B,$A31,'Source 2025'!$A:$A,"Quantity (units)")</f>
        <v>2</v>
      </c>
      <c r="D31" s="8" t="n">
        <f aca="false">SUMIFS('Source 2026'!$M:$M,'Source 2026'!$B:$B,$A31,'Source 2026'!$A:$A,"Quantity (units)")</f>
        <v>0</v>
      </c>
      <c r="E31" s="8" t="n">
        <f aca="false">D31-C31</f>
        <v>-2</v>
      </c>
      <c r="F31" s="9" t="n">
        <f aca="false">IF(AND(C31=0,D31=0),0,IF(C31=0,"New",(D31-C31)/C31))</f>
        <v>-1</v>
      </c>
      <c r="G31" s="10" t="n">
        <f aca="false">SUMIFS('Source 2025'!$M:$M,'Source 2025'!$B:$B,$A31,'Source 2025'!$A:$A,"Amount (NIS)")</f>
        <v>72.7</v>
      </c>
      <c r="H31" s="10" t="n">
        <f aca="false">SUMIFS('Source 2026'!$M:$M,'Source 2026'!$B:$B,$A31,'Source 2026'!$A:$A,"Amount (NIS)")</f>
        <v>0</v>
      </c>
      <c r="I31" s="10" t="n">
        <f aca="false">H31-G31</f>
        <v>-72.7</v>
      </c>
      <c r="J31" s="9" t="n">
        <f aca="false">IF(AND(G31=0,H31=0),0,IF(G31=0,"New",(H31-G31)/G31))</f>
        <v>-1</v>
      </c>
    </row>
    <row r="32" customFormat="false" ht="15" hidden="false" customHeight="false" outlineLevel="0" collapsed="false">
      <c r="A32" s="7" t="s">
        <v>110</v>
      </c>
      <c r="B32" s="7" t="str">
        <f aca="false">IFERROR(INDEX('Source 2026'!$C:$C,MATCH($A32,'Source 2026'!$B:$B,0)),IFERROR(INDEX('Source 2025'!$C:$C,MATCH($A32,'Source 2025'!$B:$B,0)),""))</f>
        <v>חבק טניס</v>
      </c>
      <c r="C32" s="8" t="n">
        <f aca="false">SUMIFS('Source 2025'!$M:$M,'Source 2025'!$B:$B,$A32,'Source 2025'!$A:$A,"Quantity (units)")</f>
        <v>2</v>
      </c>
      <c r="D32" s="8" t="n">
        <f aca="false">SUMIFS('Source 2026'!$M:$M,'Source 2026'!$B:$B,$A32,'Source 2026'!$A:$A,"Quantity (units)")</f>
        <v>0</v>
      </c>
      <c r="E32" s="8" t="n">
        <f aca="false">D32-C32</f>
        <v>-2</v>
      </c>
      <c r="F32" s="9" t="n">
        <f aca="false">IF(AND(C32=0,D32=0),0,IF(C32=0,"New",(D32-C32)/C32))</f>
        <v>-1</v>
      </c>
      <c r="G32" s="10" t="n">
        <f aca="false">SUMIFS('Source 2025'!$M:$M,'Source 2025'!$B:$B,$A32,'Source 2025'!$A:$A,"Amount (NIS)")</f>
        <v>66.1</v>
      </c>
      <c r="H32" s="10" t="n">
        <f aca="false">SUMIFS('Source 2026'!$M:$M,'Source 2026'!$B:$B,$A32,'Source 2026'!$A:$A,"Amount (NIS)")</f>
        <v>0</v>
      </c>
      <c r="I32" s="10" t="n">
        <f aca="false">H32-G32</f>
        <v>-66.1</v>
      </c>
      <c r="J32" s="9" t="n">
        <f aca="false">IF(AND(G32=0,H32=0),0,IF(G32=0,"New",(H32-G32)/G32))</f>
        <v>-1</v>
      </c>
    </row>
    <row r="33" customFormat="false" ht="15" hidden="false" customHeight="false" outlineLevel="0" collapsed="false">
      <c r="A33" s="7" t="s">
        <v>102</v>
      </c>
      <c r="B33" s="7" t="str">
        <f aca="false">IFERROR(INDEX('Source 2026'!$C:$C,MATCH($A33,'Source 2026'!$B:$B,0)),IFERROR(INDEX('Source 2025'!$C:$C,MATCH($A33,'Source 2025'!$B:$B,0)),""))</f>
        <v>3667 מגן בוניון</v>
      </c>
      <c r="C33" s="8" t="n">
        <f aca="false">SUMIFS('Source 2025'!$M:$M,'Source 2025'!$B:$B,$A33,'Source 2025'!$A:$A,"Quantity (units)")</f>
        <v>0</v>
      </c>
      <c r="D33" s="8" t="n">
        <f aca="false">SUMIFS('Source 2026'!$M:$M,'Source 2026'!$B:$B,$A33,'Source 2026'!$A:$A,"Quantity (units)")</f>
        <v>2</v>
      </c>
      <c r="E33" s="8" t="n">
        <f aca="false">D33-C33</f>
        <v>2</v>
      </c>
      <c r="F33" s="9" t="str">
        <f aca="false">IF(AND(C33=0,D33=0),0,IF(C33=0,"New",(D33-C33)/C33))</f>
        <v>New</v>
      </c>
      <c r="G33" s="10" t="n">
        <f aca="false">SUMIFS('Source 2025'!$M:$M,'Source 2025'!$B:$B,$A33,'Source 2025'!$A:$A,"Amount (NIS)")</f>
        <v>0</v>
      </c>
      <c r="H33" s="10" t="n">
        <f aca="false">SUMIFS('Source 2026'!$M:$M,'Source 2026'!$B:$B,$A33,'Source 2026'!$A:$A,"Amount (NIS)")</f>
        <v>65.5</v>
      </c>
      <c r="I33" s="10" t="n">
        <f aca="false">H33-G33</f>
        <v>65.5</v>
      </c>
      <c r="J33" s="9" t="str">
        <f aca="false">IF(AND(G33=0,H33=0),0,IF(G33=0,"New",(H33-G33)/G33))</f>
        <v>New</v>
      </c>
    </row>
    <row r="34" customFormat="false" ht="15" hidden="false" customHeight="false" outlineLevel="0" collapsed="false">
      <c r="A34" s="7" t="s">
        <v>156</v>
      </c>
      <c r="B34" s="7" t="str">
        <f aca="false">IFERROR(INDEX('Source 2026'!$C:$C,MATCH($A34,'Source 2026'!$B:$B,0)),IFERROR(INDEX('Source 2025'!$C:$C,MATCH($A34,'Source 2025'!$B:$B,0)),""))</f>
        <v>כרית ליישור אצבע פטיש</v>
      </c>
      <c r="C34" s="8" t="n">
        <f aca="false">SUMIFS('Source 2025'!$M:$M,'Source 2025'!$B:$B,$A34,'Source 2025'!$A:$A,"Quantity (units)")</f>
        <v>0</v>
      </c>
      <c r="D34" s="8" t="n">
        <f aca="false">SUMIFS('Source 2026'!$M:$M,'Source 2026'!$B:$B,$A34,'Source 2026'!$A:$A,"Quantity (units)")</f>
        <v>2</v>
      </c>
      <c r="E34" s="8" t="n">
        <f aca="false">D34-C34</f>
        <v>2</v>
      </c>
      <c r="F34" s="9" t="str">
        <f aca="false">IF(AND(C34=0,D34=0),0,IF(C34=0,"New",(D34-C34)/C34))</f>
        <v>New</v>
      </c>
      <c r="G34" s="10" t="n">
        <f aca="false">SUMIFS('Source 2025'!$M:$M,'Source 2025'!$B:$B,$A34,'Source 2025'!$A:$A,"Amount (NIS)")</f>
        <v>0</v>
      </c>
      <c r="H34" s="10" t="n">
        <f aca="false">SUMIFS('Source 2026'!$M:$M,'Source 2026'!$B:$B,$A34,'Source 2026'!$A:$A,"Amount (NIS)")</f>
        <v>57.1</v>
      </c>
      <c r="I34" s="10" t="n">
        <f aca="false">H34-G34</f>
        <v>57.1</v>
      </c>
      <c r="J34" s="9" t="str">
        <f aca="false">IF(AND(G34=0,H34=0),0,IF(G34=0,"New",(H34-G34)/G34))</f>
        <v>New</v>
      </c>
    </row>
    <row r="35" customFormat="false" ht="15" hidden="false" customHeight="false" outlineLevel="0" collapsed="false">
      <c r="A35" s="7" t="s">
        <v>88</v>
      </c>
      <c r="B35" s="7" t="str">
        <f aca="false">IFERROR(INDEX('Source 2026'!$C:$C,MATCH($A35,'Source 2026'!$B:$B,0)),IFERROR(INDEX('Source 2025'!$C:$C,MATCH($A35,'Source 2025'!$B:$B,0)),""))</f>
        <v>למניעת שפשוף 5 יח</v>
      </c>
      <c r="C35" s="8" t="n">
        <f aca="false">SUMIFS('Source 2025'!$M:$M,'Source 2025'!$B:$B,$A35,'Source 2025'!$A:$A,"Quantity (units)")</f>
        <v>9</v>
      </c>
      <c r="D35" s="8" t="n">
        <f aca="false">SUMIFS('Source 2026'!$M:$M,'Source 2026'!$B:$B,$A35,'Source 2026'!$A:$A,"Quantity (units)")</f>
        <v>5</v>
      </c>
      <c r="E35" s="8" t="n">
        <f aca="false">D35-C35</f>
        <v>-4</v>
      </c>
      <c r="F35" s="9" t="n">
        <f aca="false">IF(AND(C35=0,D35=0),0,IF(C35=0,"New",(D35-C35)/C35))</f>
        <v>-0.444444444444444</v>
      </c>
      <c r="G35" s="10" t="n">
        <f aca="false">SUMIFS('Source 2025'!$M:$M,'Source 2025'!$B:$B,$A35,'Source 2025'!$A:$A,"Amount (NIS)")</f>
        <v>146.3</v>
      </c>
      <c r="H35" s="10" t="n">
        <f aca="false">SUMIFS('Source 2026'!$M:$M,'Source 2026'!$B:$B,$A35,'Source 2026'!$A:$A,"Amount (NIS)")</f>
        <v>93.5</v>
      </c>
      <c r="I35" s="10" t="n">
        <f aca="false">H35-G35</f>
        <v>-52.8</v>
      </c>
      <c r="J35" s="9" t="n">
        <f aca="false">IF(AND(G35=0,H35=0),0,IF(G35=0,"New",(H35-G35)/G35))</f>
        <v>-0.360902255639098</v>
      </c>
    </row>
    <row r="36" customFormat="false" ht="15" hidden="false" customHeight="false" outlineLevel="0" collapsed="false">
      <c r="A36" s="7" t="s">
        <v>270</v>
      </c>
      <c r="B36" s="7" t="str">
        <f aca="false">IFERROR(INDEX('Source 2026'!$C:$C,MATCH($A36,'Source 2026'!$B:$B,0)),IFERROR(INDEX('Source 2025'!$C:$C,MATCH($A36,'Source 2025'!$B:$B,0)),""))</f>
        <v>חבק לשורש כף היד</v>
      </c>
      <c r="C36" s="8" t="n">
        <f aca="false">SUMIFS('Source 2025'!$M:$M,'Source 2025'!$B:$B,$A36,'Source 2025'!$A:$A,"Quantity (units)")</f>
        <v>11</v>
      </c>
      <c r="D36" s="8" t="n">
        <f aca="false">SUMIFS('Source 2026'!$M:$M,'Source 2026'!$B:$B,$A36,'Source 2026'!$A:$A,"Quantity (units)")</f>
        <v>7</v>
      </c>
      <c r="E36" s="8" t="n">
        <f aca="false">D36-C36</f>
        <v>-4</v>
      </c>
      <c r="F36" s="9" t="n">
        <f aca="false">IF(AND(C36=0,D36=0),0,IF(C36=0,"New",(D36-C36)/C36))</f>
        <v>-0.363636363636364</v>
      </c>
      <c r="G36" s="10" t="n">
        <f aca="false">SUMIFS('Source 2025'!$M:$M,'Source 2025'!$B:$B,$A36,'Source 2025'!$A:$A,"Amount (NIS)")</f>
        <v>306.8</v>
      </c>
      <c r="H36" s="10" t="n">
        <f aca="false">SUMIFS('Source 2026'!$M:$M,'Source 2026'!$B:$B,$A36,'Source 2026'!$A:$A,"Amount (NIS)")</f>
        <v>262.2</v>
      </c>
      <c r="I36" s="10" t="n">
        <f aca="false">H36-G36</f>
        <v>-44.6</v>
      </c>
      <c r="J36" s="9" t="n">
        <f aca="false">IF(AND(G36=0,H36=0),0,IF(G36=0,"New",(H36-G36)/G36))</f>
        <v>-0.145371577574967</v>
      </c>
    </row>
    <row r="37" customFormat="false" ht="15" hidden="false" customHeight="false" outlineLevel="0" collapsed="false">
      <c r="A37" s="7" t="s">
        <v>242</v>
      </c>
      <c r="B37" s="7" t="str">
        <f aca="false">IFERROR(INDEX('Source 2026'!$C:$C,MATCH($A37,'Source 2026'!$B:$B,0)),IFERROR(INDEX('Source 2025'!$C:$C,MATCH($A37,'Source 2025'!$B:$B,0)),""))</f>
        <v>Lמפר.אצבע סיליק. ליבל.זוג</v>
      </c>
      <c r="C37" s="8" t="n">
        <f aca="false">SUMIFS('Source 2025'!$M:$M,'Source 2025'!$B:$B,$A37,'Source 2025'!$A:$A,"Quantity (units)")</f>
        <v>0</v>
      </c>
      <c r="D37" s="8" t="n">
        <f aca="false">SUMIFS('Source 2026'!$M:$M,'Source 2026'!$B:$B,$A37,'Source 2026'!$A:$A,"Quantity (units)")</f>
        <v>3</v>
      </c>
      <c r="E37" s="8" t="n">
        <f aca="false">D37-C37</f>
        <v>3</v>
      </c>
      <c r="F37" s="9" t="str">
        <f aca="false">IF(AND(C37=0,D37=0),0,IF(C37=0,"New",(D37-C37)/C37))</f>
        <v>New</v>
      </c>
      <c r="G37" s="10" t="n">
        <f aca="false">SUMIFS('Source 2025'!$M:$M,'Source 2025'!$B:$B,$A37,'Source 2025'!$A:$A,"Amount (NIS)")</f>
        <v>0</v>
      </c>
      <c r="H37" s="10" t="n">
        <f aca="false">SUMIFS('Source 2026'!$M:$M,'Source 2026'!$B:$B,$A37,'Source 2026'!$A:$A,"Amount (NIS)")</f>
        <v>43.4</v>
      </c>
      <c r="I37" s="10" t="n">
        <f aca="false">H37-G37</f>
        <v>43.4</v>
      </c>
      <c r="J37" s="9" t="str">
        <f aca="false">IF(AND(G37=0,H37=0),0,IF(G37=0,"New",(H37-G37)/G37))</f>
        <v>New</v>
      </c>
    </row>
    <row r="38" customFormat="false" ht="15" hidden="false" customHeight="false" outlineLevel="0" collapsed="false">
      <c r="A38" s="7" t="s">
        <v>81</v>
      </c>
      <c r="B38" s="7" t="str">
        <f aca="false">IFERROR(INDEX('Source 2026'!$C:$C,MATCH($A38,'Source 2026'!$B:$B,0)),IFERROR(INDEX('Source 2025'!$C:$C,MATCH($A38,'Source 2025'!$B:$B,0)),""))</f>
        <v>0 מ.בוניון+מפריד אצבע</v>
      </c>
      <c r="C38" s="8" t="n">
        <f aca="false">SUMIFS('Source 2025'!$M:$M,'Source 2025'!$B:$B,$A38,'Source 2025'!$A:$A,"Quantity (units)")</f>
        <v>3</v>
      </c>
      <c r="D38" s="8" t="n">
        <f aca="false">SUMIFS('Source 2026'!$M:$M,'Source 2026'!$B:$B,$A38,'Source 2026'!$A:$A,"Quantity (units)")</f>
        <v>2</v>
      </c>
      <c r="E38" s="8" t="n">
        <f aca="false">D38-C38</f>
        <v>-1</v>
      </c>
      <c r="F38" s="9" t="n">
        <f aca="false">IF(AND(C38=0,D38=0),0,IF(C38=0,"New",(D38-C38)/C38))</f>
        <v>-0.333333333333333</v>
      </c>
      <c r="G38" s="10" t="n">
        <f aca="false">SUMIFS('Source 2025'!$M:$M,'Source 2025'!$B:$B,$A38,'Source 2025'!$A:$A,"Amount (NIS)")</f>
        <v>120.8</v>
      </c>
      <c r="H38" s="10" t="n">
        <f aca="false">SUMIFS('Source 2026'!$M:$M,'Source 2026'!$B:$B,$A38,'Source 2026'!$A:$A,"Amount (NIS)")</f>
        <v>80.5</v>
      </c>
      <c r="I38" s="10" t="n">
        <f aca="false">H38-G38</f>
        <v>-40.3</v>
      </c>
      <c r="J38" s="9" t="n">
        <f aca="false">IF(AND(G38=0,H38=0),0,IF(G38=0,"New",(H38-G38)/G38))</f>
        <v>-0.333609271523179</v>
      </c>
    </row>
    <row r="39" customFormat="false" ht="15" hidden="false" customHeight="false" outlineLevel="0" collapsed="false">
      <c r="A39" s="7" t="s">
        <v>269</v>
      </c>
      <c r="B39" s="7" t="str">
        <f aca="false">IFERROR(INDEX('Source 2026'!$C:$C,MATCH($A39,'Source 2026'!$B:$B,0)),IFERROR(INDEX('Source 2025'!$C:$C,MATCH($A39,'Source 2025'!$B:$B,0)),""))</f>
        <v>שרוול מסיליקון לאצבע</v>
      </c>
      <c r="C39" s="8" t="n">
        <f aca="false">SUMIFS('Source 2025'!$M:$M,'Source 2025'!$B:$B,$A39,'Source 2025'!$A:$A,"Quantity (units)")</f>
        <v>5</v>
      </c>
      <c r="D39" s="8" t="n">
        <f aca="false">SUMIFS('Source 2026'!$M:$M,'Source 2026'!$B:$B,$A39,'Source 2026'!$A:$A,"Quantity (units)")</f>
        <v>3</v>
      </c>
      <c r="E39" s="8" t="n">
        <f aca="false">D39-C39</f>
        <v>-2</v>
      </c>
      <c r="F39" s="9" t="n">
        <f aca="false">IF(AND(C39=0,D39=0),0,IF(C39=0,"New",(D39-C39)/C39))</f>
        <v>-0.4</v>
      </c>
      <c r="G39" s="10" t="n">
        <f aca="false">SUMIFS('Source 2025'!$M:$M,'Source 2025'!$B:$B,$A39,'Source 2025'!$A:$A,"Amount (NIS)")</f>
        <v>89.6</v>
      </c>
      <c r="H39" s="10" t="n">
        <f aca="false">SUMIFS('Source 2026'!$M:$M,'Source 2026'!$B:$B,$A39,'Source 2026'!$A:$A,"Amount (NIS)")</f>
        <v>56.1</v>
      </c>
      <c r="I39" s="10" t="n">
        <f aca="false">H39-G39</f>
        <v>-33.5</v>
      </c>
      <c r="J39" s="9" t="n">
        <f aca="false">IF(AND(G39=0,H39=0),0,IF(G39=0,"New",(H39-G39)/G39))</f>
        <v>-0.373883928571429</v>
      </c>
    </row>
    <row r="40" customFormat="false" ht="15" hidden="false" customHeight="false" outlineLevel="0" collapsed="false">
      <c r="A40" s="7" t="s">
        <v>287</v>
      </c>
      <c r="B40" s="7" t="str">
        <f aca="false">IFERROR(INDEX('Source 2026'!$C:$C,MATCH($A40,'Source 2026'!$B:$B,0)),IFERROR(INDEX('Source 2025'!$C:$C,MATCH($A40,'Source 2025'!$B:$B,0)),""))</f>
        <v>רפידת בולמת זעזועים -זוג</v>
      </c>
      <c r="C40" s="8" t="n">
        <f aca="false">SUMIFS('Source 2025'!$M:$M,'Source 2025'!$B:$B,$A40,'Source 2025'!$A:$A,"Quantity (units)")</f>
        <v>6</v>
      </c>
      <c r="D40" s="8" t="n">
        <f aca="false">SUMIFS('Source 2026'!$M:$M,'Source 2026'!$B:$B,$A40,'Source 2026'!$A:$A,"Quantity (units)")</f>
        <v>4</v>
      </c>
      <c r="E40" s="8" t="n">
        <f aca="false">D40-C40</f>
        <v>-2</v>
      </c>
      <c r="F40" s="9" t="n">
        <f aca="false">IF(AND(C40=0,D40=0),0,IF(C40=0,"New",(D40-C40)/C40))</f>
        <v>-0.333333333333333</v>
      </c>
      <c r="G40" s="10" t="n">
        <f aca="false">SUMIFS('Source 2025'!$M:$M,'Source 2025'!$B:$B,$A40,'Source 2025'!$A:$A,"Amount (NIS)")</f>
        <v>92.5</v>
      </c>
      <c r="H40" s="10" t="n">
        <f aca="false">SUMIFS('Source 2026'!$M:$M,'Source 2026'!$B:$B,$A40,'Source 2026'!$A:$A,"Amount (NIS)")</f>
        <v>61.7</v>
      </c>
      <c r="I40" s="10" t="n">
        <f aca="false">H40-G40</f>
        <v>-30.8</v>
      </c>
      <c r="J40" s="9" t="n">
        <f aca="false">IF(AND(G40=0,H40=0),0,IF(G40=0,"New",(H40-G40)/G40))</f>
        <v>-0.332972972972973</v>
      </c>
    </row>
    <row r="41" customFormat="false" ht="15" hidden="false" customHeight="false" outlineLevel="0" collapsed="false">
      <c r="A41" s="7" t="s">
        <v>245</v>
      </c>
      <c r="B41" s="7" t="str">
        <f aca="false">IFERROR(INDEX('Source 2026'!$C:$C,MATCH($A41,'Source 2026'!$B:$B,0)),IFERROR(INDEX('Source 2025'!$C:$C,MATCH($A41,'Source 2025'!$B:$B,0)),""))</f>
        <v>XLמפריד אצבע סיליקון ליבלת</v>
      </c>
      <c r="C41" s="8" t="n">
        <f aca="false">SUMIFS('Source 2025'!$M:$M,'Source 2025'!$B:$B,$A41,'Source 2025'!$A:$A,"Quantity (units)")</f>
        <v>2</v>
      </c>
      <c r="D41" s="8" t="n">
        <f aca="false">SUMIFS('Source 2026'!$M:$M,'Source 2026'!$B:$B,$A41,'Source 2026'!$A:$A,"Quantity (units)")</f>
        <v>0</v>
      </c>
      <c r="E41" s="8" t="n">
        <f aca="false">D41-C41</f>
        <v>-2</v>
      </c>
      <c r="F41" s="9" t="n">
        <f aca="false">IF(AND(C41=0,D41=0),0,IF(C41=0,"New",(D41-C41)/C41))</f>
        <v>-1</v>
      </c>
      <c r="G41" s="10" t="n">
        <f aca="false">SUMIFS('Source 2025'!$M:$M,'Source 2025'!$B:$B,$A41,'Source 2025'!$A:$A,"Amount (NIS)")</f>
        <v>28.3</v>
      </c>
      <c r="H41" s="10" t="n">
        <f aca="false">SUMIFS('Source 2026'!$M:$M,'Source 2026'!$B:$B,$A41,'Source 2026'!$A:$A,"Amount (NIS)")</f>
        <v>0</v>
      </c>
      <c r="I41" s="10" t="n">
        <f aca="false">H41-G41</f>
        <v>-28.3</v>
      </c>
      <c r="J41" s="9" t="n">
        <f aca="false">IF(AND(G41=0,H41=0),0,IF(G41=0,"New",(H41-G41)/G41))</f>
        <v>-1</v>
      </c>
    </row>
    <row r="42" customFormat="false" ht="15" hidden="false" customHeight="false" outlineLevel="0" collapsed="false">
      <c r="A42" s="7" t="s">
        <v>273</v>
      </c>
      <c r="B42" s="7" t="str">
        <f aca="false">IFERROR(INDEX('Source 2026'!$C:$C,MATCH($A42,'Source 2026'!$B:$B,0)),IFERROR(INDEX('Source 2025'!$C:$C,MATCH($A42,'Source 2025'!$B:$B,0)),""))</f>
        <v>סד לש.כף יד ימין</v>
      </c>
      <c r="C42" s="8" t="n">
        <f aca="false">SUMIFS('Source 2025'!$M:$M,'Source 2025'!$B:$B,$A42,'Source 2025'!$A:$A,"Quantity (units)")</f>
        <v>2</v>
      </c>
      <c r="D42" s="8" t="n">
        <f aca="false">SUMIFS('Source 2026'!$M:$M,'Source 2026'!$B:$B,$A42,'Source 2026'!$A:$A,"Quantity (units)")</f>
        <v>2</v>
      </c>
      <c r="E42" s="8" t="n">
        <f aca="false">D42-C42</f>
        <v>0</v>
      </c>
      <c r="F42" s="9" t="n">
        <f aca="false">IF(AND(C42=0,D42=0),0,IF(C42=0,"New",(D42-C42)/C42))</f>
        <v>0</v>
      </c>
      <c r="G42" s="10" t="n">
        <f aca="false">SUMIFS('Source 2025'!$M:$M,'Source 2025'!$B:$B,$A42,'Source 2025'!$A:$A,"Amount (NIS)")</f>
        <v>66.9</v>
      </c>
      <c r="H42" s="10" t="n">
        <f aca="false">SUMIFS('Source 2026'!$M:$M,'Source 2026'!$B:$B,$A42,'Source 2026'!$A:$A,"Amount (NIS)")</f>
        <v>93.6</v>
      </c>
      <c r="I42" s="10" t="n">
        <f aca="false">H42-G42</f>
        <v>26.7</v>
      </c>
      <c r="J42" s="9" t="n">
        <f aca="false">IF(AND(G42=0,H42=0),0,IF(G42=0,"New",(H42-G42)/G42))</f>
        <v>0.399103139013453</v>
      </c>
    </row>
    <row r="43" customFormat="false" ht="15" hidden="false" customHeight="false" outlineLevel="0" collapsed="false">
      <c r="A43" s="7" t="s">
        <v>174</v>
      </c>
      <c r="B43" s="7" t="str">
        <f aca="false">IFERROR(INDEX('Source 2026'!$C:$C,MATCH($A43,'Source 2026'!$B:$B,0)),IFERROR(INDEX('Source 2025'!$C:$C,MATCH($A43,'Source 2025'!$B:$B,0)),""))</f>
        <v>סד ליישור אצבע</v>
      </c>
      <c r="C43" s="8" t="n">
        <f aca="false">SUMIFS('Source 2025'!$M:$M,'Source 2025'!$B:$B,$A43,'Source 2025'!$A:$A,"Quantity (units)")</f>
        <v>5</v>
      </c>
      <c r="D43" s="8" t="n">
        <f aca="false">SUMIFS('Source 2026'!$M:$M,'Source 2026'!$B:$B,$A43,'Source 2026'!$A:$A,"Quantity (units)")</f>
        <v>4</v>
      </c>
      <c r="E43" s="8" t="n">
        <f aca="false">D43-C43</f>
        <v>-1</v>
      </c>
      <c r="F43" s="9" t="n">
        <f aca="false">IF(AND(C43=0,D43=0),0,IF(C43=0,"New",(D43-C43)/C43))</f>
        <v>-0.2</v>
      </c>
      <c r="G43" s="10" t="n">
        <f aca="false">SUMIFS('Source 2025'!$M:$M,'Source 2025'!$B:$B,$A43,'Source 2025'!$A:$A,"Amount (NIS)")</f>
        <v>100.5</v>
      </c>
      <c r="H43" s="10" t="n">
        <f aca="false">SUMIFS('Source 2026'!$M:$M,'Source 2026'!$B:$B,$A43,'Source 2026'!$A:$A,"Amount (NIS)")</f>
        <v>80.4</v>
      </c>
      <c r="I43" s="10" t="n">
        <f aca="false">H43-G43</f>
        <v>-20.1</v>
      </c>
      <c r="J43" s="9" t="n">
        <f aca="false">IF(AND(G43=0,H43=0),0,IF(G43=0,"New",(H43-G43)/G43))</f>
        <v>-0.2</v>
      </c>
    </row>
    <row r="44" customFormat="false" ht="15" hidden="false" customHeight="false" outlineLevel="0" collapsed="false">
      <c r="A44" s="7" t="s">
        <v>278</v>
      </c>
      <c r="B44" s="7" t="str">
        <f aca="false">IFERROR(INDEX('Source 2026'!$C:$C,MATCH($A44,'Source 2026'!$B:$B,0)),IFERROR(INDEX('Source 2025'!$C:$C,MATCH($A44,'Source 2025'!$B:$B,0)),""))</f>
        <v>מגן מרפק</v>
      </c>
      <c r="C44" s="8" t="n">
        <f aca="false">SUMIFS('Source 2025'!$M:$M,'Source 2025'!$B:$B,$A44,'Source 2025'!$A:$A,"Quantity (units)")</f>
        <v>3</v>
      </c>
      <c r="D44" s="8" t="n">
        <f aca="false">SUMIFS('Source 2026'!$M:$M,'Source 2026'!$B:$B,$A44,'Source 2026'!$A:$A,"Quantity (units)")</f>
        <v>3</v>
      </c>
      <c r="E44" s="8" t="n">
        <f aca="false">D44-C44</f>
        <v>0</v>
      </c>
      <c r="F44" s="9" t="n">
        <f aca="false">IF(AND(C44=0,D44=0),0,IF(C44=0,"New",(D44-C44)/C44))</f>
        <v>0</v>
      </c>
      <c r="G44" s="10" t="n">
        <f aca="false">SUMIFS('Source 2025'!$M:$M,'Source 2025'!$B:$B,$A44,'Source 2025'!$A:$A,"Amount (NIS)")</f>
        <v>107.6</v>
      </c>
      <c r="H44" s="10" t="n">
        <f aca="false">SUMIFS('Source 2026'!$M:$M,'Source 2026'!$B:$B,$A44,'Source 2026'!$A:$A,"Amount (NIS)")</f>
        <v>126.4</v>
      </c>
      <c r="I44" s="10" t="n">
        <f aca="false">H44-G44</f>
        <v>18.8</v>
      </c>
      <c r="J44" s="9" t="n">
        <f aca="false">IF(AND(G44=0,H44=0),0,IF(G44=0,"New",(H44-G44)/G44))</f>
        <v>0.174721189591078</v>
      </c>
    </row>
    <row r="45" customFormat="false" ht="15" hidden="false" customHeight="false" outlineLevel="0" collapsed="false">
      <c r="A45" s="7" t="s">
        <v>277</v>
      </c>
      <c r="B45" s="7" t="str">
        <f aca="false">IFERROR(INDEX('Source 2026'!$C:$C,MATCH($A45,'Source 2026'!$B:$B,0)),IFERROR(INDEX('Source 2025'!$C:$C,MATCH($A45,'Source 2025'!$B:$B,0)),""))</f>
        <v>רפידת אנטי ריח -זוג</v>
      </c>
      <c r="C45" s="8" t="n">
        <f aca="false">SUMIFS('Source 2025'!$M:$M,'Source 2025'!$B:$B,$A45,'Source 2025'!$A:$A,"Quantity (units)")</f>
        <v>6</v>
      </c>
      <c r="D45" s="8" t="n">
        <f aca="false">SUMIFS('Source 2026'!$M:$M,'Source 2026'!$B:$B,$A45,'Source 2026'!$A:$A,"Quantity (units)")</f>
        <v>6</v>
      </c>
      <c r="E45" s="8" t="n">
        <f aca="false">D45-C45</f>
        <v>0</v>
      </c>
      <c r="F45" s="9" t="n">
        <f aca="false">IF(AND(C45=0,D45=0),0,IF(C45=0,"New",(D45-C45)/C45))</f>
        <v>0</v>
      </c>
      <c r="G45" s="10" t="n">
        <f aca="false">SUMIFS('Source 2025'!$M:$M,'Source 2025'!$B:$B,$A45,'Source 2025'!$A:$A,"Amount (NIS)")</f>
        <v>92.5</v>
      </c>
      <c r="H45" s="10" t="n">
        <f aca="false">SUMIFS('Source 2026'!$M:$M,'Source 2026'!$B:$B,$A45,'Source 2026'!$A:$A,"Amount (NIS)")</f>
        <v>80.2</v>
      </c>
      <c r="I45" s="10" t="n">
        <f aca="false">H45-G45</f>
        <v>-12.3</v>
      </c>
      <c r="J45" s="9" t="n">
        <f aca="false">IF(AND(G45=0,H45=0),0,IF(G45=0,"New",(H45-G45)/G45))</f>
        <v>-0.132972972972973</v>
      </c>
    </row>
    <row r="46" customFormat="false" ht="15" hidden="false" customHeight="false" outlineLevel="0" collapsed="false">
      <c r="A46" s="7" t="s">
        <v>115</v>
      </c>
      <c r="B46" s="7" t="str">
        <f aca="false">IFERROR(INDEX('Source 2026'!$C:$C,MATCH($A46,'Source 2026'!$B:$B,0)),IFERROR(INDEX('Source 2025'!$C:$C,MATCH($A46,'Source 2025'!$B:$B,0)),""))</f>
        <v>סד ליישור אצבע</v>
      </c>
      <c r="C46" s="8" t="n">
        <f aca="false">SUMIFS('Source 2025'!$M:$M,'Source 2025'!$B:$B,$A46,'Source 2025'!$A:$A,"Quantity (units)")</f>
        <v>2</v>
      </c>
      <c r="D46" s="8" t="n">
        <f aca="false">SUMIFS('Source 2026'!$M:$M,'Source 2026'!$B:$B,$A46,'Source 2026'!$A:$A,"Quantity (units)")</f>
        <v>2</v>
      </c>
      <c r="E46" s="8" t="n">
        <f aca="false">D46-C46</f>
        <v>0</v>
      </c>
      <c r="F46" s="9" t="n">
        <f aca="false">IF(AND(C46=0,D46=0),0,IF(C46=0,"New",(D46-C46)/C46))</f>
        <v>0</v>
      </c>
      <c r="G46" s="10" t="n">
        <f aca="false">SUMIFS('Source 2025'!$M:$M,'Source 2025'!$B:$B,$A46,'Source 2025'!$A:$A,"Amount (NIS)")</f>
        <v>40.2</v>
      </c>
      <c r="H46" s="10" t="n">
        <f aca="false">SUMIFS('Source 2026'!$M:$M,'Source 2026'!$B:$B,$A46,'Source 2026'!$A:$A,"Amount (NIS)")</f>
        <v>40.2</v>
      </c>
      <c r="I46" s="10" t="n">
        <f aca="false">H46-G46</f>
        <v>0</v>
      </c>
      <c r="J46" s="9" t="n">
        <f aca="false">IF(AND(G46=0,H46=0),0,IF(G46=0,"New",(H46-G46)/G46))</f>
        <v>0</v>
      </c>
    </row>
    <row r="47" customFormat="false" ht="15" hidden="false" customHeight="false" outlineLevel="0" collapsed="false">
      <c r="A47" s="7" t="s">
        <v>60</v>
      </c>
      <c r="B47" s="7" t="str">
        <f aca="false">IFERROR(INDEX('Source 2026'!$C:$C,MATCH($A47,'Source 2026'!$B:$B,0)),IFERROR(INDEX('Source 2025'!$C:$C,MATCH($A47,'Source 2025'!$B:$B,0)),""))</f>
        <v>יד אגודלי</v>
      </c>
      <c r="C47" s="8" t="n">
        <f aca="false">SUMIFS('Source 2025'!$M:$M,'Source 2025'!$B:$B,$A47,'Source 2025'!$A:$A,"Quantity (units)")</f>
        <v>3</v>
      </c>
      <c r="D47" s="8" t="n">
        <f aca="false">SUMIFS('Source 2026'!$M:$M,'Source 2026'!$B:$B,$A47,'Source 2026'!$A:$A,"Quantity (units)")</f>
        <v>3</v>
      </c>
      <c r="E47" s="8" t="n">
        <f aca="false">D47-C47</f>
        <v>0</v>
      </c>
      <c r="F47" s="9" t="n">
        <f aca="false">IF(AND(C47=0,D47=0),0,IF(C47=0,"New",(D47-C47)/C47))</f>
        <v>0</v>
      </c>
      <c r="G47" s="10" t="n">
        <f aca="false">SUMIFS('Source 2025'!$M:$M,'Source 2025'!$B:$B,$A47,'Source 2025'!$A:$A,"Amount (NIS)")</f>
        <v>140.5</v>
      </c>
      <c r="H47" s="10" t="n">
        <f aca="false">SUMIFS('Source 2026'!$M:$M,'Source 2026'!$B:$B,$A47,'Source 2026'!$A:$A,"Amount (NIS)")</f>
        <v>140.5</v>
      </c>
      <c r="I47" s="10" t="n">
        <f aca="false">H47-G47</f>
        <v>0</v>
      </c>
      <c r="J47" s="9" t="n">
        <f aca="false">IF(AND(G47=0,H47=0),0,IF(G47=0,"New",(H47-G47)/G47))</f>
        <v>0</v>
      </c>
    </row>
    <row r="49" customFormat="false" ht="15" hidden="false" customHeight="false" outlineLevel="0" collapsed="false">
      <c r="A49" s="11"/>
      <c r="B49" s="12" t="s">
        <v>257</v>
      </c>
      <c r="C49" s="13" t="n">
        <f aca="false">SUM(C6:C47)</f>
        <v>211</v>
      </c>
      <c r="D49" s="13" t="n">
        <f aca="false">SUM(D6:D47)</f>
        <v>125</v>
      </c>
      <c r="E49" s="13" t="n">
        <f aca="false">SUM(E6:E47)</f>
        <v>-86</v>
      </c>
      <c r="F49" s="14" t="n">
        <f aca="false">IF(C49=0,"N/A",E49/C49)</f>
        <v>-0.407582938388626</v>
      </c>
      <c r="G49" s="15" t="n">
        <f aca="false">SUM(G6:G47)</f>
        <v>7329.5</v>
      </c>
      <c r="H49" s="15" t="n">
        <f aca="false">SUM(H6:H47)</f>
        <v>4352.2</v>
      </c>
      <c r="I49" s="15" t="n">
        <f aca="false">SUM(I6:I47)</f>
        <v>-2977.3</v>
      </c>
      <c r="J49" s="14" t="n">
        <f aca="false">IF(G49=0,"N/A",I49/G49)</f>
        <v>-0.40620779043591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363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364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48</v>
      </c>
      <c r="B6" s="7" t="str">
        <f aca="false">IFERROR(INDEX('Source 2026'!$C:$C,MATCH($A6,'Source 2026'!$B:$B,0)),IFERROR(INDEX('Source 2025'!$C:$C,MATCH($A6,'Source 2025'!$B:$B,0)),""))</f>
        <v>מישר כתפיים אקטיב</v>
      </c>
      <c r="C6" s="8" t="n">
        <f aca="false">SUMIFS('Source 2025'!$N:$N,'Source 2025'!$B:$B,$A6,'Source 2025'!$A:$A,"Quantity (units)")</f>
        <v>13</v>
      </c>
      <c r="D6" s="8" t="n">
        <f aca="false">SUMIFS('Source 2026'!$N:$N,'Source 2026'!$B:$B,$A6,'Source 2026'!$A:$A,"Quantity (units)")</f>
        <v>0</v>
      </c>
      <c r="E6" s="8" t="n">
        <f aca="false">D6-C6</f>
        <v>-13</v>
      </c>
      <c r="F6" s="9" t="n">
        <f aca="false">IF(AND(C6=0,D6=0),0,IF(C6=0,"New",(D6-C6)/C6))</f>
        <v>-1</v>
      </c>
      <c r="G6" s="10" t="n">
        <f aca="false">SUMIFS('Source 2025'!$N:$N,'Source 2025'!$B:$B,$A6,'Source 2025'!$A:$A,"Amount (NIS)")</f>
        <v>921.2</v>
      </c>
      <c r="H6" s="10" t="n">
        <f aca="false">SUMIFS('Source 2026'!$N:$N,'Source 2026'!$B:$B,$A6,'Source 2026'!$A:$A,"Amount (NIS)")</f>
        <v>-7</v>
      </c>
      <c r="I6" s="10" t="n">
        <f aca="false">H6-G6</f>
        <v>-928.2</v>
      </c>
      <c r="J6" s="9" t="n">
        <f aca="false">IF(AND(G6=0,H6=0),0,IF(G6=0,"New",(H6-G6)/G6))</f>
        <v>-1.00759878419453</v>
      </c>
    </row>
    <row r="7" customFormat="false" ht="15" hidden="false" customHeight="false" outlineLevel="0" collapsed="false">
      <c r="A7" s="7" t="s">
        <v>265</v>
      </c>
      <c r="B7" s="7" t="str">
        <f aca="false">IFERROR(INDEX('Source 2026'!$C:$C,MATCH($A7,'Source 2026'!$B:$B,0)),IFERROR(INDEX('Source 2025'!$C:$C,MATCH($A7,'Source 2025'!$B:$B,0)),""))</f>
        <v>מדרס ג'ל לגבר</v>
      </c>
      <c r="C7" s="8" t="n">
        <f aca="false">SUMIFS('Source 2025'!$N:$N,'Source 2025'!$B:$B,$A7,'Source 2025'!$A:$A,"Quantity (units)")</f>
        <v>-11</v>
      </c>
      <c r="D7" s="8" t="n">
        <f aca="false">SUMIFS('Source 2026'!$N:$N,'Source 2026'!$B:$B,$A7,'Source 2026'!$A:$A,"Quantity (units)")</f>
        <v>0</v>
      </c>
      <c r="E7" s="8" t="n">
        <f aca="false">D7-C7</f>
        <v>11</v>
      </c>
      <c r="F7" s="9" t="n">
        <f aca="false">IF(AND(C7=0,D7=0),0,IF(C7=0,"New",(D7-C7)/C7))</f>
        <v>-1</v>
      </c>
      <c r="G7" s="10" t="n">
        <f aca="false">SUMIFS('Source 2025'!$N:$N,'Source 2025'!$B:$B,$A7,'Source 2025'!$A:$A,"Amount (NIS)")</f>
        <v>-779.5</v>
      </c>
      <c r="H7" s="10" t="n">
        <f aca="false">SUMIFS('Source 2026'!$N:$N,'Source 2026'!$B:$B,$A7,'Source 2026'!$A:$A,"Amount (NIS)")</f>
        <v>0</v>
      </c>
      <c r="I7" s="10" t="n">
        <f aca="false">H7-G7</f>
        <v>779.5</v>
      </c>
      <c r="J7" s="9" t="n">
        <f aca="false">IF(AND(G7=0,H7=0),0,IF(G7=0,"New",(H7-G7)/G7))</f>
        <v>-1</v>
      </c>
    </row>
    <row r="8" customFormat="false" ht="15" hidden="false" customHeight="false" outlineLevel="0" collapsed="false">
      <c r="A8" s="7" t="s">
        <v>63</v>
      </c>
      <c r="B8" s="7" t="str">
        <f aca="false">IFERROR(INDEX('Source 2026'!$C:$C,MATCH($A8,'Source 2026'!$B:$B,0)),IFERROR(INDEX('Source 2025'!$C:$C,MATCH($A8,'Source 2025'!$B:$B,0)),""))</f>
        <v>L עקבים לדורבן-זוג כריות</v>
      </c>
      <c r="C8" s="8" t="n">
        <f aca="false">SUMIFS('Source 2025'!$N:$N,'Source 2025'!$B:$B,$A8,'Source 2025'!$A:$A,"Quantity (units)")</f>
        <v>15</v>
      </c>
      <c r="D8" s="8" t="n">
        <f aca="false">SUMIFS('Source 2026'!$N:$N,'Source 2026'!$B:$B,$A8,'Source 2026'!$A:$A,"Quantity (units)")</f>
        <v>7</v>
      </c>
      <c r="E8" s="8" t="n">
        <f aca="false">D8-C8</f>
        <v>-8</v>
      </c>
      <c r="F8" s="9" t="n">
        <f aca="false">IF(AND(C8=0,D8=0),0,IF(C8=0,"New",(D8-C8)/C8))</f>
        <v>-0.533333333333333</v>
      </c>
      <c r="G8" s="10" t="n">
        <f aca="false">SUMIFS('Source 2025'!$N:$N,'Source 2025'!$B:$B,$A8,'Source 2025'!$A:$A,"Amount (NIS)")</f>
        <v>1322.8</v>
      </c>
      <c r="H8" s="10" t="n">
        <f aca="false">SUMIFS('Source 2026'!$N:$N,'Source 2026'!$B:$B,$A8,'Source 2026'!$A:$A,"Amount (NIS)")</f>
        <v>646.1</v>
      </c>
      <c r="I8" s="10" t="n">
        <f aca="false">H8-G8</f>
        <v>-676.7</v>
      </c>
      <c r="J8" s="9" t="n">
        <f aca="false">IF(AND(G8=0,H8=0),0,IF(G8=0,"New",(H8-G8)/G8))</f>
        <v>-0.511566374357424</v>
      </c>
    </row>
    <row r="9" customFormat="false" ht="15" hidden="false" customHeight="false" outlineLevel="0" collapsed="false">
      <c r="A9" s="7" t="s">
        <v>266</v>
      </c>
      <c r="B9" s="7" t="str">
        <f aca="false">IFERROR(INDEX('Source 2026'!$C:$C,MATCH($A9,'Source 2026'!$B:$B,0)),IFERROR(INDEX('Source 2025'!$C:$C,MATCH($A9,'Source 2025'!$B:$B,0)),""))</f>
        <v>חגורת גב עם תמיכות</v>
      </c>
      <c r="C9" s="8" t="n">
        <f aca="false">SUMIFS('Source 2025'!$N:$N,'Source 2025'!$B:$B,$A9,'Source 2025'!$A:$A,"Quantity (units)")</f>
        <v>6</v>
      </c>
      <c r="D9" s="8" t="n">
        <f aca="false">SUMIFS('Source 2026'!$N:$N,'Source 2026'!$B:$B,$A9,'Source 2026'!$A:$A,"Quantity (units)")</f>
        <v>0</v>
      </c>
      <c r="E9" s="8" t="n">
        <f aca="false">D9-C9</f>
        <v>-6</v>
      </c>
      <c r="F9" s="9" t="n">
        <f aca="false">IF(AND(C9=0,D9=0),0,IF(C9=0,"New",(D9-C9)/C9))</f>
        <v>-1</v>
      </c>
      <c r="G9" s="10" t="n">
        <f aca="false">SUMIFS('Source 2025'!$N:$N,'Source 2025'!$B:$B,$A9,'Source 2025'!$A:$A,"Amount (NIS)")</f>
        <v>562.2</v>
      </c>
      <c r="H9" s="10" t="n">
        <f aca="false">SUMIFS('Source 2026'!$N:$N,'Source 2026'!$B:$B,$A9,'Source 2026'!$A:$A,"Amount (NIS)")</f>
        <v>0</v>
      </c>
      <c r="I9" s="10" t="n">
        <f aca="false">H9-G9</f>
        <v>-562.2</v>
      </c>
      <c r="J9" s="9" t="n">
        <f aca="false">IF(AND(G9=0,H9=0),0,IF(G9=0,"New",(H9-G9)/G9))</f>
        <v>-1</v>
      </c>
    </row>
    <row r="10" customFormat="false" ht="15" hidden="false" customHeight="false" outlineLevel="0" collapsed="false">
      <c r="A10" s="7" t="s">
        <v>82</v>
      </c>
      <c r="B10" s="7" t="str">
        <f aca="false">IFERROR(INDEX('Source 2026'!$C:$C,MATCH($A10,'Source 2026'!$B:$B,0)),IFERROR(INDEX('Source 2025'!$C:$C,MATCH($A10,'Source 2025'!$B:$B,0)),""))</f>
        <v>S-L אצבעון מסיליקון יחידה</v>
      </c>
      <c r="C10" s="8" t="n">
        <f aca="false">SUMIFS('Source 2025'!$N:$N,'Source 2025'!$B:$B,$A10,'Source 2025'!$A:$A,"Quantity (units)")</f>
        <v>0</v>
      </c>
      <c r="D10" s="8" t="n">
        <f aca="false">SUMIFS('Source 2026'!$N:$N,'Source 2026'!$B:$B,$A10,'Source 2026'!$A:$A,"Quantity (units)")</f>
        <v>17</v>
      </c>
      <c r="E10" s="8" t="n">
        <f aca="false">D10-C10</f>
        <v>17</v>
      </c>
      <c r="F10" s="9" t="str">
        <f aca="false">IF(AND(C10=0,D10=0),0,IF(C10=0,"New",(D10-C10)/C10))</f>
        <v>New</v>
      </c>
      <c r="G10" s="10" t="n">
        <f aca="false">SUMIFS('Source 2025'!$N:$N,'Source 2025'!$B:$B,$A10,'Source 2025'!$A:$A,"Amount (NIS)")</f>
        <v>-49.6</v>
      </c>
      <c r="H10" s="10" t="n">
        <f aca="false">SUMIFS('Source 2026'!$N:$N,'Source 2026'!$B:$B,$A10,'Source 2026'!$A:$A,"Amount (NIS)")</f>
        <v>431.3</v>
      </c>
      <c r="I10" s="10" t="n">
        <f aca="false">H10-G10</f>
        <v>480.9</v>
      </c>
      <c r="J10" s="9" t="n">
        <f aca="false">IF(AND(G10=0,H10=0),0,IF(G10=0,"New",(H10-G10)/G10))</f>
        <v>-9.69556451612903</v>
      </c>
    </row>
    <row r="11" customFormat="false" ht="15" hidden="false" customHeight="false" outlineLevel="0" collapsed="false">
      <c r="A11" s="7" t="s">
        <v>73</v>
      </c>
      <c r="B11" s="7" t="str">
        <f aca="false">IFERROR(INDEX('Source 2026'!$C:$C,MATCH($A11,'Source 2026'!$B:$B,0)),IFERROR(INDEX('Source 2025'!$C:$C,MATCH($A11,'Source 2025'!$B:$B,0)),""))</f>
        <v>L צוארון ספוגי</v>
      </c>
      <c r="C11" s="8" t="n">
        <f aca="false">SUMIFS('Source 2025'!$N:$N,'Source 2025'!$B:$B,$A11,'Source 2025'!$A:$A,"Quantity (units)")</f>
        <v>7</v>
      </c>
      <c r="D11" s="8" t="n">
        <f aca="false">SUMIFS('Source 2026'!$N:$N,'Source 2026'!$B:$B,$A11,'Source 2026'!$A:$A,"Quantity (units)")</f>
        <v>0</v>
      </c>
      <c r="E11" s="8" t="n">
        <f aca="false">D11-C11</f>
        <v>-7</v>
      </c>
      <c r="F11" s="9" t="n">
        <f aca="false">IF(AND(C11=0,D11=0),0,IF(C11=0,"New",(D11-C11)/C11))</f>
        <v>-1</v>
      </c>
      <c r="G11" s="10" t="n">
        <f aca="false">SUMIFS('Source 2025'!$N:$N,'Source 2025'!$B:$B,$A11,'Source 2025'!$A:$A,"Amount (NIS)")</f>
        <v>347.2</v>
      </c>
      <c r="H11" s="10" t="n">
        <f aca="false">SUMIFS('Source 2026'!$N:$N,'Source 2026'!$B:$B,$A11,'Source 2026'!$A:$A,"Amount (NIS)")</f>
        <v>0</v>
      </c>
      <c r="I11" s="10" t="n">
        <f aca="false">H11-G11</f>
        <v>-347.2</v>
      </c>
      <c r="J11" s="9" t="n">
        <f aca="false">IF(AND(G11=0,H11=0),0,IF(G11=0,"New",(H11-G11)/G11))</f>
        <v>-1</v>
      </c>
    </row>
    <row r="12" customFormat="false" ht="15" hidden="false" customHeight="false" outlineLevel="0" collapsed="false">
      <c r="A12" s="7" t="s">
        <v>87</v>
      </c>
      <c r="B12" s="7" t="str">
        <f aca="false">IFERROR(INDEX('Source 2026'!$C:$C,MATCH($A12,'Source 2026'!$B:$B,0)),IFERROR(INDEX('Source 2025'!$C:$C,MATCH($A12,'Source 2025'!$B:$B,0)),""))</f>
        <v>טלק מעושר באלוורה</v>
      </c>
      <c r="C12" s="8" t="n">
        <f aca="false">SUMIFS('Source 2025'!$N:$N,'Source 2025'!$B:$B,$A12,'Source 2025'!$A:$A,"Quantity (units)")</f>
        <v>21</v>
      </c>
      <c r="D12" s="8" t="n">
        <f aca="false">SUMIFS('Source 2026'!$N:$N,'Source 2026'!$B:$B,$A12,'Source 2026'!$A:$A,"Quantity (units)")</f>
        <v>3</v>
      </c>
      <c r="E12" s="8" t="n">
        <f aca="false">D12-C12</f>
        <v>-18</v>
      </c>
      <c r="F12" s="9" t="n">
        <f aca="false">IF(AND(C12=0,D12=0),0,IF(C12=0,"New",(D12-C12)/C12))</f>
        <v>-0.857142857142857</v>
      </c>
      <c r="G12" s="10" t="n">
        <f aca="false">SUMIFS('Source 2025'!$N:$N,'Source 2025'!$B:$B,$A12,'Source 2025'!$A:$A,"Amount (NIS)")</f>
        <v>399.1</v>
      </c>
      <c r="H12" s="10" t="n">
        <f aca="false">SUMIFS('Source 2026'!$N:$N,'Source 2026'!$B:$B,$A12,'Source 2026'!$A:$A,"Amount (NIS)")</f>
        <v>70.2</v>
      </c>
      <c r="I12" s="10" t="n">
        <f aca="false">H12-G12</f>
        <v>-328.9</v>
      </c>
      <c r="J12" s="9" t="n">
        <f aca="false">IF(AND(G12=0,H12=0),0,IF(G12=0,"New",(H12-G12)/G12))</f>
        <v>-0.824104234527687</v>
      </c>
    </row>
    <row r="13" customFormat="false" ht="15" hidden="false" customHeight="false" outlineLevel="0" collapsed="false">
      <c r="A13" s="7" t="s">
        <v>75</v>
      </c>
      <c r="B13" s="7" t="str">
        <f aca="false">IFERROR(INDEX('Source 2026'!$C:$C,MATCH($A13,'Source 2026'!$B:$B,0)),IFERROR(INDEX('Source 2025'!$C:$C,MATCH($A13,'Source 2025'!$B:$B,0)),""))</f>
        <v>חבק ""טניס אלבו רצועה</v>
      </c>
      <c r="C13" s="8" t="n">
        <f aca="false">SUMIFS('Source 2025'!$N:$N,'Source 2025'!$B:$B,$A13,'Source 2025'!$A:$A,"Quantity (units)")</f>
        <v>4</v>
      </c>
      <c r="D13" s="8" t="n">
        <f aca="false">SUMIFS('Source 2026'!$N:$N,'Source 2026'!$B:$B,$A13,'Source 2026'!$A:$A,"Quantity (units)")</f>
        <v>0</v>
      </c>
      <c r="E13" s="8" t="n">
        <f aca="false">D13-C13</f>
        <v>-4</v>
      </c>
      <c r="F13" s="9" t="n">
        <f aca="false">IF(AND(C13=0,D13=0),0,IF(C13=0,"New",(D13-C13)/C13))</f>
        <v>-1</v>
      </c>
      <c r="G13" s="10" t="n">
        <f aca="false">SUMIFS('Source 2025'!$N:$N,'Source 2025'!$B:$B,$A13,'Source 2025'!$A:$A,"Amount (NIS)")</f>
        <v>321.8</v>
      </c>
      <c r="H13" s="10" t="n">
        <f aca="false">SUMIFS('Source 2026'!$N:$N,'Source 2026'!$B:$B,$A13,'Source 2026'!$A:$A,"Amount (NIS)")</f>
        <v>0</v>
      </c>
      <c r="I13" s="10" t="n">
        <f aca="false">H13-G13</f>
        <v>-321.8</v>
      </c>
      <c r="J13" s="9" t="n">
        <f aca="false">IF(AND(G13=0,H13=0),0,IF(G13=0,"New",(H13-G13)/G13))</f>
        <v>-1</v>
      </c>
    </row>
    <row r="14" customFormat="false" ht="15" hidden="false" customHeight="false" outlineLevel="0" collapsed="false">
      <c r="A14" s="7" t="s">
        <v>89</v>
      </c>
      <c r="B14" s="7" t="str">
        <f aca="false">IFERROR(INDEX('Source 2026'!$C:$C,MATCH($A14,'Source 2026'!$B:$B,0)),IFERROR(INDEX('Source 2025'!$C:$C,MATCH($A14,'Source 2025'!$B:$B,0)),""))</f>
        <v>מדרס אורטופ.מתכוון35-36</v>
      </c>
      <c r="C14" s="8" t="n">
        <f aca="false">SUMIFS('Source 2025'!$N:$N,'Source 2025'!$B:$B,$A14,'Source 2025'!$A:$A,"Quantity (units)")</f>
        <v>-2</v>
      </c>
      <c r="D14" s="8" t="n">
        <f aca="false">SUMIFS('Source 2026'!$N:$N,'Source 2026'!$B:$B,$A14,'Source 2026'!$A:$A,"Quantity (units)")</f>
        <v>0</v>
      </c>
      <c r="E14" s="8" t="n">
        <f aca="false">D14-C14</f>
        <v>2</v>
      </c>
      <c r="F14" s="9" t="n">
        <f aca="false">IF(AND(C14=0,D14=0),0,IF(C14=0,"New",(D14-C14)/C14))</f>
        <v>-1</v>
      </c>
      <c r="G14" s="10" t="n">
        <f aca="false">SUMIFS('Source 2025'!$N:$N,'Source 2025'!$B:$B,$A14,'Source 2025'!$A:$A,"Amount (NIS)")</f>
        <v>-307.1</v>
      </c>
      <c r="H14" s="10" t="n">
        <f aca="false">SUMIFS('Source 2026'!$N:$N,'Source 2026'!$B:$B,$A14,'Source 2026'!$A:$A,"Amount (NIS)")</f>
        <v>0</v>
      </c>
      <c r="I14" s="10" t="n">
        <f aca="false">H14-G14</f>
        <v>307.1</v>
      </c>
      <c r="J14" s="9" t="n">
        <f aca="false">IF(AND(G14=0,H14=0),0,IF(G14=0,"New",(H14-G14)/G14))</f>
        <v>-1</v>
      </c>
    </row>
    <row r="15" customFormat="false" ht="15" hidden="false" customHeight="false" outlineLevel="0" collapsed="false">
      <c r="A15" s="7" t="s">
        <v>46</v>
      </c>
      <c r="B15" s="7" t="str">
        <f aca="false">IFERROR(INDEX('Source 2026'!$C:$C,MATCH($A15,'Source 2026'!$B:$B,0)),IFERROR(INDEX('Source 2025'!$C:$C,MATCH($A15,'Source 2025'!$B:$B,0)),""))</f>
        <v>35-38 גרבי טיסה מידה</v>
      </c>
      <c r="C15" s="8" t="n">
        <f aca="false">SUMIFS('Source 2025'!$N:$N,'Source 2025'!$B:$B,$A15,'Source 2025'!$A:$A,"Quantity (units)")</f>
        <v>5</v>
      </c>
      <c r="D15" s="8" t="n">
        <f aca="false">SUMIFS('Source 2026'!$N:$N,'Source 2026'!$B:$B,$A15,'Source 2026'!$A:$A,"Quantity (units)")</f>
        <v>0</v>
      </c>
      <c r="E15" s="8" t="n">
        <f aca="false">D15-C15</f>
        <v>-5</v>
      </c>
      <c r="F15" s="9" t="n">
        <f aca="false">IF(AND(C15=0,D15=0),0,IF(C15=0,"New",(D15-C15)/C15))</f>
        <v>-1</v>
      </c>
      <c r="G15" s="10" t="n">
        <f aca="false">SUMIFS('Source 2025'!$N:$N,'Source 2025'!$B:$B,$A15,'Source 2025'!$A:$A,"Amount (NIS)")</f>
        <v>304.7</v>
      </c>
      <c r="H15" s="10" t="n">
        <f aca="false">SUMIFS('Source 2026'!$N:$N,'Source 2026'!$B:$B,$A15,'Source 2026'!$A:$A,"Amount (NIS)")</f>
        <v>0</v>
      </c>
      <c r="I15" s="10" t="n">
        <f aca="false">H15-G15</f>
        <v>-304.7</v>
      </c>
      <c r="J15" s="9" t="n">
        <f aca="false">IF(AND(G15=0,H15=0),0,IF(G15=0,"New",(H15-G15)/G15))</f>
        <v>-1</v>
      </c>
    </row>
    <row r="16" customFormat="false" ht="15" hidden="false" customHeight="false" outlineLevel="0" collapsed="false">
      <c r="A16" s="7" t="s">
        <v>60</v>
      </c>
      <c r="B16" s="7" t="str">
        <f aca="false">IFERROR(INDEX('Source 2026'!$C:$C,MATCH($A16,'Source 2026'!$B:$B,0)),IFERROR(INDEX('Source 2025'!$C:$C,MATCH($A16,'Source 2025'!$B:$B,0)),""))</f>
        <v>יד אגודלי</v>
      </c>
      <c r="C16" s="8" t="n">
        <f aca="false">SUMIFS('Source 2025'!$N:$N,'Source 2025'!$B:$B,$A16,'Source 2025'!$A:$A,"Quantity (units)")</f>
        <v>8</v>
      </c>
      <c r="D16" s="8" t="n">
        <f aca="false">SUMIFS('Source 2026'!$N:$N,'Source 2026'!$B:$B,$A16,'Source 2026'!$A:$A,"Quantity (units)")</f>
        <v>2</v>
      </c>
      <c r="E16" s="8" t="n">
        <f aca="false">D16-C16</f>
        <v>-6</v>
      </c>
      <c r="F16" s="9" t="n">
        <f aca="false">IF(AND(C16=0,D16=0),0,IF(C16=0,"New",(D16-C16)/C16))</f>
        <v>-0.75</v>
      </c>
      <c r="G16" s="10" t="n">
        <f aca="false">SUMIFS('Source 2025'!$N:$N,'Source 2025'!$B:$B,$A16,'Source 2025'!$A:$A,"Amount (NIS)")</f>
        <v>391.9</v>
      </c>
      <c r="H16" s="10" t="n">
        <f aca="false">SUMIFS('Source 2026'!$N:$N,'Source 2026'!$B:$B,$A16,'Source 2026'!$A:$A,"Amount (NIS)")</f>
        <v>93.6</v>
      </c>
      <c r="I16" s="10" t="n">
        <f aca="false">H16-G16</f>
        <v>-298.3</v>
      </c>
      <c r="J16" s="9" t="n">
        <f aca="false">IF(AND(G16=0,H16=0),0,IF(G16=0,"New",(H16-G16)/G16))</f>
        <v>-0.761163562133197</v>
      </c>
    </row>
    <row r="17" customFormat="false" ht="15" hidden="false" customHeight="false" outlineLevel="0" collapsed="false">
      <c r="A17" s="7" t="s">
        <v>267</v>
      </c>
      <c r="B17" s="7" t="str">
        <f aca="false">IFERROR(INDEX('Source 2026'!$C:$C,MATCH($A17,'Source 2026'!$B:$B,0)),IFERROR(INDEX('Source 2025'!$C:$C,MATCH($A17,'Source 2025'!$B:$B,0)),""))</f>
        <v>L מגן ברך שחור</v>
      </c>
      <c r="C17" s="8" t="n">
        <f aca="false">SUMIFS('Source 2025'!$N:$N,'Source 2025'!$B:$B,$A17,'Source 2025'!$A:$A,"Quantity (units)")</f>
        <v>6</v>
      </c>
      <c r="D17" s="8" t="n">
        <f aca="false">SUMIFS('Source 2026'!$N:$N,'Source 2026'!$B:$B,$A17,'Source 2026'!$A:$A,"Quantity (units)")</f>
        <v>14</v>
      </c>
      <c r="E17" s="8" t="n">
        <f aca="false">D17-C17</f>
        <v>8</v>
      </c>
      <c r="F17" s="9" t="n">
        <f aca="false">IF(AND(C17=0,D17=0),0,IF(C17=0,"New",(D17-C17)/C17))</f>
        <v>1.33333333333333</v>
      </c>
      <c r="G17" s="10" t="n">
        <f aca="false">SUMIFS('Source 2025'!$N:$N,'Source 2025'!$B:$B,$A17,'Source 2025'!$A:$A,"Amount (NIS)")</f>
        <v>148.6</v>
      </c>
      <c r="H17" s="10" t="n">
        <f aca="false">SUMIFS('Source 2026'!$N:$N,'Source 2026'!$B:$B,$A17,'Source 2026'!$A:$A,"Amount (NIS)")</f>
        <v>432.6</v>
      </c>
      <c r="I17" s="10" t="n">
        <f aca="false">H17-G17</f>
        <v>284</v>
      </c>
      <c r="J17" s="9" t="n">
        <f aca="false">IF(AND(G17=0,H17=0),0,IF(G17=0,"New",(H17-G17)/G17))</f>
        <v>1.91117092866756</v>
      </c>
    </row>
    <row r="18" customFormat="false" ht="15" hidden="false" customHeight="false" outlineLevel="0" collapsed="false">
      <c r="A18" s="7" t="s">
        <v>58</v>
      </c>
      <c r="B18" s="7" t="str">
        <f aca="false">IFERROR(INDEX('Source 2026'!$C:$C,MATCH($A18,'Source 2026'!$B:$B,0)),IFERROR(INDEX('Source 2025'!$C:$C,MATCH($A18,'Source 2025'!$B:$B,0)),""))</f>
        <v>L מגן ברך לבן</v>
      </c>
      <c r="C18" s="8" t="n">
        <f aca="false">SUMIFS('Source 2025'!$N:$N,'Source 2025'!$B:$B,$A18,'Source 2025'!$A:$A,"Quantity (units)")</f>
        <v>3</v>
      </c>
      <c r="D18" s="8" t="n">
        <f aca="false">SUMIFS('Source 2026'!$N:$N,'Source 2026'!$B:$B,$A18,'Source 2026'!$A:$A,"Quantity (units)")</f>
        <v>12</v>
      </c>
      <c r="E18" s="8" t="n">
        <f aca="false">D18-C18</f>
        <v>9</v>
      </c>
      <c r="F18" s="9" t="n">
        <f aca="false">IF(AND(C18=0,D18=0),0,IF(C18=0,"New",(D18-C18)/C18))</f>
        <v>3</v>
      </c>
      <c r="G18" s="10" t="n">
        <f aca="false">SUMIFS('Source 2025'!$N:$N,'Source 2025'!$B:$B,$A18,'Source 2025'!$A:$A,"Amount (NIS)")</f>
        <v>92.7</v>
      </c>
      <c r="H18" s="10" t="n">
        <f aca="false">SUMIFS('Source 2026'!$N:$N,'Source 2026'!$B:$B,$A18,'Source 2026'!$A:$A,"Amount (NIS)")</f>
        <v>370.8</v>
      </c>
      <c r="I18" s="10" t="n">
        <f aca="false">H18-G18</f>
        <v>278.1</v>
      </c>
      <c r="J18" s="9" t="n">
        <f aca="false">IF(AND(G18=0,H18=0),0,IF(G18=0,"New",(H18-G18)/G18))</f>
        <v>3</v>
      </c>
    </row>
    <row r="19" customFormat="false" ht="15" hidden="false" customHeight="false" outlineLevel="0" collapsed="false">
      <c r="A19" s="7" t="s">
        <v>56</v>
      </c>
      <c r="B19" s="7" t="str">
        <f aca="false">IFERROR(INDEX('Source 2026'!$C:$C,MATCH($A19,'Source 2026'!$B:$B,0)),IFERROR(INDEX('Source 2025'!$C:$C,MATCH($A19,'Source 2025'!$B:$B,0)),""))</f>
        <v>S מגן קרסול לבן</v>
      </c>
      <c r="C19" s="8" t="n">
        <f aca="false">SUMIFS('Source 2025'!$N:$N,'Source 2025'!$B:$B,$A19,'Source 2025'!$A:$A,"Quantity (units)")</f>
        <v>3</v>
      </c>
      <c r="D19" s="8" t="n">
        <f aca="false">SUMIFS('Source 2026'!$N:$N,'Source 2026'!$B:$B,$A19,'Source 2026'!$A:$A,"Quantity (units)")</f>
        <v>12</v>
      </c>
      <c r="E19" s="8" t="n">
        <f aca="false">D19-C19</f>
        <v>9</v>
      </c>
      <c r="F19" s="9" t="n">
        <f aca="false">IF(AND(C19=0,D19=0),0,IF(C19=0,"New",(D19-C19)/C19))</f>
        <v>3</v>
      </c>
      <c r="G19" s="10" t="n">
        <f aca="false">SUMIFS('Source 2025'!$N:$N,'Source 2025'!$B:$B,$A19,'Source 2025'!$A:$A,"Amount (NIS)")</f>
        <v>92.7</v>
      </c>
      <c r="H19" s="10" t="n">
        <f aca="false">SUMIFS('Source 2026'!$N:$N,'Source 2026'!$B:$B,$A19,'Source 2026'!$A:$A,"Amount (NIS)")</f>
        <v>370.8</v>
      </c>
      <c r="I19" s="10" t="n">
        <f aca="false">H19-G19</f>
        <v>278.1</v>
      </c>
      <c r="J19" s="9" t="n">
        <f aca="false">IF(AND(G19=0,H19=0),0,IF(G19=0,"New",(H19-G19)/G19))</f>
        <v>3</v>
      </c>
    </row>
    <row r="20" customFormat="false" ht="15" hidden="false" customHeight="false" outlineLevel="0" collapsed="false">
      <c r="A20" s="7" t="s">
        <v>90</v>
      </c>
      <c r="B20" s="7" t="str">
        <f aca="false">IFERROR(INDEX('Source 2026'!$C:$C,MATCH($A20,'Source 2026'!$B:$B,0)),IFERROR(INDEX('Source 2025'!$C:$C,MATCH($A20,'Source 2025'!$B:$B,0)),""))</f>
        <v>מטטרזלי סיליקון362</v>
      </c>
      <c r="C20" s="8" t="n">
        <f aca="false">SUMIFS('Source 2025'!$N:$N,'Source 2025'!$B:$B,$A20,'Source 2025'!$A:$A,"Quantity (units)")</f>
        <v>10</v>
      </c>
      <c r="D20" s="8" t="n">
        <f aca="false">SUMIFS('Source 2026'!$N:$N,'Source 2026'!$B:$B,$A20,'Source 2026'!$A:$A,"Quantity (units)")</f>
        <v>0</v>
      </c>
      <c r="E20" s="8" t="n">
        <f aca="false">D20-C20</f>
        <v>-10</v>
      </c>
      <c r="F20" s="9" t="n">
        <f aca="false">IF(AND(C20=0,D20=0),0,IF(C20=0,"New",(D20-C20)/C20))</f>
        <v>-1</v>
      </c>
      <c r="G20" s="10" t="n">
        <f aca="false">SUMIFS('Source 2025'!$N:$N,'Source 2025'!$B:$B,$A20,'Source 2025'!$A:$A,"Amount (NIS)")</f>
        <v>268.7</v>
      </c>
      <c r="H20" s="10" t="n">
        <f aca="false">SUMIFS('Source 2026'!$N:$N,'Source 2026'!$B:$B,$A20,'Source 2026'!$A:$A,"Amount (NIS)")</f>
        <v>0</v>
      </c>
      <c r="I20" s="10" t="n">
        <f aca="false">H20-G20</f>
        <v>-268.7</v>
      </c>
      <c r="J20" s="9" t="n">
        <f aca="false">IF(AND(G20=0,H20=0),0,IF(G20=0,"New",(H20-G20)/G20))</f>
        <v>-1</v>
      </c>
    </row>
    <row r="21" customFormat="false" ht="15" hidden="false" customHeight="false" outlineLevel="0" collapsed="false">
      <c r="A21" s="7" t="s">
        <v>109</v>
      </c>
      <c r="B21" s="7" t="str">
        <f aca="false">IFERROR(INDEX('Source 2026'!$C:$C,MATCH($A21,'Source 2026'!$B:$B,0)),IFERROR(INDEX('Source 2025'!$C:$C,MATCH($A21,'Source 2025'!$B:$B,0)),""))</f>
        <v>גרב.כסף לסכרתים שחור35-38</v>
      </c>
      <c r="C21" s="8" t="n">
        <f aca="false">SUMIFS('Source 2025'!$N:$N,'Source 2025'!$B:$B,$A21,'Source 2025'!$A:$A,"Quantity (units)")</f>
        <v>10</v>
      </c>
      <c r="D21" s="8" t="n">
        <f aca="false">SUMIFS('Source 2026'!$N:$N,'Source 2026'!$B:$B,$A21,'Source 2026'!$A:$A,"Quantity (units)")</f>
        <v>0</v>
      </c>
      <c r="E21" s="8" t="n">
        <f aca="false">D21-C21</f>
        <v>-10</v>
      </c>
      <c r="F21" s="9" t="n">
        <f aca="false">IF(AND(C21=0,D21=0),0,IF(C21=0,"New",(D21-C21)/C21))</f>
        <v>-1</v>
      </c>
      <c r="G21" s="10" t="n">
        <f aca="false">SUMIFS('Source 2025'!$N:$N,'Source 2025'!$B:$B,$A21,'Source 2025'!$A:$A,"Amount (NIS)")</f>
        <v>262</v>
      </c>
      <c r="H21" s="10" t="n">
        <f aca="false">SUMIFS('Source 2026'!$N:$N,'Source 2026'!$B:$B,$A21,'Source 2026'!$A:$A,"Amount (NIS)")</f>
        <v>0</v>
      </c>
      <c r="I21" s="10" t="n">
        <f aca="false">H21-G21</f>
        <v>-262</v>
      </c>
      <c r="J21" s="9" t="n">
        <f aca="false">IF(AND(G21=0,H21=0),0,IF(G21=0,"New",(H21-G21)/G21))</f>
        <v>-1</v>
      </c>
    </row>
    <row r="22" customFormat="false" ht="15" hidden="false" customHeight="false" outlineLevel="0" collapsed="false">
      <c r="A22" s="7" t="s">
        <v>151</v>
      </c>
      <c r="B22" s="7" t="str">
        <f aca="false">IFERROR(INDEX('Source 2026'!$C:$C,MATCH($A22,'Source 2026'!$B:$B,0)),IFERROR(INDEX('Source 2025'!$C:$C,MATCH($A22,'Source 2025'!$B:$B,0)),""))</f>
        <v>L-XL חגורת הריון</v>
      </c>
      <c r="C22" s="8" t="n">
        <f aca="false">SUMIFS('Source 2025'!$N:$N,'Source 2025'!$B:$B,$A22,'Source 2025'!$A:$A,"Quantity (units)")</f>
        <v>0</v>
      </c>
      <c r="D22" s="8" t="n">
        <f aca="false">SUMIFS('Source 2026'!$N:$N,'Source 2026'!$B:$B,$A22,'Source 2026'!$A:$A,"Quantity (units)")</f>
        <v>2</v>
      </c>
      <c r="E22" s="8" t="n">
        <f aca="false">D22-C22</f>
        <v>2</v>
      </c>
      <c r="F22" s="9" t="str">
        <f aca="false">IF(AND(C22=0,D22=0),0,IF(C22=0,"New",(D22-C22)/C22))</f>
        <v>New</v>
      </c>
      <c r="G22" s="10" t="n">
        <f aca="false">SUMIFS('Source 2025'!$N:$N,'Source 2025'!$B:$B,$A22,'Source 2025'!$A:$A,"Amount (NIS)")</f>
        <v>0</v>
      </c>
      <c r="H22" s="10" t="n">
        <f aca="false">SUMIFS('Source 2026'!$N:$N,'Source 2026'!$B:$B,$A22,'Source 2026'!$A:$A,"Amount (NIS)")</f>
        <v>253</v>
      </c>
      <c r="I22" s="10" t="n">
        <f aca="false">H22-G22</f>
        <v>253</v>
      </c>
      <c r="J22" s="9" t="str">
        <f aca="false">IF(AND(G22=0,H22=0),0,IF(G22=0,"New",(H22-G22)/G22))</f>
        <v>New</v>
      </c>
    </row>
    <row r="23" customFormat="false" ht="15" hidden="false" customHeight="false" outlineLevel="0" collapsed="false">
      <c r="A23" s="7" t="s">
        <v>74</v>
      </c>
      <c r="B23" s="7" t="str">
        <f aca="false">IFERROR(INDEX('Source 2026'!$C:$C,MATCH($A23,'Source 2026'!$B:$B,0)),IFERROR(INDEX('Source 2025'!$C:$C,MATCH($A23,'Source 2025'!$B:$B,0)),""))</f>
        <v>L מגן מרפק רגיל לבן</v>
      </c>
      <c r="C23" s="8" t="n">
        <f aca="false">SUMIFS('Source 2025'!$N:$N,'Source 2025'!$B:$B,$A23,'Source 2025'!$A:$A,"Quantity (units)")</f>
        <v>7</v>
      </c>
      <c r="D23" s="8" t="n">
        <f aca="false">SUMIFS('Source 2026'!$N:$N,'Source 2026'!$B:$B,$A23,'Source 2026'!$A:$A,"Quantity (units)")</f>
        <v>15</v>
      </c>
      <c r="E23" s="8" t="n">
        <f aca="false">D23-C23</f>
        <v>8</v>
      </c>
      <c r="F23" s="9" t="n">
        <f aca="false">IF(AND(C23=0,D23=0),0,IF(C23=0,"New",(D23-C23)/C23))</f>
        <v>1.14285714285714</v>
      </c>
      <c r="G23" s="10" t="n">
        <f aca="false">SUMIFS('Source 2025'!$N:$N,'Source 2025'!$B:$B,$A23,'Source 2025'!$A:$A,"Amount (NIS)")</f>
        <v>216.3</v>
      </c>
      <c r="H23" s="10" t="n">
        <f aca="false">SUMIFS('Source 2026'!$N:$N,'Source 2026'!$B:$B,$A23,'Source 2026'!$A:$A,"Amount (NIS)")</f>
        <v>463.5</v>
      </c>
      <c r="I23" s="10" t="n">
        <f aca="false">H23-G23</f>
        <v>247.2</v>
      </c>
      <c r="J23" s="9" t="n">
        <f aca="false">IF(AND(G23=0,H23=0),0,IF(G23=0,"New",(H23-G23)/G23))</f>
        <v>1.14285714285714</v>
      </c>
    </row>
    <row r="24" customFormat="false" ht="15" hidden="false" customHeight="false" outlineLevel="0" collapsed="false">
      <c r="A24" s="7" t="s">
        <v>302</v>
      </c>
      <c r="B24" s="7" t="str">
        <f aca="false">IFERROR(INDEX('Source 2026'!$C:$C,MATCH($A24,'Source 2026'!$B:$B,0)),IFERROR(INDEX('Source 2025'!$C:$C,MATCH($A24,'Source 2025'!$B:$B,0)),""))</f>
        <v>מגן ירך</v>
      </c>
      <c r="C24" s="8" t="n">
        <f aca="false">SUMIFS('Source 2025'!$N:$N,'Source 2025'!$B:$B,$A24,'Source 2025'!$A:$A,"Quantity (units)")</f>
        <v>5</v>
      </c>
      <c r="D24" s="8" t="n">
        <f aca="false">SUMIFS('Source 2026'!$N:$N,'Source 2026'!$B:$B,$A24,'Source 2026'!$A:$A,"Quantity (units)")</f>
        <v>0</v>
      </c>
      <c r="E24" s="8" t="n">
        <f aca="false">D24-C24</f>
        <v>-5</v>
      </c>
      <c r="F24" s="9" t="n">
        <f aca="false">IF(AND(C24=0,D24=0),0,IF(C24=0,"New",(D24-C24)/C24))</f>
        <v>-1</v>
      </c>
      <c r="G24" s="10" t="n">
        <f aca="false">SUMIFS('Source 2025'!$N:$N,'Source 2025'!$B:$B,$A24,'Source 2025'!$A:$A,"Amount (NIS)")</f>
        <v>245.6</v>
      </c>
      <c r="H24" s="10" t="n">
        <f aca="false">SUMIFS('Source 2026'!$N:$N,'Source 2026'!$B:$B,$A24,'Source 2026'!$A:$A,"Amount (NIS)")</f>
        <v>0</v>
      </c>
      <c r="I24" s="10" t="n">
        <f aca="false">H24-G24</f>
        <v>-245.6</v>
      </c>
      <c r="J24" s="9" t="n">
        <f aca="false">IF(AND(G24=0,H24=0),0,IF(G24=0,"New",(H24-G24)/G24))</f>
        <v>-1</v>
      </c>
    </row>
    <row r="25" customFormat="false" ht="15" hidden="false" customHeight="false" outlineLevel="0" collapsed="false">
      <c r="A25" s="7" t="s">
        <v>62</v>
      </c>
      <c r="B25" s="7" t="str">
        <f aca="false">IFERROR(INDEX('Source 2026'!$C:$C,MATCH($A25,'Source 2026'!$B:$B,0)),IFERROR(INDEX('Source 2025'!$C:$C,MATCH($A25,'Source 2025'!$B:$B,0)),""))</f>
        <v>L (מתלה ליד )כיס</v>
      </c>
      <c r="C25" s="8" t="n">
        <f aca="false">SUMIFS('Source 2025'!$N:$N,'Source 2025'!$B:$B,$A25,'Source 2025'!$A:$A,"Quantity (units)")</f>
        <v>4</v>
      </c>
      <c r="D25" s="8" t="n">
        <f aca="false">SUMIFS('Source 2026'!$N:$N,'Source 2026'!$B:$B,$A25,'Source 2026'!$A:$A,"Quantity (units)")</f>
        <v>0</v>
      </c>
      <c r="E25" s="8" t="n">
        <f aca="false">D25-C25</f>
        <v>-4</v>
      </c>
      <c r="F25" s="9" t="n">
        <f aca="false">IF(AND(C25=0,D25=0),0,IF(C25=0,"New",(D25-C25)/C25))</f>
        <v>-1</v>
      </c>
      <c r="G25" s="10" t="n">
        <f aca="false">SUMIFS('Source 2025'!$N:$N,'Source 2025'!$B:$B,$A25,'Source 2025'!$A:$A,"Amount (NIS)")</f>
        <v>226.3</v>
      </c>
      <c r="H25" s="10" t="n">
        <f aca="false">SUMIFS('Source 2026'!$N:$N,'Source 2026'!$B:$B,$A25,'Source 2026'!$A:$A,"Amount (NIS)")</f>
        <v>0</v>
      </c>
      <c r="I25" s="10" t="n">
        <f aca="false">H25-G25</f>
        <v>-226.3</v>
      </c>
      <c r="J25" s="9" t="n">
        <f aca="false">IF(AND(G25=0,H25=0),0,IF(G25=0,"New",(H25-G25)/G25))</f>
        <v>-1</v>
      </c>
    </row>
    <row r="26" customFormat="false" ht="15" hidden="false" customHeight="false" outlineLevel="0" collapsed="false">
      <c r="A26" s="7" t="s">
        <v>268</v>
      </c>
      <c r="B26" s="7" t="str">
        <f aca="false">IFERROR(INDEX('Source 2026'!$C:$C,MATCH($A26,'Source 2026'!$B:$B,0)),IFERROR(INDEX('Source 2025'!$C:$C,MATCH($A26,'Source 2025'!$B:$B,0)),""))</f>
        <v>L מגן קרסול שחור</v>
      </c>
      <c r="C26" s="8" t="n">
        <f aca="false">SUMIFS('Source 2025'!$N:$N,'Source 2025'!$B:$B,$A26,'Source 2025'!$A:$A,"Quantity (units)")</f>
        <v>6</v>
      </c>
      <c r="D26" s="8" t="n">
        <f aca="false">SUMIFS('Source 2026'!$N:$N,'Source 2026'!$B:$B,$A26,'Source 2026'!$A:$A,"Quantity (units)")</f>
        <v>12</v>
      </c>
      <c r="E26" s="8" t="n">
        <f aca="false">D26-C26</f>
        <v>6</v>
      </c>
      <c r="F26" s="9" t="n">
        <f aca="false">IF(AND(C26=0,D26=0),0,IF(C26=0,"New",(D26-C26)/C26))</f>
        <v>1</v>
      </c>
      <c r="G26" s="10" t="n">
        <f aca="false">SUMIFS('Source 2025'!$N:$N,'Source 2025'!$B:$B,$A26,'Source 2025'!$A:$A,"Amount (NIS)")</f>
        <v>148.6</v>
      </c>
      <c r="H26" s="10" t="n">
        <f aca="false">SUMIFS('Source 2026'!$N:$N,'Source 2026'!$B:$B,$A26,'Source 2026'!$A:$A,"Amount (NIS)")</f>
        <v>370.8</v>
      </c>
      <c r="I26" s="10" t="n">
        <f aca="false">H26-G26</f>
        <v>222.2</v>
      </c>
      <c r="J26" s="9" t="n">
        <f aca="false">IF(AND(G26=0,H26=0),0,IF(G26=0,"New",(H26-G26)/G26))</f>
        <v>1.49528936742934</v>
      </c>
    </row>
    <row r="27" customFormat="false" ht="15" hidden="false" customHeight="false" outlineLevel="0" collapsed="false">
      <c r="A27" s="7" t="s">
        <v>275</v>
      </c>
      <c r="B27" s="7" t="str">
        <f aca="false">IFERROR(INDEX('Source 2026'!$C:$C,MATCH($A27,'Source 2026'!$B:$B,0)),IFERROR(INDEX('Source 2025'!$C:$C,MATCH($A27,'Source 2025'!$B:$B,0)),""))</f>
        <v>חגורת בטן קלה</v>
      </c>
      <c r="C27" s="8" t="n">
        <f aca="false">SUMIFS('Source 2025'!$N:$N,'Source 2025'!$B:$B,$A27,'Source 2025'!$A:$A,"Quantity (units)")</f>
        <v>3</v>
      </c>
      <c r="D27" s="8" t="n">
        <f aca="false">SUMIFS('Source 2026'!$N:$N,'Source 2026'!$B:$B,$A27,'Source 2026'!$A:$A,"Quantity (units)")</f>
        <v>0</v>
      </c>
      <c r="E27" s="8" t="n">
        <f aca="false">D27-C27</f>
        <v>-3</v>
      </c>
      <c r="F27" s="9" t="n">
        <f aca="false">IF(AND(C27=0,D27=0),0,IF(C27=0,"New",(D27-C27)/C27))</f>
        <v>-1</v>
      </c>
      <c r="G27" s="10" t="n">
        <f aca="false">SUMIFS('Source 2025'!$N:$N,'Source 2025'!$B:$B,$A27,'Source 2025'!$A:$A,"Amount (NIS)")</f>
        <v>219.7</v>
      </c>
      <c r="H27" s="10" t="n">
        <f aca="false">SUMIFS('Source 2026'!$N:$N,'Source 2026'!$B:$B,$A27,'Source 2026'!$A:$A,"Amount (NIS)")</f>
        <v>0</v>
      </c>
      <c r="I27" s="10" t="n">
        <f aca="false">H27-G27</f>
        <v>-219.7</v>
      </c>
      <c r="J27" s="9" t="n">
        <f aca="false">IF(AND(G27=0,H27=0),0,IF(G27=0,"New",(H27-G27)/G27))</f>
        <v>-1</v>
      </c>
    </row>
    <row r="28" customFormat="false" ht="15" hidden="false" customHeight="false" outlineLevel="0" collapsed="false">
      <c r="A28" s="7" t="s">
        <v>110</v>
      </c>
      <c r="B28" s="7" t="str">
        <f aca="false">IFERROR(INDEX('Source 2026'!$C:$C,MATCH($A28,'Source 2026'!$B:$B,0)),IFERROR(INDEX('Source 2025'!$C:$C,MATCH($A28,'Source 2025'!$B:$B,0)),""))</f>
        <v>חבק טניס</v>
      </c>
      <c r="C28" s="8" t="n">
        <f aca="false">SUMIFS('Source 2025'!$N:$N,'Source 2025'!$B:$B,$A28,'Source 2025'!$A:$A,"Quantity (units)")</f>
        <v>6</v>
      </c>
      <c r="D28" s="8" t="n">
        <f aca="false">SUMIFS('Source 2026'!$N:$N,'Source 2026'!$B:$B,$A28,'Source 2026'!$A:$A,"Quantity (units)")</f>
        <v>0</v>
      </c>
      <c r="E28" s="8" t="n">
        <f aca="false">D28-C28</f>
        <v>-6</v>
      </c>
      <c r="F28" s="9" t="n">
        <f aca="false">IF(AND(C28=0,D28=0),0,IF(C28=0,"New",(D28-C28)/C28))</f>
        <v>-1</v>
      </c>
      <c r="G28" s="10" t="n">
        <f aca="false">SUMIFS('Source 2025'!$N:$N,'Source 2025'!$B:$B,$A28,'Source 2025'!$A:$A,"Amount (NIS)")</f>
        <v>211.8</v>
      </c>
      <c r="H28" s="10" t="n">
        <f aca="false">SUMIFS('Source 2026'!$N:$N,'Source 2026'!$B:$B,$A28,'Source 2026'!$A:$A,"Amount (NIS)")</f>
        <v>0</v>
      </c>
      <c r="I28" s="10" t="n">
        <f aca="false">H28-G28</f>
        <v>-211.8</v>
      </c>
      <c r="J28" s="9" t="n">
        <f aca="false">IF(AND(G28=0,H28=0),0,IF(G28=0,"New",(H28-G28)/G28))</f>
        <v>-1</v>
      </c>
    </row>
    <row r="29" customFormat="false" ht="15" hidden="false" customHeight="false" outlineLevel="0" collapsed="false">
      <c r="A29" s="7" t="s">
        <v>113</v>
      </c>
      <c r="B29" s="7" t="str">
        <f aca="false">IFERROR(INDEX('Source 2026'!$C:$C,MATCH($A29,'Source 2026'!$B:$B,0)),IFERROR(INDEX('Source 2025'!$C:$C,MATCH($A29,'Source 2025'!$B:$B,0)),""))</f>
        <v>S מגן קרסול עקב סגור+רצוע</v>
      </c>
      <c r="C29" s="8" t="n">
        <f aca="false">SUMIFS('Source 2025'!$N:$N,'Source 2025'!$B:$B,$A29,'Source 2025'!$A:$A,"Quantity (units)")</f>
        <v>3</v>
      </c>
      <c r="D29" s="8" t="n">
        <f aca="false">SUMIFS('Source 2026'!$N:$N,'Source 2026'!$B:$B,$A29,'Source 2026'!$A:$A,"Quantity (units)")</f>
        <v>0</v>
      </c>
      <c r="E29" s="8" t="n">
        <f aca="false">D29-C29</f>
        <v>-3</v>
      </c>
      <c r="F29" s="9" t="n">
        <f aca="false">IF(AND(C29=0,D29=0),0,IF(C29=0,"New",(D29-C29)/C29))</f>
        <v>-1</v>
      </c>
      <c r="G29" s="10" t="n">
        <f aca="false">SUMIFS('Source 2025'!$N:$N,'Source 2025'!$B:$B,$A29,'Source 2025'!$A:$A,"Amount (NIS)")</f>
        <v>210.8</v>
      </c>
      <c r="H29" s="10" t="n">
        <f aca="false">SUMIFS('Source 2026'!$N:$N,'Source 2026'!$B:$B,$A29,'Source 2026'!$A:$A,"Amount (NIS)")</f>
        <v>0</v>
      </c>
      <c r="I29" s="10" t="n">
        <f aca="false">H29-G29</f>
        <v>-210.8</v>
      </c>
      <c r="J29" s="9" t="n">
        <f aca="false">IF(AND(G29=0,H29=0),0,IF(G29=0,"New",(H29-G29)/G29))</f>
        <v>-1</v>
      </c>
    </row>
    <row r="30" customFormat="false" ht="15" hidden="false" customHeight="false" outlineLevel="0" collapsed="false">
      <c r="A30" s="7" t="s">
        <v>274</v>
      </c>
      <c r="B30" s="7" t="str">
        <f aca="false">IFERROR(INDEX('Source 2026'!$C:$C,MATCH($A30,'Source 2026'!$B:$B,0)),IFERROR(INDEX('Source 2025'!$C:$C,MATCH($A30,'Source 2025'!$B:$B,0)),""))</f>
        <v>L מגן מרפק שחור</v>
      </c>
      <c r="C30" s="8" t="n">
        <f aca="false">SUMIFS('Source 2025'!$N:$N,'Source 2025'!$B:$B,$A30,'Source 2025'!$A:$A,"Quantity (units)")</f>
        <v>6</v>
      </c>
      <c r="D30" s="8" t="n">
        <f aca="false">SUMIFS('Source 2026'!$N:$N,'Source 2026'!$B:$B,$A30,'Source 2026'!$A:$A,"Quantity (units)")</f>
        <v>12</v>
      </c>
      <c r="E30" s="8" t="n">
        <f aca="false">D30-C30</f>
        <v>6</v>
      </c>
      <c r="F30" s="9" t="n">
        <f aca="false">IF(AND(C30=0,D30=0),0,IF(C30=0,"New",(D30-C30)/C30))</f>
        <v>1</v>
      </c>
      <c r="G30" s="10" t="n">
        <f aca="false">SUMIFS('Source 2025'!$N:$N,'Source 2025'!$B:$B,$A30,'Source 2025'!$A:$A,"Amount (NIS)")</f>
        <v>178.5</v>
      </c>
      <c r="H30" s="10" t="n">
        <f aca="false">SUMIFS('Source 2026'!$N:$N,'Source 2026'!$B:$B,$A30,'Source 2026'!$A:$A,"Amount (NIS)")</f>
        <v>370.8</v>
      </c>
      <c r="I30" s="10" t="n">
        <f aca="false">H30-G30</f>
        <v>192.3</v>
      </c>
      <c r="J30" s="9" t="n">
        <f aca="false">IF(AND(G30=0,H30=0),0,IF(G30=0,"New",(H30-G30)/G30))</f>
        <v>1.07731092436975</v>
      </c>
    </row>
    <row r="31" customFormat="false" ht="15" hidden="false" customHeight="false" outlineLevel="0" collapsed="false">
      <c r="A31" s="7" t="s">
        <v>92</v>
      </c>
      <c r="B31" s="7" t="str">
        <f aca="false">IFERROR(INDEX('Source 2026'!$C:$C,MATCH($A31,'Source 2026'!$B:$B,0)),IFERROR(INDEX('Source 2025'!$C:$C,MATCH($A31,'Source 2025'!$B:$B,0)),""))</f>
        <v>תחבושת א.נצמ</v>
      </c>
      <c r="C31" s="8" t="n">
        <f aca="false">SUMIFS('Source 2025'!$N:$N,'Source 2025'!$B:$B,$A31,'Source 2025'!$A:$A,"Quantity (units)")</f>
        <v>14</v>
      </c>
      <c r="D31" s="8" t="n">
        <f aca="false">SUMIFS('Source 2026'!$N:$N,'Source 2026'!$B:$B,$A31,'Source 2026'!$A:$A,"Quantity (units)")</f>
        <v>0</v>
      </c>
      <c r="E31" s="8" t="n">
        <f aca="false">D31-C31</f>
        <v>-14</v>
      </c>
      <c r="F31" s="9" t="n">
        <f aca="false">IF(AND(C31=0,D31=0),0,IF(C31=0,"New",(D31-C31)/C31))</f>
        <v>-1</v>
      </c>
      <c r="G31" s="10" t="n">
        <f aca="false">SUMIFS('Source 2025'!$N:$N,'Source 2025'!$B:$B,$A31,'Source 2025'!$A:$A,"Amount (NIS)")</f>
        <v>176.5</v>
      </c>
      <c r="H31" s="10" t="n">
        <f aca="false">SUMIFS('Source 2026'!$N:$N,'Source 2026'!$B:$B,$A31,'Source 2026'!$A:$A,"Amount (NIS)")</f>
        <v>0</v>
      </c>
      <c r="I31" s="10" t="n">
        <f aca="false">H31-G31</f>
        <v>-176.5</v>
      </c>
      <c r="J31" s="9" t="n">
        <f aca="false">IF(AND(G31=0,H31=0),0,IF(G31=0,"New",(H31-G31)/G31))</f>
        <v>-1</v>
      </c>
    </row>
    <row r="32" customFormat="false" ht="15" hidden="false" customHeight="false" outlineLevel="0" collapsed="false">
      <c r="A32" s="7" t="s">
        <v>44</v>
      </c>
      <c r="B32" s="7" t="str">
        <f aca="false">IFERROR(INDEX('Source 2026'!$C:$C,MATCH($A32,'Source 2026'!$B:$B,0)),IFERROR(INDEX('Source 2025'!$C:$C,MATCH($A32,'Source 2025'!$B:$B,0)),""))</f>
        <v>S  חבק יד ארוך</v>
      </c>
      <c r="C32" s="8" t="n">
        <f aca="false">SUMIFS('Source 2025'!$N:$N,'Source 2025'!$B:$B,$A32,'Source 2025'!$A:$A,"Quantity (units)")</f>
        <v>8</v>
      </c>
      <c r="D32" s="8" t="n">
        <f aca="false">SUMIFS('Source 2026'!$N:$N,'Source 2026'!$B:$B,$A32,'Source 2026'!$A:$A,"Quantity (units)")</f>
        <v>12</v>
      </c>
      <c r="E32" s="8" t="n">
        <f aca="false">D32-C32</f>
        <v>4</v>
      </c>
      <c r="F32" s="9" t="n">
        <f aca="false">IF(AND(C32=0,D32=0),0,IF(C32=0,"New",(D32-C32)/C32))</f>
        <v>0.5</v>
      </c>
      <c r="G32" s="10" t="n">
        <f aca="false">SUMIFS('Source 2025'!$N:$N,'Source 2025'!$B:$B,$A32,'Source 2025'!$A:$A,"Amount (NIS)")</f>
        <v>306.1</v>
      </c>
      <c r="H32" s="10" t="n">
        <f aca="false">SUMIFS('Source 2026'!$N:$N,'Source 2026'!$B:$B,$A32,'Source 2026'!$A:$A,"Amount (NIS)")</f>
        <v>477.6</v>
      </c>
      <c r="I32" s="10" t="n">
        <f aca="false">H32-G32</f>
        <v>171.5</v>
      </c>
      <c r="J32" s="9" t="n">
        <f aca="false">IF(AND(G32=0,H32=0),0,IF(G32=0,"New",(H32-G32)/G32))</f>
        <v>0.560274420124142</v>
      </c>
    </row>
    <row r="33" customFormat="false" ht="15" hidden="false" customHeight="false" outlineLevel="0" collapsed="false">
      <c r="A33" s="7" t="s">
        <v>176</v>
      </c>
      <c r="B33" s="7" t="str">
        <f aca="false">IFERROR(INDEX('Source 2026'!$C:$C,MATCH($A33,'Source 2026'!$B:$B,0)),IFERROR(INDEX('Source 2025'!$C:$C,MATCH($A33,'Source 2025'!$B:$B,0)),""))</f>
        <v>סד לאגודל</v>
      </c>
      <c r="C33" s="8" t="n">
        <f aca="false">SUMIFS('Source 2025'!$N:$N,'Source 2025'!$B:$B,$A33,'Source 2025'!$A:$A,"Quantity (units)")</f>
        <v>6</v>
      </c>
      <c r="D33" s="8" t="n">
        <f aca="false">SUMIFS('Source 2026'!$N:$N,'Source 2026'!$B:$B,$A33,'Source 2026'!$A:$A,"Quantity (units)")</f>
        <v>1</v>
      </c>
      <c r="E33" s="8" t="n">
        <f aca="false">D33-C33</f>
        <v>-5</v>
      </c>
      <c r="F33" s="9" t="n">
        <f aca="false">IF(AND(C33=0,D33=0),0,IF(C33=0,"New",(D33-C33)/C33))</f>
        <v>-0.833333333333333</v>
      </c>
      <c r="G33" s="10" t="n">
        <f aca="false">SUMIFS('Source 2025'!$N:$N,'Source 2025'!$B:$B,$A33,'Source 2025'!$A:$A,"Amount (NIS)")</f>
        <v>212.7</v>
      </c>
      <c r="H33" s="10" t="n">
        <f aca="false">SUMIFS('Source 2026'!$N:$N,'Source 2026'!$B:$B,$A33,'Source 2026'!$A:$A,"Amount (NIS)")</f>
        <v>42.1</v>
      </c>
      <c r="I33" s="10" t="n">
        <f aca="false">H33-G33</f>
        <v>-170.6</v>
      </c>
      <c r="J33" s="9" t="n">
        <f aca="false">IF(AND(G33=0,H33=0),0,IF(G33=0,"New",(H33-G33)/G33))</f>
        <v>-0.802068641278796</v>
      </c>
    </row>
    <row r="34" customFormat="false" ht="15" hidden="false" customHeight="false" outlineLevel="0" collapsed="false">
      <c r="A34" s="7" t="s">
        <v>269</v>
      </c>
      <c r="B34" s="7" t="str">
        <f aca="false">IFERROR(INDEX('Source 2026'!$C:$C,MATCH($A34,'Source 2026'!$B:$B,0)),IFERROR(INDEX('Source 2025'!$C:$C,MATCH($A34,'Source 2025'!$B:$B,0)),""))</f>
        <v>שרוול מסיליקון לאצבע</v>
      </c>
      <c r="C34" s="8" t="n">
        <f aca="false">SUMIFS('Source 2025'!$N:$N,'Source 2025'!$B:$B,$A34,'Source 2025'!$A:$A,"Quantity (units)")</f>
        <v>15</v>
      </c>
      <c r="D34" s="8" t="n">
        <f aca="false">SUMIFS('Source 2026'!$N:$N,'Source 2026'!$B:$B,$A34,'Source 2026'!$A:$A,"Quantity (units)")</f>
        <v>18</v>
      </c>
      <c r="E34" s="8" t="n">
        <f aca="false">D34-C34</f>
        <v>3</v>
      </c>
      <c r="F34" s="9" t="n">
        <f aca="false">IF(AND(C34=0,D34=0),0,IF(C34=0,"New",(D34-C34)/C34))</f>
        <v>0.2</v>
      </c>
      <c r="G34" s="10" t="n">
        <f aca="false">SUMIFS('Source 2025'!$N:$N,'Source 2025'!$B:$B,$A34,'Source 2025'!$A:$A,"Amount (NIS)")</f>
        <v>173.5</v>
      </c>
      <c r="H34" s="10" t="n">
        <f aca="false">SUMIFS('Source 2026'!$N:$N,'Source 2026'!$B:$B,$A34,'Source 2026'!$A:$A,"Amount (NIS)")</f>
        <v>336.7</v>
      </c>
      <c r="I34" s="10" t="n">
        <f aca="false">H34-G34</f>
        <v>163.2</v>
      </c>
      <c r="J34" s="9" t="n">
        <f aca="false">IF(AND(G34=0,H34=0),0,IF(G34=0,"New",(H34-G34)/G34))</f>
        <v>0.940634005763689</v>
      </c>
    </row>
    <row r="35" customFormat="false" ht="15" hidden="false" customHeight="false" outlineLevel="0" collapsed="false">
      <c r="A35" s="7" t="s">
        <v>168</v>
      </c>
      <c r="B35" s="7" t="str">
        <f aca="false">IFERROR(INDEX('Source 2026'!$C:$C,MATCH($A35,'Source 2026'!$B:$B,0)),IFERROR(INDEX('Source 2025'!$C:$C,MATCH($A35,'Source 2025'!$B:$B,0)),""))</f>
        <v>גרב כסף לסכרתיים לבן35-38</v>
      </c>
      <c r="C35" s="8" t="n">
        <f aca="false">SUMIFS('Source 2025'!$N:$N,'Source 2025'!$B:$B,$A35,'Source 2025'!$A:$A,"Quantity (units)")</f>
        <v>5</v>
      </c>
      <c r="D35" s="8" t="n">
        <f aca="false">SUMIFS('Source 2026'!$N:$N,'Source 2026'!$B:$B,$A35,'Source 2026'!$A:$A,"Quantity (units)")</f>
        <v>0</v>
      </c>
      <c r="E35" s="8" t="n">
        <f aca="false">D35-C35</f>
        <v>-5</v>
      </c>
      <c r="F35" s="9" t="n">
        <f aca="false">IF(AND(C35=0,D35=0),0,IF(C35=0,"New",(D35-C35)/C35))</f>
        <v>-1</v>
      </c>
      <c r="G35" s="10" t="n">
        <f aca="false">SUMIFS('Source 2025'!$N:$N,'Source 2025'!$B:$B,$A35,'Source 2025'!$A:$A,"Amount (NIS)")</f>
        <v>146.1</v>
      </c>
      <c r="H35" s="10" t="n">
        <f aca="false">SUMIFS('Source 2026'!$N:$N,'Source 2026'!$B:$B,$A35,'Source 2026'!$A:$A,"Amount (NIS)")</f>
        <v>0</v>
      </c>
      <c r="I35" s="10" t="n">
        <f aca="false">H35-G35</f>
        <v>-146.1</v>
      </c>
      <c r="J35" s="9" t="n">
        <f aca="false">IF(AND(G35=0,H35=0),0,IF(G35=0,"New",(H35-G35)/G35))</f>
        <v>-1</v>
      </c>
    </row>
    <row r="36" customFormat="false" ht="15" hidden="false" customHeight="false" outlineLevel="0" collapsed="false">
      <c r="A36" s="7" t="s">
        <v>78</v>
      </c>
      <c r="B36" s="7" t="str">
        <f aca="false">IFERROR(INDEX('Source 2026'!$C:$C,MATCH($A36,'Source 2026'!$B:$B,0)),IFERROR(INDEX('Source 2025'!$C:$C,MATCH($A36,'Source 2025'!$B:$B,0)),""))</f>
        <v>טייפ קינזיולוגי</v>
      </c>
      <c r="C36" s="8" t="n">
        <f aca="false">SUMIFS('Source 2025'!$N:$N,'Source 2025'!$B:$B,$A36,'Source 2025'!$A:$A,"Quantity (units)")</f>
        <v>0</v>
      </c>
      <c r="D36" s="8" t="n">
        <f aca="false">SUMIFS('Source 2026'!$N:$N,'Source 2026'!$B:$B,$A36,'Source 2026'!$A:$A,"Quantity (units)")</f>
        <v>3</v>
      </c>
      <c r="E36" s="8" t="n">
        <f aca="false">D36-C36</f>
        <v>3</v>
      </c>
      <c r="F36" s="9" t="str">
        <f aca="false">IF(AND(C36=0,D36=0),0,IF(C36=0,"New",(D36-C36)/C36))</f>
        <v>New</v>
      </c>
      <c r="G36" s="10" t="n">
        <f aca="false">SUMIFS('Source 2025'!$N:$N,'Source 2025'!$B:$B,$A36,'Source 2025'!$A:$A,"Amount (NIS)")</f>
        <v>0</v>
      </c>
      <c r="H36" s="10" t="n">
        <f aca="false">SUMIFS('Source 2026'!$N:$N,'Source 2026'!$B:$B,$A36,'Source 2026'!$A:$A,"Amount (NIS)")</f>
        <v>141.9</v>
      </c>
      <c r="I36" s="10" t="n">
        <f aca="false">H36-G36</f>
        <v>141.9</v>
      </c>
      <c r="J36" s="9" t="str">
        <f aca="false">IF(AND(G36=0,H36=0),0,IF(G36=0,"New",(H36-G36)/G36))</f>
        <v>New</v>
      </c>
    </row>
    <row r="37" customFormat="false" ht="15" hidden="false" customHeight="false" outlineLevel="0" collapsed="false">
      <c r="A37" s="7" t="s">
        <v>66</v>
      </c>
      <c r="B37" s="7" t="str">
        <f aca="false">IFERROR(INDEX('Source 2026'!$C:$C,MATCH($A37,'Source 2026'!$B:$B,0)),IFERROR(INDEX('Source 2025'!$C:$C,MATCH($A37,'Source 2025'!$B:$B,0)),""))</f>
        <v>מגן ברך עם תמיכות</v>
      </c>
      <c r="C37" s="8" t="n">
        <f aca="false">SUMIFS('Source 2025'!$N:$N,'Source 2025'!$B:$B,$A37,'Source 2025'!$A:$A,"Quantity (units)")</f>
        <v>2</v>
      </c>
      <c r="D37" s="8" t="n">
        <f aca="false">SUMIFS('Source 2026'!$N:$N,'Source 2026'!$B:$B,$A37,'Source 2026'!$A:$A,"Quantity (units)")</f>
        <v>0</v>
      </c>
      <c r="E37" s="8" t="n">
        <f aca="false">D37-C37</f>
        <v>-2</v>
      </c>
      <c r="F37" s="9" t="n">
        <f aca="false">IF(AND(C37=0,D37=0),0,IF(C37=0,"New",(D37-C37)/C37))</f>
        <v>-1</v>
      </c>
      <c r="G37" s="10" t="n">
        <f aca="false">SUMIFS('Source 2025'!$N:$N,'Source 2025'!$B:$B,$A37,'Source 2025'!$A:$A,"Amount (NIS)")</f>
        <v>141.7</v>
      </c>
      <c r="H37" s="10" t="n">
        <f aca="false">SUMIFS('Source 2026'!$N:$N,'Source 2026'!$B:$B,$A37,'Source 2026'!$A:$A,"Amount (NIS)")</f>
        <v>0</v>
      </c>
      <c r="I37" s="10" t="n">
        <f aca="false">H37-G37</f>
        <v>-141.7</v>
      </c>
      <c r="J37" s="9" t="n">
        <f aca="false">IF(AND(G37=0,H37=0),0,IF(G37=0,"New",(H37-G37)/G37))</f>
        <v>-1</v>
      </c>
    </row>
    <row r="38" customFormat="false" ht="15" hidden="false" customHeight="false" outlineLevel="0" collapsed="false">
      <c r="A38" s="7" t="s">
        <v>211</v>
      </c>
      <c r="B38" s="7" t="str">
        <f aca="false">IFERROR(INDEX('Source 2026'!$C:$C,MATCH($A38,'Source 2026'!$B:$B,0)),IFERROR(INDEX('Source 2025'!$C:$C,MATCH($A38,'Source 2025'!$B:$B,0)),""))</f>
        <v>נגד פטרת הציפורן</v>
      </c>
      <c r="C38" s="8" t="n">
        <f aca="false">SUMIFS('Source 2025'!$N:$N,'Source 2025'!$B:$B,$A38,'Source 2025'!$A:$A,"Quantity (units)")</f>
        <v>-2</v>
      </c>
      <c r="D38" s="8" t="n">
        <f aca="false">SUMIFS('Source 2026'!$N:$N,'Source 2026'!$B:$B,$A38,'Source 2026'!$A:$A,"Quantity (units)")</f>
        <v>0</v>
      </c>
      <c r="E38" s="8" t="n">
        <f aca="false">D38-C38</f>
        <v>2</v>
      </c>
      <c r="F38" s="9" t="n">
        <f aca="false">IF(AND(C38=0,D38=0),0,IF(C38=0,"New",(D38-C38)/C38))</f>
        <v>-1</v>
      </c>
      <c r="G38" s="10" t="n">
        <f aca="false">SUMIFS('Source 2025'!$N:$N,'Source 2025'!$B:$B,$A38,'Source 2025'!$A:$A,"Amount (NIS)")</f>
        <v>-141.6</v>
      </c>
      <c r="H38" s="10" t="n">
        <f aca="false">SUMIFS('Source 2026'!$N:$N,'Source 2026'!$B:$B,$A38,'Source 2026'!$A:$A,"Amount (NIS)")</f>
        <v>0</v>
      </c>
      <c r="I38" s="10" t="n">
        <f aca="false">H38-G38</f>
        <v>141.6</v>
      </c>
      <c r="J38" s="9" t="n">
        <f aca="false">IF(AND(G38=0,H38=0),0,IF(G38=0,"New",(H38-G38)/G38))</f>
        <v>-1</v>
      </c>
    </row>
    <row r="39" customFormat="false" ht="15" hidden="false" customHeight="false" outlineLevel="0" collapsed="false">
      <c r="A39" s="7" t="s">
        <v>112</v>
      </c>
      <c r="B39" s="7" t="str">
        <f aca="false">IFERROR(INDEX('Source 2026'!$C:$C,MATCH($A39,'Source 2026'!$B:$B,0)),IFERROR(INDEX('Source 2025'!$C:$C,MATCH($A39,'Source 2025'!$B:$B,0)),""))</f>
        <v>אמבט לכף הרגל</v>
      </c>
      <c r="C39" s="8" t="n">
        <f aca="false">SUMIFS('Source 2025'!$N:$N,'Source 2025'!$B:$B,$A39,'Source 2025'!$A:$A,"Quantity (units)")</f>
        <v>13</v>
      </c>
      <c r="D39" s="8" t="n">
        <f aca="false">SUMIFS('Source 2026'!$N:$N,'Source 2026'!$B:$B,$A39,'Source 2026'!$A:$A,"Quantity (units)")</f>
        <v>0</v>
      </c>
      <c r="E39" s="8" t="n">
        <f aca="false">D39-C39</f>
        <v>-13</v>
      </c>
      <c r="F39" s="9" t="n">
        <f aca="false">IF(AND(C39=0,D39=0),0,IF(C39=0,"New",(D39-C39)/C39))</f>
        <v>-1</v>
      </c>
      <c r="G39" s="10" t="n">
        <f aca="false">SUMIFS('Source 2025'!$N:$N,'Source 2025'!$B:$B,$A39,'Source 2025'!$A:$A,"Amount (NIS)")</f>
        <v>140</v>
      </c>
      <c r="H39" s="10" t="n">
        <f aca="false">SUMIFS('Source 2026'!$N:$N,'Source 2026'!$B:$B,$A39,'Source 2026'!$A:$A,"Amount (NIS)")</f>
        <v>0</v>
      </c>
      <c r="I39" s="10" t="n">
        <f aca="false">H39-G39</f>
        <v>-140</v>
      </c>
      <c r="J39" s="9" t="n">
        <f aca="false">IF(AND(G39=0,H39=0),0,IF(G39=0,"New",(H39-G39)/G39))</f>
        <v>-1</v>
      </c>
    </row>
    <row r="40" customFormat="false" ht="15" hidden="false" customHeight="false" outlineLevel="0" collapsed="false">
      <c r="A40" s="7" t="s">
        <v>279</v>
      </c>
      <c r="B40" s="7" t="str">
        <f aca="false">IFERROR(INDEX('Source 2026'!$C:$C,MATCH($A40,'Source 2026'!$B:$B,0)),IFERROR(INDEX('Source 2025'!$C:$C,MATCH($A40,'Source 2025'!$B:$B,0)),""))</f>
        <v>בוהן סיליקון קשיח</v>
      </c>
      <c r="C40" s="8" t="n">
        <f aca="false">SUMIFS('Source 2025'!$N:$N,'Source 2025'!$B:$B,$A40,'Source 2025'!$A:$A,"Quantity (units)")</f>
        <v>7</v>
      </c>
      <c r="D40" s="8" t="n">
        <f aca="false">SUMIFS('Source 2026'!$N:$N,'Source 2026'!$B:$B,$A40,'Source 2026'!$A:$A,"Quantity (units)")</f>
        <v>0</v>
      </c>
      <c r="E40" s="8" t="n">
        <f aca="false">D40-C40</f>
        <v>-7</v>
      </c>
      <c r="F40" s="9" t="n">
        <f aca="false">IF(AND(C40=0,D40=0),0,IF(C40=0,"New",(D40-C40)/C40))</f>
        <v>-1</v>
      </c>
      <c r="G40" s="10" t="n">
        <f aca="false">SUMIFS('Source 2025'!$N:$N,'Source 2025'!$B:$B,$A40,'Source 2025'!$A:$A,"Amount (NIS)")</f>
        <v>138.4</v>
      </c>
      <c r="H40" s="10" t="n">
        <f aca="false">SUMIFS('Source 2026'!$N:$N,'Source 2026'!$B:$B,$A40,'Source 2026'!$A:$A,"Amount (NIS)")</f>
        <v>0</v>
      </c>
      <c r="I40" s="10" t="n">
        <f aca="false">H40-G40</f>
        <v>-138.4</v>
      </c>
      <c r="J40" s="9" t="n">
        <f aca="false">IF(AND(G40=0,H40=0),0,IF(G40=0,"New",(H40-G40)/G40))</f>
        <v>-1</v>
      </c>
    </row>
    <row r="41" customFormat="false" ht="15" hidden="false" customHeight="false" outlineLevel="0" collapsed="false">
      <c r="A41" s="7" t="s">
        <v>98</v>
      </c>
      <c r="B41" s="7" t="str">
        <f aca="false">IFERROR(INDEX('Source 2026'!$C:$C,MATCH($A41,'Source 2026'!$B:$B,0)),IFERROR(INDEX('Source 2025'!$C:$C,MATCH($A41,'Source 2025'!$B:$B,0)),""))</f>
        <v>דאודורנט אנטיבק.נעל333</v>
      </c>
      <c r="C41" s="8" t="n">
        <f aca="false">SUMIFS('Source 2025'!$N:$N,'Source 2025'!$B:$B,$A41,'Source 2025'!$A:$A,"Quantity (units)")</f>
        <v>6</v>
      </c>
      <c r="D41" s="8" t="n">
        <f aca="false">SUMIFS('Source 2026'!$N:$N,'Source 2026'!$B:$B,$A41,'Source 2026'!$A:$A,"Quantity (units)")</f>
        <v>0</v>
      </c>
      <c r="E41" s="8" t="n">
        <f aca="false">D41-C41</f>
        <v>-6</v>
      </c>
      <c r="F41" s="9" t="n">
        <f aca="false">IF(AND(C41=0,D41=0),0,IF(C41=0,"New",(D41-C41)/C41))</f>
        <v>-1</v>
      </c>
      <c r="G41" s="10" t="n">
        <f aca="false">SUMIFS('Source 2025'!$N:$N,'Source 2025'!$B:$B,$A41,'Source 2025'!$A:$A,"Amount (NIS)")</f>
        <v>123.8</v>
      </c>
      <c r="H41" s="10" t="n">
        <f aca="false">SUMIFS('Source 2026'!$N:$N,'Source 2026'!$B:$B,$A41,'Source 2026'!$A:$A,"Amount (NIS)")</f>
        <v>0</v>
      </c>
      <c r="I41" s="10" t="n">
        <f aca="false">H41-G41</f>
        <v>-123.8</v>
      </c>
      <c r="J41" s="9" t="n">
        <f aca="false">IF(AND(G41=0,H41=0),0,IF(G41=0,"New",(H41-G41)/G41))</f>
        <v>-1</v>
      </c>
    </row>
    <row r="42" customFormat="false" ht="15" hidden="false" customHeight="false" outlineLevel="0" collapsed="false">
      <c r="A42" s="7" t="s">
        <v>102</v>
      </c>
      <c r="B42" s="7" t="str">
        <f aca="false">IFERROR(INDEX('Source 2026'!$C:$C,MATCH($A42,'Source 2026'!$B:$B,0)),IFERROR(INDEX('Source 2025'!$C:$C,MATCH($A42,'Source 2025'!$B:$B,0)),""))</f>
        <v>3667 מגן בוניון</v>
      </c>
      <c r="C42" s="8" t="n">
        <f aca="false">SUMIFS('Source 2025'!$N:$N,'Source 2025'!$B:$B,$A42,'Source 2025'!$A:$A,"Quantity (units)")</f>
        <v>2</v>
      </c>
      <c r="D42" s="8" t="n">
        <f aca="false">SUMIFS('Source 2026'!$N:$N,'Source 2026'!$B:$B,$A42,'Source 2026'!$A:$A,"Quantity (units)")</f>
        <v>5</v>
      </c>
      <c r="E42" s="8" t="n">
        <f aca="false">D42-C42</f>
        <v>3</v>
      </c>
      <c r="F42" s="9" t="n">
        <f aca="false">IF(AND(C42=0,D42=0),0,IF(C42=0,"New",(D42-C42)/C42))</f>
        <v>1.5</v>
      </c>
      <c r="G42" s="10" t="n">
        <f aca="false">SUMIFS('Source 2025'!$N:$N,'Source 2025'!$B:$B,$A42,'Source 2025'!$A:$A,"Amount (NIS)")</f>
        <v>41.2</v>
      </c>
      <c r="H42" s="10" t="n">
        <f aca="false">SUMIFS('Source 2026'!$N:$N,'Source 2026'!$B:$B,$A42,'Source 2026'!$A:$A,"Amount (NIS)")</f>
        <v>163.8</v>
      </c>
      <c r="I42" s="10" t="n">
        <f aca="false">H42-G42</f>
        <v>122.6</v>
      </c>
      <c r="J42" s="9" t="n">
        <f aca="false">IF(AND(G42=0,H42=0),0,IF(G42=0,"New",(H42-G42)/G42))</f>
        <v>2.97572815533981</v>
      </c>
    </row>
    <row r="43" customFormat="false" ht="15" hidden="false" customHeight="false" outlineLevel="0" collapsed="false">
      <c r="A43" s="7" t="s">
        <v>67</v>
      </c>
      <c r="B43" s="7" t="str">
        <f aca="false">IFERROR(INDEX('Source 2026'!$C:$C,MATCH($A43,'Source 2026'!$B:$B,0)),IFERROR(INDEX('Source 2025'!$C:$C,MATCH($A43,'Source 2025'!$B:$B,0)),""))</f>
        <v>שרוול מטטרזלי מסיליקון</v>
      </c>
      <c r="C43" s="8" t="n">
        <f aca="false">SUMIFS('Source 2025'!$N:$N,'Source 2025'!$B:$B,$A43,'Source 2025'!$A:$A,"Quantity (units)")</f>
        <v>1</v>
      </c>
      <c r="D43" s="8" t="n">
        <f aca="false">SUMIFS('Source 2026'!$N:$N,'Source 2026'!$B:$B,$A43,'Source 2026'!$A:$A,"Quantity (units)")</f>
        <v>2</v>
      </c>
      <c r="E43" s="8" t="n">
        <f aca="false">D43-C43</f>
        <v>1</v>
      </c>
      <c r="F43" s="9" t="n">
        <f aca="false">IF(AND(C43=0,D43=0),0,IF(C43=0,"New",(D43-C43)/C43))</f>
        <v>1</v>
      </c>
      <c r="G43" s="10" t="n">
        <f aca="false">SUMIFS('Source 2025'!$N:$N,'Source 2025'!$B:$B,$A43,'Source 2025'!$A:$A,"Amount (NIS)")</f>
        <v>0</v>
      </c>
      <c r="H43" s="10" t="n">
        <f aca="false">SUMIFS('Source 2026'!$N:$N,'Source 2026'!$B:$B,$A43,'Source 2026'!$A:$A,"Amount (NIS)")</f>
        <v>121.8</v>
      </c>
      <c r="I43" s="10" t="n">
        <f aca="false">H43-G43</f>
        <v>121.8</v>
      </c>
      <c r="J43" s="9" t="str">
        <f aca="false">IF(AND(G43=0,H43=0),0,IF(G43=0,"New",(H43-G43)/G43))</f>
        <v>New</v>
      </c>
    </row>
    <row r="44" customFormat="false" ht="15" hidden="false" customHeight="false" outlineLevel="0" collapsed="false">
      <c r="A44" s="7" t="s">
        <v>81</v>
      </c>
      <c r="B44" s="7" t="str">
        <f aca="false">IFERROR(INDEX('Source 2026'!$C:$C,MATCH($A44,'Source 2026'!$B:$B,0)),IFERROR(INDEX('Source 2025'!$C:$C,MATCH($A44,'Source 2025'!$B:$B,0)),""))</f>
        <v>0 מ.בוניון+מפריד אצבע</v>
      </c>
      <c r="C44" s="8" t="n">
        <f aca="false">SUMIFS('Source 2025'!$N:$N,'Source 2025'!$B:$B,$A44,'Source 2025'!$A:$A,"Quantity (units)")</f>
        <v>3</v>
      </c>
      <c r="D44" s="8" t="n">
        <f aca="false">SUMIFS('Source 2026'!$N:$N,'Source 2026'!$B:$B,$A44,'Source 2026'!$A:$A,"Quantity (units)")</f>
        <v>0</v>
      </c>
      <c r="E44" s="8" t="n">
        <f aca="false">D44-C44</f>
        <v>-3</v>
      </c>
      <c r="F44" s="9" t="n">
        <f aca="false">IF(AND(C44=0,D44=0),0,IF(C44=0,"New",(D44-C44)/C44))</f>
        <v>-1</v>
      </c>
      <c r="G44" s="10" t="n">
        <f aca="false">SUMIFS('Source 2025'!$N:$N,'Source 2025'!$B:$B,$A44,'Source 2025'!$A:$A,"Amount (NIS)")</f>
        <v>120.8</v>
      </c>
      <c r="H44" s="10" t="n">
        <f aca="false">SUMIFS('Source 2026'!$N:$N,'Source 2026'!$B:$B,$A44,'Source 2026'!$A:$A,"Amount (NIS)")</f>
        <v>0</v>
      </c>
      <c r="I44" s="10" t="n">
        <f aca="false">H44-G44</f>
        <v>-120.8</v>
      </c>
      <c r="J44" s="9" t="n">
        <f aca="false">IF(AND(G44=0,H44=0),0,IF(G44=0,"New",(H44-G44)/G44))</f>
        <v>-1</v>
      </c>
    </row>
    <row r="45" customFormat="false" ht="15" hidden="false" customHeight="false" outlineLevel="0" collapsed="false">
      <c r="A45" s="7" t="s">
        <v>273</v>
      </c>
      <c r="B45" s="7" t="str">
        <f aca="false">IFERROR(INDEX('Source 2026'!$C:$C,MATCH($A45,'Source 2026'!$B:$B,0)),IFERROR(INDEX('Source 2025'!$C:$C,MATCH($A45,'Source 2025'!$B:$B,0)),""))</f>
        <v>סד לש.כף יד ימין</v>
      </c>
      <c r="C45" s="8" t="n">
        <f aca="false">SUMIFS('Source 2025'!$N:$N,'Source 2025'!$B:$B,$A45,'Source 2025'!$A:$A,"Quantity (units)")</f>
        <v>3</v>
      </c>
      <c r="D45" s="8" t="n">
        <f aca="false">SUMIFS('Source 2026'!$N:$N,'Source 2026'!$B:$B,$A45,'Source 2026'!$A:$A,"Quantity (units)")</f>
        <v>0</v>
      </c>
      <c r="E45" s="8" t="n">
        <f aca="false">D45-C45</f>
        <v>-3</v>
      </c>
      <c r="F45" s="9" t="n">
        <f aca="false">IF(AND(C45=0,D45=0),0,IF(C45=0,"New",(D45-C45)/C45))</f>
        <v>-1</v>
      </c>
      <c r="G45" s="10" t="n">
        <f aca="false">SUMIFS('Source 2025'!$N:$N,'Source 2025'!$B:$B,$A45,'Source 2025'!$A:$A,"Amount (NIS)")</f>
        <v>120.4</v>
      </c>
      <c r="H45" s="10" t="n">
        <f aca="false">SUMIFS('Source 2026'!$N:$N,'Source 2026'!$B:$B,$A45,'Source 2026'!$A:$A,"Amount (NIS)")</f>
        <v>0</v>
      </c>
      <c r="I45" s="10" t="n">
        <f aca="false">H45-G45</f>
        <v>-120.4</v>
      </c>
      <c r="J45" s="9" t="n">
        <f aca="false">IF(AND(G45=0,H45=0),0,IF(G45=0,"New",(H45-G45)/G45))</f>
        <v>-1</v>
      </c>
    </row>
    <row r="46" customFormat="false" ht="15" hidden="false" customHeight="false" outlineLevel="0" collapsed="false">
      <c r="A46" s="7" t="s">
        <v>114</v>
      </c>
      <c r="B46" s="7" t="str">
        <f aca="false">IFERROR(INDEX('Source 2026'!$C:$C,MATCH($A46,'Source 2026'!$B:$B,0)),IFERROR(INDEX('Source 2025'!$C:$C,MATCH($A46,'Source 2025'!$B:$B,0)),""))</f>
        <v>מדבקה לשחרור לחץ 2 יח</v>
      </c>
      <c r="C46" s="8" t="n">
        <f aca="false">SUMIFS('Source 2025'!$N:$N,'Source 2025'!$B:$B,$A46,'Source 2025'!$A:$A,"Quantity (units)")</f>
        <v>0</v>
      </c>
      <c r="D46" s="8" t="n">
        <f aca="false">SUMIFS('Source 2026'!$N:$N,'Source 2026'!$B:$B,$A46,'Source 2026'!$A:$A,"Quantity (units)")</f>
        <v>3</v>
      </c>
      <c r="E46" s="8" t="n">
        <f aca="false">D46-C46</f>
        <v>3</v>
      </c>
      <c r="F46" s="9" t="str">
        <f aca="false">IF(AND(C46=0,D46=0),0,IF(C46=0,"New",(D46-C46)/C46))</f>
        <v>New</v>
      </c>
      <c r="G46" s="10" t="n">
        <f aca="false">SUMIFS('Source 2025'!$N:$N,'Source 2025'!$B:$B,$A46,'Source 2025'!$A:$A,"Amount (NIS)")</f>
        <v>-20.6</v>
      </c>
      <c r="H46" s="10" t="n">
        <f aca="false">SUMIFS('Source 2026'!$N:$N,'Source 2026'!$B:$B,$A46,'Source 2026'!$A:$A,"Amount (NIS)")</f>
        <v>98.3</v>
      </c>
      <c r="I46" s="10" t="n">
        <f aca="false">H46-G46</f>
        <v>118.9</v>
      </c>
      <c r="J46" s="9" t="n">
        <f aca="false">IF(AND(G46=0,H46=0),0,IF(G46=0,"New",(H46-G46)/G46))</f>
        <v>-5.77184466019418</v>
      </c>
    </row>
    <row r="47" customFormat="false" ht="15" hidden="false" customHeight="false" outlineLevel="0" collapsed="false">
      <c r="A47" s="7" t="s">
        <v>284</v>
      </c>
      <c r="B47" s="7" t="str">
        <f aca="false">IFERROR(INDEX('Source 2026'!$C:$C,MATCH($A47,'Source 2026'!$B:$B,0)),IFERROR(INDEX('Source 2025'!$C:$C,MATCH($A47,'Source 2025'!$B:$B,0)),""))</f>
        <v>לחץ מיבלת2יח</v>
      </c>
      <c r="C47" s="8" t="n">
        <f aca="false">SUMIFS('Source 2025'!$N:$N,'Source 2025'!$B:$B,$A47,'Source 2025'!$A:$A,"Quantity (units)")</f>
        <v>0</v>
      </c>
      <c r="D47" s="8" t="n">
        <f aca="false">SUMIFS('Source 2026'!$N:$N,'Source 2026'!$B:$B,$A47,'Source 2026'!$A:$A,"Quantity (units)")</f>
        <v>6</v>
      </c>
      <c r="E47" s="8" t="n">
        <f aca="false">D47-C47</f>
        <v>6</v>
      </c>
      <c r="F47" s="9" t="str">
        <f aca="false">IF(AND(C47=0,D47=0),0,IF(C47=0,"New",(D47-C47)/C47))</f>
        <v>New</v>
      </c>
      <c r="G47" s="10" t="n">
        <f aca="false">SUMIFS('Source 2025'!$N:$N,'Source 2025'!$B:$B,$A47,'Source 2025'!$A:$A,"Amount (NIS)")</f>
        <v>-16.5</v>
      </c>
      <c r="H47" s="10" t="n">
        <f aca="false">SUMIFS('Source 2026'!$N:$N,'Source 2026'!$B:$B,$A47,'Source 2026'!$A:$A,"Amount (NIS)")</f>
        <v>100.9</v>
      </c>
      <c r="I47" s="10" t="n">
        <f aca="false">H47-G47</f>
        <v>117.4</v>
      </c>
      <c r="J47" s="9" t="n">
        <f aca="false">IF(AND(G47=0,H47=0),0,IF(G47=0,"New",(H47-G47)/G47))</f>
        <v>-7.11515151515152</v>
      </c>
    </row>
    <row r="48" customFormat="false" ht="15" hidden="false" customHeight="false" outlineLevel="0" collapsed="false">
      <c r="A48" s="7" t="s">
        <v>179</v>
      </c>
      <c r="B48" s="7" t="str">
        <f aca="false">IFERROR(INDEX('Source 2026'!$C:$C,MATCH($A48,'Source 2026'!$B:$B,0)),IFERROR(INDEX('Source 2025'!$C:$C,MATCH($A48,'Source 2025'!$B:$B,0)),""))</f>
        <v>חגורת גב +סגירה כפולה</v>
      </c>
      <c r="C48" s="8" t="n">
        <f aca="false">SUMIFS('Source 2025'!$N:$N,'Source 2025'!$B:$B,$A48,'Source 2025'!$A:$A,"Quantity (units)")</f>
        <v>1</v>
      </c>
      <c r="D48" s="8" t="n">
        <f aca="false">SUMIFS('Source 2026'!$N:$N,'Source 2026'!$B:$B,$A48,'Source 2026'!$A:$A,"Quantity (units)")</f>
        <v>0</v>
      </c>
      <c r="E48" s="8" t="n">
        <f aca="false">D48-C48</f>
        <v>-1</v>
      </c>
      <c r="F48" s="9" t="n">
        <f aca="false">IF(AND(C48=0,D48=0),0,IF(C48=0,"New",(D48-C48)/C48))</f>
        <v>-1</v>
      </c>
      <c r="G48" s="10" t="n">
        <f aca="false">SUMIFS('Source 2025'!$N:$N,'Source 2025'!$B:$B,$A48,'Source 2025'!$A:$A,"Amount (NIS)")</f>
        <v>117.1</v>
      </c>
      <c r="H48" s="10" t="n">
        <f aca="false">SUMIFS('Source 2026'!$N:$N,'Source 2026'!$B:$B,$A48,'Source 2026'!$A:$A,"Amount (NIS)")</f>
        <v>0</v>
      </c>
      <c r="I48" s="10" t="n">
        <f aca="false">H48-G48</f>
        <v>-117.1</v>
      </c>
      <c r="J48" s="9" t="n">
        <f aca="false">IF(AND(G48=0,H48=0),0,IF(G48=0,"New",(H48-G48)/G48))</f>
        <v>-1</v>
      </c>
    </row>
    <row r="49" customFormat="false" ht="15" hidden="false" customHeight="false" outlineLevel="0" collapsed="false">
      <c r="A49" s="7" t="s">
        <v>241</v>
      </c>
      <c r="B49" s="7" t="str">
        <f aca="false">IFERROR(INDEX('Source 2026'!$C:$C,MATCH($A49,'Source 2026'!$B:$B,0)),IFERROR(INDEX('Source 2025'!$C:$C,MATCH($A49,'Source 2025'!$B:$B,0)),""))</f>
        <v>רפידת מגבת כותנה-זוג</v>
      </c>
      <c r="C49" s="8" t="n">
        <f aca="false">SUMIFS('Source 2025'!$N:$N,'Source 2025'!$B:$B,$A49,'Source 2025'!$A:$A,"Quantity (units)")</f>
        <v>12</v>
      </c>
      <c r="D49" s="8" t="n">
        <f aca="false">SUMIFS('Source 2026'!$N:$N,'Source 2026'!$B:$B,$A49,'Source 2026'!$A:$A,"Quantity (units)")</f>
        <v>0</v>
      </c>
      <c r="E49" s="8" t="n">
        <f aca="false">D49-C49</f>
        <v>-12</v>
      </c>
      <c r="F49" s="9" t="n">
        <f aca="false">IF(AND(C49=0,D49=0),0,IF(C49=0,"New",(D49-C49)/C49))</f>
        <v>-1</v>
      </c>
      <c r="G49" s="10" t="n">
        <f aca="false">SUMIFS('Source 2025'!$N:$N,'Source 2025'!$B:$B,$A49,'Source 2025'!$A:$A,"Amount (NIS)")</f>
        <v>114.4</v>
      </c>
      <c r="H49" s="10" t="n">
        <f aca="false">SUMIFS('Source 2026'!$N:$N,'Source 2026'!$B:$B,$A49,'Source 2026'!$A:$A,"Amount (NIS)")</f>
        <v>0</v>
      </c>
      <c r="I49" s="10" t="n">
        <f aca="false">H49-G49</f>
        <v>-114.4</v>
      </c>
      <c r="J49" s="9" t="n">
        <f aca="false">IF(AND(G49=0,H49=0),0,IF(G49=0,"New",(H49-G49)/G49))</f>
        <v>-1</v>
      </c>
    </row>
    <row r="50" customFormat="false" ht="15" hidden="false" customHeight="false" outlineLevel="0" collapsed="false">
      <c r="A50" s="7" t="s">
        <v>51</v>
      </c>
      <c r="B50" s="7" t="str">
        <f aca="false">IFERROR(INDEX('Source 2026'!$C:$C,MATCH($A50,'Source 2026'!$B:$B,0)),IFERROR(INDEX('Source 2025'!$C:$C,MATCH($A50,'Source 2025'!$B:$B,0)),""))</f>
        <v>Sמגן ברך ארוך לבן</v>
      </c>
      <c r="C50" s="8" t="n">
        <f aca="false">SUMIFS('Source 2025'!$N:$N,'Source 2025'!$B:$B,$A50,'Source 2025'!$A:$A,"Quantity (units)")</f>
        <v>3</v>
      </c>
      <c r="D50" s="8" t="n">
        <f aca="false">SUMIFS('Source 2026'!$N:$N,'Source 2026'!$B:$B,$A50,'Source 2026'!$A:$A,"Quantity (units)")</f>
        <v>0</v>
      </c>
      <c r="E50" s="8" t="n">
        <f aca="false">D50-C50</f>
        <v>-3</v>
      </c>
      <c r="F50" s="9" t="n">
        <f aca="false">IF(AND(C50=0,D50=0),0,IF(C50=0,"New",(D50-C50)/C50))</f>
        <v>-1</v>
      </c>
      <c r="G50" s="10" t="n">
        <f aca="false">SUMIFS('Source 2025'!$N:$N,'Source 2025'!$B:$B,$A50,'Source 2025'!$A:$A,"Amount (NIS)")</f>
        <v>112.4</v>
      </c>
      <c r="H50" s="10" t="n">
        <f aca="false">SUMIFS('Source 2026'!$N:$N,'Source 2026'!$B:$B,$A50,'Source 2026'!$A:$A,"Amount (NIS)")</f>
        <v>0</v>
      </c>
      <c r="I50" s="10" t="n">
        <f aca="false">H50-G50</f>
        <v>-112.4</v>
      </c>
      <c r="J50" s="9" t="n">
        <f aca="false">IF(AND(G50=0,H50=0),0,IF(G50=0,"New",(H50-G50)/G50))</f>
        <v>-1</v>
      </c>
    </row>
    <row r="51" customFormat="false" ht="15" hidden="false" customHeight="false" outlineLevel="0" collapsed="false">
      <c r="A51" s="7" t="s">
        <v>173</v>
      </c>
      <c r="B51" s="7" t="str">
        <f aca="false">IFERROR(INDEX('Source 2026'!$C:$C,MATCH($A51,'Source 2026'!$B:$B,0)),IFERROR(INDEX('Source 2025'!$C:$C,MATCH($A51,'Source 2025'!$B:$B,0)),""))</f>
        <v>S ח.גב סג. כפולה שחור+אדום</v>
      </c>
      <c r="C51" s="8" t="n">
        <f aca="false">SUMIFS('Source 2025'!$N:$N,'Source 2025'!$B:$B,$A51,'Source 2025'!$A:$A,"Quantity (units)")</f>
        <v>1</v>
      </c>
      <c r="D51" s="8" t="n">
        <f aca="false">SUMIFS('Source 2026'!$N:$N,'Source 2026'!$B:$B,$A51,'Source 2026'!$A:$A,"Quantity (units)")</f>
        <v>0</v>
      </c>
      <c r="E51" s="8" t="n">
        <f aca="false">D51-C51</f>
        <v>-1</v>
      </c>
      <c r="F51" s="9" t="n">
        <f aca="false">IF(AND(C51=0,D51=0),0,IF(C51=0,"New",(D51-C51)/C51))</f>
        <v>-1</v>
      </c>
      <c r="G51" s="10" t="n">
        <f aca="false">SUMIFS('Source 2025'!$N:$N,'Source 2025'!$B:$B,$A51,'Source 2025'!$A:$A,"Amount (NIS)")</f>
        <v>108.7</v>
      </c>
      <c r="H51" s="10" t="n">
        <f aca="false">SUMIFS('Source 2026'!$N:$N,'Source 2026'!$B:$B,$A51,'Source 2026'!$A:$A,"Amount (NIS)")</f>
        <v>0</v>
      </c>
      <c r="I51" s="10" t="n">
        <f aca="false">H51-G51</f>
        <v>-108.7</v>
      </c>
      <c r="J51" s="9" t="n">
        <f aca="false">IF(AND(G51=0,H51=0),0,IF(G51=0,"New",(H51-G51)/G51))</f>
        <v>-1</v>
      </c>
    </row>
    <row r="52" customFormat="false" ht="15" hidden="false" customHeight="false" outlineLevel="0" collapsed="false">
      <c r="A52" s="7" t="s">
        <v>91</v>
      </c>
      <c r="B52" s="7" t="str">
        <f aca="false">IFERROR(INDEX('Source 2026'!$C:$C,MATCH($A52,'Source 2026'!$B:$B,0)),IFERROR(INDEX('Source 2025'!$C:$C,MATCH($A52,'Source 2025'!$B:$B,0)),""))</f>
        <v>בליסטר פלסטר</v>
      </c>
      <c r="C52" s="8" t="n">
        <f aca="false">SUMIFS('Source 2025'!$N:$N,'Source 2025'!$B:$B,$A52,'Source 2025'!$A:$A,"Quantity (units)")</f>
        <v>2</v>
      </c>
      <c r="D52" s="8" t="n">
        <f aca="false">SUMIFS('Source 2026'!$N:$N,'Source 2026'!$B:$B,$A52,'Source 2026'!$A:$A,"Quantity (units)")</f>
        <v>6</v>
      </c>
      <c r="E52" s="8" t="n">
        <f aca="false">D52-C52</f>
        <v>4</v>
      </c>
      <c r="F52" s="9" t="n">
        <f aca="false">IF(AND(C52=0,D52=0),0,IF(C52=0,"New",(D52-C52)/C52))</f>
        <v>2</v>
      </c>
      <c r="G52" s="10" t="n">
        <f aca="false">SUMIFS('Source 2025'!$N:$N,'Source 2025'!$B:$B,$A52,'Source 2025'!$A:$A,"Amount (NIS)")</f>
        <v>10.9</v>
      </c>
      <c r="H52" s="10" t="n">
        <f aca="false">SUMIFS('Source 2026'!$N:$N,'Source 2026'!$B:$B,$A52,'Source 2026'!$A:$A,"Amount (NIS)")</f>
        <v>117.8</v>
      </c>
      <c r="I52" s="10" t="n">
        <f aca="false">H52-G52</f>
        <v>106.9</v>
      </c>
      <c r="J52" s="9" t="n">
        <f aca="false">IF(AND(G52=0,H52=0),0,IF(G52=0,"New",(H52-G52)/G52))</f>
        <v>9.80733944954128</v>
      </c>
    </row>
    <row r="53" customFormat="false" ht="15" hidden="false" customHeight="false" outlineLevel="0" collapsed="false">
      <c r="A53" s="7" t="s">
        <v>125</v>
      </c>
      <c r="B53" s="7" t="str">
        <f aca="false">IFERROR(INDEX('Source 2026'!$C:$C,MATCH($A53,'Source 2026'!$B:$B,0)),IFERROR(INDEX('Source 2025'!$C:$C,MATCH($A53,'Source 2025'!$B:$B,0)),""))</f>
        <v>S מגן ירך</v>
      </c>
      <c r="C53" s="8" t="n">
        <f aca="false">SUMIFS('Source 2025'!$N:$N,'Source 2025'!$B:$B,$A53,'Source 2025'!$A:$A,"Quantity (units)")</f>
        <v>3</v>
      </c>
      <c r="D53" s="8" t="n">
        <f aca="false">SUMIFS('Source 2026'!$N:$N,'Source 2026'!$B:$B,$A53,'Source 2026'!$A:$A,"Quantity (units)")</f>
        <v>0</v>
      </c>
      <c r="E53" s="8" t="n">
        <f aca="false">D53-C53</f>
        <v>-3</v>
      </c>
      <c r="F53" s="9" t="n">
        <f aca="false">IF(AND(C53=0,D53=0),0,IF(C53=0,"New",(D53-C53)/C53))</f>
        <v>-1</v>
      </c>
      <c r="G53" s="10" t="n">
        <f aca="false">SUMIFS('Source 2025'!$N:$N,'Source 2025'!$B:$B,$A53,'Source 2025'!$A:$A,"Amount (NIS)")</f>
        <v>105.3</v>
      </c>
      <c r="H53" s="10" t="n">
        <f aca="false">SUMIFS('Source 2026'!$N:$N,'Source 2026'!$B:$B,$A53,'Source 2026'!$A:$A,"Amount (NIS)")</f>
        <v>0</v>
      </c>
      <c r="I53" s="10" t="n">
        <f aca="false">H53-G53</f>
        <v>-105.3</v>
      </c>
      <c r="J53" s="9" t="n">
        <f aca="false">IF(AND(G53=0,H53=0),0,IF(G53=0,"New",(H53-G53)/G53))</f>
        <v>-1</v>
      </c>
    </row>
    <row r="54" customFormat="false" ht="15" hidden="false" customHeight="false" outlineLevel="0" collapsed="false">
      <c r="A54" s="7" t="s">
        <v>42</v>
      </c>
      <c r="B54" s="7" t="str">
        <f aca="false">IFERROR(INDEX('Source 2026'!$C:$C,MATCH($A54,'Source 2026'!$B:$B,0)),IFERROR(INDEX('Source 2025'!$C:$C,MATCH($A54,'Source 2025'!$B:$B,0)),""))</f>
        <v>L סד ליד דו צדדי לאחר שבר</v>
      </c>
      <c r="C54" s="8" t="n">
        <f aca="false">SUMIFS('Source 2025'!$N:$N,'Source 2025'!$B:$B,$A54,'Source 2025'!$A:$A,"Quantity (units)")</f>
        <v>1</v>
      </c>
      <c r="D54" s="8" t="n">
        <f aca="false">SUMIFS('Source 2026'!$N:$N,'Source 2026'!$B:$B,$A54,'Source 2026'!$A:$A,"Quantity (units)")</f>
        <v>0</v>
      </c>
      <c r="E54" s="8" t="n">
        <f aca="false">D54-C54</f>
        <v>-1</v>
      </c>
      <c r="F54" s="9" t="n">
        <f aca="false">IF(AND(C54=0,D54=0),0,IF(C54=0,"New",(D54-C54)/C54))</f>
        <v>-1</v>
      </c>
      <c r="G54" s="10" t="n">
        <f aca="false">SUMIFS('Source 2025'!$N:$N,'Source 2025'!$B:$B,$A54,'Source 2025'!$A:$A,"Amount (NIS)")</f>
        <v>103.1</v>
      </c>
      <c r="H54" s="10" t="n">
        <f aca="false">SUMIFS('Source 2026'!$N:$N,'Source 2026'!$B:$B,$A54,'Source 2026'!$A:$A,"Amount (NIS)")</f>
        <v>0</v>
      </c>
      <c r="I54" s="10" t="n">
        <f aca="false">H54-G54</f>
        <v>-103.1</v>
      </c>
      <c r="J54" s="9" t="n">
        <f aca="false">IF(AND(G54=0,H54=0),0,IF(G54=0,"New",(H54-G54)/G54))</f>
        <v>-1</v>
      </c>
    </row>
    <row r="55" customFormat="false" ht="15" hidden="false" customHeight="false" outlineLevel="0" collapsed="false">
      <c r="A55" s="7" t="s">
        <v>160</v>
      </c>
      <c r="B55" s="7" t="str">
        <f aca="false">IFERROR(INDEX('Source 2026'!$C:$C,MATCH($A55,'Source 2026'!$B:$B,0)),IFERROR(INDEX('Source 2025'!$C:$C,MATCH($A55,'Source 2025'!$B:$B,0)),""))</f>
        <v>סד ליישור אצבע</v>
      </c>
      <c r="C55" s="8" t="n">
        <f aca="false">SUMIFS('Source 2025'!$N:$N,'Source 2025'!$B:$B,$A55,'Source 2025'!$A:$A,"Quantity (units)")</f>
        <v>9</v>
      </c>
      <c r="D55" s="8" t="n">
        <f aca="false">SUMIFS('Source 2026'!$N:$N,'Source 2026'!$B:$B,$A55,'Source 2026'!$A:$A,"Quantity (units)")</f>
        <v>4</v>
      </c>
      <c r="E55" s="8" t="n">
        <f aca="false">D55-C55</f>
        <v>-5</v>
      </c>
      <c r="F55" s="9" t="n">
        <f aca="false">IF(AND(C55=0,D55=0),0,IF(C55=0,"New",(D55-C55)/C55))</f>
        <v>-0.555555555555556</v>
      </c>
      <c r="G55" s="10" t="n">
        <f aca="false">SUMIFS('Source 2025'!$N:$N,'Source 2025'!$B:$B,$A55,'Source 2025'!$A:$A,"Amount (NIS)")</f>
        <v>181</v>
      </c>
      <c r="H55" s="10" t="n">
        <f aca="false">SUMIFS('Source 2026'!$N:$N,'Source 2026'!$B:$B,$A55,'Source 2026'!$A:$A,"Amount (NIS)")</f>
        <v>80.4</v>
      </c>
      <c r="I55" s="10" t="n">
        <f aca="false">H55-G55</f>
        <v>-100.6</v>
      </c>
      <c r="J55" s="9" t="n">
        <f aca="false">IF(AND(G55=0,H55=0),0,IF(G55=0,"New",(H55-G55)/G55))</f>
        <v>-0.555801104972376</v>
      </c>
    </row>
    <row r="56" customFormat="false" ht="15" hidden="false" customHeight="false" outlineLevel="0" collapsed="false">
      <c r="A56" s="7" t="s">
        <v>96</v>
      </c>
      <c r="B56" s="7" t="str">
        <f aca="false">IFERROR(INDEX('Source 2026'!$C:$C,MATCH($A56,'Source 2026'!$B:$B,0)),IFERROR(INDEX('Source 2025'!$C:$C,MATCH($A56,'Source 2025'!$B:$B,0)),""))</f>
        <v>שרוול מגן לבוניון</v>
      </c>
      <c r="C56" s="8" t="n">
        <f aca="false">SUMIFS('Source 2025'!$N:$N,'Source 2025'!$B:$B,$A56,'Source 2025'!$A:$A,"Quantity (units)")</f>
        <v>3</v>
      </c>
      <c r="D56" s="8" t="n">
        <f aca="false">SUMIFS('Source 2026'!$N:$N,'Source 2026'!$B:$B,$A56,'Source 2026'!$A:$A,"Quantity (units)")</f>
        <v>0</v>
      </c>
      <c r="E56" s="8" t="n">
        <f aca="false">D56-C56</f>
        <v>-3</v>
      </c>
      <c r="F56" s="9" t="n">
        <f aca="false">IF(AND(C56=0,D56=0),0,IF(C56=0,"New",(D56-C56)/C56))</f>
        <v>-1</v>
      </c>
      <c r="G56" s="10" t="n">
        <f aca="false">SUMIFS('Source 2025'!$N:$N,'Source 2025'!$B:$B,$A56,'Source 2025'!$A:$A,"Amount (NIS)")</f>
        <v>100</v>
      </c>
      <c r="H56" s="10" t="n">
        <f aca="false">SUMIFS('Source 2026'!$N:$N,'Source 2026'!$B:$B,$A56,'Source 2026'!$A:$A,"Amount (NIS)")</f>
        <v>0</v>
      </c>
      <c r="I56" s="10" t="n">
        <f aca="false">H56-G56</f>
        <v>-100</v>
      </c>
      <c r="J56" s="9" t="n">
        <f aca="false">IF(AND(G56=0,H56=0),0,IF(G56=0,"New",(H56-G56)/G56))</f>
        <v>-1</v>
      </c>
    </row>
    <row r="57" customFormat="false" ht="15" hidden="false" customHeight="false" outlineLevel="0" collapsed="false">
      <c r="A57" s="7" t="s">
        <v>104</v>
      </c>
      <c r="B57" s="7" t="str">
        <f aca="false">IFERROR(INDEX('Source 2026'!$C:$C,MATCH($A57,'Source 2026'!$B:$B,0)),IFERROR(INDEX('Source 2025'!$C:$C,MATCH($A57,'Source 2025'!$B:$B,0)),""))</f>
        <v>מיישר בוניון-האלוקס ולגוס</v>
      </c>
      <c r="C57" s="8" t="n">
        <f aca="false">SUMIFS('Source 2025'!$N:$N,'Source 2025'!$B:$B,$A57,'Source 2025'!$A:$A,"Quantity (units)")</f>
        <v>2</v>
      </c>
      <c r="D57" s="8" t="n">
        <f aca="false">SUMIFS('Source 2026'!$N:$N,'Source 2026'!$B:$B,$A57,'Source 2026'!$A:$A,"Quantity (units)")</f>
        <v>0</v>
      </c>
      <c r="E57" s="8" t="n">
        <f aca="false">D57-C57</f>
        <v>-2</v>
      </c>
      <c r="F57" s="9" t="n">
        <f aca="false">IF(AND(C57=0,D57=0),0,IF(C57=0,"New",(D57-C57)/C57))</f>
        <v>-1</v>
      </c>
      <c r="G57" s="10" t="n">
        <f aca="false">SUMIFS('Source 2025'!$N:$N,'Source 2025'!$B:$B,$A57,'Source 2025'!$A:$A,"Amount (NIS)")</f>
        <v>94.6</v>
      </c>
      <c r="H57" s="10" t="n">
        <f aca="false">SUMIFS('Source 2026'!$N:$N,'Source 2026'!$B:$B,$A57,'Source 2026'!$A:$A,"Amount (NIS)")</f>
        <v>0</v>
      </c>
      <c r="I57" s="10" t="n">
        <f aca="false">H57-G57</f>
        <v>-94.6</v>
      </c>
      <c r="J57" s="9" t="n">
        <f aca="false">IF(AND(G57=0,H57=0),0,IF(G57=0,"New",(H57-G57)/G57))</f>
        <v>-1</v>
      </c>
    </row>
    <row r="58" customFormat="false" ht="15" hidden="false" customHeight="false" outlineLevel="0" collapsed="false">
      <c r="A58" s="7" t="s">
        <v>65</v>
      </c>
      <c r="B58" s="7" t="str">
        <f aca="false">IFERROR(INDEX('Source 2026'!$C:$C,MATCH($A58,'Source 2026'!$B:$B,0)),IFERROR(INDEX('Source 2025'!$C:$C,MATCH($A58,'Source 2025'!$B:$B,0)),""))</f>
        <v>M 'מגן מרפק בז</v>
      </c>
      <c r="C58" s="8" t="n">
        <f aca="false">SUMIFS('Source 2025'!$N:$N,'Source 2025'!$B:$B,$A58,'Source 2025'!$A:$A,"Quantity (units)")</f>
        <v>0</v>
      </c>
      <c r="D58" s="8" t="n">
        <f aca="false">SUMIFS('Source 2026'!$N:$N,'Source 2026'!$B:$B,$A58,'Source 2026'!$A:$A,"Quantity (units)")</f>
        <v>3</v>
      </c>
      <c r="E58" s="8" t="n">
        <f aca="false">D58-C58</f>
        <v>3</v>
      </c>
      <c r="F58" s="9" t="str">
        <f aca="false">IF(AND(C58=0,D58=0),0,IF(C58=0,"New",(D58-C58)/C58))</f>
        <v>New</v>
      </c>
      <c r="G58" s="10" t="n">
        <f aca="false">SUMIFS('Source 2025'!$N:$N,'Source 2025'!$B:$B,$A58,'Source 2025'!$A:$A,"Amount (NIS)")</f>
        <v>0</v>
      </c>
      <c r="H58" s="10" t="n">
        <f aca="false">SUMIFS('Source 2026'!$N:$N,'Source 2026'!$B:$B,$A58,'Source 2026'!$A:$A,"Amount (NIS)")</f>
        <v>92.7</v>
      </c>
      <c r="I58" s="10" t="n">
        <f aca="false">H58-G58</f>
        <v>92.7</v>
      </c>
      <c r="J58" s="9" t="str">
        <f aca="false">IF(AND(G58=0,H58=0),0,IF(G58=0,"New",(H58-G58)/G58))</f>
        <v>New</v>
      </c>
    </row>
    <row r="59" customFormat="false" ht="15" hidden="false" customHeight="false" outlineLevel="0" collapsed="false">
      <c r="A59" s="7" t="s">
        <v>43</v>
      </c>
      <c r="B59" s="7" t="str">
        <f aca="false">IFERROR(INDEX('Source 2026'!$C:$C,MATCH($A59,'Source 2026'!$B:$B,0)),IFERROR(INDEX('Source 2025'!$C:$C,MATCH($A59,'Source 2025'!$B:$B,0)),""))</f>
        <v>S מגן קרסול חום</v>
      </c>
      <c r="C59" s="8" t="n">
        <f aca="false">SUMIFS('Source 2025'!$N:$N,'Source 2025'!$B:$B,$A59,'Source 2025'!$A:$A,"Quantity (units)")</f>
        <v>7</v>
      </c>
      <c r="D59" s="8" t="n">
        <f aca="false">SUMIFS('Source 2026'!$N:$N,'Source 2026'!$B:$B,$A59,'Source 2026'!$A:$A,"Quantity (units)")</f>
        <v>4</v>
      </c>
      <c r="E59" s="8" t="n">
        <f aca="false">D59-C59</f>
        <v>-3</v>
      </c>
      <c r="F59" s="9" t="n">
        <f aca="false">IF(AND(C59=0,D59=0),0,IF(C59=0,"New",(D59-C59)/C59))</f>
        <v>-0.428571428571429</v>
      </c>
      <c r="G59" s="10" t="n">
        <f aca="false">SUMIFS('Source 2025'!$N:$N,'Source 2025'!$B:$B,$A59,'Source 2025'!$A:$A,"Amount (NIS)")</f>
        <v>216.2</v>
      </c>
      <c r="H59" s="10" t="n">
        <f aca="false">SUMIFS('Source 2026'!$N:$N,'Source 2026'!$B:$B,$A59,'Source 2026'!$A:$A,"Amount (NIS)")</f>
        <v>123.6</v>
      </c>
      <c r="I59" s="10" t="n">
        <f aca="false">H59-G59</f>
        <v>-92.6</v>
      </c>
      <c r="J59" s="9" t="n">
        <f aca="false">IF(AND(G59=0,H59=0),0,IF(G59=0,"New",(H59-G59)/G59))</f>
        <v>-0.428307123034228</v>
      </c>
    </row>
    <row r="60" customFormat="false" ht="15" hidden="false" customHeight="false" outlineLevel="0" collapsed="false">
      <c r="A60" s="7" t="s">
        <v>294</v>
      </c>
      <c r="B60" s="7" t="str">
        <f aca="false">IFERROR(INDEX('Source 2026'!$C:$C,MATCH($A60,'Source 2026'!$B:$B,0)),IFERROR(INDEX('Source 2025'!$C:$C,MATCH($A60,'Source 2025'!$B:$B,0)),""))</f>
        <v>מגן קרסול נושם</v>
      </c>
      <c r="C60" s="8" t="n">
        <f aca="false">SUMIFS('Source 2025'!$N:$N,'Source 2025'!$B:$B,$A60,'Source 2025'!$A:$A,"Quantity (units)")</f>
        <v>2</v>
      </c>
      <c r="D60" s="8" t="n">
        <f aca="false">SUMIFS('Source 2026'!$N:$N,'Source 2026'!$B:$B,$A60,'Source 2026'!$A:$A,"Quantity (units)")</f>
        <v>4</v>
      </c>
      <c r="E60" s="8" t="n">
        <f aca="false">D60-C60</f>
        <v>2</v>
      </c>
      <c r="F60" s="9" t="n">
        <f aca="false">IF(AND(C60=0,D60=0),0,IF(C60=0,"New",(D60-C60)/C60))</f>
        <v>1</v>
      </c>
      <c r="G60" s="10" t="n">
        <f aca="false">SUMIFS('Source 2025'!$N:$N,'Source 2025'!$B:$B,$A60,'Source 2025'!$A:$A,"Amount (NIS)")</f>
        <v>59.5</v>
      </c>
      <c r="H60" s="10" t="n">
        <f aca="false">SUMIFS('Source 2026'!$N:$N,'Source 2026'!$B:$B,$A60,'Source 2026'!$A:$A,"Amount (NIS)")</f>
        <v>149.8</v>
      </c>
      <c r="I60" s="10" t="n">
        <f aca="false">H60-G60</f>
        <v>90.3</v>
      </c>
      <c r="J60" s="9" t="n">
        <f aca="false">IF(AND(G60=0,H60=0),0,IF(G60=0,"New",(H60-G60)/G60))</f>
        <v>1.51764705882353</v>
      </c>
    </row>
    <row r="61" customFormat="false" ht="15" hidden="false" customHeight="false" outlineLevel="0" collapsed="false">
      <c r="A61" s="7" t="s">
        <v>196</v>
      </c>
      <c r="B61" s="7" t="str">
        <f aca="false">IFERROR(INDEX('Source 2026'!$C:$C,MATCH($A61,'Source 2026'!$B:$B,0)),IFERROR(INDEX('Source 2025'!$C:$C,MATCH($A61,'Source 2025'!$B:$B,0)),""))</f>
        <v>מגן זרת מסיליקון</v>
      </c>
      <c r="C61" s="8" t="n">
        <f aca="false">SUMIFS('Source 2025'!$N:$N,'Source 2025'!$B:$B,$A61,'Source 2025'!$A:$A,"Quantity (units)")</f>
        <v>6</v>
      </c>
      <c r="D61" s="8" t="n">
        <f aca="false">SUMIFS('Source 2026'!$N:$N,'Source 2026'!$B:$B,$A61,'Source 2026'!$A:$A,"Quantity (units)")</f>
        <v>3</v>
      </c>
      <c r="E61" s="8" t="n">
        <f aca="false">D61-C61</f>
        <v>-3</v>
      </c>
      <c r="F61" s="9" t="n">
        <f aca="false">IF(AND(C61=0,D61=0),0,IF(C61=0,"New",(D61-C61)/C61))</f>
        <v>-0.5</v>
      </c>
      <c r="G61" s="10" t="n">
        <f aca="false">SUMIFS('Source 2025'!$N:$N,'Source 2025'!$B:$B,$A61,'Source 2025'!$A:$A,"Amount (NIS)")</f>
        <v>176.9</v>
      </c>
      <c r="H61" s="10" t="n">
        <f aca="false">SUMIFS('Source 2026'!$N:$N,'Source 2026'!$B:$B,$A61,'Source 2026'!$A:$A,"Amount (NIS)")</f>
        <v>91.3</v>
      </c>
      <c r="I61" s="10" t="n">
        <f aca="false">H61-G61</f>
        <v>-85.6</v>
      </c>
      <c r="J61" s="9" t="n">
        <f aca="false">IF(AND(G61=0,H61=0),0,IF(G61=0,"New",(H61-G61)/G61))</f>
        <v>-0.483889202939514</v>
      </c>
    </row>
    <row r="62" customFormat="false" ht="15" hidden="false" customHeight="false" outlineLevel="0" collapsed="false">
      <c r="A62" s="7" t="s">
        <v>199</v>
      </c>
      <c r="B62" s="7" t="str">
        <f aca="false">IFERROR(INDEX('Source 2026'!$C:$C,MATCH($A62,'Source 2026'!$B:$B,0)),IFERROR(INDEX('Source 2025'!$C:$C,MATCH($A62,'Source 2025'!$B:$B,0)),""))</f>
        <v>רפ.אורטופדית ספורט זוג35</v>
      </c>
      <c r="C62" s="8" t="n">
        <f aca="false">SUMIFS('Source 2025'!$N:$N,'Source 2025'!$B:$B,$A62,'Source 2025'!$A:$A,"Quantity (units)")</f>
        <v>0</v>
      </c>
      <c r="D62" s="8" t="n">
        <f aca="false">SUMIFS('Source 2026'!$N:$N,'Source 2026'!$B:$B,$A62,'Source 2026'!$A:$A,"Quantity (units)")</f>
        <v>0</v>
      </c>
      <c r="E62" s="8" t="n">
        <f aca="false">D62-C62</f>
        <v>0</v>
      </c>
      <c r="F62" s="9" t="n">
        <f aca="false">IF(AND(C62=0,D62=0),0,IF(C62=0,"New",(D62-C62)/C62))</f>
        <v>0</v>
      </c>
      <c r="G62" s="10" t="n">
        <f aca="false">SUMIFS('Source 2025'!$N:$N,'Source 2025'!$B:$B,$A62,'Source 2025'!$A:$A,"Amount (NIS)")</f>
        <v>-84.2</v>
      </c>
      <c r="H62" s="10" t="n">
        <f aca="false">SUMIFS('Source 2026'!$N:$N,'Source 2026'!$B:$B,$A62,'Source 2026'!$A:$A,"Amount (NIS)")</f>
        <v>0</v>
      </c>
      <c r="I62" s="10" t="n">
        <f aca="false">H62-G62</f>
        <v>84.2</v>
      </c>
      <c r="J62" s="9" t="n">
        <f aca="false">IF(AND(G62=0,H62=0),0,IF(G62=0,"New",(H62-G62)/G62))</f>
        <v>-1</v>
      </c>
    </row>
    <row r="63" customFormat="false" ht="15" hidden="false" customHeight="false" outlineLevel="0" collapsed="false">
      <c r="A63" s="7" t="s">
        <v>174</v>
      </c>
      <c r="B63" s="7" t="str">
        <f aca="false">IFERROR(INDEX('Source 2026'!$C:$C,MATCH($A63,'Source 2026'!$B:$B,0)),IFERROR(INDEX('Source 2025'!$C:$C,MATCH($A63,'Source 2025'!$B:$B,0)),""))</f>
        <v>סד ליישור אצבע</v>
      </c>
      <c r="C63" s="8" t="n">
        <f aca="false">SUMIFS('Source 2025'!$N:$N,'Source 2025'!$B:$B,$A63,'Source 2025'!$A:$A,"Quantity (units)")</f>
        <v>0</v>
      </c>
      <c r="D63" s="8" t="n">
        <f aca="false">SUMIFS('Source 2026'!$N:$N,'Source 2026'!$B:$B,$A63,'Source 2026'!$A:$A,"Quantity (units)")</f>
        <v>4</v>
      </c>
      <c r="E63" s="8" t="n">
        <f aca="false">D63-C63</f>
        <v>4</v>
      </c>
      <c r="F63" s="9" t="str">
        <f aca="false">IF(AND(C63=0,D63=0),0,IF(C63=0,"New",(D63-C63)/C63))</f>
        <v>New</v>
      </c>
      <c r="G63" s="10" t="n">
        <f aca="false">SUMIFS('Source 2025'!$N:$N,'Source 2025'!$B:$B,$A63,'Source 2025'!$A:$A,"Amount (NIS)")</f>
        <v>0</v>
      </c>
      <c r="H63" s="10" t="n">
        <f aca="false">SUMIFS('Source 2026'!$N:$N,'Source 2026'!$B:$B,$A63,'Source 2026'!$A:$A,"Amount (NIS)")</f>
        <v>80.4</v>
      </c>
      <c r="I63" s="10" t="n">
        <f aca="false">H63-G63</f>
        <v>80.4</v>
      </c>
      <c r="J63" s="9" t="str">
        <f aca="false">IF(AND(G63=0,H63=0),0,IF(G63=0,"New",(H63-G63)/G63))</f>
        <v>New</v>
      </c>
    </row>
    <row r="64" customFormat="false" ht="15" hidden="false" customHeight="false" outlineLevel="0" collapsed="false">
      <c r="A64" s="7" t="s">
        <v>272</v>
      </c>
      <c r="B64" s="7" t="str">
        <f aca="false">IFERROR(INDEX('Source 2026'!$C:$C,MATCH($A64,'Source 2026'!$B:$B,0)),IFERROR(INDEX('Source 2025'!$C:$C,MATCH($A64,'Source 2025'!$B:$B,0)),""))</f>
        <v>סד לש.כף יד שמאל</v>
      </c>
      <c r="C64" s="8" t="n">
        <f aca="false">SUMIFS('Source 2025'!$N:$N,'Source 2025'!$B:$B,$A64,'Source 2025'!$A:$A,"Quantity (units)")</f>
        <v>2</v>
      </c>
      <c r="D64" s="8" t="n">
        <f aca="false">SUMIFS('Source 2026'!$N:$N,'Source 2026'!$B:$B,$A64,'Source 2026'!$A:$A,"Quantity (units)")</f>
        <v>0</v>
      </c>
      <c r="E64" s="8" t="n">
        <f aca="false">D64-C64</f>
        <v>-2</v>
      </c>
      <c r="F64" s="9" t="n">
        <f aca="false">IF(AND(C64=0,D64=0),0,IF(C64=0,"New",(D64-C64)/C64))</f>
        <v>-1</v>
      </c>
      <c r="G64" s="10" t="n">
        <f aca="false">SUMIFS('Source 2025'!$N:$N,'Source 2025'!$B:$B,$A64,'Source 2025'!$A:$A,"Amount (NIS)")</f>
        <v>80.3</v>
      </c>
      <c r="H64" s="10" t="n">
        <f aca="false">SUMIFS('Source 2026'!$N:$N,'Source 2026'!$B:$B,$A64,'Source 2026'!$A:$A,"Amount (NIS)")</f>
        <v>0</v>
      </c>
      <c r="I64" s="10" t="n">
        <f aca="false">H64-G64</f>
        <v>-80.3</v>
      </c>
      <c r="J64" s="9" t="n">
        <f aca="false">IF(AND(G64=0,H64=0),0,IF(G64=0,"New",(H64-G64)/G64))</f>
        <v>-1</v>
      </c>
    </row>
    <row r="65" customFormat="false" ht="15" hidden="false" customHeight="false" outlineLevel="0" collapsed="false">
      <c r="A65" s="7" t="s">
        <v>175</v>
      </c>
      <c r="B65" s="7" t="str">
        <f aca="false">IFERROR(INDEX('Source 2026'!$C:$C,MATCH($A65,'Source 2026'!$B:$B,0)),IFERROR(INDEX('Source 2025'!$C:$C,MATCH($A65,'Source 2025'!$B:$B,0)),""))</f>
        <v>סד ליישור אצבע</v>
      </c>
      <c r="C65" s="8" t="n">
        <f aca="false">SUMIFS('Source 2025'!$N:$N,'Source 2025'!$B:$B,$A65,'Source 2025'!$A:$A,"Quantity (units)")</f>
        <v>8</v>
      </c>
      <c r="D65" s="8" t="n">
        <f aca="false">SUMIFS('Source 2026'!$N:$N,'Source 2026'!$B:$B,$A65,'Source 2026'!$A:$A,"Quantity (units)")</f>
        <v>4</v>
      </c>
      <c r="E65" s="8" t="n">
        <f aca="false">D65-C65</f>
        <v>-4</v>
      </c>
      <c r="F65" s="9" t="n">
        <f aca="false">IF(AND(C65=0,D65=0),0,IF(C65=0,"New",(D65-C65)/C65))</f>
        <v>-0.5</v>
      </c>
      <c r="G65" s="10" t="n">
        <f aca="false">SUMIFS('Source 2025'!$N:$N,'Source 2025'!$B:$B,$A65,'Source 2025'!$A:$A,"Amount (NIS)")</f>
        <v>156.5</v>
      </c>
      <c r="H65" s="10" t="n">
        <f aca="false">SUMIFS('Source 2026'!$N:$N,'Source 2026'!$B:$B,$A65,'Source 2026'!$A:$A,"Amount (NIS)")</f>
        <v>80.4</v>
      </c>
      <c r="I65" s="10" t="n">
        <f aca="false">H65-G65</f>
        <v>-76.1</v>
      </c>
      <c r="J65" s="9" t="n">
        <f aca="false">IF(AND(G65=0,H65=0),0,IF(G65=0,"New",(H65-G65)/G65))</f>
        <v>-0.486261980830671</v>
      </c>
    </row>
    <row r="66" customFormat="false" ht="15" hidden="false" customHeight="false" outlineLevel="0" collapsed="false">
      <c r="A66" s="7" t="s">
        <v>129</v>
      </c>
      <c r="B66" s="7" t="str">
        <f aca="false">IFERROR(INDEX('Source 2026'!$C:$C,MATCH($A66,'Source 2026'!$B:$B,0)),IFERROR(INDEX('Source 2025'!$C:$C,MATCH($A66,'Source 2025'!$B:$B,0)),""))</f>
        <v>תחבושת א.נצמ</v>
      </c>
      <c r="C66" s="8" t="n">
        <f aca="false">SUMIFS('Source 2025'!$N:$N,'Source 2025'!$B:$B,$A66,'Source 2025'!$A:$A,"Quantity (units)")</f>
        <v>0</v>
      </c>
      <c r="D66" s="8" t="n">
        <f aca="false">SUMIFS('Source 2026'!$N:$N,'Source 2026'!$B:$B,$A66,'Source 2026'!$A:$A,"Quantity (units)")</f>
        <v>6</v>
      </c>
      <c r="E66" s="8" t="n">
        <f aca="false">D66-C66</f>
        <v>6</v>
      </c>
      <c r="F66" s="9" t="str">
        <f aca="false">IF(AND(C66=0,D66=0),0,IF(C66=0,"New",(D66-C66)/C66))</f>
        <v>New</v>
      </c>
      <c r="G66" s="10" t="n">
        <f aca="false">SUMIFS('Source 2025'!$N:$N,'Source 2025'!$B:$B,$A66,'Source 2025'!$A:$A,"Amount (NIS)")</f>
        <v>0</v>
      </c>
      <c r="H66" s="10" t="n">
        <f aca="false">SUMIFS('Source 2026'!$N:$N,'Source 2026'!$B:$B,$A66,'Source 2026'!$A:$A,"Amount (NIS)")</f>
        <v>75.6</v>
      </c>
      <c r="I66" s="10" t="n">
        <f aca="false">H66-G66</f>
        <v>75.6</v>
      </c>
      <c r="J66" s="9" t="str">
        <f aca="false">IF(AND(G66=0,H66=0),0,IF(G66=0,"New",(H66-G66)/G66))</f>
        <v>New</v>
      </c>
    </row>
    <row r="67" customFormat="false" ht="15" hidden="false" customHeight="false" outlineLevel="0" collapsed="false">
      <c r="A67" s="7" t="s">
        <v>88</v>
      </c>
      <c r="B67" s="7" t="str">
        <f aca="false">IFERROR(INDEX('Source 2026'!$C:$C,MATCH($A67,'Source 2026'!$B:$B,0)),IFERROR(INDEX('Source 2025'!$C:$C,MATCH($A67,'Source 2025'!$B:$B,0)),""))</f>
        <v>למניעת שפשוף 5 יח</v>
      </c>
      <c r="C67" s="8" t="n">
        <f aca="false">SUMIFS('Source 2025'!$N:$N,'Source 2025'!$B:$B,$A67,'Source 2025'!$A:$A,"Quantity (units)")</f>
        <v>2</v>
      </c>
      <c r="D67" s="8" t="n">
        <f aca="false">SUMIFS('Source 2026'!$N:$N,'Source 2026'!$B:$B,$A67,'Source 2026'!$A:$A,"Quantity (units)")</f>
        <v>5</v>
      </c>
      <c r="E67" s="8" t="n">
        <f aca="false">D67-C67</f>
        <v>3</v>
      </c>
      <c r="F67" s="9" t="n">
        <f aca="false">IF(AND(C67=0,D67=0),0,IF(C67=0,"New",(D67-C67)/C67))</f>
        <v>1.5</v>
      </c>
      <c r="G67" s="10" t="n">
        <f aca="false">SUMIFS('Source 2025'!$N:$N,'Source 2025'!$B:$B,$A67,'Source 2025'!$A:$A,"Amount (NIS)")</f>
        <v>18.4</v>
      </c>
      <c r="H67" s="10" t="n">
        <f aca="false">SUMIFS('Source 2026'!$N:$N,'Source 2026'!$B:$B,$A67,'Source 2026'!$A:$A,"Amount (NIS)")</f>
        <v>93.5</v>
      </c>
      <c r="I67" s="10" t="n">
        <f aca="false">H67-G67</f>
        <v>75.1</v>
      </c>
      <c r="J67" s="9" t="n">
        <f aca="false">IF(AND(G67=0,H67=0),0,IF(G67=0,"New",(H67-G67)/G67))</f>
        <v>4.08152173913044</v>
      </c>
    </row>
    <row r="68" customFormat="false" ht="15" hidden="false" customHeight="false" outlineLevel="0" collapsed="false">
      <c r="A68" s="7" t="s">
        <v>242</v>
      </c>
      <c r="B68" s="7" t="str">
        <f aca="false">IFERROR(INDEX('Source 2026'!$C:$C,MATCH($A68,'Source 2026'!$B:$B,0)),IFERROR(INDEX('Source 2025'!$C:$C,MATCH($A68,'Source 2025'!$B:$B,0)),""))</f>
        <v>Lמפר.אצבע סיליק. ליבל.זוג</v>
      </c>
      <c r="C68" s="8" t="n">
        <f aca="false">SUMIFS('Source 2025'!$N:$N,'Source 2025'!$B:$B,$A68,'Source 2025'!$A:$A,"Quantity (units)")</f>
        <v>28</v>
      </c>
      <c r="D68" s="8" t="n">
        <f aca="false">SUMIFS('Source 2026'!$N:$N,'Source 2026'!$B:$B,$A68,'Source 2026'!$A:$A,"Quantity (units)")</f>
        <v>19</v>
      </c>
      <c r="E68" s="8" t="n">
        <f aca="false">D68-C68</f>
        <v>-9</v>
      </c>
      <c r="F68" s="9" t="n">
        <f aca="false">IF(AND(C68=0,D68=0),0,IF(C68=0,"New",(D68-C68)/C68))</f>
        <v>-0.321428571428571</v>
      </c>
      <c r="G68" s="10" t="n">
        <f aca="false">SUMIFS('Source 2025'!$N:$N,'Source 2025'!$B:$B,$A68,'Source 2025'!$A:$A,"Amount (NIS)")</f>
        <v>346.8</v>
      </c>
      <c r="H68" s="10" t="n">
        <f aca="false">SUMIFS('Source 2026'!$N:$N,'Source 2026'!$B:$B,$A68,'Source 2026'!$A:$A,"Amount (NIS)")</f>
        <v>275.1</v>
      </c>
      <c r="I68" s="10" t="n">
        <f aca="false">H68-G68</f>
        <v>-71.7</v>
      </c>
      <c r="J68" s="9" t="n">
        <f aca="false">IF(AND(G68=0,H68=0),0,IF(G68=0,"New",(H68-G68)/G68))</f>
        <v>-0.206747404844291</v>
      </c>
    </row>
    <row r="69" customFormat="false" ht="15" hidden="false" customHeight="false" outlineLevel="0" collapsed="false">
      <c r="A69" s="7" t="s">
        <v>240</v>
      </c>
      <c r="B69" s="7" t="str">
        <f aca="false">IFERROR(INDEX('Source 2026'!$C:$C,MATCH($A69,'Source 2026'!$B:$B,0)),IFERROR(INDEX('Source 2025'!$C:$C,MATCH($A69,'Source 2025'!$B:$B,0)),""))</f>
        <v>סט פלסטרים נגד שפשופים</v>
      </c>
      <c r="C69" s="8" t="n">
        <f aca="false">SUMIFS('Source 2025'!$N:$N,'Source 2025'!$B:$B,$A69,'Source 2025'!$A:$A,"Quantity (units)")</f>
        <v>0</v>
      </c>
      <c r="D69" s="8" t="n">
        <f aca="false">SUMIFS('Source 2026'!$N:$N,'Source 2026'!$B:$B,$A69,'Source 2026'!$A:$A,"Quantity (units)")</f>
        <v>3</v>
      </c>
      <c r="E69" s="8" t="n">
        <f aca="false">D69-C69</f>
        <v>3</v>
      </c>
      <c r="F69" s="9" t="str">
        <f aca="false">IF(AND(C69=0,D69=0),0,IF(C69=0,"New",(D69-C69)/C69))</f>
        <v>New</v>
      </c>
      <c r="G69" s="10" t="n">
        <f aca="false">SUMIFS('Source 2025'!$N:$N,'Source 2025'!$B:$B,$A69,'Source 2025'!$A:$A,"Amount (NIS)")</f>
        <v>0</v>
      </c>
      <c r="H69" s="10" t="n">
        <f aca="false">SUMIFS('Source 2026'!$N:$N,'Source 2026'!$B:$B,$A69,'Source 2026'!$A:$A,"Amount (NIS)")</f>
        <v>71.6</v>
      </c>
      <c r="I69" s="10" t="n">
        <f aca="false">H69-G69</f>
        <v>71.6</v>
      </c>
      <c r="J69" s="9" t="str">
        <f aca="false">IF(AND(G69=0,H69=0),0,IF(G69=0,"New",(H69-G69)/G69))</f>
        <v>New</v>
      </c>
    </row>
    <row r="70" customFormat="false" ht="15" hidden="false" customHeight="false" outlineLevel="0" collapsed="false">
      <c r="A70" s="7" t="s">
        <v>247</v>
      </c>
      <c r="B70" s="7" t="str">
        <f aca="false">IFERROR(INDEX('Source 2026'!$C:$C,MATCH($A70,'Source 2026'!$B:$B,0)),IFERROR(INDEX('Source 2025'!$C:$C,MATCH($A70,'Source 2025'!$B:$B,0)),""))</f>
        <v>ריפוד סיליק.לעקב תחתון</v>
      </c>
      <c r="C70" s="8" t="n">
        <f aca="false">SUMIFS('Source 2025'!$N:$N,'Source 2025'!$B:$B,$A70,'Source 2025'!$A:$A,"Quantity (units)")</f>
        <v>4</v>
      </c>
      <c r="D70" s="8" t="n">
        <f aca="false">SUMIFS('Source 2026'!$N:$N,'Source 2026'!$B:$B,$A70,'Source 2026'!$A:$A,"Quantity (units)")</f>
        <v>0</v>
      </c>
      <c r="E70" s="8" t="n">
        <f aca="false">D70-C70</f>
        <v>-4</v>
      </c>
      <c r="F70" s="9" t="n">
        <f aca="false">IF(AND(C70=0,D70=0),0,IF(C70=0,"New",(D70-C70)/C70))</f>
        <v>-1</v>
      </c>
      <c r="G70" s="10" t="n">
        <f aca="false">SUMIFS('Source 2025'!$N:$N,'Source 2025'!$B:$B,$A70,'Source 2025'!$A:$A,"Amount (NIS)")</f>
        <v>71.3</v>
      </c>
      <c r="H70" s="10" t="n">
        <f aca="false">SUMIFS('Source 2026'!$N:$N,'Source 2026'!$B:$B,$A70,'Source 2026'!$A:$A,"Amount (NIS)")</f>
        <v>0</v>
      </c>
      <c r="I70" s="10" t="n">
        <f aca="false">H70-G70</f>
        <v>-71.3</v>
      </c>
      <c r="J70" s="9" t="n">
        <f aca="false">IF(AND(G70=0,H70=0),0,IF(G70=0,"New",(H70-G70)/G70))</f>
        <v>-1</v>
      </c>
    </row>
    <row r="71" customFormat="false" ht="15" hidden="false" customHeight="false" outlineLevel="0" collapsed="false">
      <c r="A71" s="7" t="s">
        <v>118</v>
      </c>
      <c r="B71" s="7" t="str">
        <f aca="false">IFERROR(INDEX('Source 2026'!$C:$C,MATCH($A71,'Source 2026'!$B:$B,0)),IFERROR(INDEX('Source 2025'!$C:$C,MATCH($A71,'Source 2025'!$B:$B,0)),""))</f>
        <v>S-M חבק יד עם צמדן</v>
      </c>
      <c r="C71" s="8" t="n">
        <f aca="false">SUMIFS('Source 2025'!$N:$N,'Source 2025'!$B:$B,$A71,'Source 2025'!$A:$A,"Quantity (units)")</f>
        <v>0</v>
      </c>
      <c r="D71" s="8" t="n">
        <f aca="false">SUMIFS('Source 2026'!$N:$N,'Source 2026'!$B:$B,$A71,'Source 2026'!$A:$A,"Quantity (units)")</f>
        <v>2</v>
      </c>
      <c r="E71" s="8" t="n">
        <f aca="false">D71-C71</f>
        <v>2</v>
      </c>
      <c r="F71" s="9" t="str">
        <f aca="false">IF(AND(C71=0,D71=0),0,IF(C71=0,"New",(D71-C71)/C71))</f>
        <v>New</v>
      </c>
      <c r="G71" s="10" t="n">
        <f aca="false">SUMIFS('Source 2025'!$N:$N,'Source 2025'!$B:$B,$A71,'Source 2025'!$A:$A,"Amount (NIS)")</f>
        <v>0</v>
      </c>
      <c r="H71" s="10" t="n">
        <f aca="false">SUMIFS('Source 2026'!$N:$N,'Source 2026'!$B:$B,$A71,'Source 2026'!$A:$A,"Amount (NIS)")</f>
        <v>71.2</v>
      </c>
      <c r="I71" s="10" t="n">
        <f aca="false">H71-G71</f>
        <v>71.2</v>
      </c>
      <c r="J71" s="9" t="str">
        <f aca="false">IF(AND(G71=0,H71=0),0,IF(G71=0,"New",(H71-G71)/G71))</f>
        <v>New</v>
      </c>
    </row>
    <row r="72" customFormat="false" ht="15" hidden="false" customHeight="false" outlineLevel="0" collapsed="false">
      <c r="A72" s="7" t="s">
        <v>170</v>
      </c>
      <c r="B72" s="7" t="str">
        <f aca="false">IFERROR(INDEX('Source 2026'!$C:$C,MATCH($A72,'Source 2026'!$B:$B,0)),IFERROR(INDEX('Source 2025'!$C:$C,MATCH($A72,'Source 2025'!$B:$B,0)),""))</f>
        <v>0 רפידת לילדים אנטי ריח</v>
      </c>
      <c r="C72" s="8" t="n">
        <f aca="false">SUMIFS('Source 2025'!$N:$N,'Source 2025'!$B:$B,$A72,'Source 2025'!$A:$A,"Quantity (units)")</f>
        <v>6</v>
      </c>
      <c r="D72" s="8" t="n">
        <f aca="false">SUMIFS('Source 2026'!$N:$N,'Source 2026'!$B:$B,$A72,'Source 2026'!$A:$A,"Quantity (units)")</f>
        <v>0</v>
      </c>
      <c r="E72" s="8" t="n">
        <f aca="false">D72-C72</f>
        <v>-6</v>
      </c>
      <c r="F72" s="9" t="n">
        <f aca="false">IF(AND(C72=0,D72=0),0,IF(C72=0,"New",(D72-C72)/C72))</f>
        <v>-1</v>
      </c>
      <c r="G72" s="10" t="n">
        <f aca="false">SUMIFS('Source 2025'!$N:$N,'Source 2025'!$B:$B,$A72,'Source 2025'!$A:$A,"Amount (NIS)")</f>
        <v>70.6</v>
      </c>
      <c r="H72" s="10" t="n">
        <f aca="false">SUMIFS('Source 2026'!$N:$N,'Source 2026'!$B:$B,$A72,'Source 2026'!$A:$A,"Amount (NIS)")</f>
        <v>0</v>
      </c>
      <c r="I72" s="10" t="n">
        <f aca="false">H72-G72</f>
        <v>-70.6</v>
      </c>
      <c r="J72" s="9" t="n">
        <f aca="false">IF(AND(G72=0,H72=0),0,IF(G72=0,"New",(H72-G72)/G72))</f>
        <v>-1</v>
      </c>
    </row>
    <row r="73" customFormat="false" ht="15" hidden="false" customHeight="false" outlineLevel="0" collapsed="false">
      <c r="A73" s="7" t="s">
        <v>105</v>
      </c>
      <c r="B73" s="7" t="str">
        <f aca="false">IFERROR(INDEX('Source 2026'!$C:$C,MATCH($A73,'Source 2026'!$B:$B,0)),IFERROR(INDEX('Source 2025'!$C:$C,MATCH($A73,'Source 2025'!$B:$B,0)),""))</f>
        <v>S-M סד לאגודל</v>
      </c>
      <c r="C73" s="8" t="n">
        <f aca="false">SUMIFS('Source 2025'!$N:$N,'Source 2025'!$B:$B,$A73,'Source 2025'!$A:$A,"Quantity (units)")</f>
        <v>1</v>
      </c>
      <c r="D73" s="8" t="n">
        <f aca="false">SUMIFS('Source 2026'!$N:$N,'Source 2026'!$B:$B,$A73,'Source 2026'!$A:$A,"Quantity (units)")</f>
        <v>0</v>
      </c>
      <c r="E73" s="8" t="n">
        <f aca="false">D73-C73</f>
        <v>-1</v>
      </c>
      <c r="F73" s="9" t="n">
        <f aca="false">IF(AND(C73=0,D73=0),0,IF(C73=0,"New",(D73-C73)/C73))</f>
        <v>-1</v>
      </c>
      <c r="G73" s="10" t="n">
        <f aca="false">SUMIFS('Source 2025'!$N:$N,'Source 2025'!$B:$B,$A73,'Source 2025'!$A:$A,"Amount (NIS)")</f>
        <v>67.6</v>
      </c>
      <c r="H73" s="10" t="n">
        <f aca="false">SUMIFS('Source 2026'!$N:$N,'Source 2026'!$B:$B,$A73,'Source 2026'!$A:$A,"Amount (NIS)")</f>
        <v>0</v>
      </c>
      <c r="I73" s="10" t="n">
        <f aca="false">H73-G73</f>
        <v>-67.6</v>
      </c>
      <c r="J73" s="9" t="n">
        <f aca="false">IF(AND(G73=0,H73=0),0,IF(G73=0,"New",(H73-G73)/G73))</f>
        <v>-1</v>
      </c>
    </row>
    <row r="74" customFormat="false" ht="15" hidden="false" customHeight="false" outlineLevel="0" collapsed="false">
      <c r="A74" s="7" t="s">
        <v>153</v>
      </c>
      <c r="B74" s="7" t="str">
        <f aca="false">IFERROR(INDEX('Source 2026'!$C:$C,MATCH($A74,'Source 2026'!$B:$B,0)),IFERROR(INDEX('Source 2025'!$C:$C,MATCH($A74,'Source 2025'!$B:$B,0)),""))</f>
        <v>S-M סד לאגודל</v>
      </c>
      <c r="C74" s="8" t="n">
        <f aca="false">SUMIFS('Source 2025'!$N:$N,'Source 2025'!$B:$B,$A74,'Source 2025'!$A:$A,"Quantity (units)")</f>
        <v>1</v>
      </c>
      <c r="D74" s="8" t="n">
        <f aca="false">SUMIFS('Source 2026'!$N:$N,'Source 2026'!$B:$B,$A74,'Source 2026'!$A:$A,"Quantity (units)")</f>
        <v>0</v>
      </c>
      <c r="E74" s="8" t="n">
        <f aca="false">D74-C74</f>
        <v>-1</v>
      </c>
      <c r="F74" s="9" t="n">
        <f aca="false">IF(AND(C74=0,D74=0),0,IF(C74=0,"New",(D74-C74)/C74))</f>
        <v>-1</v>
      </c>
      <c r="G74" s="10" t="n">
        <f aca="false">SUMIFS('Source 2025'!$N:$N,'Source 2025'!$B:$B,$A74,'Source 2025'!$A:$A,"Amount (NIS)")</f>
        <v>67.6</v>
      </c>
      <c r="H74" s="10" t="n">
        <f aca="false">SUMIFS('Source 2026'!$N:$N,'Source 2026'!$B:$B,$A74,'Source 2026'!$A:$A,"Amount (NIS)")</f>
        <v>0</v>
      </c>
      <c r="I74" s="10" t="n">
        <f aca="false">H74-G74</f>
        <v>-67.6</v>
      </c>
      <c r="J74" s="9" t="n">
        <f aca="false">IF(AND(G74=0,H74=0),0,IF(G74=0,"New",(H74-G74)/G74))</f>
        <v>-1</v>
      </c>
    </row>
    <row r="75" customFormat="false" ht="15" hidden="false" customHeight="false" outlineLevel="0" collapsed="false">
      <c r="A75" s="7" t="s">
        <v>142</v>
      </c>
      <c r="B75" s="7" t="str">
        <f aca="false">IFERROR(INDEX('Source 2026'!$C:$C,MATCH($A75,'Source 2026'!$B:$B,0)),IFERROR(INDEX('Source 2025'!$C:$C,MATCH($A75,'Source 2025'!$B:$B,0)),""))</f>
        <v>9 מ""ס להתאמהX5 מדבקה גדולה</v>
      </c>
      <c r="C75" s="8" t="n">
        <f aca="false">SUMIFS('Source 2025'!$N:$N,'Source 2025'!$B:$B,$A75,'Source 2025'!$A:$A,"Quantity (units)")</f>
        <v>0</v>
      </c>
      <c r="D75" s="8" t="n">
        <f aca="false">SUMIFS('Source 2026'!$N:$N,'Source 2026'!$B:$B,$A75,'Source 2026'!$A:$A,"Quantity (units)")</f>
        <v>3</v>
      </c>
      <c r="E75" s="8" t="n">
        <f aca="false">D75-C75</f>
        <v>3</v>
      </c>
      <c r="F75" s="9" t="str">
        <f aca="false">IF(AND(C75=0,D75=0),0,IF(C75=0,"New",(D75-C75)/C75))</f>
        <v>New</v>
      </c>
      <c r="G75" s="10" t="n">
        <f aca="false">SUMIFS('Source 2025'!$N:$N,'Source 2025'!$B:$B,$A75,'Source 2025'!$A:$A,"Amount (NIS)")</f>
        <v>0</v>
      </c>
      <c r="H75" s="10" t="n">
        <f aca="false">SUMIFS('Source 2026'!$N:$N,'Source 2026'!$B:$B,$A75,'Source 2026'!$A:$A,"Amount (NIS)")</f>
        <v>65.9</v>
      </c>
      <c r="I75" s="10" t="n">
        <f aca="false">H75-G75</f>
        <v>65.9</v>
      </c>
      <c r="J75" s="9" t="str">
        <f aca="false">IF(AND(G75=0,H75=0),0,IF(G75=0,"New",(H75-G75)/G75))</f>
        <v>New</v>
      </c>
    </row>
    <row r="76" customFormat="false" ht="15" hidden="false" customHeight="false" outlineLevel="0" collapsed="false">
      <c r="A76" s="7" t="s">
        <v>246</v>
      </c>
      <c r="B76" s="7" t="str">
        <f aca="false">IFERROR(INDEX('Source 2026'!$C:$C,MATCH($A76,'Source 2026'!$B:$B,0)),IFERROR(INDEX('Source 2025'!$C:$C,MATCH($A76,'Source 2025'!$B:$B,0)),""))</f>
        <v>ציפורניים</v>
      </c>
      <c r="C76" s="8" t="n">
        <f aca="false">SUMIFS('Source 2025'!$N:$N,'Source 2025'!$B:$B,$A76,'Source 2025'!$A:$A,"Quantity (units)")</f>
        <v>9</v>
      </c>
      <c r="D76" s="8" t="n">
        <f aca="false">SUMIFS('Source 2026'!$N:$N,'Source 2026'!$B:$B,$A76,'Source 2026'!$A:$A,"Quantity (units)")</f>
        <v>3</v>
      </c>
      <c r="E76" s="8" t="n">
        <f aca="false">D76-C76</f>
        <v>-6</v>
      </c>
      <c r="F76" s="9" t="n">
        <f aca="false">IF(AND(C76=0,D76=0),0,IF(C76=0,"New",(D76-C76)/C76))</f>
        <v>-0.666666666666667</v>
      </c>
      <c r="G76" s="10" t="n">
        <f aca="false">SUMIFS('Source 2025'!$N:$N,'Source 2025'!$B:$B,$A76,'Source 2025'!$A:$A,"Amount (NIS)")</f>
        <v>108.4</v>
      </c>
      <c r="H76" s="10" t="n">
        <f aca="false">SUMIFS('Source 2026'!$N:$N,'Source 2026'!$B:$B,$A76,'Source 2026'!$A:$A,"Amount (NIS)")</f>
        <v>43.4</v>
      </c>
      <c r="I76" s="10" t="n">
        <f aca="false">H76-G76</f>
        <v>-65</v>
      </c>
      <c r="J76" s="9" t="n">
        <f aca="false">IF(AND(G76=0,H76=0),0,IF(G76=0,"New",(H76-G76)/G76))</f>
        <v>-0.599630996309963</v>
      </c>
    </row>
    <row r="77" customFormat="false" ht="15" hidden="false" customHeight="false" outlineLevel="0" collapsed="false">
      <c r="A77" s="7" t="s">
        <v>69</v>
      </c>
      <c r="B77" s="7" t="str">
        <f aca="false">IFERROR(INDEX('Source 2026'!$C:$C,MATCH($A77,'Source 2026'!$B:$B,0)),IFERROR(INDEX('Source 2025'!$C:$C,MATCH($A77,'Source 2025'!$B:$B,0)),""))</f>
        <v>לציפורן חודרנית</v>
      </c>
      <c r="C77" s="8" t="n">
        <f aca="false">SUMIFS('Source 2025'!$N:$N,'Source 2025'!$B:$B,$A77,'Source 2025'!$A:$A,"Quantity (units)")</f>
        <v>9</v>
      </c>
      <c r="D77" s="8" t="n">
        <f aca="false">SUMIFS('Source 2026'!$N:$N,'Source 2026'!$B:$B,$A77,'Source 2026'!$A:$A,"Quantity (units)")</f>
        <v>6</v>
      </c>
      <c r="E77" s="8" t="n">
        <f aca="false">D77-C77</f>
        <v>-3</v>
      </c>
      <c r="F77" s="9" t="n">
        <f aca="false">IF(AND(C77=0,D77=0),0,IF(C77=0,"New",(D77-C77)/C77))</f>
        <v>-0.333333333333333</v>
      </c>
      <c r="G77" s="10" t="n">
        <f aca="false">SUMIFS('Source 2025'!$N:$N,'Source 2025'!$B:$B,$A77,'Source 2025'!$A:$A,"Amount (NIS)")</f>
        <v>279.4</v>
      </c>
      <c r="H77" s="10" t="n">
        <f aca="false">SUMIFS('Source 2026'!$N:$N,'Source 2026'!$B:$B,$A77,'Source 2026'!$A:$A,"Amount (NIS)")</f>
        <v>219.1</v>
      </c>
      <c r="I77" s="10" t="n">
        <f aca="false">H77-G77</f>
        <v>-60.3</v>
      </c>
      <c r="J77" s="9" t="n">
        <f aca="false">IF(AND(G77=0,H77=0),0,IF(G77=0,"New",(H77-G77)/G77))</f>
        <v>-0.215819613457409</v>
      </c>
    </row>
    <row r="78" customFormat="false" ht="15" hidden="false" customHeight="false" outlineLevel="0" collapsed="false">
      <c r="A78" s="7" t="s">
        <v>287</v>
      </c>
      <c r="B78" s="7" t="str">
        <f aca="false">IFERROR(INDEX('Source 2026'!$C:$C,MATCH($A78,'Source 2026'!$B:$B,0)),IFERROR(INDEX('Source 2025'!$C:$C,MATCH($A78,'Source 2025'!$B:$B,0)),""))</f>
        <v>רפידת בולמת זעזועים -זוג</v>
      </c>
      <c r="C78" s="8" t="n">
        <f aca="false">SUMIFS('Source 2025'!$N:$N,'Source 2025'!$B:$B,$A78,'Source 2025'!$A:$A,"Quantity (units)")</f>
        <v>12</v>
      </c>
      <c r="D78" s="8" t="n">
        <f aca="false">SUMIFS('Source 2026'!$N:$N,'Source 2026'!$B:$B,$A78,'Source 2026'!$A:$A,"Quantity (units)")</f>
        <v>0</v>
      </c>
      <c r="E78" s="8" t="n">
        <f aca="false">D78-C78</f>
        <v>-12</v>
      </c>
      <c r="F78" s="9" t="n">
        <f aca="false">IF(AND(C78=0,D78=0),0,IF(C78=0,"New",(D78-C78)/C78))</f>
        <v>-1</v>
      </c>
      <c r="G78" s="10" t="n">
        <f aca="false">SUMIFS('Source 2025'!$N:$N,'Source 2025'!$B:$B,$A78,'Source 2025'!$A:$A,"Amount (NIS)")</f>
        <v>57.3</v>
      </c>
      <c r="H78" s="10" t="n">
        <f aca="false">SUMIFS('Source 2026'!$N:$N,'Source 2026'!$B:$B,$A78,'Source 2026'!$A:$A,"Amount (NIS)")</f>
        <v>0</v>
      </c>
      <c r="I78" s="10" t="n">
        <f aca="false">H78-G78</f>
        <v>-57.3</v>
      </c>
      <c r="J78" s="9" t="n">
        <f aca="false">IF(AND(G78=0,H78=0),0,IF(G78=0,"New",(H78-G78)/G78))</f>
        <v>-1</v>
      </c>
    </row>
    <row r="79" customFormat="false" ht="15" hidden="false" customHeight="false" outlineLevel="0" collapsed="false">
      <c r="A79" s="7" t="s">
        <v>335</v>
      </c>
      <c r="B79" s="7" t="str">
        <f aca="false">IFERROR(INDEX('Source 2026'!$C:$C,MATCH($A79,'Source 2026'!$B:$B,0)),IFERROR(INDEX('Source 2025'!$C:$C,MATCH($A79,'Source 2025'!$B:$B,0)),""))</f>
        <v>טייפ חבישה לספורט</v>
      </c>
      <c r="C79" s="8" t="n">
        <f aca="false">SUMIFS('Source 2025'!$N:$N,'Source 2025'!$B:$B,$A79,'Source 2025'!$A:$A,"Quantity (units)")</f>
        <v>0</v>
      </c>
      <c r="D79" s="8" t="n">
        <f aca="false">SUMIFS('Source 2026'!$N:$N,'Source 2026'!$B:$B,$A79,'Source 2026'!$A:$A,"Quantity (units)")</f>
        <v>3</v>
      </c>
      <c r="E79" s="8" t="n">
        <f aca="false">D79-C79</f>
        <v>3</v>
      </c>
      <c r="F79" s="9" t="str">
        <f aca="false">IF(AND(C79=0,D79=0),0,IF(C79=0,"New",(D79-C79)/C79))</f>
        <v>New</v>
      </c>
      <c r="G79" s="10" t="n">
        <f aca="false">SUMIFS('Source 2025'!$N:$N,'Source 2025'!$B:$B,$A79,'Source 2025'!$A:$A,"Amount (NIS)")</f>
        <v>0</v>
      </c>
      <c r="H79" s="10" t="n">
        <f aca="false">SUMIFS('Source 2026'!$N:$N,'Source 2026'!$B:$B,$A79,'Source 2026'!$A:$A,"Amount (NIS)")</f>
        <v>51.9</v>
      </c>
      <c r="I79" s="10" t="n">
        <f aca="false">H79-G79</f>
        <v>51.9</v>
      </c>
      <c r="J79" s="9" t="str">
        <f aca="false">IF(AND(G79=0,H79=0),0,IF(G79=0,"New",(H79-G79)/G79))</f>
        <v>New</v>
      </c>
    </row>
    <row r="80" customFormat="false" ht="15" hidden="false" customHeight="false" outlineLevel="0" collapsed="false">
      <c r="A80" s="7" t="s">
        <v>210</v>
      </c>
      <c r="B80" s="7" t="str">
        <f aca="false">IFERROR(INDEX('Source 2026'!$C:$C,MATCH($A80,'Source 2026'!$B:$B,0)),IFERROR(INDEX('Source 2025'!$C:$C,MATCH($A80,'Source 2025'!$B:$B,0)),""))</f>
        <v>L-מדרס סיליקון לנעלי עקב</v>
      </c>
      <c r="C80" s="8" t="n">
        <f aca="false">SUMIFS('Source 2025'!$N:$N,'Source 2025'!$B:$B,$A80,'Source 2025'!$A:$A,"Quantity (units)")</f>
        <v>0</v>
      </c>
      <c r="D80" s="8" t="n">
        <f aca="false">SUMIFS('Source 2026'!$N:$N,'Source 2026'!$B:$B,$A80,'Source 2026'!$A:$A,"Quantity (units)")</f>
        <v>0</v>
      </c>
      <c r="E80" s="8" t="n">
        <f aca="false">D80-C80</f>
        <v>0</v>
      </c>
      <c r="F80" s="9" t="n">
        <f aca="false">IF(AND(C80=0,D80=0),0,IF(C80=0,"New",(D80-C80)/C80))</f>
        <v>0</v>
      </c>
      <c r="G80" s="10" t="n">
        <f aca="false">SUMIFS('Source 2025'!$N:$N,'Source 2025'!$B:$B,$A80,'Source 2025'!$A:$A,"Amount (NIS)")</f>
        <v>-47.2</v>
      </c>
      <c r="H80" s="10" t="n">
        <f aca="false">SUMIFS('Source 2026'!$N:$N,'Source 2026'!$B:$B,$A80,'Source 2026'!$A:$A,"Amount (NIS)")</f>
        <v>0</v>
      </c>
      <c r="I80" s="10" t="n">
        <f aca="false">H80-G80</f>
        <v>47.2</v>
      </c>
      <c r="J80" s="9" t="n">
        <f aca="false">IF(AND(G80=0,H80=0),0,IF(G80=0,"New",(H80-G80)/G80))</f>
        <v>-1</v>
      </c>
    </row>
    <row r="81" customFormat="false" ht="15" hidden="false" customHeight="false" outlineLevel="0" collapsed="false">
      <c r="A81" s="7" t="s">
        <v>59</v>
      </c>
      <c r="B81" s="7" t="str">
        <f aca="false">IFERROR(INDEX('Source 2026'!$C:$C,MATCH($A81,'Source 2026'!$B:$B,0)),IFERROR(INDEX('Source 2025'!$C:$C,MATCH($A81,'Source 2025'!$B:$B,0)),""))</f>
        <v>יד אגודלי</v>
      </c>
      <c r="C81" s="8" t="n">
        <f aca="false">SUMIFS('Source 2025'!$N:$N,'Source 2025'!$B:$B,$A81,'Source 2025'!$A:$A,"Quantity (units)")</f>
        <v>2</v>
      </c>
      <c r="D81" s="8" t="n">
        <f aca="false">SUMIFS('Source 2026'!$N:$N,'Source 2026'!$B:$B,$A81,'Source 2026'!$A:$A,"Quantity (units)")</f>
        <v>3</v>
      </c>
      <c r="E81" s="8" t="n">
        <f aca="false">D81-C81</f>
        <v>1</v>
      </c>
      <c r="F81" s="9" t="n">
        <f aca="false">IF(AND(C81=0,D81=0),0,IF(C81=0,"New",(D81-C81)/C81))</f>
        <v>0.5</v>
      </c>
      <c r="G81" s="10" t="n">
        <f aca="false">SUMIFS('Source 2025'!$N:$N,'Source 2025'!$B:$B,$A81,'Source 2025'!$A:$A,"Amount (NIS)")</f>
        <v>93.6</v>
      </c>
      <c r="H81" s="10" t="n">
        <f aca="false">SUMIFS('Source 2026'!$N:$N,'Source 2026'!$B:$B,$A81,'Source 2026'!$A:$A,"Amount (NIS)")</f>
        <v>140.5</v>
      </c>
      <c r="I81" s="10" t="n">
        <f aca="false">H81-G81</f>
        <v>46.9</v>
      </c>
      <c r="J81" s="9" t="n">
        <f aca="false">IF(AND(G81=0,H81=0),0,IF(G81=0,"New",(H81-G81)/G81))</f>
        <v>0.501068376068376</v>
      </c>
    </row>
    <row r="82" customFormat="false" ht="15" hidden="false" customHeight="false" outlineLevel="0" collapsed="false">
      <c r="A82" s="7" t="s">
        <v>286</v>
      </c>
      <c r="B82" s="7" t="str">
        <f aca="false">IFERROR(INDEX('Source 2026'!$C:$C,MATCH($A82,'Source 2026'!$B:$B,0)),IFERROR(INDEX('Source 2025'!$C:$C,MATCH($A82,'Source 2025'!$B:$B,0)),""))</f>
        <v>רפידת נוחות-זוג</v>
      </c>
      <c r="C82" s="8" t="n">
        <f aca="false">SUMIFS('Source 2025'!$N:$N,'Source 2025'!$B:$B,$A82,'Source 2025'!$A:$A,"Quantity (units)")</f>
        <v>12</v>
      </c>
      <c r="D82" s="8" t="n">
        <f aca="false">SUMIFS('Source 2026'!$N:$N,'Source 2026'!$B:$B,$A82,'Source 2026'!$A:$A,"Quantity (units)")</f>
        <v>0</v>
      </c>
      <c r="E82" s="8" t="n">
        <f aca="false">D82-C82</f>
        <v>-12</v>
      </c>
      <c r="F82" s="9" t="n">
        <f aca="false">IF(AND(C82=0,D82=0),0,IF(C82=0,"New",(D82-C82)/C82))</f>
        <v>-1</v>
      </c>
      <c r="G82" s="10" t="n">
        <f aca="false">SUMIFS('Source 2025'!$N:$N,'Source 2025'!$B:$B,$A82,'Source 2025'!$A:$A,"Amount (NIS)")</f>
        <v>45.8</v>
      </c>
      <c r="H82" s="10" t="n">
        <f aca="false">SUMIFS('Source 2026'!$N:$N,'Source 2026'!$B:$B,$A82,'Source 2026'!$A:$A,"Amount (NIS)")</f>
        <v>0</v>
      </c>
      <c r="I82" s="10" t="n">
        <f aca="false">H82-G82</f>
        <v>-45.8</v>
      </c>
      <c r="J82" s="9" t="n">
        <f aca="false">IF(AND(G82=0,H82=0),0,IF(G82=0,"New",(H82-G82)/G82))</f>
        <v>-1</v>
      </c>
    </row>
    <row r="83" customFormat="false" ht="15" hidden="false" customHeight="false" outlineLevel="0" collapsed="false">
      <c r="A83" s="7" t="s">
        <v>146</v>
      </c>
      <c r="B83" s="7" t="str">
        <f aca="false">IFERROR(INDEX('Source 2026'!$C:$C,MATCH($A83,'Source 2026'!$B:$B,0)),IFERROR(INDEX('Source 2025'!$C:$C,MATCH($A83,'Source 2025'!$B:$B,0)),""))</f>
        <v>מפריד הלוקס</v>
      </c>
      <c r="C83" s="8" t="n">
        <f aca="false">SUMIFS('Source 2025'!$N:$N,'Source 2025'!$B:$B,$A83,'Source 2025'!$A:$A,"Quantity (units)")</f>
        <v>3</v>
      </c>
      <c r="D83" s="8" t="n">
        <f aca="false">SUMIFS('Source 2026'!$N:$N,'Source 2026'!$B:$B,$A83,'Source 2026'!$A:$A,"Quantity (units)")</f>
        <v>0</v>
      </c>
      <c r="E83" s="8" t="n">
        <f aca="false">D83-C83</f>
        <v>-3</v>
      </c>
      <c r="F83" s="9" t="n">
        <f aca="false">IF(AND(C83=0,D83=0),0,IF(C83=0,"New",(D83-C83)/C83))</f>
        <v>-1</v>
      </c>
      <c r="G83" s="10" t="n">
        <f aca="false">SUMIFS('Source 2025'!$N:$N,'Source 2025'!$B:$B,$A83,'Source 2025'!$A:$A,"Amount (NIS)")</f>
        <v>38.2</v>
      </c>
      <c r="H83" s="10" t="n">
        <f aca="false">SUMIFS('Source 2026'!$N:$N,'Source 2026'!$B:$B,$A83,'Source 2026'!$A:$A,"Amount (NIS)")</f>
        <v>0</v>
      </c>
      <c r="I83" s="10" t="n">
        <f aca="false">H83-G83</f>
        <v>-38.2</v>
      </c>
      <c r="J83" s="9" t="n">
        <f aca="false">IF(AND(G83=0,H83=0),0,IF(G83=0,"New",(H83-G83)/G83))</f>
        <v>-1</v>
      </c>
    </row>
    <row r="84" customFormat="false" ht="15" hidden="false" customHeight="false" outlineLevel="0" collapsed="false">
      <c r="A84" s="7" t="s">
        <v>135</v>
      </c>
      <c r="B84" s="7" t="str">
        <f aca="false">IFERROR(INDEX('Source 2026'!$C:$C,MATCH($A84,'Source 2026'!$B:$B,0)),IFERROR(INDEX('Source 2025'!$C:$C,MATCH($A84,'Source 2025'!$B:$B,0)),""))</f>
        <v>כפפות לחץ</v>
      </c>
      <c r="C84" s="8" t="n">
        <f aca="false">SUMIFS('Source 2025'!$N:$N,'Source 2025'!$B:$B,$A84,'Source 2025'!$A:$A,"Quantity (units)")</f>
        <v>0</v>
      </c>
      <c r="D84" s="8" t="n">
        <f aca="false">SUMIFS('Source 2026'!$N:$N,'Source 2026'!$B:$B,$A84,'Source 2026'!$A:$A,"Quantity (units)")</f>
        <v>1</v>
      </c>
      <c r="E84" s="8" t="n">
        <f aca="false">D84-C84</f>
        <v>1</v>
      </c>
      <c r="F84" s="9" t="str">
        <f aca="false">IF(AND(C84=0,D84=0),0,IF(C84=0,"New",(D84-C84)/C84))</f>
        <v>New</v>
      </c>
      <c r="G84" s="10" t="n">
        <f aca="false">SUMIFS('Source 2025'!$N:$N,'Source 2025'!$B:$B,$A84,'Source 2025'!$A:$A,"Amount (NIS)")</f>
        <v>0</v>
      </c>
      <c r="H84" s="10" t="n">
        <f aca="false">SUMIFS('Source 2026'!$N:$N,'Source 2026'!$B:$B,$A84,'Source 2026'!$A:$A,"Amount (NIS)")</f>
        <v>37.5</v>
      </c>
      <c r="I84" s="10" t="n">
        <f aca="false">H84-G84</f>
        <v>37.5</v>
      </c>
      <c r="J84" s="9" t="str">
        <f aca="false">IF(AND(G84=0,H84=0),0,IF(G84=0,"New",(H84-G84)/G84))</f>
        <v>New</v>
      </c>
    </row>
    <row r="85" customFormat="false" ht="15" hidden="false" customHeight="false" outlineLevel="0" collapsed="false">
      <c r="A85" s="7" t="s">
        <v>293</v>
      </c>
      <c r="B85" s="7" t="str">
        <f aca="false">IFERROR(INDEX('Source 2026'!$C:$C,MATCH($A85,'Source 2026'!$B:$B,0)),IFERROR(INDEX('Source 2025'!$C:$C,MATCH($A85,'Source 2025'!$B:$B,0)),""))</f>
        <v>344-אבן טבעית להסרת עור קשה</v>
      </c>
      <c r="C85" s="8" t="n">
        <f aca="false">SUMIFS('Source 2025'!$N:$N,'Source 2025'!$B:$B,$A85,'Source 2025'!$A:$A,"Quantity (units)")</f>
        <v>0</v>
      </c>
      <c r="D85" s="8" t="n">
        <f aca="false">SUMIFS('Source 2026'!$N:$N,'Source 2026'!$B:$B,$A85,'Source 2026'!$A:$A,"Quantity (units)")</f>
        <v>3</v>
      </c>
      <c r="E85" s="8" t="n">
        <f aca="false">D85-C85</f>
        <v>3</v>
      </c>
      <c r="F85" s="9" t="str">
        <f aca="false">IF(AND(C85=0,D85=0),0,IF(C85=0,"New",(D85-C85)/C85))</f>
        <v>New</v>
      </c>
      <c r="G85" s="10" t="n">
        <f aca="false">SUMIFS('Source 2025'!$N:$N,'Source 2025'!$B:$B,$A85,'Source 2025'!$A:$A,"Amount (NIS)")</f>
        <v>-8.5</v>
      </c>
      <c r="H85" s="10" t="n">
        <f aca="false">SUMIFS('Source 2026'!$N:$N,'Source 2026'!$B:$B,$A85,'Source 2026'!$A:$A,"Amount (NIS)")</f>
        <v>26.6</v>
      </c>
      <c r="I85" s="10" t="n">
        <f aca="false">H85-G85</f>
        <v>35.1</v>
      </c>
      <c r="J85" s="9" t="n">
        <f aca="false">IF(AND(G85=0,H85=0),0,IF(G85=0,"New",(H85-G85)/G85))</f>
        <v>-4.12941176470588</v>
      </c>
    </row>
    <row r="86" customFormat="false" ht="15" hidden="false" customHeight="false" outlineLevel="0" collapsed="false">
      <c r="A86" s="7" t="s">
        <v>234</v>
      </c>
      <c r="B86" s="7" t="str">
        <f aca="false">IFERROR(INDEX('Source 2026'!$C:$C,MATCH($A86,'Source 2026'!$B:$B,0)),IFERROR(INDEX('Source 2025'!$C:$C,MATCH($A86,'Source 2025'!$B:$B,0)),""))</f>
        <v>להסרת עור קשה</v>
      </c>
      <c r="C86" s="8" t="n">
        <f aca="false">SUMIFS('Source 2025'!$N:$N,'Source 2025'!$B:$B,$A86,'Source 2025'!$A:$A,"Quantity (units)")</f>
        <v>4</v>
      </c>
      <c r="D86" s="8" t="n">
        <f aca="false">SUMIFS('Source 2026'!$N:$N,'Source 2026'!$B:$B,$A86,'Source 2026'!$A:$A,"Quantity (units)")</f>
        <v>2</v>
      </c>
      <c r="E86" s="8" t="n">
        <f aca="false">D86-C86</f>
        <v>-2</v>
      </c>
      <c r="F86" s="9" t="n">
        <f aca="false">IF(AND(C86=0,D86=0),0,IF(C86=0,"New",(D86-C86)/C86))</f>
        <v>-0.5</v>
      </c>
      <c r="G86" s="10" t="n">
        <f aca="false">SUMIFS('Source 2025'!$N:$N,'Source 2025'!$B:$B,$A86,'Source 2025'!$A:$A,"Amount (NIS)")</f>
        <v>83.9</v>
      </c>
      <c r="H86" s="10" t="n">
        <f aca="false">SUMIFS('Source 2026'!$N:$N,'Source 2026'!$B:$B,$A86,'Source 2026'!$A:$A,"Amount (NIS)")</f>
        <v>50.5</v>
      </c>
      <c r="I86" s="10" t="n">
        <f aca="false">H86-G86</f>
        <v>-33.4</v>
      </c>
      <c r="J86" s="9" t="n">
        <f aca="false">IF(AND(G86=0,H86=0),0,IF(G86=0,"New",(H86-G86)/G86))</f>
        <v>-0.398092967818832</v>
      </c>
    </row>
    <row r="87" customFormat="false" ht="15" hidden="false" customHeight="false" outlineLevel="0" collapsed="false">
      <c r="A87" s="7" t="s">
        <v>49</v>
      </c>
      <c r="B87" s="7" t="str">
        <f aca="false">IFERROR(INDEX('Source 2026'!$C:$C,MATCH($A87,'Source 2026'!$B:$B,0)),IFERROR(INDEX('Source 2025'!$C:$C,MATCH($A87,'Source 2025'!$B:$B,0)),""))</f>
        <v>S מגן ברך חום</v>
      </c>
      <c r="C87" s="8" t="n">
        <f aca="false">SUMIFS('Source 2025'!$N:$N,'Source 2025'!$B:$B,$A87,'Source 2025'!$A:$A,"Quantity (units)")</f>
        <v>3</v>
      </c>
      <c r="D87" s="8" t="n">
        <f aca="false">SUMIFS('Source 2026'!$N:$N,'Source 2026'!$B:$B,$A87,'Source 2026'!$A:$A,"Quantity (units)")</f>
        <v>4</v>
      </c>
      <c r="E87" s="8" t="n">
        <f aca="false">D87-C87</f>
        <v>1</v>
      </c>
      <c r="F87" s="9" t="n">
        <f aca="false">IF(AND(C87=0,D87=0),0,IF(C87=0,"New",(D87-C87)/C87))</f>
        <v>0.333333333333333</v>
      </c>
      <c r="G87" s="10" t="n">
        <f aca="false">SUMIFS('Source 2025'!$N:$N,'Source 2025'!$B:$B,$A87,'Source 2025'!$A:$A,"Amount (NIS)")</f>
        <v>92.7</v>
      </c>
      <c r="H87" s="10" t="n">
        <f aca="false">SUMIFS('Source 2026'!$N:$N,'Source 2026'!$B:$B,$A87,'Source 2026'!$A:$A,"Amount (NIS)")</f>
        <v>123.6</v>
      </c>
      <c r="I87" s="10" t="n">
        <f aca="false">H87-G87</f>
        <v>30.9</v>
      </c>
      <c r="J87" s="9" t="n">
        <f aca="false">IF(AND(G87=0,H87=0),0,IF(G87=0,"New",(H87-G87)/G87))</f>
        <v>0.333333333333333</v>
      </c>
    </row>
    <row r="88" customFormat="false" ht="15" hidden="false" customHeight="false" outlineLevel="0" collapsed="false">
      <c r="A88" s="7" t="s">
        <v>277</v>
      </c>
      <c r="B88" s="7" t="str">
        <f aca="false">IFERROR(INDEX('Source 2026'!$C:$C,MATCH($A88,'Source 2026'!$B:$B,0)),IFERROR(INDEX('Source 2025'!$C:$C,MATCH($A88,'Source 2025'!$B:$B,0)),""))</f>
        <v>רפידת אנטי ריח -זוג</v>
      </c>
      <c r="C88" s="8" t="n">
        <f aca="false">SUMIFS('Source 2025'!$N:$N,'Source 2025'!$B:$B,$A88,'Source 2025'!$A:$A,"Quantity (units)")</f>
        <v>6</v>
      </c>
      <c r="D88" s="8" t="n">
        <f aca="false">SUMIFS('Source 2026'!$N:$N,'Source 2026'!$B:$B,$A88,'Source 2026'!$A:$A,"Quantity (units)")</f>
        <v>0</v>
      </c>
      <c r="E88" s="8" t="n">
        <f aca="false">D88-C88</f>
        <v>-6</v>
      </c>
      <c r="F88" s="9" t="n">
        <f aca="false">IF(AND(C88=0,D88=0),0,IF(C88=0,"New",(D88-C88)/C88))</f>
        <v>-1</v>
      </c>
      <c r="G88" s="10" t="n">
        <f aca="false">SUMIFS('Source 2025'!$N:$N,'Source 2025'!$B:$B,$A88,'Source 2025'!$A:$A,"Amount (NIS)")</f>
        <v>28.7</v>
      </c>
      <c r="H88" s="10" t="n">
        <f aca="false">SUMIFS('Source 2026'!$N:$N,'Source 2026'!$B:$B,$A88,'Source 2026'!$A:$A,"Amount (NIS)")</f>
        <v>0</v>
      </c>
      <c r="I88" s="10" t="n">
        <f aca="false">H88-G88</f>
        <v>-28.7</v>
      </c>
      <c r="J88" s="9" t="n">
        <f aca="false">IF(AND(G88=0,H88=0),0,IF(G88=0,"New",(H88-G88)/G88))</f>
        <v>-1</v>
      </c>
    </row>
    <row r="89" customFormat="false" ht="15" hidden="false" customHeight="false" outlineLevel="0" collapsed="false">
      <c r="A89" s="7" t="s">
        <v>156</v>
      </c>
      <c r="B89" s="7" t="str">
        <f aca="false">IFERROR(INDEX('Source 2026'!$C:$C,MATCH($A89,'Source 2026'!$B:$B,0)),IFERROR(INDEX('Source 2025'!$C:$C,MATCH($A89,'Source 2025'!$B:$B,0)),""))</f>
        <v>כרית ליישור אצבע פטיש</v>
      </c>
      <c r="C89" s="8" t="n">
        <f aca="false">SUMIFS('Source 2025'!$N:$N,'Source 2025'!$B:$B,$A89,'Source 2025'!$A:$A,"Quantity (units)")</f>
        <v>0</v>
      </c>
      <c r="D89" s="8" t="n">
        <f aca="false">SUMIFS('Source 2026'!$N:$N,'Source 2026'!$B:$B,$A89,'Source 2026'!$A:$A,"Quantity (units)")</f>
        <v>1</v>
      </c>
      <c r="E89" s="8" t="n">
        <f aca="false">D89-C89</f>
        <v>1</v>
      </c>
      <c r="F89" s="9" t="str">
        <f aca="false">IF(AND(C89=0,D89=0),0,IF(C89=0,"New",(D89-C89)/C89))</f>
        <v>New</v>
      </c>
      <c r="G89" s="10" t="n">
        <f aca="false">SUMIFS('Source 2025'!$N:$N,'Source 2025'!$B:$B,$A89,'Source 2025'!$A:$A,"Amount (NIS)")</f>
        <v>0</v>
      </c>
      <c r="H89" s="10" t="n">
        <f aca="false">SUMIFS('Source 2026'!$N:$N,'Source 2026'!$B:$B,$A89,'Source 2026'!$A:$A,"Amount (NIS)")</f>
        <v>28.5</v>
      </c>
      <c r="I89" s="10" t="n">
        <f aca="false">H89-G89</f>
        <v>28.5</v>
      </c>
      <c r="J89" s="9" t="str">
        <f aca="false">IF(AND(G89=0,H89=0),0,IF(G89=0,"New",(H89-G89)/G89))</f>
        <v>New</v>
      </c>
    </row>
    <row r="90" customFormat="false" ht="15" hidden="false" customHeight="false" outlineLevel="0" collapsed="false">
      <c r="A90" s="7" t="s">
        <v>225</v>
      </c>
      <c r="B90" s="7" t="str">
        <f aca="false">IFERROR(INDEX('Source 2026'!$C:$C,MATCH($A90,'Source 2026'!$B:$B,0)),IFERROR(INDEX('Source 2025'!$C:$C,MATCH($A90,'Source 2025'!$B:$B,0)),""))</f>
        <v>ריפוד סיליקון לנעלי אצבע</v>
      </c>
      <c r="C90" s="8" t="n">
        <f aca="false">SUMIFS('Source 2025'!$N:$N,'Source 2025'!$B:$B,$A90,'Source 2025'!$A:$A,"Quantity (units)")</f>
        <v>0</v>
      </c>
      <c r="D90" s="8" t="n">
        <f aca="false">SUMIFS('Source 2026'!$N:$N,'Source 2026'!$B:$B,$A90,'Source 2026'!$A:$A,"Quantity (units)")</f>
        <v>0</v>
      </c>
      <c r="E90" s="8" t="n">
        <f aca="false">D90-C90</f>
        <v>0</v>
      </c>
      <c r="F90" s="9" t="n">
        <f aca="false">IF(AND(C90=0,D90=0),0,IF(C90=0,"New",(D90-C90)/C90))</f>
        <v>0</v>
      </c>
      <c r="G90" s="10" t="n">
        <f aca="false">SUMIFS('Source 2025'!$N:$N,'Source 2025'!$B:$B,$A90,'Source 2025'!$A:$A,"Amount (NIS)")</f>
        <v>-28.3</v>
      </c>
      <c r="H90" s="10" t="n">
        <f aca="false">SUMIFS('Source 2026'!$N:$N,'Source 2026'!$B:$B,$A90,'Source 2026'!$A:$A,"Amount (NIS)")</f>
        <v>0</v>
      </c>
      <c r="I90" s="10" t="n">
        <f aca="false">H90-G90</f>
        <v>28.3</v>
      </c>
      <c r="J90" s="9" t="n">
        <f aca="false">IF(AND(G90=0,H90=0),0,IF(G90=0,"New",(H90-G90)/G90))</f>
        <v>-1</v>
      </c>
    </row>
    <row r="91" customFormat="false" ht="15" hidden="false" customHeight="false" outlineLevel="0" collapsed="false">
      <c r="A91" s="7" t="s">
        <v>143</v>
      </c>
      <c r="B91" s="7" t="str">
        <f aca="false">IFERROR(INDEX('Source 2026'!$C:$C,MATCH($A91,'Source 2026'!$B:$B,0)),IFERROR(INDEX('Source 2025'!$C:$C,MATCH($A91,'Source 2025'!$B:$B,0)),""))</f>
        <v>בננה לתמיכת אצבעות ז.כרית</v>
      </c>
      <c r="C91" s="8" t="n">
        <f aca="false">SUMIFS('Source 2025'!$N:$N,'Source 2025'!$B:$B,$A91,'Source 2025'!$A:$A,"Quantity (units)")</f>
        <v>0</v>
      </c>
      <c r="D91" s="8" t="n">
        <f aca="false">SUMIFS('Source 2026'!$N:$N,'Source 2026'!$B:$B,$A91,'Source 2026'!$A:$A,"Quantity (units)")</f>
        <v>0</v>
      </c>
      <c r="E91" s="8" t="n">
        <f aca="false">D91-C91</f>
        <v>0</v>
      </c>
      <c r="F91" s="9" t="n">
        <f aca="false">IF(AND(C91=0,D91=0),0,IF(C91=0,"New",(D91-C91)/C91))</f>
        <v>0</v>
      </c>
      <c r="G91" s="10" t="n">
        <f aca="false">SUMIFS('Source 2025'!$N:$N,'Source 2025'!$B:$B,$A91,'Source 2025'!$A:$A,"Amount (NIS)")</f>
        <v>-26</v>
      </c>
      <c r="H91" s="10" t="n">
        <f aca="false">SUMIFS('Source 2026'!$N:$N,'Source 2026'!$B:$B,$A91,'Source 2026'!$A:$A,"Amount (NIS)")</f>
        <v>0</v>
      </c>
      <c r="I91" s="10" t="n">
        <f aca="false">H91-G91</f>
        <v>26</v>
      </c>
      <c r="J91" s="9" t="n">
        <f aca="false">IF(AND(G91=0,H91=0),0,IF(G91=0,"New",(H91-G91)/G91))</f>
        <v>-1</v>
      </c>
    </row>
    <row r="92" customFormat="false" ht="15" hidden="false" customHeight="false" outlineLevel="0" collapsed="false">
      <c r="A92" s="7" t="s">
        <v>47</v>
      </c>
      <c r="B92" s="7" t="str">
        <f aca="false">IFERROR(INDEX('Source 2026'!$C:$C,MATCH($A92,'Source 2026'!$B:$B,0)),IFERROR(INDEX('Source 2025'!$C:$C,MATCH($A92,'Source 2025'!$B:$B,0)),""))</f>
        <v>M מגן קרסול עקב סגור</v>
      </c>
      <c r="C92" s="8" t="n">
        <f aca="false">SUMIFS('Source 2025'!$N:$N,'Source 2025'!$B:$B,$A92,'Source 2025'!$A:$A,"Quantity (units)")</f>
        <v>6</v>
      </c>
      <c r="D92" s="8" t="n">
        <f aca="false">SUMIFS('Source 2026'!$N:$N,'Source 2026'!$B:$B,$A92,'Source 2026'!$A:$A,"Quantity (units)")</f>
        <v>6</v>
      </c>
      <c r="E92" s="8" t="n">
        <f aca="false">D92-C92</f>
        <v>0</v>
      </c>
      <c r="F92" s="9" t="n">
        <f aca="false">IF(AND(C92=0,D92=0),0,IF(C92=0,"New",(D92-C92)/C92))</f>
        <v>0</v>
      </c>
      <c r="G92" s="10" t="n">
        <f aca="false">SUMIFS('Source 2025'!$N:$N,'Source 2025'!$B:$B,$A92,'Source 2025'!$A:$A,"Amount (NIS)")</f>
        <v>255</v>
      </c>
      <c r="H92" s="10" t="n">
        <f aca="false">SUMIFS('Source 2026'!$N:$N,'Source 2026'!$B:$B,$A92,'Source 2026'!$A:$A,"Amount (NIS)")</f>
        <v>280.9</v>
      </c>
      <c r="I92" s="10" t="n">
        <f aca="false">H92-G92</f>
        <v>25.9</v>
      </c>
      <c r="J92" s="9" t="n">
        <f aca="false">IF(AND(G92=0,H92=0),0,IF(G92=0,"New",(H92-G92)/G92))</f>
        <v>0.10156862745098</v>
      </c>
    </row>
    <row r="93" customFormat="false" ht="15" hidden="false" customHeight="false" outlineLevel="0" collapsed="false">
      <c r="A93" s="7" t="s">
        <v>136</v>
      </c>
      <c r="B93" s="7" t="str">
        <f aca="false">IFERROR(INDEX('Source 2026'!$C:$C,MATCH($A93,'Source 2026'!$B:$B,0)),IFERROR(INDEX('Source 2025'!$C:$C,MATCH($A93,'Source 2025'!$B:$B,0)),""))</f>
        <v>תחבושת אלסטית מקררת</v>
      </c>
      <c r="C93" s="8" t="n">
        <f aca="false">SUMIFS('Source 2025'!$N:$N,'Source 2025'!$B:$B,$A93,'Source 2025'!$A:$A,"Quantity (units)")</f>
        <v>6</v>
      </c>
      <c r="D93" s="8" t="n">
        <f aca="false">SUMIFS('Source 2026'!$N:$N,'Source 2026'!$B:$B,$A93,'Source 2026'!$A:$A,"Quantity (units)")</f>
        <v>6</v>
      </c>
      <c r="E93" s="8" t="n">
        <f aca="false">D93-C93</f>
        <v>0</v>
      </c>
      <c r="F93" s="9" t="n">
        <f aca="false">IF(AND(C93=0,D93=0),0,IF(C93=0,"New",(D93-C93)/C93))</f>
        <v>0</v>
      </c>
      <c r="G93" s="10" t="n">
        <f aca="false">SUMIFS('Source 2025'!$N:$N,'Source 2025'!$B:$B,$A93,'Source 2025'!$A:$A,"Amount (NIS)")</f>
        <v>103.7</v>
      </c>
      <c r="H93" s="10" t="n">
        <f aca="false">SUMIFS('Source 2026'!$N:$N,'Source 2026'!$B:$B,$A93,'Source 2026'!$A:$A,"Amount (NIS)")</f>
        <v>129.1</v>
      </c>
      <c r="I93" s="10" t="n">
        <f aca="false">H93-G93</f>
        <v>25.4</v>
      </c>
      <c r="J93" s="9" t="n">
        <f aca="false">IF(AND(G93=0,H93=0),0,IF(G93=0,"New",(H93-G93)/G93))</f>
        <v>0.244937319189971</v>
      </c>
    </row>
    <row r="94" customFormat="false" ht="15" hidden="false" customHeight="false" outlineLevel="0" collapsed="false">
      <c r="A94" s="7" t="s">
        <v>169</v>
      </c>
      <c r="B94" s="7" t="str">
        <f aca="false">IFERROR(INDEX('Source 2026'!$C:$C,MATCH($A94,'Source 2026'!$B:$B,0)),IFERROR(INDEX('Source 2025'!$C:$C,MATCH($A94,'Source 2025'!$B:$B,0)),""))</f>
        <v>S-Lטבעת אלסטית מסיליקון</v>
      </c>
      <c r="C94" s="8" t="n">
        <f aca="false">SUMIFS('Source 2025'!$N:$N,'Source 2025'!$B:$B,$A94,'Source 2025'!$A:$A,"Quantity (units)")</f>
        <v>22</v>
      </c>
      <c r="D94" s="8" t="n">
        <f aca="false">SUMIFS('Source 2026'!$N:$N,'Source 2026'!$B:$B,$A94,'Source 2026'!$A:$A,"Quantity (units)")</f>
        <v>21</v>
      </c>
      <c r="E94" s="8" t="n">
        <f aca="false">D94-C94</f>
        <v>-1</v>
      </c>
      <c r="F94" s="9" t="n">
        <f aca="false">IF(AND(C94=0,D94=0),0,IF(C94=0,"New",(D94-C94)/C94))</f>
        <v>-0.0454545454545455</v>
      </c>
      <c r="G94" s="10" t="n">
        <f aca="false">SUMIFS('Source 2025'!$N:$N,'Source 2025'!$B:$B,$A94,'Source 2025'!$A:$A,"Amount (NIS)")</f>
        <v>275.2</v>
      </c>
      <c r="H94" s="10" t="n">
        <f aca="false">SUMIFS('Source 2026'!$N:$N,'Source 2026'!$B:$B,$A94,'Source 2026'!$A:$A,"Amount (NIS)")</f>
        <v>300</v>
      </c>
      <c r="I94" s="10" t="n">
        <f aca="false">H94-G94</f>
        <v>24.8</v>
      </c>
      <c r="J94" s="9" t="n">
        <f aca="false">IF(AND(G94=0,H94=0),0,IF(G94=0,"New",(H94-G94)/G94))</f>
        <v>0.0901162790697675</v>
      </c>
    </row>
    <row r="95" customFormat="false" ht="15" hidden="false" customHeight="false" outlineLevel="0" collapsed="false">
      <c r="A95" s="7" t="s">
        <v>181</v>
      </c>
      <c r="B95" s="7" t="str">
        <f aca="false">IFERROR(INDEX('Source 2026'!$C:$C,MATCH($A95,'Source 2026'!$B:$B,0)),IFERROR(INDEX('Source 2025'!$C:$C,MATCH($A95,'Source 2025'!$B:$B,0)),""))</f>
        <v>מדרס מטטרזלי לנעלי עקב</v>
      </c>
      <c r="C95" s="8" t="n">
        <f aca="false">SUMIFS('Source 2025'!$N:$N,'Source 2025'!$B:$B,$A95,'Source 2025'!$A:$A,"Quantity (units)")</f>
        <v>2</v>
      </c>
      <c r="D95" s="8" t="n">
        <f aca="false">SUMIFS('Source 2026'!$N:$N,'Source 2026'!$B:$B,$A95,'Source 2026'!$A:$A,"Quantity (units)")</f>
        <v>0</v>
      </c>
      <c r="E95" s="8" t="n">
        <f aca="false">D95-C95</f>
        <v>-2</v>
      </c>
      <c r="F95" s="9" t="n">
        <f aca="false">IF(AND(C95=0,D95=0),0,IF(C95=0,"New",(D95-C95)/C95))</f>
        <v>-1</v>
      </c>
      <c r="G95" s="10" t="n">
        <f aca="false">SUMIFS('Source 2025'!$N:$N,'Source 2025'!$B:$B,$A95,'Source 2025'!$A:$A,"Amount (NIS)")</f>
        <v>24.1</v>
      </c>
      <c r="H95" s="10" t="n">
        <f aca="false">SUMIFS('Source 2026'!$N:$N,'Source 2026'!$B:$B,$A95,'Source 2026'!$A:$A,"Amount (NIS)")</f>
        <v>0</v>
      </c>
      <c r="I95" s="10" t="n">
        <f aca="false">H95-G95</f>
        <v>-24.1</v>
      </c>
      <c r="J95" s="9" t="n">
        <f aca="false">IF(AND(G95=0,H95=0),0,IF(G95=0,"New",(H95-G95)/G95))</f>
        <v>-1</v>
      </c>
    </row>
    <row r="96" customFormat="false" ht="15" hidden="false" customHeight="false" outlineLevel="0" collapsed="false">
      <c r="A96" s="7" t="s">
        <v>340</v>
      </c>
      <c r="B96" s="7" t="str">
        <f aca="false">IFERROR(INDEX('Source 2026'!$C:$C,MATCH($A96,'Source 2026'!$B:$B,0)),IFERROR(INDEX('Source 2025'!$C:$C,MATCH($A96,'Source 2025'!$B:$B,0)),""))</f>
        <v>ריפוד סיליקון לעקב אחורי</v>
      </c>
      <c r="C96" s="8" t="n">
        <f aca="false">SUMIFS('Source 2025'!$N:$N,'Source 2025'!$B:$B,$A96,'Source 2025'!$A:$A,"Quantity (units)")</f>
        <v>2</v>
      </c>
      <c r="D96" s="8" t="n">
        <f aca="false">SUMIFS('Source 2026'!$N:$N,'Source 2026'!$B:$B,$A96,'Source 2026'!$A:$A,"Quantity (units)")</f>
        <v>0</v>
      </c>
      <c r="E96" s="8" t="n">
        <f aca="false">D96-C96</f>
        <v>-2</v>
      </c>
      <c r="F96" s="9" t="n">
        <f aca="false">IF(AND(C96=0,D96=0),0,IF(C96=0,"New",(D96-C96)/C96))</f>
        <v>-1</v>
      </c>
      <c r="G96" s="10" t="n">
        <f aca="false">SUMIFS('Source 2025'!$N:$N,'Source 2025'!$B:$B,$A96,'Source 2025'!$A:$A,"Amount (NIS)")</f>
        <v>24.1</v>
      </c>
      <c r="H96" s="10" t="n">
        <f aca="false">SUMIFS('Source 2026'!$N:$N,'Source 2026'!$B:$B,$A96,'Source 2026'!$A:$A,"Amount (NIS)")</f>
        <v>0</v>
      </c>
      <c r="I96" s="10" t="n">
        <f aca="false">H96-G96</f>
        <v>-24.1</v>
      </c>
      <c r="J96" s="9" t="n">
        <f aca="false">IF(AND(G96=0,H96=0),0,IF(G96=0,"New",(H96-G96)/G96))</f>
        <v>-1</v>
      </c>
    </row>
    <row r="97" customFormat="false" ht="15" hidden="false" customHeight="false" outlineLevel="0" collapsed="false">
      <c r="A97" s="7" t="s">
        <v>93</v>
      </c>
      <c r="B97" s="7" t="str">
        <f aca="false">IFERROR(INDEX('Source 2026'!$C:$C,MATCH($A97,'Source 2026'!$B:$B,0)),IFERROR(INDEX('Source 2025'!$C:$C,MATCH($A97,'Source 2025'!$B:$B,0)),""))</f>
        <v>תחבושת א.נצמ</v>
      </c>
      <c r="C97" s="8" t="n">
        <f aca="false">SUMIFS('Source 2025'!$N:$N,'Source 2025'!$B:$B,$A97,'Source 2025'!$A:$A,"Quantity (units)")</f>
        <v>-3</v>
      </c>
      <c r="D97" s="8" t="n">
        <f aca="false">SUMIFS('Source 2026'!$N:$N,'Source 2026'!$B:$B,$A97,'Source 2026'!$A:$A,"Quantity (units)")</f>
        <v>0</v>
      </c>
      <c r="E97" s="8" t="n">
        <f aca="false">D97-C97</f>
        <v>3</v>
      </c>
      <c r="F97" s="9" t="n">
        <f aca="false">IF(AND(C97=0,D97=0),0,IF(C97=0,"New",(D97-C97)/C97))</f>
        <v>-1</v>
      </c>
      <c r="G97" s="10" t="n">
        <f aca="false">SUMIFS('Source 2025'!$N:$N,'Source 2025'!$B:$B,$A97,'Source 2025'!$A:$A,"Amount (NIS)")</f>
        <v>-22.5</v>
      </c>
      <c r="H97" s="10" t="n">
        <f aca="false">SUMIFS('Source 2026'!$N:$N,'Source 2026'!$B:$B,$A97,'Source 2026'!$A:$A,"Amount (NIS)")</f>
        <v>0</v>
      </c>
      <c r="I97" s="10" t="n">
        <f aca="false">H97-G97</f>
        <v>22.5</v>
      </c>
      <c r="J97" s="9" t="n">
        <f aca="false">IF(AND(G97=0,H97=0),0,IF(G97=0,"New",(H97-G97)/G97))</f>
        <v>-1</v>
      </c>
    </row>
    <row r="98" customFormat="false" ht="15" hidden="false" customHeight="false" outlineLevel="0" collapsed="false">
      <c r="A98" s="7" t="s">
        <v>300</v>
      </c>
      <c r="B98" s="7" t="str">
        <f aca="false">IFERROR(INDEX('Source 2026'!$C:$C,MATCH($A98,'Source 2026'!$B:$B,0)),IFERROR(INDEX('Source 2025'!$C:$C,MATCH($A98,'Source 2025'!$B:$B,0)),""))</f>
        <v>סיליק.לכרית כף הרגל373</v>
      </c>
      <c r="C98" s="8" t="n">
        <f aca="false">SUMIFS('Source 2025'!$N:$N,'Source 2025'!$B:$B,$A98,'Source 2025'!$A:$A,"Quantity (units)")</f>
        <v>2</v>
      </c>
      <c r="D98" s="8" t="n">
        <f aca="false">SUMIFS('Source 2026'!$N:$N,'Source 2026'!$B:$B,$A98,'Source 2026'!$A:$A,"Quantity (units)")</f>
        <v>0</v>
      </c>
      <c r="E98" s="8" t="n">
        <f aca="false">D98-C98</f>
        <v>-2</v>
      </c>
      <c r="F98" s="9" t="n">
        <f aca="false">IF(AND(C98=0,D98=0),0,IF(C98=0,"New",(D98-C98)/C98))</f>
        <v>-1</v>
      </c>
      <c r="G98" s="10" t="n">
        <f aca="false">SUMIFS('Source 2025'!$N:$N,'Source 2025'!$B:$B,$A98,'Source 2025'!$A:$A,"Amount (NIS)")</f>
        <v>21.2</v>
      </c>
      <c r="H98" s="10" t="n">
        <f aca="false">SUMIFS('Source 2026'!$N:$N,'Source 2026'!$B:$B,$A98,'Source 2026'!$A:$A,"Amount (NIS)")</f>
        <v>0</v>
      </c>
      <c r="I98" s="10" t="n">
        <f aca="false">H98-G98</f>
        <v>-21.2</v>
      </c>
      <c r="J98" s="9" t="n">
        <f aca="false">IF(AND(G98=0,H98=0),0,IF(G98=0,"New",(H98-G98)/G98))</f>
        <v>-1</v>
      </c>
    </row>
    <row r="99" customFormat="false" ht="15" hidden="false" customHeight="false" outlineLevel="0" collapsed="false">
      <c r="A99" s="7" t="s">
        <v>115</v>
      </c>
      <c r="B99" s="7" t="str">
        <f aca="false">IFERROR(INDEX('Source 2026'!$C:$C,MATCH($A99,'Source 2026'!$B:$B,0)),IFERROR(INDEX('Source 2025'!$C:$C,MATCH($A99,'Source 2025'!$B:$B,0)),""))</f>
        <v>סד ליישור אצבע</v>
      </c>
      <c r="C99" s="8" t="n">
        <f aca="false">SUMIFS('Source 2025'!$N:$N,'Source 2025'!$B:$B,$A99,'Source 2025'!$A:$A,"Quantity (units)")</f>
        <v>3</v>
      </c>
      <c r="D99" s="8" t="n">
        <f aca="false">SUMIFS('Source 2026'!$N:$N,'Source 2026'!$B:$B,$A99,'Source 2026'!$A:$A,"Quantity (units)")</f>
        <v>4</v>
      </c>
      <c r="E99" s="8" t="n">
        <f aca="false">D99-C99</f>
        <v>1</v>
      </c>
      <c r="F99" s="9" t="n">
        <f aca="false">IF(AND(C99=0,D99=0),0,IF(C99=0,"New",(D99-C99)/C99))</f>
        <v>0.333333333333333</v>
      </c>
      <c r="G99" s="10" t="n">
        <f aca="false">SUMIFS('Source 2025'!$N:$N,'Source 2025'!$B:$B,$A99,'Source 2025'!$A:$A,"Amount (NIS)")</f>
        <v>60.3</v>
      </c>
      <c r="H99" s="10" t="n">
        <f aca="false">SUMIFS('Source 2026'!$N:$N,'Source 2026'!$B:$B,$A99,'Source 2026'!$A:$A,"Amount (NIS)")</f>
        <v>80.4</v>
      </c>
      <c r="I99" s="10" t="n">
        <f aca="false">H99-G99</f>
        <v>20.1</v>
      </c>
      <c r="J99" s="9" t="n">
        <f aca="false">IF(AND(G99=0,H99=0),0,IF(G99=0,"New",(H99-G99)/G99))</f>
        <v>0.333333333333334</v>
      </c>
    </row>
    <row r="100" customFormat="false" ht="15" hidden="false" customHeight="false" outlineLevel="0" collapsed="false">
      <c r="A100" s="7" t="s">
        <v>245</v>
      </c>
      <c r="B100" s="7" t="str">
        <f aca="false">IFERROR(INDEX('Source 2026'!$C:$C,MATCH($A100,'Source 2026'!$B:$B,0)),IFERROR(INDEX('Source 2025'!$C:$C,MATCH($A100,'Source 2025'!$B:$B,0)),""))</f>
        <v>XLמפריד אצבע סיליקון ליבלת</v>
      </c>
      <c r="C100" s="8" t="n">
        <f aca="false">SUMIFS('Source 2025'!$N:$N,'Source 2025'!$B:$B,$A100,'Source 2025'!$A:$A,"Quantity (units)")</f>
        <v>6</v>
      </c>
      <c r="D100" s="8" t="n">
        <f aca="false">SUMIFS('Source 2026'!$N:$N,'Source 2026'!$B:$B,$A100,'Source 2026'!$A:$A,"Quantity (units)")</f>
        <v>6</v>
      </c>
      <c r="E100" s="8" t="n">
        <f aca="false">D100-C100</f>
        <v>0</v>
      </c>
      <c r="F100" s="9" t="n">
        <f aca="false">IF(AND(C100=0,D100=0),0,IF(C100=0,"New",(D100-C100)/C100))</f>
        <v>0</v>
      </c>
      <c r="G100" s="10" t="n">
        <f aca="false">SUMIFS('Source 2025'!$N:$N,'Source 2025'!$B:$B,$A100,'Source 2025'!$A:$A,"Amount (NIS)")</f>
        <v>70.7</v>
      </c>
      <c r="H100" s="10" t="n">
        <f aca="false">SUMIFS('Source 2026'!$N:$N,'Source 2026'!$B:$B,$A100,'Source 2026'!$A:$A,"Amount (NIS)")</f>
        <v>86.9</v>
      </c>
      <c r="I100" s="10" t="n">
        <f aca="false">H100-G100</f>
        <v>16.2</v>
      </c>
      <c r="J100" s="9" t="n">
        <f aca="false">IF(AND(G100=0,H100=0),0,IF(G100=0,"New",(H100-G100)/G100))</f>
        <v>0.229137199434229</v>
      </c>
    </row>
    <row r="101" customFormat="false" ht="15" hidden="false" customHeight="false" outlineLevel="0" collapsed="false">
      <c r="A101" s="7" t="s">
        <v>283</v>
      </c>
      <c r="B101" s="7" t="str">
        <f aca="false">IFERROR(INDEX('Source 2026'!$C:$C,MATCH($A101,'Source 2026'!$B:$B,0)),IFERROR(INDEX('Source 2025'!$C:$C,MATCH($A101,'Source 2025'!$B:$B,0)),""))</f>
        <v>לחץ א.הבוניון</v>
      </c>
      <c r="C101" s="8" t="n">
        <f aca="false">SUMIFS('Source 2025'!$N:$N,'Source 2025'!$B:$B,$A101,'Source 2025'!$A:$A,"Quantity (units)")</f>
        <v>3</v>
      </c>
      <c r="D101" s="8" t="n">
        <f aca="false">SUMIFS('Source 2026'!$N:$N,'Source 2026'!$B:$B,$A101,'Source 2026'!$A:$A,"Quantity (units)")</f>
        <v>3</v>
      </c>
      <c r="E101" s="8" t="n">
        <f aca="false">D101-C101</f>
        <v>0</v>
      </c>
      <c r="F101" s="9" t="n">
        <f aca="false">IF(AND(C101=0,D101=0),0,IF(C101=0,"New",(D101-C101)/C101))</f>
        <v>0</v>
      </c>
      <c r="G101" s="10" t="n">
        <f aca="false">SUMIFS('Source 2025'!$N:$N,'Source 2025'!$B:$B,$A101,'Source 2025'!$A:$A,"Amount (NIS)")</f>
        <v>47</v>
      </c>
      <c r="H101" s="10" t="n">
        <f aca="false">SUMIFS('Source 2026'!$N:$N,'Source 2026'!$B:$B,$A101,'Source 2026'!$A:$A,"Amount (NIS)")</f>
        <v>61.7</v>
      </c>
      <c r="I101" s="10" t="n">
        <f aca="false">H101-G101</f>
        <v>14.7</v>
      </c>
      <c r="J101" s="9" t="n">
        <f aca="false">IF(AND(G101=0,H101=0),0,IF(G101=0,"New",(H101-G101)/G101))</f>
        <v>0.312765957446809</v>
      </c>
    </row>
    <row r="102" customFormat="false" ht="15" hidden="false" customHeight="false" outlineLevel="0" collapsed="false">
      <c r="A102" s="7" t="s">
        <v>270</v>
      </c>
      <c r="B102" s="7" t="str">
        <f aca="false">IFERROR(INDEX('Source 2026'!$C:$C,MATCH($A102,'Source 2026'!$B:$B,0)),IFERROR(INDEX('Source 2025'!$C:$C,MATCH($A102,'Source 2025'!$B:$B,0)),""))</f>
        <v>חבק לשורש כף היד</v>
      </c>
      <c r="C102" s="8" t="n">
        <f aca="false">SUMIFS('Source 2025'!$N:$N,'Source 2025'!$B:$B,$A102,'Source 2025'!$A:$A,"Quantity (units)")</f>
        <v>2</v>
      </c>
      <c r="D102" s="8" t="n">
        <f aca="false">SUMIFS('Source 2026'!$N:$N,'Source 2026'!$B:$B,$A102,'Source 2026'!$A:$A,"Quantity (units)")</f>
        <v>2</v>
      </c>
      <c r="E102" s="8" t="n">
        <f aca="false">D102-C102</f>
        <v>0</v>
      </c>
      <c r="F102" s="9" t="n">
        <f aca="false">IF(AND(C102=0,D102=0),0,IF(C102=0,"New",(D102-C102)/C102))</f>
        <v>0</v>
      </c>
      <c r="G102" s="10" t="n">
        <f aca="false">SUMIFS('Source 2025'!$N:$N,'Source 2025'!$B:$B,$A102,'Source 2025'!$A:$A,"Amount (NIS)")</f>
        <v>61.4</v>
      </c>
      <c r="H102" s="10" t="n">
        <f aca="false">SUMIFS('Source 2026'!$N:$N,'Source 2026'!$B:$B,$A102,'Source 2026'!$A:$A,"Amount (NIS)")</f>
        <v>74.9</v>
      </c>
      <c r="I102" s="10" t="n">
        <f aca="false">H102-G102</f>
        <v>13.5</v>
      </c>
      <c r="J102" s="9" t="n">
        <f aca="false">IF(AND(G102=0,H102=0),0,IF(G102=0,"New",(H102-G102)/G102))</f>
        <v>0.219869706840391</v>
      </c>
    </row>
    <row r="103" customFormat="false" ht="15" hidden="false" customHeight="false" outlineLevel="0" collapsed="false">
      <c r="A103" s="7" t="s">
        <v>100</v>
      </c>
      <c r="B103" s="7" t="str">
        <f aca="false">IFERROR(INDEX('Source 2026'!$C:$C,MATCH($A103,'Source 2026'!$B:$B,0)),IFERROR(INDEX('Source 2025'!$C:$C,MATCH($A103,'Source 2025'!$B:$B,0)),""))</f>
        <v>L חבק יד מתכוון עם צמדן</v>
      </c>
      <c r="C103" s="8" t="n">
        <f aca="false">SUMIFS('Source 2025'!$N:$N,'Source 2025'!$B:$B,$A103,'Source 2025'!$A:$A,"Quantity (units)")</f>
        <v>7</v>
      </c>
      <c r="D103" s="8" t="n">
        <f aca="false">SUMIFS('Source 2026'!$N:$N,'Source 2026'!$B:$B,$A103,'Source 2026'!$A:$A,"Quantity (units)")</f>
        <v>7</v>
      </c>
      <c r="E103" s="8" t="n">
        <f aca="false">D103-C103</f>
        <v>0</v>
      </c>
      <c r="F103" s="9" t="n">
        <f aca="false">IF(AND(C103=0,D103=0),0,IF(C103=0,"New",(D103-C103)/C103))</f>
        <v>0</v>
      </c>
      <c r="G103" s="10" t="n">
        <f aca="false">SUMIFS('Source 2025'!$N:$N,'Source 2025'!$B:$B,$A103,'Source 2025'!$A:$A,"Amount (NIS)")</f>
        <v>232.3</v>
      </c>
      <c r="H103" s="10" t="n">
        <f aca="false">SUMIFS('Source 2026'!$N:$N,'Source 2026'!$B:$B,$A103,'Source 2026'!$A:$A,"Amount (NIS)")</f>
        <v>232.7</v>
      </c>
      <c r="I103" s="10" t="n">
        <f aca="false">H103-G103</f>
        <v>0.399999999999977</v>
      </c>
      <c r="J103" s="9" t="n">
        <f aca="false">IF(AND(G103=0,H103=0),0,IF(G103=0,"New",(H103-G103)/G103))</f>
        <v>0.00172191132156684</v>
      </c>
    </row>
    <row r="104" customFormat="false" ht="15" hidden="false" customHeight="false" outlineLevel="0" collapsed="false">
      <c r="A104" s="7" t="s">
        <v>127</v>
      </c>
      <c r="B104" s="7" t="str">
        <f aca="false">IFERROR(INDEX('Source 2026'!$C:$C,MATCH($A104,'Source 2026'!$B:$B,0)),IFERROR(INDEX('Source 2025'!$C:$C,MATCH($A104,'Source 2025'!$B:$B,0)),""))</f>
        <v>מתלה ליד לילדים</v>
      </c>
      <c r="C104" s="8" t="n">
        <f aca="false">SUMIFS('Source 2025'!$N:$N,'Source 2025'!$B:$B,$A104,'Source 2025'!$A:$A,"Quantity (units)")</f>
        <v>1</v>
      </c>
      <c r="D104" s="8" t="n">
        <f aca="false">SUMIFS('Source 2026'!$N:$N,'Source 2026'!$B:$B,$A104,'Source 2026'!$A:$A,"Quantity (units)")</f>
        <v>1</v>
      </c>
      <c r="E104" s="8" t="n">
        <f aca="false">D104-C104</f>
        <v>0</v>
      </c>
      <c r="F104" s="9" t="n">
        <f aca="false">IF(AND(C104=0,D104=0),0,IF(C104=0,"New",(D104-C104)/C104))</f>
        <v>0</v>
      </c>
      <c r="G104" s="10" t="n">
        <f aca="false">SUMIFS('Source 2025'!$N:$N,'Source 2025'!$B:$B,$A104,'Source 2025'!$A:$A,"Amount (NIS)")</f>
        <v>52</v>
      </c>
      <c r="H104" s="10" t="n">
        <f aca="false">SUMIFS('Source 2026'!$N:$N,'Source 2026'!$B:$B,$A104,'Source 2026'!$A:$A,"Amount (NIS)")</f>
        <v>52</v>
      </c>
      <c r="I104" s="10" t="n">
        <f aca="false">H104-G104</f>
        <v>0</v>
      </c>
      <c r="J104" s="9" t="n">
        <f aca="false">IF(AND(G104=0,H104=0),0,IF(G104=0,"New",(H104-G104)/G104))</f>
        <v>0</v>
      </c>
    </row>
    <row r="106" customFormat="false" ht="15" hidden="false" customHeight="false" outlineLevel="0" collapsed="false">
      <c r="A106" s="11"/>
      <c r="B106" s="12" t="s">
        <v>257</v>
      </c>
      <c r="C106" s="13" t="n">
        <f aca="false">SUM(C6:C104)</f>
        <v>444</v>
      </c>
      <c r="D106" s="13" t="n">
        <f aca="false">SUM(D6:D104)</f>
        <v>310</v>
      </c>
      <c r="E106" s="13" t="n">
        <f aca="false">SUM(E6:E104)</f>
        <v>-134</v>
      </c>
      <c r="F106" s="14" t="n">
        <f aca="false">IF(C106=0,"N/A",E106/C106)</f>
        <v>-0.301801801801802</v>
      </c>
      <c r="G106" s="15" t="n">
        <f aca="false">SUM(G6:G104)</f>
        <v>11837</v>
      </c>
      <c r="H106" s="15" t="n">
        <f aca="false">SUM(H6:H104)</f>
        <v>8839.1</v>
      </c>
      <c r="I106" s="15" t="n">
        <f aca="false">SUM(I6:I104)</f>
        <v>-2997.9</v>
      </c>
      <c r="J106" s="14" t="n">
        <f aca="false">IF(G106=0,"N/A",I106/G106)</f>
        <v>-0.253265185435499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365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366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266</v>
      </c>
      <c r="B6" s="7" t="str">
        <f aca="false">IFERROR(INDEX('Source 2026'!$C:$C,MATCH($A6,'Source 2026'!$B:$B,0)),IFERROR(INDEX('Source 2025'!$C:$C,MATCH($A6,'Source 2025'!$B:$B,0)),""))</f>
        <v>חגורת גב עם תמיכות</v>
      </c>
      <c r="C6" s="8" t="n">
        <f aca="false">SUMIFS('Source 2025'!$O:$O,'Source 2025'!$B:$B,$A6,'Source 2025'!$A:$A,"Quantity (units)")</f>
        <v>11</v>
      </c>
      <c r="D6" s="8" t="n">
        <f aca="false">SUMIFS('Source 2026'!$O:$O,'Source 2026'!$B:$B,$A6,'Source 2026'!$A:$A,"Quantity (units)")</f>
        <v>4</v>
      </c>
      <c r="E6" s="8" t="n">
        <f aca="false">D6-C6</f>
        <v>-7</v>
      </c>
      <c r="F6" s="9" t="n">
        <f aca="false">IF(AND(C6=0,D6=0),0,IF(C6=0,"New",(D6-C6)/C6))</f>
        <v>-0.636363636363636</v>
      </c>
      <c r="G6" s="10" t="n">
        <f aca="false">SUMIFS('Source 2025'!$O:$O,'Source 2025'!$B:$B,$A6,'Source 2025'!$A:$A,"Amount (NIS)")</f>
        <v>1026</v>
      </c>
      <c r="H6" s="10" t="n">
        <f aca="false">SUMIFS('Source 2026'!$O:$O,'Source 2026'!$B:$B,$A6,'Source 2026'!$A:$A,"Amount (NIS)")</f>
        <v>373.1</v>
      </c>
      <c r="I6" s="10" t="n">
        <f aca="false">H6-G6</f>
        <v>-652.9</v>
      </c>
      <c r="J6" s="9" t="n">
        <f aca="false">IF(AND(G6=0,H6=0),0,IF(G6=0,"New",(H6-G6)/G6))</f>
        <v>-0.63635477582846</v>
      </c>
    </row>
    <row r="7" customFormat="false" ht="15" hidden="false" customHeight="false" outlineLevel="0" collapsed="false">
      <c r="A7" s="7" t="s">
        <v>265</v>
      </c>
      <c r="B7" s="7" t="str">
        <f aca="false">IFERROR(INDEX('Source 2026'!$C:$C,MATCH($A7,'Source 2026'!$B:$B,0)),IFERROR(INDEX('Source 2025'!$C:$C,MATCH($A7,'Source 2025'!$B:$B,0)),""))</f>
        <v>מדרס ג'ל לגבר</v>
      </c>
      <c r="C7" s="8" t="n">
        <f aca="false">SUMIFS('Source 2025'!$O:$O,'Source 2025'!$B:$B,$A7,'Source 2025'!$A:$A,"Quantity (units)")</f>
        <v>3</v>
      </c>
      <c r="D7" s="8" t="n">
        <f aca="false">SUMIFS('Source 2026'!$O:$O,'Source 2026'!$B:$B,$A7,'Source 2026'!$A:$A,"Quantity (units)")</f>
        <v>12</v>
      </c>
      <c r="E7" s="8" t="n">
        <f aca="false">D7-C7</f>
        <v>9</v>
      </c>
      <c r="F7" s="9" t="n">
        <f aca="false">IF(AND(C7=0,D7=0),0,IF(C7=0,"New",(D7-C7)/C7))</f>
        <v>3</v>
      </c>
      <c r="G7" s="10" t="n">
        <f aca="false">SUMIFS('Source 2025'!$O:$O,'Source 2025'!$B:$B,$A7,'Source 2025'!$A:$A,"Amount (NIS)")</f>
        <v>196.9</v>
      </c>
      <c r="H7" s="10" t="n">
        <f aca="false">SUMIFS('Source 2026'!$O:$O,'Source 2026'!$B:$B,$A7,'Source 2026'!$A:$A,"Amount (NIS)")</f>
        <v>787.5</v>
      </c>
      <c r="I7" s="10" t="n">
        <f aca="false">H7-G7</f>
        <v>590.6</v>
      </c>
      <c r="J7" s="9" t="n">
        <f aca="false">IF(AND(G7=0,H7=0),0,IF(G7=0,"New",(H7-G7)/G7))</f>
        <v>2.99949212798375</v>
      </c>
    </row>
    <row r="8" customFormat="false" ht="15" hidden="false" customHeight="false" outlineLevel="0" collapsed="false">
      <c r="A8" s="7" t="s">
        <v>49</v>
      </c>
      <c r="B8" s="7" t="str">
        <f aca="false">IFERROR(INDEX('Source 2026'!$C:$C,MATCH($A8,'Source 2026'!$B:$B,0)),IFERROR(INDEX('Source 2025'!$C:$C,MATCH($A8,'Source 2025'!$B:$B,0)),""))</f>
        <v>S מגן ברך חום</v>
      </c>
      <c r="C8" s="8" t="n">
        <f aca="false">SUMIFS('Source 2025'!$O:$O,'Source 2025'!$B:$B,$A8,'Source 2025'!$A:$A,"Quantity (units)")</f>
        <v>24</v>
      </c>
      <c r="D8" s="8" t="n">
        <f aca="false">SUMIFS('Source 2026'!$O:$O,'Source 2026'!$B:$B,$A8,'Source 2026'!$A:$A,"Quantity (units)")</f>
        <v>9</v>
      </c>
      <c r="E8" s="8" t="n">
        <f aca="false">D8-C8</f>
        <v>-15</v>
      </c>
      <c r="F8" s="9" t="n">
        <f aca="false">IF(AND(C8=0,D8=0),0,IF(C8=0,"New",(D8-C8)/C8))</f>
        <v>-0.625</v>
      </c>
      <c r="G8" s="10" t="n">
        <f aca="false">SUMIFS('Source 2025'!$O:$O,'Source 2025'!$B:$B,$A8,'Source 2025'!$A:$A,"Amount (NIS)")</f>
        <v>713.6</v>
      </c>
      <c r="H8" s="10" t="n">
        <f aca="false">SUMIFS('Source 2026'!$O:$O,'Source 2026'!$B:$B,$A8,'Source 2026'!$A:$A,"Amount (NIS)")</f>
        <v>267.6</v>
      </c>
      <c r="I8" s="10" t="n">
        <f aca="false">H8-G8</f>
        <v>-446</v>
      </c>
      <c r="J8" s="9" t="n">
        <f aca="false">IF(AND(G8=0,H8=0),0,IF(G8=0,"New",(H8-G8)/G8))</f>
        <v>-0.625</v>
      </c>
    </row>
    <row r="9" customFormat="false" ht="15" hidden="false" customHeight="false" outlineLevel="0" collapsed="false">
      <c r="A9" s="7" t="s">
        <v>51</v>
      </c>
      <c r="B9" s="7" t="str">
        <f aca="false">IFERROR(INDEX('Source 2026'!$C:$C,MATCH($A9,'Source 2026'!$B:$B,0)),IFERROR(INDEX('Source 2025'!$C:$C,MATCH($A9,'Source 2025'!$B:$B,0)),""))</f>
        <v>Sמגן ברך ארוך לבן</v>
      </c>
      <c r="C9" s="8" t="n">
        <f aca="false">SUMIFS('Source 2025'!$O:$O,'Source 2025'!$B:$B,$A9,'Source 2025'!$A:$A,"Quantity (units)")</f>
        <v>15</v>
      </c>
      <c r="D9" s="8" t="n">
        <f aca="false">SUMIFS('Source 2026'!$O:$O,'Source 2026'!$B:$B,$A9,'Source 2026'!$A:$A,"Quantity (units)")</f>
        <v>8</v>
      </c>
      <c r="E9" s="8" t="n">
        <f aca="false">D9-C9</f>
        <v>-7</v>
      </c>
      <c r="F9" s="9" t="n">
        <f aca="false">IF(AND(C9=0,D9=0),0,IF(C9=0,"New",(D9-C9)/C9))</f>
        <v>-0.466666666666667</v>
      </c>
      <c r="G9" s="10" t="n">
        <f aca="false">SUMIFS('Source 2025'!$O:$O,'Source 2025'!$B:$B,$A9,'Source 2025'!$A:$A,"Amount (NIS)")</f>
        <v>561.5</v>
      </c>
      <c r="H9" s="10" t="n">
        <f aca="false">SUMIFS('Source 2026'!$O:$O,'Source 2026'!$B:$B,$A9,'Source 2026'!$A:$A,"Amount (NIS)")</f>
        <v>287.1</v>
      </c>
      <c r="I9" s="10" t="n">
        <f aca="false">H9-G9</f>
        <v>-274.4</v>
      </c>
      <c r="J9" s="9" t="n">
        <f aca="false">IF(AND(G9=0,H9=0),0,IF(G9=0,"New",(H9-G9)/G9))</f>
        <v>-0.488691006233304</v>
      </c>
    </row>
    <row r="10" customFormat="false" ht="15" hidden="false" customHeight="false" outlineLevel="0" collapsed="false">
      <c r="A10" s="7" t="s">
        <v>58</v>
      </c>
      <c r="B10" s="7" t="str">
        <f aca="false">IFERROR(INDEX('Source 2026'!$C:$C,MATCH($A10,'Source 2026'!$B:$B,0)),IFERROR(INDEX('Source 2025'!$C:$C,MATCH($A10,'Source 2025'!$B:$B,0)),""))</f>
        <v>L מגן ברך לבן</v>
      </c>
      <c r="C10" s="8" t="n">
        <f aca="false">SUMIFS('Source 2025'!$O:$O,'Source 2025'!$B:$B,$A10,'Source 2025'!$A:$A,"Quantity (units)")</f>
        <v>13</v>
      </c>
      <c r="D10" s="8" t="n">
        <f aca="false">SUMIFS('Source 2026'!$O:$O,'Source 2026'!$B:$B,$A10,'Source 2026'!$A:$A,"Quantity (units)")</f>
        <v>5</v>
      </c>
      <c r="E10" s="8" t="n">
        <f aca="false">D10-C10</f>
        <v>-8</v>
      </c>
      <c r="F10" s="9" t="n">
        <f aca="false">IF(AND(C10=0,D10=0),0,IF(C10=0,"New",(D10-C10)/C10))</f>
        <v>-0.615384615384615</v>
      </c>
      <c r="G10" s="10" t="n">
        <f aca="false">SUMIFS('Source 2025'!$O:$O,'Source 2025'!$B:$B,$A10,'Source 2025'!$A:$A,"Amount (NIS)")</f>
        <v>386.6</v>
      </c>
      <c r="H10" s="10" t="n">
        <f aca="false">SUMIFS('Source 2026'!$O:$O,'Source 2026'!$B:$B,$A10,'Source 2026'!$A:$A,"Amount (NIS)")</f>
        <v>148.5</v>
      </c>
      <c r="I10" s="10" t="n">
        <f aca="false">H10-G10</f>
        <v>-238.1</v>
      </c>
      <c r="J10" s="9" t="n">
        <f aca="false">IF(AND(G10=0,H10=0),0,IF(G10=0,"New",(H10-G10)/G10))</f>
        <v>-0.615882048629074</v>
      </c>
    </row>
    <row r="11" customFormat="false" ht="15" hidden="false" customHeight="false" outlineLevel="0" collapsed="false">
      <c r="A11" s="7" t="s">
        <v>47</v>
      </c>
      <c r="B11" s="7" t="str">
        <f aca="false">IFERROR(INDEX('Source 2026'!$C:$C,MATCH($A11,'Source 2026'!$B:$B,0)),IFERROR(INDEX('Source 2025'!$C:$C,MATCH($A11,'Source 2025'!$B:$B,0)),""))</f>
        <v>M מגן קרסול עקב סגור</v>
      </c>
      <c r="C11" s="8" t="n">
        <f aca="false">SUMIFS('Source 2025'!$O:$O,'Source 2025'!$B:$B,$A11,'Source 2025'!$A:$A,"Quantity (units)")</f>
        <v>4</v>
      </c>
      <c r="D11" s="8" t="n">
        <f aca="false">SUMIFS('Source 2026'!$O:$O,'Source 2026'!$B:$B,$A11,'Source 2026'!$A:$A,"Quantity (units)")</f>
        <v>9</v>
      </c>
      <c r="E11" s="8" t="n">
        <f aca="false">D11-C11</f>
        <v>5</v>
      </c>
      <c r="F11" s="9" t="n">
        <f aca="false">IF(AND(C11=0,D11=0),0,IF(C11=0,"New",(D11-C11)/C11))</f>
        <v>1.25</v>
      </c>
      <c r="G11" s="10" t="n">
        <f aca="false">SUMIFS('Source 2025'!$O:$O,'Source 2025'!$B:$B,$A11,'Source 2025'!$A:$A,"Amount (NIS)")</f>
        <v>173.6</v>
      </c>
      <c r="H11" s="10" t="n">
        <f aca="false">SUMIFS('Source 2026'!$O:$O,'Source 2026'!$B:$B,$A11,'Source 2026'!$A:$A,"Amount (NIS)")</f>
        <v>390.4</v>
      </c>
      <c r="I11" s="10" t="n">
        <f aca="false">H11-G11</f>
        <v>216.8</v>
      </c>
      <c r="J11" s="9" t="n">
        <f aca="false">IF(AND(G11=0,H11=0),0,IF(G11=0,"New",(H11-G11)/G11))</f>
        <v>1.24884792626728</v>
      </c>
    </row>
    <row r="12" customFormat="false" ht="15" hidden="false" customHeight="false" outlineLevel="0" collapsed="false">
      <c r="A12" s="7" t="s">
        <v>242</v>
      </c>
      <c r="B12" s="7" t="str">
        <f aca="false">IFERROR(INDEX('Source 2026'!$C:$C,MATCH($A12,'Source 2026'!$B:$B,0)),IFERROR(INDEX('Source 2025'!$C:$C,MATCH($A12,'Source 2025'!$B:$B,0)),""))</f>
        <v>Lמפר.אצבע סיליק. ליבל.זוג</v>
      </c>
      <c r="C12" s="8" t="n">
        <f aca="false">SUMIFS('Source 2025'!$O:$O,'Source 2025'!$B:$B,$A12,'Source 2025'!$A:$A,"Quantity (units)")</f>
        <v>0</v>
      </c>
      <c r="D12" s="8" t="n">
        <f aca="false">SUMIFS('Source 2026'!$O:$O,'Source 2026'!$B:$B,$A12,'Source 2026'!$A:$A,"Quantity (units)")</f>
        <v>14</v>
      </c>
      <c r="E12" s="8" t="n">
        <f aca="false">D12-C12</f>
        <v>14</v>
      </c>
      <c r="F12" s="9" t="str">
        <f aca="false">IF(AND(C12=0,D12=0),0,IF(C12=0,"New",(D12-C12)/C12))</f>
        <v>New</v>
      </c>
      <c r="G12" s="10" t="n">
        <f aca="false">SUMIFS('Source 2025'!$O:$O,'Source 2025'!$B:$B,$A12,'Source 2025'!$A:$A,"Amount (NIS)")</f>
        <v>0</v>
      </c>
      <c r="H12" s="10" t="n">
        <f aca="false">SUMIFS('Source 2026'!$O:$O,'Source 2026'!$B:$B,$A12,'Source 2026'!$A:$A,"Amount (NIS)")</f>
        <v>209.1</v>
      </c>
      <c r="I12" s="10" t="n">
        <f aca="false">H12-G12</f>
        <v>209.1</v>
      </c>
      <c r="J12" s="9" t="str">
        <f aca="false">IF(AND(G12=0,H12=0),0,IF(G12=0,"New",(H12-G12)/G12))</f>
        <v>New</v>
      </c>
    </row>
    <row r="13" customFormat="false" ht="15" hidden="false" customHeight="false" outlineLevel="0" collapsed="false">
      <c r="A13" s="7" t="s">
        <v>74</v>
      </c>
      <c r="B13" s="7" t="str">
        <f aca="false">IFERROR(INDEX('Source 2026'!$C:$C,MATCH($A13,'Source 2026'!$B:$B,0)),IFERROR(INDEX('Source 2025'!$C:$C,MATCH($A13,'Source 2025'!$B:$B,0)),""))</f>
        <v>L מגן מרפק רגיל לבן</v>
      </c>
      <c r="C13" s="8" t="n">
        <f aca="false">SUMIFS('Source 2025'!$O:$O,'Source 2025'!$B:$B,$A13,'Source 2025'!$A:$A,"Quantity (units)")</f>
        <v>11</v>
      </c>
      <c r="D13" s="8" t="n">
        <f aca="false">SUMIFS('Source 2026'!$O:$O,'Source 2026'!$B:$B,$A13,'Source 2026'!$A:$A,"Quantity (units)")</f>
        <v>4</v>
      </c>
      <c r="E13" s="8" t="n">
        <f aca="false">D13-C13</f>
        <v>-7</v>
      </c>
      <c r="F13" s="9" t="n">
        <f aca="false">IF(AND(C13=0,D13=0),0,IF(C13=0,"New",(D13-C13)/C13))</f>
        <v>-0.636363636363636</v>
      </c>
      <c r="G13" s="10" t="n">
        <f aca="false">SUMIFS('Source 2025'!$O:$O,'Source 2025'!$B:$B,$A13,'Source 2025'!$A:$A,"Amount (NIS)")</f>
        <v>327.1</v>
      </c>
      <c r="H13" s="10" t="n">
        <f aca="false">SUMIFS('Source 2026'!$O:$O,'Source 2026'!$B:$B,$A13,'Source 2026'!$A:$A,"Amount (NIS)")</f>
        <v>118.9</v>
      </c>
      <c r="I13" s="10" t="n">
        <f aca="false">H13-G13</f>
        <v>-208.2</v>
      </c>
      <c r="J13" s="9" t="n">
        <f aca="false">IF(AND(G13=0,H13=0),0,IF(G13=0,"New",(H13-G13)/G13))</f>
        <v>-0.636502598593702</v>
      </c>
    </row>
    <row r="14" customFormat="false" ht="15" hidden="false" customHeight="false" outlineLevel="0" collapsed="false">
      <c r="A14" s="7" t="s">
        <v>246</v>
      </c>
      <c r="B14" s="7" t="str">
        <f aca="false">IFERROR(INDEX('Source 2026'!$C:$C,MATCH($A14,'Source 2026'!$B:$B,0)),IFERROR(INDEX('Source 2025'!$C:$C,MATCH($A14,'Source 2025'!$B:$B,0)),""))</f>
        <v>ציפורניים</v>
      </c>
      <c r="C14" s="8" t="n">
        <f aca="false">SUMIFS('Source 2025'!$O:$O,'Source 2025'!$B:$B,$A14,'Source 2025'!$A:$A,"Quantity (units)")</f>
        <v>20</v>
      </c>
      <c r="D14" s="8" t="n">
        <f aca="false">SUMIFS('Source 2026'!$O:$O,'Source 2026'!$B:$B,$A14,'Source 2026'!$A:$A,"Quantity (units)")</f>
        <v>5</v>
      </c>
      <c r="E14" s="8" t="n">
        <f aca="false">D14-C14</f>
        <v>-15</v>
      </c>
      <c r="F14" s="9" t="n">
        <f aca="false">IF(AND(C14=0,D14=0),0,IF(C14=0,"New",(D14-C14)/C14))</f>
        <v>-0.75</v>
      </c>
      <c r="G14" s="10" t="n">
        <f aca="false">SUMIFS('Source 2025'!$O:$O,'Source 2025'!$B:$B,$A14,'Source 2025'!$A:$A,"Amount (NIS)")</f>
        <v>263</v>
      </c>
      <c r="H14" s="10" t="n">
        <f aca="false">SUMIFS('Source 2026'!$O:$O,'Source 2026'!$B:$B,$A14,'Source 2026'!$A:$A,"Amount (NIS)")</f>
        <v>65.8</v>
      </c>
      <c r="I14" s="10" t="n">
        <f aca="false">H14-G14</f>
        <v>-197.2</v>
      </c>
      <c r="J14" s="9" t="n">
        <f aca="false">IF(AND(G14=0,H14=0),0,IF(G14=0,"New",(H14-G14)/G14))</f>
        <v>-0.749809885931559</v>
      </c>
    </row>
    <row r="15" customFormat="false" ht="15" hidden="false" customHeight="false" outlineLevel="0" collapsed="false">
      <c r="A15" s="7" t="s">
        <v>73</v>
      </c>
      <c r="B15" s="7" t="str">
        <f aca="false">IFERROR(INDEX('Source 2026'!$C:$C,MATCH($A15,'Source 2026'!$B:$B,0)),IFERROR(INDEX('Source 2025'!$C:$C,MATCH($A15,'Source 2025'!$B:$B,0)),""))</f>
        <v>L צוארון ספוגי</v>
      </c>
      <c r="C15" s="8" t="n">
        <f aca="false">SUMIFS('Source 2025'!$O:$O,'Source 2025'!$B:$B,$A15,'Source 2025'!$A:$A,"Quantity (units)")</f>
        <v>8</v>
      </c>
      <c r="D15" s="8" t="n">
        <f aca="false">SUMIFS('Source 2026'!$O:$O,'Source 2026'!$B:$B,$A15,'Source 2026'!$A:$A,"Quantity (units)")</f>
        <v>3</v>
      </c>
      <c r="E15" s="8" t="n">
        <f aca="false">D15-C15</f>
        <v>-5</v>
      </c>
      <c r="F15" s="9" t="n">
        <f aca="false">IF(AND(C15=0,D15=0),0,IF(C15=0,"New",(D15-C15)/C15))</f>
        <v>-0.625</v>
      </c>
      <c r="G15" s="10" t="n">
        <f aca="false">SUMIFS('Source 2025'!$O:$O,'Source 2025'!$B:$B,$A15,'Source 2025'!$A:$A,"Amount (NIS)")</f>
        <v>276.8</v>
      </c>
      <c r="H15" s="10" t="n">
        <f aca="false">SUMIFS('Source 2026'!$O:$O,'Source 2026'!$B:$B,$A15,'Source 2026'!$A:$A,"Amount (NIS)")</f>
        <v>103.8</v>
      </c>
      <c r="I15" s="10" t="n">
        <f aca="false">H15-G15</f>
        <v>-173</v>
      </c>
      <c r="J15" s="9" t="n">
        <f aca="false">IF(AND(G15=0,H15=0),0,IF(G15=0,"New",(H15-G15)/G15))</f>
        <v>-0.625</v>
      </c>
    </row>
    <row r="16" customFormat="false" ht="15" hidden="false" customHeight="false" outlineLevel="0" collapsed="false">
      <c r="A16" s="7" t="s">
        <v>136</v>
      </c>
      <c r="B16" s="7" t="str">
        <f aca="false">IFERROR(INDEX('Source 2026'!$C:$C,MATCH($A16,'Source 2026'!$B:$B,0)),IFERROR(INDEX('Source 2025'!$C:$C,MATCH($A16,'Source 2025'!$B:$B,0)),""))</f>
        <v>תחבושת אלסטית מקררת</v>
      </c>
      <c r="C16" s="8" t="n">
        <f aca="false">SUMIFS('Source 2025'!$O:$O,'Source 2025'!$B:$B,$A16,'Source 2025'!$A:$A,"Quantity (units)")</f>
        <v>8</v>
      </c>
      <c r="D16" s="8" t="n">
        <f aca="false">SUMIFS('Source 2026'!$O:$O,'Source 2026'!$B:$B,$A16,'Source 2026'!$A:$A,"Quantity (units)")</f>
        <v>0</v>
      </c>
      <c r="E16" s="8" t="n">
        <f aca="false">D16-C16</f>
        <v>-8</v>
      </c>
      <c r="F16" s="9" t="n">
        <f aca="false">IF(AND(C16=0,D16=0),0,IF(C16=0,"New",(D16-C16)/C16))</f>
        <v>-1</v>
      </c>
      <c r="G16" s="10" t="n">
        <f aca="false">SUMIFS('Source 2025'!$O:$O,'Source 2025'!$B:$B,$A16,'Source 2025'!$A:$A,"Amount (NIS)")</f>
        <v>163.6</v>
      </c>
      <c r="H16" s="10" t="n">
        <f aca="false">SUMIFS('Source 2026'!$O:$O,'Source 2026'!$B:$B,$A16,'Source 2026'!$A:$A,"Amount (NIS)")</f>
        <v>0</v>
      </c>
      <c r="I16" s="10" t="n">
        <f aca="false">H16-G16</f>
        <v>-163.6</v>
      </c>
      <c r="J16" s="9" t="n">
        <f aca="false">IF(AND(G16=0,H16=0),0,IF(G16=0,"New",(H16-G16)/G16))</f>
        <v>-1</v>
      </c>
    </row>
    <row r="17" customFormat="false" ht="15" hidden="false" customHeight="false" outlineLevel="0" collapsed="false">
      <c r="A17" s="7" t="s">
        <v>81</v>
      </c>
      <c r="B17" s="7" t="str">
        <f aca="false">IFERROR(INDEX('Source 2026'!$C:$C,MATCH($A17,'Source 2026'!$B:$B,0)),IFERROR(INDEX('Source 2025'!$C:$C,MATCH($A17,'Source 2025'!$B:$B,0)),""))</f>
        <v>0 מ.בוניון+מפריד אצבע</v>
      </c>
      <c r="C17" s="8" t="n">
        <f aca="false">SUMIFS('Source 2025'!$O:$O,'Source 2025'!$B:$B,$A17,'Source 2025'!$A:$A,"Quantity (units)")</f>
        <v>4</v>
      </c>
      <c r="D17" s="8" t="n">
        <f aca="false">SUMIFS('Source 2026'!$O:$O,'Source 2026'!$B:$B,$A17,'Source 2026'!$A:$A,"Quantity (units)")</f>
        <v>0</v>
      </c>
      <c r="E17" s="8" t="n">
        <f aca="false">D17-C17</f>
        <v>-4</v>
      </c>
      <c r="F17" s="9" t="n">
        <f aca="false">IF(AND(C17=0,D17=0),0,IF(C17=0,"New",(D17-C17)/C17))</f>
        <v>-1</v>
      </c>
      <c r="G17" s="10" t="n">
        <f aca="false">SUMIFS('Source 2025'!$O:$O,'Source 2025'!$B:$B,$A17,'Source 2025'!$A:$A,"Amount (NIS)")</f>
        <v>160.3</v>
      </c>
      <c r="H17" s="10" t="n">
        <f aca="false">SUMIFS('Source 2026'!$O:$O,'Source 2026'!$B:$B,$A17,'Source 2026'!$A:$A,"Amount (NIS)")</f>
        <v>0</v>
      </c>
      <c r="I17" s="10" t="n">
        <f aca="false">H17-G17</f>
        <v>-160.3</v>
      </c>
      <c r="J17" s="9" t="n">
        <f aca="false">IF(AND(G17=0,H17=0),0,IF(G17=0,"New",(H17-G17)/G17))</f>
        <v>-1</v>
      </c>
    </row>
    <row r="18" customFormat="false" ht="15" hidden="false" customHeight="false" outlineLevel="0" collapsed="false">
      <c r="A18" s="7" t="s">
        <v>44</v>
      </c>
      <c r="B18" s="7" t="str">
        <f aca="false">IFERROR(INDEX('Source 2026'!$C:$C,MATCH($A18,'Source 2026'!$B:$B,0)),IFERROR(INDEX('Source 2025'!$C:$C,MATCH($A18,'Source 2025'!$B:$B,0)),""))</f>
        <v>S  חבק יד ארוך</v>
      </c>
      <c r="C18" s="8" t="n">
        <f aca="false">SUMIFS('Source 2025'!$O:$O,'Source 2025'!$B:$B,$A18,'Source 2025'!$A:$A,"Quantity (units)")</f>
        <v>10</v>
      </c>
      <c r="D18" s="8" t="n">
        <f aca="false">SUMIFS('Source 2026'!$O:$O,'Source 2026'!$B:$B,$A18,'Source 2026'!$A:$A,"Quantity (units)")</f>
        <v>6</v>
      </c>
      <c r="E18" s="8" t="n">
        <f aca="false">D18-C18</f>
        <v>-4</v>
      </c>
      <c r="F18" s="9" t="n">
        <f aca="false">IF(AND(C18=0,D18=0),0,IF(C18=0,"New",(D18-C18)/C18))</f>
        <v>-0.4</v>
      </c>
      <c r="G18" s="10" t="n">
        <f aca="false">SUMIFS('Source 2025'!$O:$O,'Source 2025'!$B:$B,$A18,'Source 2025'!$A:$A,"Amount (NIS)")</f>
        <v>377.7</v>
      </c>
      <c r="H18" s="10" t="n">
        <f aca="false">SUMIFS('Source 2026'!$O:$O,'Source 2026'!$B:$B,$A18,'Source 2026'!$A:$A,"Amount (NIS)")</f>
        <v>226.6</v>
      </c>
      <c r="I18" s="10" t="n">
        <f aca="false">H18-G18</f>
        <v>-151.1</v>
      </c>
      <c r="J18" s="9" t="n">
        <f aca="false">IF(AND(G18=0,H18=0),0,IF(G18=0,"New",(H18-G18)/G18))</f>
        <v>-0.400052952078369</v>
      </c>
    </row>
    <row r="19" customFormat="false" ht="15" hidden="false" customHeight="false" outlineLevel="0" collapsed="false">
      <c r="A19" s="7" t="s">
        <v>275</v>
      </c>
      <c r="B19" s="7" t="str">
        <f aca="false">IFERROR(INDEX('Source 2026'!$C:$C,MATCH($A19,'Source 2026'!$B:$B,0)),IFERROR(INDEX('Source 2025'!$C:$C,MATCH($A19,'Source 2025'!$B:$B,0)),""))</f>
        <v>חגורת בטן קלה</v>
      </c>
      <c r="C19" s="8" t="n">
        <f aca="false">SUMIFS('Source 2025'!$O:$O,'Source 2025'!$B:$B,$A19,'Source 2025'!$A:$A,"Quantity (units)")</f>
        <v>0</v>
      </c>
      <c r="D19" s="8" t="n">
        <f aca="false">SUMIFS('Source 2026'!$O:$O,'Source 2026'!$B:$B,$A19,'Source 2026'!$A:$A,"Quantity (units)")</f>
        <v>2</v>
      </c>
      <c r="E19" s="8" t="n">
        <f aca="false">D19-C19</f>
        <v>2</v>
      </c>
      <c r="F19" s="9" t="str">
        <f aca="false">IF(AND(C19=0,D19=0),0,IF(C19=0,"New",(D19-C19)/C19))</f>
        <v>New</v>
      </c>
      <c r="G19" s="10" t="n">
        <f aca="false">SUMIFS('Source 2025'!$O:$O,'Source 2025'!$B:$B,$A19,'Source 2025'!$A:$A,"Amount (NIS)")</f>
        <v>0</v>
      </c>
      <c r="H19" s="10" t="n">
        <f aca="false">SUMIFS('Source 2026'!$O:$O,'Source 2026'!$B:$B,$A19,'Source 2026'!$A:$A,"Amount (NIS)")</f>
        <v>150.5</v>
      </c>
      <c r="I19" s="10" t="n">
        <f aca="false">H19-G19</f>
        <v>150.5</v>
      </c>
      <c r="J19" s="9" t="str">
        <f aca="false">IF(AND(G19=0,H19=0),0,IF(G19=0,"New",(H19-G19)/G19))</f>
        <v>New</v>
      </c>
    </row>
    <row r="20" customFormat="false" ht="15" hidden="false" customHeight="false" outlineLevel="0" collapsed="false">
      <c r="A20" s="7" t="s">
        <v>69</v>
      </c>
      <c r="B20" s="7" t="str">
        <f aca="false">IFERROR(INDEX('Source 2026'!$C:$C,MATCH($A20,'Source 2026'!$B:$B,0)),IFERROR(INDEX('Source 2025'!$C:$C,MATCH($A20,'Source 2025'!$B:$B,0)),""))</f>
        <v>לציפורן חודרנית</v>
      </c>
      <c r="C20" s="8" t="n">
        <f aca="false">SUMIFS('Source 2025'!$O:$O,'Source 2025'!$B:$B,$A20,'Source 2025'!$A:$A,"Quantity (units)")</f>
        <v>4</v>
      </c>
      <c r="D20" s="8" t="n">
        <f aca="false">SUMIFS('Source 2026'!$O:$O,'Source 2026'!$B:$B,$A20,'Source 2026'!$A:$A,"Quantity (units)")</f>
        <v>0</v>
      </c>
      <c r="E20" s="8" t="n">
        <f aca="false">D20-C20</f>
        <v>-4</v>
      </c>
      <c r="F20" s="9" t="n">
        <f aca="false">IF(AND(C20=0,D20=0),0,IF(C20=0,"New",(D20-C20)/C20))</f>
        <v>-1</v>
      </c>
      <c r="G20" s="10" t="n">
        <f aca="false">SUMIFS('Source 2025'!$O:$O,'Source 2025'!$B:$B,$A20,'Source 2025'!$A:$A,"Amount (NIS)")</f>
        <v>134.7</v>
      </c>
      <c r="H20" s="10" t="n">
        <f aca="false">SUMIFS('Source 2026'!$O:$O,'Source 2026'!$B:$B,$A20,'Source 2026'!$A:$A,"Amount (NIS)")</f>
        <v>0</v>
      </c>
      <c r="I20" s="10" t="n">
        <f aca="false">H20-G20</f>
        <v>-134.7</v>
      </c>
      <c r="J20" s="9" t="n">
        <f aca="false">IF(AND(G20=0,H20=0),0,IF(G20=0,"New",(H20-G20)/G20))</f>
        <v>-1</v>
      </c>
    </row>
    <row r="21" customFormat="false" ht="15" hidden="false" customHeight="false" outlineLevel="0" collapsed="false">
      <c r="A21" s="7" t="s">
        <v>59</v>
      </c>
      <c r="B21" s="7" t="str">
        <f aca="false">IFERROR(INDEX('Source 2026'!$C:$C,MATCH($A21,'Source 2026'!$B:$B,0)),IFERROR(INDEX('Source 2025'!$C:$C,MATCH($A21,'Source 2025'!$B:$B,0)),""))</f>
        <v>יד אגודלי</v>
      </c>
      <c r="C21" s="8" t="n">
        <f aca="false">SUMIFS('Source 2025'!$O:$O,'Source 2025'!$B:$B,$A21,'Source 2025'!$A:$A,"Quantity (units)")</f>
        <v>3</v>
      </c>
      <c r="D21" s="8" t="n">
        <f aca="false">SUMIFS('Source 2026'!$O:$O,'Source 2026'!$B:$B,$A21,'Source 2026'!$A:$A,"Quantity (units)")</f>
        <v>6</v>
      </c>
      <c r="E21" s="8" t="n">
        <f aca="false">D21-C21</f>
        <v>3</v>
      </c>
      <c r="F21" s="9" t="n">
        <f aca="false">IF(AND(C21=0,D21=0),0,IF(C21=0,"New",(D21-C21)/C21))</f>
        <v>1</v>
      </c>
      <c r="G21" s="10" t="n">
        <f aca="false">SUMIFS('Source 2025'!$O:$O,'Source 2025'!$B:$B,$A21,'Source 2025'!$A:$A,"Amount (NIS)")</f>
        <v>127.5</v>
      </c>
      <c r="H21" s="10" t="n">
        <f aca="false">SUMIFS('Source 2026'!$O:$O,'Source 2026'!$B:$B,$A21,'Source 2026'!$A:$A,"Amount (NIS)")</f>
        <v>255</v>
      </c>
      <c r="I21" s="10" t="n">
        <f aca="false">H21-G21</f>
        <v>127.5</v>
      </c>
      <c r="J21" s="9" t="n">
        <f aca="false">IF(AND(G21=0,H21=0),0,IF(G21=0,"New",(H21-G21)/G21))</f>
        <v>1</v>
      </c>
    </row>
    <row r="22" customFormat="false" ht="15" hidden="false" customHeight="false" outlineLevel="0" collapsed="false">
      <c r="A22" s="7" t="s">
        <v>60</v>
      </c>
      <c r="B22" s="7" t="str">
        <f aca="false">IFERROR(INDEX('Source 2026'!$C:$C,MATCH($A22,'Source 2026'!$B:$B,0)),IFERROR(INDEX('Source 2025'!$C:$C,MATCH($A22,'Source 2025'!$B:$B,0)),""))</f>
        <v>יד אגודלי</v>
      </c>
      <c r="C22" s="8" t="n">
        <f aca="false">SUMIFS('Source 2025'!$O:$O,'Source 2025'!$B:$B,$A22,'Source 2025'!$A:$A,"Quantity (units)")</f>
        <v>9</v>
      </c>
      <c r="D22" s="8" t="n">
        <f aca="false">SUMIFS('Source 2026'!$O:$O,'Source 2026'!$B:$B,$A22,'Source 2026'!$A:$A,"Quantity (units)")</f>
        <v>6</v>
      </c>
      <c r="E22" s="8" t="n">
        <f aca="false">D22-C22</f>
        <v>-3</v>
      </c>
      <c r="F22" s="9" t="n">
        <f aca="false">IF(AND(C22=0,D22=0),0,IF(C22=0,"New",(D22-C22)/C22))</f>
        <v>-0.333333333333333</v>
      </c>
      <c r="G22" s="10" t="n">
        <f aca="false">SUMIFS('Source 2025'!$O:$O,'Source 2025'!$B:$B,$A22,'Source 2025'!$A:$A,"Amount (NIS)")</f>
        <v>382.4</v>
      </c>
      <c r="H22" s="10" t="n">
        <f aca="false">SUMIFS('Source 2026'!$O:$O,'Source 2026'!$B:$B,$A22,'Source 2026'!$A:$A,"Amount (NIS)")</f>
        <v>255</v>
      </c>
      <c r="I22" s="10" t="n">
        <f aca="false">H22-G22</f>
        <v>-127.4</v>
      </c>
      <c r="J22" s="9" t="n">
        <f aca="false">IF(AND(G22=0,H22=0),0,IF(G22=0,"New",(H22-G22)/G22))</f>
        <v>-0.3331589958159</v>
      </c>
    </row>
    <row r="23" customFormat="false" ht="15" hidden="false" customHeight="false" outlineLevel="0" collapsed="false">
      <c r="A23" s="7" t="s">
        <v>70</v>
      </c>
      <c r="B23" s="7" t="str">
        <f aca="false">IFERROR(INDEX('Source 2026'!$C:$C,MATCH($A23,'Source 2026'!$B:$B,0)),IFERROR(INDEX('Source 2025'!$C:$C,MATCH($A23,'Source 2025'!$B:$B,0)),""))</f>
        <v>תחבושת א.נצמ</v>
      </c>
      <c r="C23" s="8" t="n">
        <f aca="false">SUMIFS('Source 2025'!$O:$O,'Source 2025'!$B:$B,$A23,'Source 2025'!$A:$A,"Quantity (units)")</f>
        <v>10</v>
      </c>
      <c r="D23" s="8" t="n">
        <f aca="false">SUMIFS('Source 2026'!$O:$O,'Source 2026'!$B:$B,$A23,'Source 2026'!$A:$A,"Quantity (units)")</f>
        <v>0</v>
      </c>
      <c r="E23" s="8" t="n">
        <f aca="false">D23-C23</f>
        <v>-10</v>
      </c>
      <c r="F23" s="9" t="n">
        <f aca="false">IF(AND(C23=0,D23=0),0,IF(C23=0,"New",(D23-C23)/C23))</f>
        <v>-1</v>
      </c>
      <c r="G23" s="10" t="n">
        <f aca="false">SUMIFS('Source 2025'!$O:$O,'Source 2025'!$B:$B,$A23,'Source 2025'!$A:$A,"Amount (NIS)")</f>
        <v>117.7</v>
      </c>
      <c r="H23" s="10" t="n">
        <f aca="false">SUMIFS('Source 2026'!$O:$O,'Source 2026'!$B:$B,$A23,'Source 2026'!$A:$A,"Amount (NIS)")</f>
        <v>0</v>
      </c>
      <c r="I23" s="10" t="n">
        <f aca="false">H23-G23</f>
        <v>-117.7</v>
      </c>
      <c r="J23" s="9" t="n">
        <f aca="false">IF(AND(G23=0,H23=0),0,IF(G23=0,"New",(H23-G23)/G23))</f>
        <v>-1</v>
      </c>
    </row>
    <row r="24" customFormat="false" ht="15" hidden="false" customHeight="false" outlineLevel="0" collapsed="false">
      <c r="A24" s="7" t="s">
        <v>284</v>
      </c>
      <c r="B24" s="7" t="str">
        <f aca="false">IFERROR(INDEX('Source 2026'!$C:$C,MATCH($A24,'Source 2026'!$B:$B,0)),IFERROR(INDEX('Source 2025'!$C:$C,MATCH($A24,'Source 2025'!$B:$B,0)),""))</f>
        <v>לחץ מיבלת2יח</v>
      </c>
      <c r="C24" s="8" t="n">
        <f aca="false">SUMIFS('Source 2025'!$O:$O,'Source 2025'!$B:$B,$A24,'Source 2025'!$A:$A,"Quantity (units)")</f>
        <v>1</v>
      </c>
      <c r="D24" s="8" t="n">
        <f aca="false">SUMIFS('Source 2026'!$O:$O,'Source 2026'!$B:$B,$A24,'Source 2026'!$A:$A,"Quantity (units)")</f>
        <v>8</v>
      </c>
      <c r="E24" s="8" t="n">
        <f aca="false">D24-C24</f>
        <v>7</v>
      </c>
      <c r="F24" s="9" t="n">
        <f aca="false">IF(AND(C24=0,D24=0),0,IF(C24=0,"New",(D24-C24)/C24))</f>
        <v>7</v>
      </c>
      <c r="G24" s="10" t="n">
        <f aca="false">SUMIFS('Source 2025'!$O:$O,'Source 2025'!$B:$B,$A24,'Source 2025'!$A:$A,"Amount (NIS)")</f>
        <v>14.9</v>
      </c>
      <c r="H24" s="10" t="n">
        <f aca="false">SUMIFS('Source 2026'!$O:$O,'Source 2026'!$B:$B,$A24,'Source 2026'!$A:$A,"Amount (NIS)")</f>
        <v>119.5</v>
      </c>
      <c r="I24" s="10" t="n">
        <f aca="false">H24-G24</f>
        <v>104.6</v>
      </c>
      <c r="J24" s="9" t="n">
        <f aca="false">IF(AND(G24=0,H24=0),0,IF(G24=0,"New",(H24-G24)/G24))</f>
        <v>7.02013422818792</v>
      </c>
    </row>
    <row r="25" customFormat="false" ht="15" hidden="false" customHeight="false" outlineLevel="0" collapsed="false">
      <c r="A25" s="7" t="s">
        <v>269</v>
      </c>
      <c r="B25" s="7" t="str">
        <f aca="false">IFERROR(INDEX('Source 2026'!$C:$C,MATCH($A25,'Source 2026'!$B:$B,0)),IFERROR(INDEX('Source 2025'!$C:$C,MATCH($A25,'Source 2025'!$B:$B,0)),""))</f>
        <v>שרוול מסיליקון לאצבע</v>
      </c>
      <c r="C25" s="8" t="n">
        <f aca="false">SUMIFS('Source 2025'!$O:$O,'Source 2025'!$B:$B,$A25,'Source 2025'!$A:$A,"Quantity (units)")</f>
        <v>18</v>
      </c>
      <c r="D25" s="8" t="n">
        <f aca="false">SUMIFS('Source 2026'!$O:$O,'Source 2026'!$B:$B,$A25,'Source 2026'!$A:$A,"Quantity (units)")</f>
        <v>14</v>
      </c>
      <c r="E25" s="8" t="n">
        <f aca="false">D25-C25</f>
        <v>-4</v>
      </c>
      <c r="F25" s="9" t="n">
        <f aca="false">IF(AND(C25=0,D25=0),0,IF(C25=0,"New",(D25-C25)/C25))</f>
        <v>-0.222222222222222</v>
      </c>
      <c r="G25" s="10" t="n">
        <f aca="false">SUMIFS('Source 2025'!$O:$O,'Source 2025'!$B:$B,$A25,'Source 2025'!$A:$A,"Amount (NIS)")</f>
        <v>468.5</v>
      </c>
      <c r="H25" s="10" t="n">
        <f aca="false">SUMIFS('Source 2026'!$O:$O,'Source 2026'!$B:$B,$A25,'Source 2026'!$A:$A,"Amount (NIS)")</f>
        <v>364.4</v>
      </c>
      <c r="I25" s="10" t="n">
        <f aca="false">H25-G25</f>
        <v>-104.1</v>
      </c>
      <c r="J25" s="9" t="n">
        <f aca="false">IF(AND(G25=0,H25=0),0,IF(G25=0,"New",(H25-G25)/G25))</f>
        <v>-0.222198505869797</v>
      </c>
    </row>
    <row r="26" customFormat="false" ht="15" hidden="false" customHeight="false" outlineLevel="0" collapsed="false">
      <c r="A26" s="7" t="s">
        <v>286</v>
      </c>
      <c r="B26" s="7" t="str">
        <f aca="false">IFERROR(INDEX('Source 2026'!$C:$C,MATCH($A26,'Source 2026'!$B:$B,0)),IFERROR(INDEX('Source 2025'!$C:$C,MATCH($A26,'Source 2025'!$B:$B,0)),""))</f>
        <v>רפידת נוחות-זוג</v>
      </c>
      <c r="C26" s="8" t="n">
        <f aca="false">SUMIFS('Source 2025'!$O:$O,'Source 2025'!$B:$B,$A26,'Source 2025'!$A:$A,"Quantity (units)")</f>
        <v>15</v>
      </c>
      <c r="D26" s="8" t="n">
        <f aca="false">SUMIFS('Source 2026'!$O:$O,'Source 2026'!$B:$B,$A26,'Source 2026'!$A:$A,"Quantity (units)")</f>
        <v>6</v>
      </c>
      <c r="E26" s="8" t="n">
        <f aca="false">D26-C26</f>
        <v>-9</v>
      </c>
      <c r="F26" s="9" t="n">
        <f aca="false">IF(AND(C26=0,D26=0),0,IF(C26=0,"New",(D26-C26)/C26))</f>
        <v>-0.6</v>
      </c>
      <c r="G26" s="10" t="n">
        <f aca="false">SUMIFS('Source 2025'!$O:$O,'Source 2025'!$B:$B,$A26,'Source 2025'!$A:$A,"Amount (NIS)")</f>
        <v>160.1</v>
      </c>
      <c r="H26" s="10" t="n">
        <f aca="false">SUMIFS('Source 2026'!$O:$O,'Source 2026'!$B:$B,$A26,'Source 2026'!$A:$A,"Amount (NIS)")</f>
        <v>64.1</v>
      </c>
      <c r="I26" s="10" t="n">
        <f aca="false">H26-G26</f>
        <v>-96</v>
      </c>
      <c r="J26" s="9" t="n">
        <f aca="false">IF(AND(G26=0,H26=0),0,IF(G26=0,"New",(H26-G26)/G26))</f>
        <v>-0.599625234228607</v>
      </c>
    </row>
    <row r="27" customFormat="false" ht="15" hidden="false" customHeight="false" outlineLevel="0" collapsed="false">
      <c r="A27" s="7" t="s">
        <v>42</v>
      </c>
      <c r="B27" s="7" t="str">
        <f aca="false">IFERROR(INDEX('Source 2026'!$C:$C,MATCH($A27,'Source 2026'!$B:$B,0)),IFERROR(INDEX('Source 2025'!$C:$C,MATCH($A27,'Source 2025'!$B:$B,0)),""))</f>
        <v>L סד ליד דו צדדי לאחר שבר</v>
      </c>
      <c r="C27" s="8" t="n">
        <f aca="false">SUMIFS('Source 2025'!$O:$O,'Source 2025'!$B:$B,$A27,'Source 2025'!$A:$A,"Quantity (units)")</f>
        <v>2</v>
      </c>
      <c r="D27" s="8" t="n">
        <f aca="false">SUMIFS('Source 2026'!$O:$O,'Source 2026'!$B:$B,$A27,'Source 2026'!$A:$A,"Quantity (units)")</f>
        <v>1</v>
      </c>
      <c r="E27" s="8" t="n">
        <f aca="false">D27-C27</f>
        <v>-1</v>
      </c>
      <c r="F27" s="9" t="n">
        <f aca="false">IF(AND(C27=0,D27=0),0,IF(C27=0,"New",(D27-C27)/C27))</f>
        <v>-0.5</v>
      </c>
      <c r="G27" s="10" t="n">
        <f aca="false">SUMIFS('Source 2025'!$O:$O,'Source 2025'!$B:$B,$A27,'Source 2025'!$A:$A,"Amount (NIS)")</f>
        <v>189</v>
      </c>
      <c r="H27" s="10" t="n">
        <f aca="false">SUMIFS('Source 2026'!$O:$O,'Source 2026'!$B:$B,$A27,'Source 2026'!$A:$A,"Amount (NIS)")</f>
        <v>94.5</v>
      </c>
      <c r="I27" s="10" t="n">
        <f aca="false">H27-G27</f>
        <v>-94.5</v>
      </c>
      <c r="J27" s="9" t="n">
        <f aca="false">IF(AND(G27=0,H27=0),0,IF(G27=0,"New",(H27-G27)/G27))</f>
        <v>-0.5</v>
      </c>
    </row>
    <row r="28" customFormat="false" ht="15" hidden="false" customHeight="false" outlineLevel="0" collapsed="false">
      <c r="A28" s="7" t="s">
        <v>56</v>
      </c>
      <c r="B28" s="7" t="str">
        <f aca="false">IFERROR(INDEX('Source 2026'!$C:$C,MATCH($A28,'Source 2026'!$B:$B,0)),IFERROR(INDEX('Source 2025'!$C:$C,MATCH($A28,'Source 2025'!$B:$B,0)),""))</f>
        <v>S מגן קרסול לבן</v>
      </c>
      <c r="C28" s="8" t="n">
        <f aca="false">SUMIFS('Source 2025'!$O:$O,'Source 2025'!$B:$B,$A28,'Source 2025'!$A:$A,"Quantity (units)")</f>
        <v>10</v>
      </c>
      <c r="D28" s="8" t="n">
        <f aca="false">SUMIFS('Source 2026'!$O:$O,'Source 2026'!$B:$B,$A28,'Source 2026'!$A:$A,"Quantity (units)")</f>
        <v>7</v>
      </c>
      <c r="E28" s="8" t="n">
        <f aca="false">D28-C28</f>
        <v>-3</v>
      </c>
      <c r="F28" s="9" t="n">
        <f aca="false">IF(AND(C28=0,D28=0),0,IF(C28=0,"New",(D28-C28)/C28))</f>
        <v>-0.3</v>
      </c>
      <c r="G28" s="10" t="n">
        <f aca="false">SUMIFS('Source 2025'!$O:$O,'Source 2025'!$B:$B,$A28,'Source 2025'!$A:$A,"Amount (NIS)")</f>
        <v>297.4</v>
      </c>
      <c r="H28" s="10" t="n">
        <f aca="false">SUMIFS('Source 2026'!$O:$O,'Source 2026'!$B:$B,$A28,'Source 2026'!$A:$A,"Amount (NIS)")</f>
        <v>208.1</v>
      </c>
      <c r="I28" s="10" t="n">
        <f aca="false">H28-G28</f>
        <v>-89.3</v>
      </c>
      <c r="J28" s="9" t="n">
        <f aca="false">IF(AND(G28=0,H28=0),0,IF(G28=0,"New",(H28-G28)/G28))</f>
        <v>-0.300268997982515</v>
      </c>
    </row>
    <row r="29" customFormat="false" ht="15" hidden="false" customHeight="false" outlineLevel="0" collapsed="false">
      <c r="A29" s="7" t="s">
        <v>277</v>
      </c>
      <c r="B29" s="7" t="str">
        <f aca="false">IFERROR(INDEX('Source 2026'!$C:$C,MATCH($A29,'Source 2026'!$B:$B,0)),IFERROR(INDEX('Source 2025'!$C:$C,MATCH($A29,'Source 2025'!$B:$B,0)),""))</f>
        <v>רפידת אנטי ריח -זוג</v>
      </c>
      <c r="C29" s="8" t="n">
        <f aca="false">SUMIFS('Source 2025'!$O:$O,'Source 2025'!$B:$B,$A29,'Source 2025'!$A:$A,"Quantity (units)")</f>
        <v>6</v>
      </c>
      <c r="D29" s="8" t="n">
        <f aca="false">SUMIFS('Source 2026'!$O:$O,'Source 2026'!$B:$B,$A29,'Source 2026'!$A:$A,"Quantity (units)")</f>
        <v>0</v>
      </c>
      <c r="E29" s="8" t="n">
        <f aca="false">D29-C29</f>
        <v>-6</v>
      </c>
      <c r="F29" s="9" t="n">
        <f aca="false">IF(AND(C29=0,D29=0),0,IF(C29=0,"New",(D29-C29)/C29))</f>
        <v>-1</v>
      </c>
      <c r="G29" s="10" t="n">
        <f aca="false">SUMIFS('Source 2025'!$O:$O,'Source 2025'!$B:$B,$A29,'Source 2025'!$A:$A,"Amount (NIS)")</f>
        <v>80.1</v>
      </c>
      <c r="H29" s="10" t="n">
        <f aca="false">SUMIFS('Source 2026'!$O:$O,'Source 2026'!$B:$B,$A29,'Source 2026'!$A:$A,"Amount (NIS)")</f>
        <v>0</v>
      </c>
      <c r="I29" s="10" t="n">
        <f aca="false">H29-G29</f>
        <v>-80.1</v>
      </c>
      <c r="J29" s="9" t="n">
        <f aca="false">IF(AND(G29=0,H29=0),0,IF(G29=0,"New",(H29-G29)/G29))</f>
        <v>-1</v>
      </c>
    </row>
    <row r="30" customFormat="false" ht="15" hidden="false" customHeight="false" outlineLevel="0" collapsed="false">
      <c r="A30" s="7" t="s">
        <v>273</v>
      </c>
      <c r="B30" s="7" t="str">
        <f aca="false">IFERROR(INDEX('Source 2026'!$C:$C,MATCH($A30,'Source 2026'!$B:$B,0)),IFERROR(INDEX('Source 2025'!$C:$C,MATCH($A30,'Source 2025'!$B:$B,0)),""))</f>
        <v>סד לש.כף יד ימין</v>
      </c>
      <c r="C30" s="8" t="n">
        <f aca="false">SUMIFS('Source 2025'!$O:$O,'Source 2025'!$B:$B,$A30,'Source 2025'!$A:$A,"Quantity (units)")</f>
        <v>0</v>
      </c>
      <c r="D30" s="8" t="n">
        <f aca="false">SUMIFS('Source 2026'!$O:$O,'Source 2026'!$B:$B,$A30,'Source 2026'!$A:$A,"Quantity (units)")</f>
        <v>2</v>
      </c>
      <c r="E30" s="8" t="n">
        <f aca="false">D30-C30</f>
        <v>2</v>
      </c>
      <c r="F30" s="9" t="str">
        <f aca="false">IF(AND(C30=0,D30=0),0,IF(C30=0,"New",(D30-C30)/C30))</f>
        <v>New</v>
      </c>
      <c r="G30" s="10" t="n">
        <f aca="false">SUMIFS('Source 2025'!$O:$O,'Source 2025'!$B:$B,$A30,'Source 2025'!$A:$A,"Amount (NIS)")</f>
        <v>0</v>
      </c>
      <c r="H30" s="10" t="n">
        <f aca="false">SUMIFS('Source 2026'!$O:$O,'Source 2026'!$B:$B,$A30,'Source 2026'!$A:$A,"Amount (NIS)")</f>
        <v>79.4</v>
      </c>
      <c r="I30" s="10" t="n">
        <f aca="false">H30-G30</f>
        <v>79.4</v>
      </c>
      <c r="J30" s="9" t="str">
        <f aca="false">IF(AND(G30=0,H30=0),0,IF(G30=0,"New",(H30-G30)/G30))</f>
        <v>New</v>
      </c>
    </row>
    <row r="31" customFormat="false" ht="15" hidden="false" customHeight="false" outlineLevel="0" collapsed="false">
      <c r="A31" s="7" t="s">
        <v>110</v>
      </c>
      <c r="B31" s="7" t="str">
        <f aca="false">IFERROR(INDEX('Source 2026'!$C:$C,MATCH($A31,'Source 2026'!$B:$B,0)),IFERROR(INDEX('Source 2025'!$C:$C,MATCH($A31,'Source 2025'!$B:$B,0)),""))</f>
        <v>חבק טניס</v>
      </c>
      <c r="C31" s="8" t="n">
        <f aca="false">SUMIFS('Source 2025'!$O:$O,'Source 2025'!$B:$B,$A31,'Source 2025'!$A:$A,"Quantity (units)")</f>
        <v>1</v>
      </c>
      <c r="D31" s="8" t="n">
        <f aca="false">SUMIFS('Source 2026'!$O:$O,'Source 2026'!$B:$B,$A31,'Source 2026'!$A:$A,"Quantity (units)")</f>
        <v>4</v>
      </c>
      <c r="E31" s="8" t="n">
        <f aca="false">D31-C31</f>
        <v>3</v>
      </c>
      <c r="F31" s="9" t="n">
        <f aca="false">IF(AND(C31=0,D31=0),0,IF(C31=0,"New",(D31-C31)/C31))</f>
        <v>3</v>
      </c>
      <c r="G31" s="10" t="n">
        <f aca="false">SUMIFS('Source 2025'!$O:$O,'Source 2025'!$B:$B,$A31,'Source 2025'!$A:$A,"Amount (NIS)")</f>
        <v>25.3</v>
      </c>
      <c r="H31" s="10" t="n">
        <f aca="false">SUMIFS('Source 2026'!$O:$O,'Source 2026'!$B:$B,$A31,'Source 2026'!$A:$A,"Amount (NIS)")</f>
        <v>101.1</v>
      </c>
      <c r="I31" s="10" t="n">
        <f aca="false">H31-G31</f>
        <v>75.8</v>
      </c>
      <c r="J31" s="9" t="n">
        <f aca="false">IF(AND(G31=0,H31=0),0,IF(G31=0,"New",(H31-G31)/G31))</f>
        <v>2.99604743083004</v>
      </c>
    </row>
    <row r="32" customFormat="false" ht="15" hidden="false" customHeight="false" outlineLevel="0" collapsed="false">
      <c r="A32" s="7" t="s">
        <v>101</v>
      </c>
      <c r="B32" s="7" t="str">
        <f aca="false">IFERROR(INDEX('Source 2026'!$C:$C,MATCH($A32,'Source 2026'!$B:$B,0)),IFERROR(INDEX('Source 2025'!$C:$C,MATCH($A32,'Source 2025'!$B:$B,0)),""))</f>
        <v>S מגן קרסול מתכוון עם סקוטש</v>
      </c>
      <c r="C32" s="8" t="n">
        <f aca="false">SUMIFS('Source 2025'!$O:$O,'Source 2025'!$B:$B,$A32,'Source 2025'!$A:$A,"Quantity (units)")</f>
        <v>1</v>
      </c>
      <c r="D32" s="8" t="n">
        <f aca="false">SUMIFS('Source 2026'!$O:$O,'Source 2026'!$B:$B,$A32,'Source 2026'!$A:$A,"Quantity (units)")</f>
        <v>0</v>
      </c>
      <c r="E32" s="8" t="n">
        <f aca="false">D32-C32</f>
        <v>-1</v>
      </c>
      <c r="F32" s="9" t="n">
        <f aca="false">IF(AND(C32=0,D32=0),0,IF(C32=0,"New",(D32-C32)/C32))</f>
        <v>-1</v>
      </c>
      <c r="G32" s="10" t="n">
        <f aca="false">SUMIFS('Source 2025'!$O:$O,'Source 2025'!$B:$B,$A32,'Source 2025'!$A:$A,"Amount (NIS)")</f>
        <v>66.1</v>
      </c>
      <c r="H32" s="10" t="n">
        <f aca="false">SUMIFS('Source 2026'!$O:$O,'Source 2026'!$B:$B,$A32,'Source 2026'!$A:$A,"Amount (NIS)")</f>
        <v>0</v>
      </c>
      <c r="I32" s="10" t="n">
        <f aca="false">H32-G32</f>
        <v>-66.1</v>
      </c>
      <c r="J32" s="9" t="n">
        <f aca="false">IF(AND(G32=0,H32=0),0,IF(G32=0,"New",(H32-G32)/G32))</f>
        <v>-1</v>
      </c>
    </row>
    <row r="33" customFormat="false" ht="15" hidden="false" customHeight="false" outlineLevel="0" collapsed="false">
      <c r="A33" s="7" t="s">
        <v>102</v>
      </c>
      <c r="B33" s="7" t="str">
        <f aca="false">IFERROR(INDEX('Source 2026'!$C:$C,MATCH($A33,'Source 2026'!$B:$B,0)),IFERROR(INDEX('Source 2025'!$C:$C,MATCH($A33,'Source 2025'!$B:$B,0)),""))</f>
        <v>3667 מגן בוניון</v>
      </c>
      <c r="C33" s="8" t="n">
        <f aca="false">SUMIFS('Source 2025'!$O:$O,'Source 2025'!$B:$B,$A33,'Source 2025'!$A:$A,"Quantity (units)")</f>
        <v>2</v>
      </c>
      <c r="D33" s="8" t="n">
        <f aca="false">SUMIFS('Source 2026'!$O:$O,'Source 2026'!$B:$B,$A33,'Source 2026'!$A:$A,"Quantity (units)")</f>
        <v>0</v>
      </c>
      <c r="E33" s="8" t="n">
        <f aca="false">D33-C33</f>
        <v>-2</v>
      </c>
      <c r="F33" s="9" t="n">
        <f aca="false">IF(AND(C33=0,D33=0),0,IF(C33=0,"New",(D33-C33)/C33))</f>
        <v>-1</v>
      </c>
      <c r="G33" s="10" t="n">
        <f aca="false">SUMIFS('Source 2025'!$O:$O,'Source 2025'!$B:$B,$A33,'Source 2025'!$A:$A,"Amount (NIS)")</f>
        <v>65.5</v>
      </c>
      <c r="H33" s="10" t="n">
        <f aca="false">SUMIFS('Source 2026'!$O:$O,'Source 2026'!$B:$B,$A33,'Source 2026'!$A:$A,"Amount (NIS)")</f>
        <v>0</v>
      </c>
      <c r="I33" s="10" t="n">
        <f aca="false">H33-G33</f>
        <v>-65.5</v>
      </c>
      <c r="J33" s="9" t="n">
        <f aca="false">IF(AND(G33=0,H33=0),0,IF(G33=0,"New",(H33-G33)/G33))</f>
        <v>-1</v>
      </c>
    </row>
    <row r="34" customFormat="false" ht="15" hidden="false" customHeight="false" outlineLevel="0" collapsed="false">
      <c r="A34" s="7" t="s">
        <v>142</v>
      </c>
      <c r="B34" s="7" t="str">
        <f aca="false">IFERROR(INDEX('Source 2026'!$C:$C,MATCH($A34,'Source 2026'!$B:$B,0)),IFERROR(INDEX('Source 2025'!$C:$C,MATCH($A34,'Source 2025'!$B:$B,0)),""))</f>
        <v>9 מ""ס להתאמהX5 מדבקה גדולה</v>
      </c>
      <c r="C34" s="8" t="n">
        <f aca="false">SUMIFS('Source 2025'!$O:$O,'Source 2025'!$B:$B,$A34,'Source 2025'!$A:$A,"Quantity (units)")</f>
        <v>0</v>
      </c>
      <c r="D34" s="8" t="n">
        <f aca="false">SUMIFS('Source 2026'!$O:$O,'Source 2026'!$B:$B,$A34,'Source 2026'!$A:$A,"Quantity (units)")</f>
        <v>3</v>
      </c>
      <c r="E34" s="8" t="n">
        <f aca="false">D34-C34</f>
        <v>3</v>
      </c>
      <c r="F34" s="9" t="str">
        <f aca="false">IF(AND(C34=0,D34=0),0,IF(C34=0,"New",(D34-C34)/C34))</f>
        <v>New</v>
      </c>
      <c r="G34" s="10" t="n">
        <f aca="false">SUMIFS('Source 2025'!$O:$O,'Source 2025'!$B:$B,$A34,'Source 2025'!$A:$A,"Amount (NIS)")</f>
        <v>0</v>
      </c>
      <c r="H34" s="10" t="n">
        <f aca="false">SUMIFS('Source 2026'!$O:$O,'Source 2026'!$B:$B,$A34,'Source 2026'!$A:$A,"Amount (NIS)")</f>
        <v>64</v>
      </c>
      <c r="I34" s="10" t="n">
        <f aca="false">H34-G34</f>
        <v>64</v>
      </c>
      <c r="J34" s="9" t="str">
        <f aca="false">IF(AND(G34=0,H34=0),0,IF(G34=0,"New",(H34-G34)/G34))</f>
        <v>New</v>
      </c>
    </row>
    <row r="35" customFormat="false" ht="15" hidden="false" customHeight="false" outlineLevel="0" collapsed="false">
      <c r="A35" s="7" t="s">
        <v>96</v>
      </c>
      <c r="B35" s="7" t="str">
        <f aca="false">IFERROR(INDEX('Source 2026'!$C:$C,MATCH($A35,'Source 2026'!$B:$B,0)),IFERROR(INDEX('Source 2025'!$C:$C,MATCH($A35,'Source 2025'!$B:$B,0)),""))</f>
        <v>שרוול מגן לבוניון</v>
      </c>
      <c r="C35" s="8" t="n">
        <f aca="false">SUMIFS('Source 2025'!$O:$O,'Source 2025'!$B:$B,$A35,'Source 2025'!$A:$A,"Quantity (units)")</f>
        <v>2</v>
      </c>
      <c r="D35" s="8" t="n">
        <f aca="false">SUMIFS('Source 2026'!$O:$O,'Source 2026'!$B:$B,$A35,'Source 2026'!$A:$A,"Quantity (units)")</f>
        <v>0</v>
      </c>
      <c r="E35" s="8" t="n">
        <f aca="false">D35-C35</f>
        <v>-2</v>
      </c>
      <c r="F35" s="9" t="n">
        <f aca="false">IF(AND(C35=0,D35=0),0,IF(C35=0,"New",(D35-C35)/C35))</f>
        <v>-1</v>
      </c>
      <c r="G35" s="10" t="n">
        <f aca="false">SUMIFS('Source 2025'!$O:$O,'Source 2025'!$B:$B,$A35,'Source 2025'!$A:$A,"Amount (NIS)")</f>
        <v>62.2</v>
      </c>
      <c r="H35" s="10" t="n">
        <f aca="false">SUMIFS('Source 2026'!$O:$O,'Source 2026'!$B:$B,$A35,'Source 2026'!$A:$A,"Amount (NIS)")</f>
        <v>0</v>
      </c>
      <c r="I35" s="10" t="n">
        <f aca="false">H35-G35</f>
        <v>-62.2</v>
      </c>
      <c r="J35" s="9" t="n">
        <f aca="false">IF(AND(G35=0,H35=0),0,IF(G35=0,"New",(H35-G35)/G35))</f>
        <v>-1</v>
      </c>
    </row>
    <row r="36" customFormat="false" ht="15" hidden="false" customHeight="false" outlineLevel="0" collapsed="false">
      <c r="A36" s="7" t="s">
        <v>245</v>
      </c>
      <c r="B36" s="7" t="str">
        <f aca="false">IFERROR(INDEX('Source 2026'!$C:$C,MATCH($A36,'Source 2026'!$B:$B,0)),IFERROR(INDEX('Source 2025'!$C:$C,MATCH($A36,'Source 2025'!$B:$B,0)),""))</f>
        <v>XLמפריד אצבע סיליקון ליבלת</v>
      </c>
      <c r="C36" s="8" t="n">
        <f aca="false">SUMIFS('Source 2025'!$O:$O,'Source 2025'!$B:$B,$A36,'Source 2025'!$A:$A,"Quantity (units)")</f>
        <v>3</v>
      </c>
      <c r="D36" s="8" t="n">
        <f aca="false">SUMIFS('Source 2026'!$O:$O,'Source 2026'!$B:$B,$A36,'Source 2026'!$A:$A,"Quantity (units)")</f>
        <v>7</v>
      </c>
      <c r="E36" s="8" t="n">
        <f aca="false">D36-C36</f>
        <v>4</v>
      </c>
      <c r="F36" s="9" t="n">
        <f aca="false">IF(AND(C36=0,D36=0),0,IF(C36=0,"New",(D36-C36)/C36))</f>
        <v>1.33333333333333</v>
      </c>
      <c r="G36" s="10" t="n">
        <f aca="false">SUMIFS('Source 2025'!$O:$O,'Source 2025'!$B:$B,$A36,'Source 2025'!$A:$A,"Amount (NIS)")</f>
        <v>44.8</v>
      </c>
      <c r="H36" s="10" t="n">
        <f aca="false">SUMIFS('Source 2026'!$O:$O,'Source 2026'!$B:$B,$A36,'Source 2026'!$A:$A,"Amount (NIS)")</f>
        <v>104.5</v>
      </c>
      <c r="I36" s="10" t="n">
        <f aca="false">H36-G36</f>
        <v>59.7</v>
      </c>
      <c r="J36" s="9" t="n">
        <f aca="false">IF(AND(G36=0,H36=0),0,IF(G36=0,"New",(H36-G36)/G36))</f>
        <v>1.33258928571429</v>
      </c>
    </row>
    <row r="37" customFormat="false" ht="15" hidden="false" customHeight="false" outlineLevel="0" collapsed="false">
      <c r="A37" s="7" t="s">
        <v>65</v>
      </c>
      <c r="B37" s="7" t="str">
        <f aca="false">IFERROR(INDEX('Source 2026'!$C:$C,MATCH($A37,'Source 2026'!$B:$B,0)),IFERROR(INDEX('Source 2025'!$C:$C,MATCH($A37,'Source 2025'!$B:$B,0)),""))</f>
        <v>M 'מגן מרפק בז</v>
      </c>
      <c r="C37" s="8" t="n">
        <f aca="false">SUMIFS('Source 2025'!$O:$O,'Source 2025'!$B:$B,$A37,'Source 2025'!$A:$A,"Quantity (units)")</f>
        <v>2</v>
      </c>
      <c r="D37" s="8" t="n">
        <f aca="false">SUMIFS('Source 2026'!$O:$O,'Source 2026'!$B:$B,$A37,'Source 2026'!$A:$A,"Quantity (units)")</f>
        <v>0</v>
      </c>
      <c r="E37" s="8" t="n">
        <f aca="false">D37-C37</f>
        <v>-2</v>
      </c>
      <c r="F37" s="9" t="n">
        <f aca="false">IF(AND(C37=0,D37=0),0,IF(C37=0,"New",(D37-C37)/C37))</f>
        <v>-1</v>
      </c>
      <c r="G37" s="10" t="n">
        <f aca="false">SUMIFS('Source 2025'!$O:$O,'Source 2025'!$B:$B,$A37,'Source 2025'!$A:$A,"Amount (NIS)")</f>
        <v>59.4</v>
      </c>
      <c r="H37" s="10" t="n">
        <f aca="false">SUMIFS('Source 2026'!$O:$O,'Source 2026'!$B:$B,$A37,'Source 2026'!$A:$A,"Amount (NIS)")</f>
        <v>0</v>
      </c>
      <c r="I37" s="10" t="n">
        <f aca="false">H37-G37</f>
        <v>-59.4</v>
      </c>
      <c r="J37" s="9" t="n">
        <f aca="false">IF(AND(G37=0,H37=0),0,IF(G37=0,"New",(H37-G37)/G37))</f>
        <v>-1</v>
      </c>
    </row>
    <row r="38" customFormat="false" ht="15" hidden="false" customHeight="false" outlineLevel="0" collapsed="false">
      <c r="A38" s="7" t="s">
        <v>293</v>
      </c>
      <c r="B38" s="7" t="str">
        <f aca="false">IFERROR(INDEX('Source 2026'!$C:$C,MATCH($A38,'Source 2026'!$B:$B,0)),IFERROR(INDEX('Source 2025'!$C:$C,MATCH($A38,'Source 2025'!$B:$B,0)),""))</f>
        <v>344-אבן טבעית להסרת עור קשה</v>
      </c>
      <c r="C38" s="8" t="n">
        <f aca="false">SUMIFS('Source 2025'!$O:$O,'Source 2025'!$B:$B,$A38,'Source 2025'!$A:$A,"Quantity (units)")</f>
        <v>14</v>
      </c>
      <c r="D38" s="8" t="n">
        <f aca="false">SUMIFS('Source 2026'!$O:$O,'Source 2026'!$B:$B,$A38,'Source 2026'!$A:$A,"Quantity (units)")</f>
        <v>6</v>
      </c>
      <c r="E38" s="8" t="n">
        <f aca="false">D38-C38</f>
        <v>-8</v>
      </c>
      <c r="F38" s="9" t="n">
        <f aca="false">IF(AND(C38=0,D38=0),0,IF(C38=0,"New",(D38-C38)/C38))</f>
        <v>-0.571428571428571</v>
      </c>
      <c r="G38" s="10" t="n">
        <f aca="false">SUMIFS('Source 2025'!$O:$O,'Source 2025'!$B:$B,$A38,'Source 2025'!$A:$A,"Amount (NIS)")</f>
        <v>101</v>
      </c>
      <c r="H38" s="10" t="n">
        <f aca="false">SUMIFS('Source 2026'!$O:$O,'Source 2026'!$B:$B,$A38,'Source 2026'!$A:$A,"Amount (NIS)")</f>
        <v>43.3</v>
      </c>
      <c r="I38" s="10" t="n">
        <f aca="false">H38-G38</f>
        <v>-57.7</v>
      </c>
      <c r="J38" s="9" t="n">
        <f aca="false">IF(AND(G38=0,H38=0),0,IF(G38=0,"New",(H38-G38)/G38))</f>
        <v>-0.571287128712871</v>
      </c>
    </row>
    <row r="39" customFormat="false" ht="15" hidden="false" customHeight="false" outlineLevel="0" collapsed="false">
      <c r="A39" s="7" t="s">
        <v>156</v>
      </c>
      <c r="B39" s="7" t="str">
        <f aca="false">IFERROR(INDEX('Source 2026'!$C:$C,MATCH($A39,'Source 2026'!$B:$B,0)),IFERROR(INDEX('Source 2025'!$C:$C,MATCH($A39,'Source 2025'!$B:$B,0)),""))</f>
        <v>כרית ליישור אצבע פטיש</v>
      </c>
      <c r="C39" s="8" t="n">
        <f aca="false">SUMIFS('Source 2025'!$O:$O,'Source 2025'!$B:$B,$A39,'Source 2025'!$A:$A,"Quantity (units)")</f>
        <v>0</v>
      </c>
      <c r="D39" s="8" t="n">
        <f aca="false">SUMIFS('Source 2026'!$O:$O,'Source 2026'!$B:$B,$A39,'Source 2026'!$A:$A,"Quantity (units)")</f>
        <v>2</v>
      </c>
      <c r="E39" s="8" t="n">
        <f aca="false">D39-C39</f>
        <v>2</v>
      </c>
      <c r="F39" s="9" t="str">
        <f aca="false">IF(AND(C39=0,D39=0),0,IF(C39=0,"New",(D39-C39)/C39))</f>
        <v>New</v>
      </c>
      <c r="G39" s="10" t="n">
        <f aca="false">SUMIFS('Source 2025'!$O:$O,'Source 2025'!$B:$B,$A39,'Source 2025'!$A:$A,"Amount (NIS)")</f>
        <v>0</v>
      </c>
      <c r="H39" s="10" t="n">
        <f aca="false">SUMIFS('Source 2026'!$O:$O,'Source 2026'!$B:$B,$A39,'Source 2026'!$A:$A,"Amount (NIS)")</f>
        <v>57.6</v>
      </c>
      <c r="I39" s="10" t="n">
        <f aca="false">H39-G39</f>
        <v>57.6</v>
      </c>
      <c r="J39" s="9" t="str">
        <f aca="false">IF(AND(G39=0,H39=0),0,IF(G39=0,"New",(H39-G39)/G39))</f>
        <v>New</v>
      </c>
    </row>
    <row r="40" customFormat="false" ht="15" hidden="false" customHeight="false" outlineLevel="0" collapsed="false">
      <c r="A40" s="7" t="s">
        <v>229</v>
      </c>
      <c r="B40" s="7" t="str">
        <f aca="false">IFERROR(INDEX('Source 2026'!$C:$C,MATCH($A40,'Source 2026'!$B:$B,0)),IFERROR(INDEX('Source 2025'!$C:$C,MATCH($A40,'Source 2025'!$B:$B,0)),""))</f>
        <v>Lעקבים סיליקון כחול לדורבן</v>
      </c>
      <c r="C40" s="8" t="n">
        <f aca="false">SUMIFS('Source 2025'!$O:$O,'Source 2025'!$B:$B,$A40,'Source 2025'!$A:$A,"Quantity (units)")</f>
        <v>0</v>
      </c>
      <c r="D40" s="8" t="n">
        <f aca="false">SUMIFS('Source 2026'!$O:$O,'Source 2026'!$B:$B,$A40,'Source 2026'!$A:$A,"Quantity (units)")</f>
        <v>1</v>
      </c>
      <c r="E40" s="8" t="n">
        <f aca="false">D40-C40</f>
        <v>1</v>
      </c>
      <c r="F40" s="9" t="str">
        <f aca="false">IF(AND(C40=0,D40=0),0,IF(C40=0,"New",(D40-C40)/C40))</f>
        <v>New</v>
      </c>
      <c r="G40" s="10" t="n">
        <f aca="false">SUMIFS('Source 2025'!$O:$O,'Source 2025'!$B:$B,$A40,'Source 2025'!$A:$A,"Amount (NIS)")</f>
        <v>0</v>
      </c>
      <c r="H40" s="10" t="n">
        <f aca="false">SUMIFS('Source 2026'!$O:$O,'Source 2026'!$B:$B,$A40,'Source 2026'!$A:$A,"Amount (NIS)")</f>
        <v>54.5</v>
      </c>
      <c r="I40" s="10" t="n">
        <f aca="false">H40-G40</f>
        <v>54.5</v>
      </c>
      <c r="J40" s="9" t="str">
        <f aca="false">IF(AND(G40=0,H40=0),0,IF(G40=0,"New",(H40-G40)/G40))</f>
        <v>New</v>
      </c>
    </row>
    <row r="41" customFormat="false" ht="15" hidden="false" customHeight="false" outlineLevel="0" collapsed="false">
      <c r="A41" s="7" t="s">
        <v>169</v>
      </c>
      <c r="B41" s="7" t="str">
        <f aca="false">IFERROR(INDEX('Source 2026'!$C:$C,MATCH($A41,'Source 2026'!$B:$B,0)),IFERROR(INDEX('Source 2025'!$C:$C,MATCH($A41,'Source 2025'!$B:$B,0)),""))</f>
        <v>S-Lטבעת אלסטית מסיליקון</v>
      </c>
      <c r="C41" s="8" t="n">
        <f aca="false">SUMIFS('Source 2025'!$O:$O,'Source 2025'!$B:$B,$A41,'Source 2025'!$A:$A,"Quantity (units)")</f>
        <v>9</v>
      </c>
      <c r="D41" s="8" t="n">
        <f aca="false">SUMIFS('Source 2026'!$O:$O,'Source 2026'!$B:$B,$A41,'Source 2026'!$A:$A,"Quantity (units)")</f>
        <v>5</v>
      </c>
      <c r="E41" s="8" t="n">
        <f aca="false">D41-C41</f>
        <v>-4</v>
      </c>
      <c r="F41" s="9" t="n">
        <f aca="false">IF(AND(C41=0,D41=0),0,IF(C41=0,"New",(D41-C41)/C41))</f>
        <v>-0.444444444444444</v>
      </c>
      <c r="G41" s="10" t="n">
        <f aca="false">SUMIFS('Source 2025'!$O:$O,'Source 2025'!$B:$B,$A41,'Source 2025'!$A:$A,"Amount (NIS)")</f>
        <v>122.2</v>
      </c>
      <c r="H41" s="10" t="n">
        <f aca="false">SUMIFS('Source 2026'!$O:$O,'Source 2026'!$B:$B,$A41,'Source 2026'!$A:$A,"Amount (NIS)")</f>
        <v>68.8</v>
      </c>
      <c r="I41" s="10" t="n">
        <f aca="false">H41-G41</f>
        <v>-53.4</v>
      </c>
      <c r="J41" s="9" t="n">
        <f aca="false">IF(AND(G41=0,H41=0),0,IF(G41=0,"New",(H41-G41)/G41))</f>
        <v>-0.436988543371522</v>
      </c>
    </row>
    <row r="42" customFormat="false" ht="15" hidden="false" customHeight="false" outlineLevel="0" collapsed="false">
      <c r="A42" s="7" t="s">
        <v>87</v>
      </c>
      <c r="B42" s="7" t="str">
        <f aca="false">IFERROR(INDEX('Source 2026'!$C:$C,MATCH($A42,'Source 2026'!$B:$B,0)),IFERROR(INDEX('Source 2025'!$C:$C,MATCH($A42,'Source 2025'!$B:$B,0)),""))</f>
        <v>טלק מעושר באלוורה</v>
      </c>
      <c r="C42" s="8" t="n">
        <f aca="false">SUMIFS('Source 2025'!$O:$O,'Source 2025'!$B:$B,$A42,'Source 2025'!$A:$A,"Quantity (units)")</f>
        <v>26</v>
      </c>
      <c r="D42" s="8" t="n">
        <f aca="false">SUMIFS('Source 2026'!$O:$O,'Source 2026'!$B:$B,$A42,'Source 2026'!$A:$A,"Quantity (units)")</f>
        <v>29</v>
      </c>
      <c r="E42" s="8" t="n">
        <f aca="false">D42-C42</f>
        <v>3</v>
      </c>
      <c r="F42" s="9" t="n">
        <f aca="false">IF(AND(C42=0,D42=0),0,IF(C42=0,"New",(D42-C42)/C42))</f>
        <v>0.115384615384615</v>
      </c>
      <c r="G42" s="10" t="n">
        <f aca="false">SUMIFS('Source 2025'!$O:$O,'Source 2025'!$B:$B,$A42,'Source 2025'!$A:$A,"Amount (NIS)")</f>
        <v>450.6</v>
      </c>
      <c r="H42" s="10" t="n">
        <f aca="false">SUMIFS('Source 2026'!$O:$O,'Source 2026'!$B:$B,$A42,'Source 2026'!$A:$A,"Amount (NIS)")</f>
        <v>502.6</v>
      </c>
      <c r="I42" s="10" t="n">
        <f aca="false">H42-G42</f>
        <v>52</v>
      </c>
      <c r="J42" s="9" t="n">
        <f aca="false">IF(AND(G42=0,H42=0),0,IF(G42=0,"New",(H42-G42)/G42))</f>
        <v>0.115401686640036</v>
      </c>
    </row>
    <row r="43" customFormat="false" ht="15" hidden="false" customHeight="false" outlineLevel="0" collapsed="false">
      <c r="A43" s="7" t="s">
        <v>90</v>
      </c>
      <c r="B43" s="7" t="str">
        <f aca="false">IFERROR(INDEX('Source 2026'!$C:$C,MATCH($A43,'Source 2026'!$B:$B,0)),IFERROR(INDEX('Source 2025'!$C:$C,MATCH($A43,'Source 2025'!$B:$B,0)),""))</f>
        <v>מטטרזלי סיליקון362</v>
      </c>
      <c r="C43" s="8" t="n">
        <f aca="false">SUMIFS('Source 2025'!$O:$O,'Source 2025'!$B:$B,$A43,'Source 2025'!$A:$A,"Quantity (units)")</f>
        <v>4</v>
      </c>
      <c r="D43" s="8" t="n">
        <f aca="false">SUMIFS('Source 2026'!$O:$O,'Source 2026'!$B:$B,$A43,'Source 2026'!$A:$A,"Quantity (units)")</f>
        <v>2</v>
      </c>
      <c r="E43" s="8" t="n">
        <f aca="false">D43-C43</f>
        <v>-2</v>
      </c>
      <c r="F43" s="9" t="n">
        <f aca="false">IF(AND(C43=0,D43=0),0,IF(C43=0,"New",(D43-C43)/C43))</f>
        <v>-0.5</v>
      </c>
      <c r="G43" s="10" t="n">
        <f aca="false">SUMIFS('Source 2025'!$O:$O,'Source 2025'!$B:$B,$A43,'Source 2025'!$A:$A,"Amount (NIS)")</f>
        <v>100.3</v>
      </c>
      <c r="H43" s="10" t="n">
        <f aca="false">SUMIFS('Source 2026'!$O:$O,'Source 2026'!$B:$B,$A43,'Source 2026'!$A:$A,"Amount (NIS)")</f>
        <v>50.2</v>
      </c>
      <c r="I43" s="10" t="n">
        <f aca="false">H43-G43</f>
        <v>-50.1</v>
      </c>
      <c r="J43" s="9" t="n">
        <f aca="false">IF(AND(G43=0,H43=0),0,IF(G43=0,"New",(H43-G43)/G43))</f>
        <v>-0.49950149551346</v>
      </c>
    </row>
    <row r="44" customFormat="false" ht="15" hidden="false" customHeight="false" outlineLevel="0" collapsed="false">
      <c r="A44" s="7" t="s">
        <v>82</v>
      </c>
      <c r="B44" s="7" t="str">
        <f aca="false">IFERROR(INDEX('Source 2026'!$C:$C,MATCH($A44,'Source 2026'!$B:$B,0)),IFERROR(INDEX('Source 2025'!$C:$C,MATCH($A44,'Source 2025'!$B:$B,0)),""))</f>
        <v>S-L אצבעון מסיליקון יחידה</v>
      </c>
      <c r="C44" s="8" t="n">
        <f aca="false">SUMIFS('Source 2025'!$O:$O,'Source 2025'!$B:$B,$A44,'Source 2025'!$A:$A,"Quantity (units)")</f>
        <v>2</v>
      </c>
      <c r="D44" s="8" t="n">
        <f aca="false">SUMIFS('Source 2026'!$O:$O,'Source 2026'!$B:$B,$A44,'Source 2026'!$A:$A,"Quantity (units)")</f>
        <v>0</v>
      </c>
      <c r="E44" s="8" t="n">
        <f aca="false">D44-C44</f>
        <v>-2</v>
      </c>
      <c r="F44" s="9" t="n">
        <f aca="false">IF(AND(C44=0,D44=0),0,IF(C44=0,"New",(D44-C44)/C44))</f>
        <v>-1</v>
      </c>
      <c r="G44" s="10" t="n">
        <f aca="false">SUMIFS('Source 2025'!$O:$O,'Source 2025'!$B:$B,$A44,'Source 2025'!$A:$A,"Amount (NIS)")</f>
        <v>49.1</v>
      </c>
      <c r="H44" s="10" t="n">
        <f aca="false">SUMIFS('Source 2026'!$O:$O,'Source 2026'!$B:$B,$A44,'Source 2026'!$A:$A,"Amount (NIS)")</f>
        <v>0</v>
      </c>
      <c r="I44" s="10" t="n">
        <f aca="false">H44-G44</f>
        <v>-49.1</v>
      </c>
      <c r="J44" s="9" t="n">
        <f aca="false">IF(AND(G44=0,H44=0),0,IF(G44=0,"New",(H44-G44)/G44))</f>
        <v>-1</v>
      </c>
    </row>
    <row r="45" customFormat="false" ht="15" hidden="false" customHeight="false" outlineLevel="0" collapsed="false">
      <c r="A45" s="7" t="s">
        <v>18</v>
      </c>
      <c r="B45" s="7" t="str">
        <f aca="false">IFERROR(INDEX('Source 2026'!$C:$C,MATCH($A45,'Source 2026'!$B:$B,0)),IFERROR(INDEX('Source 2025'!$C:$C,MATCH($A45,'Source 2025'!$B:$B,0)),""))</f>
        <v>CARE  תחבושת אלסטית 5 ס""מ</v>
      </c>
      <c r="C45" s="8" t="n">
        <f aca="false">SUMIFS('Source 2025'!$O:$O,'Source 2025'!$B:$B,$A45,'Source 2025'!$A:$A,"Quantity (units)")</f>
        <v>-2</v>
      </c>
      <c r="D45" s="8" t="n">
        <f aca="false">SUMIFS('Source 2026'!$O:$O,'Source 2026'!$B:$B,$A45,'Source 2026'!$A:$A,"Quantity (units)")</f>
        <v>0</v>
      </c>
      <c r="E45" s="8" t="n">
        <f aca="false">D45-C45</f>
        <v>2</v>
      </c>
      <c r="F45" s="9" t="n">
        <f aca="false">IF(AND(C45=0,D45=0),0,IF(C45=0,"New",(D45-C45)/C45))</f>
        <v>-1</v>
      </c>
      <c r="G45" s="10" t="n">
        <f aca="false">SUMIFS('Source 2025'!$O:$O,'Source 2025'!$B:$B,$A45,'Source 2025'!$A:$A,"Amount (NIS)")</f>
        <v>-48</v>
      </c>
      <c r="H45" s="10" t="n">
        <f aca="false">SUMIFS('Source 2026'!$O:$O,'Source 2026'!$B:$B,$A45,'Source 2026'!$A:$A,"Amount (NIS)")</f>
        <v>0</v>
      </c>
      <c r="I45" s="10" t="n">
        <f aca="false">H45-G45</f>
        <v>48</v>
      </c>
      <c r="J45" s="9" t="n">
        <f aca="false">IF(AND(G45=0,H45=0),0,IF(G45=0,"New",(H45-G45)/G45))</f>
        <v>-1</v>
      </c>
    </row>
    <row r="46" customFormat="false" ht="15" hidden="false" customHeight="false" outlineLevel="0" collapsed="false">
      <c r="A46" s="7" t="s">
        <v>118</v>
      </c>
      <c r="B46" s="7" t="str">
        <f aca="false">IFERROR(INDEX('Source 2026'!$C:$C,MATCH($A46,'Source 2026'!$B:$B,0)),IFERROR(INDEX('Source 2025'!$C:$C,MATCH($A46,'Source 2025'!$B:$B,0)),""))</f>
        <v>S-M חבק יד עם צמדן</v>
      </c>
      <c r="C46" s="8" t="n">
        <f aca="false">SUMIFS('Source 2025'!$O:$O,'Source 2025'!$B:$B,$A46,'Source 2025'!$A:$A,"Quantity (units)")</f>
        <v>0</v>
      </c>
      <c r="D46" s="8" t="n">
        <f aca="false">SUMIFS('Source 2026'!$O:$O,'Source 2026'!$B:$B,$A46,'Source 2026'!$A:$A,"Quantity (units)")</f>
        <v>1</v>
      </c>
      <c r="E46" s="8" t="n">
        <f aca="false">D46-C46</f>
        <v>1</v>
      </c>
      <c r="F46" s="9" t="str">
        <f aca="false">IF(AND(C46=0,D46=0),0,IF(C46=0,"New",(D46-C46)/C46))</f>
        <v>New</v>
      </c>
      <c r="G46" s="10" t="n">
        <f aca="false">SUMIFS('Source 2025'!$O:$O,'Source 2025'!$B:$B,$A46,'Source 2025'!$A:$A,"Amount (NIS)")</f>
        <v>0</v>
      </c>
      <c r="H46" s="10" t="n">
        <f aca="false">SUMIFS('Source 2026'!$O:$O,'Source 2026'!$B:$B,$A46,'Source 2026'!$A:$A,"Amount (NIS)")</f>
        <v>36.8</v>
      </c>
      <c r="I46" s="10" t="n">
        <f aca="false">H46-G46</f>
        <v>36.8</v>
      </c>
      <c r="J46" s="9" t="str">
        <f aca="false">IF(AND(G46=0,H46=0),0,IF(G46=0,"New",(H46-G46)/G46))</f>
        <v>New</v>
      </c>
    </row>
    <row r="47" customFormat="false" ht="15" hidden="false" customHeight="false" outlineLevel="0" collapsed="false">
      <c r="A47" s="7" t="s">
        <v>125</v>
      </c>
      <c r="B47" s="7" t="str">
        <f aca="false">IFERROR(INDEX('Source 2026'!$C:$C,MATCH($A47,'Source 2026'!$B:$B,0)),IFERROR(INDEX('Source 2025'!$C:$C,MATCH($A47,'Source 2025'!$B:$B,0)),""))</f>
        <v>S מגן ירך</v>
      </c>
      <c r="C47" s="8" t="n">
        <f aca="false">SUMIFS('Source 2025'!$O:$O,'Source 2025'!$B:$B,$A47,'Source 2025'!$A:$A,"Quantity (units)")</f>
        <v>1</v>
      </c>
      <c r="D47" s="8" t="n">
        <f aca="false">SUMIFS('Source 2026'!$O:$O,'Source 2026'!$B:$B,$A47,'Source 2026'!$A:$A,"Quantity (units)")</f>
        <v>0</v>
      </c>
      <c r="E47" s="8" t="n">
        <f aca="false">D47-C47</f>
        <v>-1</v>
      </c>
      <c r="F47" s="9" t="n">
        <f aca="false">IF(AND(C47=0,D47=0),0,IF(C47=0,"New",(D47-C47)/C47))</f>
        <v>-1</v>
      </c>
      <c r="G47" s="10" t="n">
        <f aca="false">SUMIFS('Source 2025'!$O:$O,'Source 2025'!$B:$B,$A47,'Source 2025'!$A:$A,"Amount (NIS)")</f>
        <v>33</v>
      </c>
      <c r="H47" s="10" t="n">
        <f aca="false">SUMIFS('Source 2026'!$O:$O,'Source 2026'!$B:$B,$A47,'Source 2026'!$A:$A,"Amount (NIS)")</f>
        <v>0</v>
      </c>
      <c r="I47" s="10" t="n">
        <f aca="false">H47-G47</f>
        <v>-33</v>
      </c>
      <c r="J47" s="9" t="n">
        <f aca="false">IF(AND(G47=0,H47=0),0,IF(G47=0,"New",(H47-G47)/G47))</f>
        <v>-1</v>
      </c>
    </row>
    <row r="48" customFormat="false" ht="15" hidden="false" customHeight="false" outlineLevel="0" collapsed="false">
      <c r="A48" s="7" t="s">
        <v>43</v>
      </c>
      <c r="B48" s="7" t="str">
        <f aca="false">IFERROR(INDEX('Source 2026'!$C:$C,MATCH($A48,'Source 2026'!$B:$B,0)),IFERROR(INDEX('Source 2025'!$C:$C,MATCH($A48,'Source 2025'!$B:$B,0)),""))</f>
        <v>S מגן קרסול חום</v>
      </c>
      <c r="C48" s="8" t="n">
        <f aca="false">SUMIFS('Source 2025'!$O:$O,'Source 2025'!$B:$B,$A48,'Source 2025'!$A:$A,"Quantity (units)")</f>
        <v>13</v>
      </c>
      <c r="D48" s="8" t="n">
        <f aca="false">SUMIFS('Source 2026'!$O:$O,'Source 2026'!$B:$B,$A48,'Source 2026'!$A:$A,"Quantity (units)")</f>
        <v>14</v>
      </c>
      <c r="E48" s="8" t="n">
        <f aca="false">D48-C48</f>
        <v>1</v>
      </c>
      <c r="F48" s="9" t="n">
        <f aca="false">IF(AND(C48=0,D48=0),0,IF(C48=0,"New",(D48-C48)/C48))</f>
        <v>0.0769230769230769</v>
      </c>
      <c r="G48" s="10" t="n">
        <f aca="false">SUMIFS('Source 2025'!$O:$O,'Source 2025'!$B:$B,$A48,'Source 2025'!$A:$A,"Amount (NIS)")</f>
        <v>386.6</v>
      </c>
      <c r="H48" s="10" t="n">
        <f aca="false">SUMIFS('Source 2026'!$O:$O,'Source 2026'!$B:$B,$A48,'Source 2026'!$A:$A,"Amount (NIS)")</f>
        <v>416.3</v>
      </c>
      <c r="I48" s="10" t="n">
        <f aca="false">H48-G48</f>
        <v>29.7</v>
      </c>
      <c r="J48" s="9" t="n">
        <f aca="false">IF(AND(G48=0,H48=0),0,IF(G48=0,"New",(H48-G48)/G48))</f>
        <v>0.0768235902741853</v>
      </c>
    </row>
    <row r="49" customFormat="false" ht="15" hidden="false" customHeight="false" outlineLevel="0" collapsed="false">
      <c r="A49" s="7" t="s">
        <v>100</v>
      </c>
      <c r="B49" s="7" t="str">
        <f aca="false">IFERROR(INDEX('Source 2026'!$C:$C,MATCH($A49,'Source 2026'!$B:$B,0)),IFERROR(INDEX('Source 2025'!$C:$C,MATCH($A49,'Source 2025'!$B:$B,0)),""))</f>
        <v>L חבק יד מתכוון עם צמדן</v>
      </c>
      <c r="C49" s="8" t="n">
        <f aca="false">SUMIFS('Source 2025'!$O:$O,'Source 2025'!$B:$B,$A49,'Source 2025'!$A:$A,"Quantity (units)")</f>
        <v>6</v>
      </c>
      <c r="D49" s="8" t="n">
        <f aca="false">SUMIFS('Source 2026'!$O:$O,'Source 2026'!$B:$B,$A49,'Source 2026'!$A:$A,"Quantity (units)")</f>
        <v>5</v>
      </c>
      <c r="E49" s="8" t="n">
        <f aca="false">D49-C49</f>
        <v>-1</v>
      </c>
      <c r="F49" s="9" t="n">
        <f aca="false">IF(AND(C49=0,D49=0),0,IF(C49=0,"New",(D49-C49)/C49))</f>
        <v>-0.166666666666667</v>
      </c>
      <c r="G49" s="10" t="n">
        <f aca="false">SUMIFS('Source 2025'!$O:$O,'Source 2025'!$B:$B,$A49,'Source 2025'!$A:$A,"Amount (NIS)")</f>
        <v>174.4</v>
      </c>
      <c r="H49" s="10" t="n">
        <f aca="false">SUMIFS('Source 2026'!$O:$O,'Source 2026'!$B:$B,$A49,'Source 2026'!$A:$A,"Amount (NIS)")</f>
        <v>145.4</v>
      </c>
      <c r="I49" s="10" t="n">
        <f aca="false">H49-G49</f>
        <v>-29</v>
      </c>
      <c r="J49" s="9" t="n">
        <f aca="false">IF(AND(G49=0,H49=0),0,IF(G49=0,"New",(H49-G49)/G49))</f>
        <v>-0.166284403669725</v>
      </c>
    </row>
    <row r="50" customFormat="false" ht="15" hidden="false" customHeight="false" outlineLevel="0" collapsed="false">
      <c r="A50" s="7" t="s">
        <v>340</v>
      </c>
      <c r="B50" s="7" t="str">
        <f aca="false">IFERROR(INDEX('Source 2026'!$C:$C,MATCH($A50,'Source 2026'!$B:$B,0)),IFERROR(INDEX('Source 2025'!$C:$C,MATCH($A50,'Source 2025'!$B:$B,0)),""))</f>
        <v>ריפוד סיליקון לעקב אחורי</v>
      </c>
      <c r="C50" s="8" t="n">
        <f aca="false">SUMIFS('Source 2025'!$O:$O,'Source 2025'!$B:$B,$A50,'Source 2025'!$A:$A,"Quantity (units)")</f>
        <v>0</v>
      </c>
      <c r="D50" s="8" t="n">
        <f aca="false">SUMIFS('Source 2026'!$O:$O,'Source 2026'!$B:$B,$A50,'Source 2026'!$A:$A,"Quantity (units)")</f>
        <v>1</v>
      </c>
      <c r="E50" s="8" t="n">
        <f aca="false">D50-C50</f>
        <v>1</v>
      </c>
      <c r="F50" s="9" t="str">
        <f aca="false">IF(AND(C50=0,D50=0),0,IF(C50=0,"New",(D50-C50)/C50))</f>
        <v>New</v>
      </c>
      <c r="G50" s="10" t="n">
        <f aca="false">SUMIFS('Source 2025'!$O:$O,'Source 2025'!$B:$B,$A50,'Source 2025'!$A:$A,"Amount (NIS)")</f>
        <v>0</v>
      </c>
      <c r="H50" s="10" t="n">
        <f aca="false">SUMIFS('Source 2026'!$O:$O,'Source 2026'!$B:$B,$A50,'Source 2026'!$A:$A,"Amount (NIS)")</f>
        <v>23.8</v>
      </c>
      <c r="I50" s="10" t="n">
        <f aca="false">H50-G50</f>
        <v>23.8</v>
      </c>
      <c r="J50" s="9" t="str">
        <f aca="false">IF(AND(G50=0,H50=0),0,IF(G50=0,"New",(H50-G50)/G50))</f>
        <v>New</v>
      </c>
    </row>
    <row r="51" customFormat="false" ht="15" hidden="false" customHeight="false" outlineLevel="0" collapsed="false">
      <c r="A51" s="7" t="s">
        <v>112</v>
      </c>
      <c r="B51" s="7" t="str">
        <f aca="false">IFERROR(INDEX('Source 2026'!$C:$C,MATCH($A51,'Source 2026'!$B:$B,0)),IFERROR(INDEX('Source 2025'!$C:$C,MATCH($A51,'Source 2025'!$B:$B,0)),""))</f>
        <v>אמבט לכף הרגל</v>
      </c>
      <c r="C51" s="8" t="n">
        <f aca="false">SUMIFS('Source 2025'!$O:$O,'Source 2025'!$B:$B,$A51,'Source 2025'!$A:$A,"Quantity (units)")</f>
        <v>6</v>
      </c>
      <c r="D51" s="8" t="n">
        <f aca="false">SUMIFS('Source 2026'!$O:$O,'Source 2026'!$B:$B,$A51,'Source 2026'!$A:$A,"Quantity (units)")</f>
        <v>4</v>
      </c>
      <c r="E51" s="8" t="n">
        <f aca="false">D51-C51</f>
        <v>-2</v>
      </c>
      <c r="F51" s="9" t="n">
        <f aca="false">IF(AND(C51=0,D51=0),0,IF(C51=0,"New",(D51-C51)/C51))</f>
        <v>-0.333333333333333</v>
      </c>
      <c r="G51" s="10" t="n">
        <f aca="false">SUMIFS('Source 2025'!$O:$O,'Source 2025'!$B:$B,$A51,'Source 2025'!$A:$A,"Amount (NIS)")</f>
        <v>65.6</v>
      </c>
      <c r="H51" s="10" t="n">
        <f aca="false">SUMIFS('Source 2026'!$O:$O,'Source 2026'!$B:$B,$A51,'Source 2026'!$A:$A,"Amount (NIS)")</f>
        <v>43.8</v>
      </c>
      <c r="I51" s="10" t="n">
        <f aca="false">H51-G51</f>
        <v>-21.8</v>
      </c>
      <c r="J51" s="9" t="n">
        <f aca="false">IF(AND(G51=0,H51=0),0,IF(G51=0,"New",(H51-G51)/G51))</f>
        <v>-0.332317073170732</v>
      </c>
    </row>
    <row r="52" customFormat="false" ht="15" hidden="false" customHeight="false" outlineLevel="0" collapsed="false">
      <c r="A52" s="7" t="s">
        <v>63</v>
      </c>
      <c r="B52" s="7" t="str">
        <f aca="false">IFERROR(INDEX('Source 2026'!$C:$C,MATCH($A52,'Source 2026'!$B:$B,0)),IFERROR(INDEX('Source 2025'!$C:$C,MATCH($A52,'Source 2025'!$B:$B,0)),""))</f>
        <v>L עקבים לדורבן-זוג כריות</v>
      </c>
      <c r="C52" s="8" t="n">
        <f aca="false">SUMIFS('Source 2025'!$O:$O,'Source 2025'!$B:$B,$A52,'Source 2025'!$A:$A,"Quantity (units)")</f>
        <v>4</v>
      </c>
      <c r="D52" s="8" t="n">
        <f aca="false">SUMIFS('Source 2026'!$O:$O,'Source 2026'!$B:$B,$A52,'Source 2026'!$A:$A,"Quantity (units)")</f>
        <v>4</v>
      </c>
      <c r="E52" s="8" t="n">
        <f aca="false">D52-C52</f>
        <v>0</v>
      </c>
      <c r="F52" s="9" t="n">
        <f aca="false">IF(AND(C52=0,D52=0),0,IF(C52=0,"New",(D52-C52)/C52))</f>
        <v>0</v>
      </c>
      <c r="G52" s="10" t="n">
        <f aca="false">SUMIFS('Source 2025'!$O:$O,'Source 2025'!$B:$B,$A52,'Source 2025'!$A:$A,"Amount (NIS)")</f>
        <v>391.7</v>
      </c>
      <c r="H52" s="10" t="n">
        <f aca="false">SUMIFS('Source 2026'!$O:$O,'Source 2026'!$B:$B,$A52,'Source 2026'!$A:$A,"Amount (NIS)")</f>
        <v>405.6</v>
      </c>
      <c r="I52" s="10" t="n">
        <f aca="false">H52-G52</f>
        <v>13.9</v>
      </c>
      <c r="J52" s="9" t="n">
        <f aca="false">IF(AND(G52=0,H52=0),0,IF(G52=0,"New",(H52-G52)/G52))</f>
        <v>0.0354863415879499</v>
      </c>
    </row>
    <row r="53" customFormat="false" ht="15" hidden="false" customHeight="false" outlineLevel="0" collapsed="false">
      <c r="A53" s="7" t="s">
        <v>88</v>
      </c>
      <c r="B53" s="7" t="str">
        <f aca="false">IFERROR(INDEX('Source 2026'!$C:$C,MATCH($A53,'Source 2026'!$B:$B,0)),IFERROR(INDEX('Source 2025'!$C:$C,MATCH($A53,'Source 2025'!$B:$B,0)),""))</f>
        <v>למניעת שפשוף 5 יח</v>
      </c>
      <c r="C53" s="8" t="n">
        <f aca="false">SUMIFS('Source 2025'!$O:$O,'Source 2025'!$B:$B,$A53,'Source 2025'!$A:$A,"Quantity (units)")</f>
        <v>2</v>
      </c>
      <c r="D53" s="8" t="n">
        <f aca="false">SUMIFS('Source 2026'!$O:$O,'Source 2026'!$B:$B,$A53,'Source 2026'!$A:$A,"Quantity (units)")</f>
        <v>3</v>
      </c>
      <c r="E53" s="8" t="n">
        <f aca="false">D53-C53</f>
        <v>1</v>
      </c>
      <c r="F53" s="9" t="n">
        <f aca="false">IF(AND(C53=0,D53=0),0,IF(C53=0,"New",(D53-C53)/C53))</f>
        <v>0.5</v>
      </c>
      <c r="G53" s="10" t="n">
        <f aca="false">SUMIFS('Source 2025'!$O:$O,'Source 2025'!$B:$B,$A53,'Source 2025'!$A:$A,"Amount (NIS)")</f>
        <v>26.7</v>
      </c>
      <c r="H53" s="10" t="n">
        <f aca="false">SUMIFS('Source 2026'!$O:$O,'Source 2026'!$B:$B,$A53,'Source 2026'!$A:$A,"Amount (NIS)")</f>
        <v>40</v>
      </c>
      <c r="I53" s="10" t="n">
        <f aca="false">H53-G53</f>
        <v>13.3</v>
      </c>
      <c r="J53" s="9" t="n">
        <f aca="false">IF(AND(G53=0,H53=0),0,IF(G53=0,"New",(H53-G53)/G53))</f>
        <v>0.49812734082397</v>
      </c>
    </row>
    <row r="54" customFormat="false" ht="15" hidden="false" customHeight="false" outlineLevel="0" collapsed="false">
      <c r="A54" s="7" t="s">
        <v>62</v>
      </c>
      <c r="B54" s="7" t="str">
        <f aca="false">IFERROR(INDEX('Source 2026'!$C:$C,MATCH($A54,'Source 2026'!$B:$B,0)),IFERROR(INDEX('Source 2025'!$C:$C,MATCH($A54,'Source 2025'!$B:$B,0)),""))</f>
        <v>L (מתלה ליד )כיס</v>
      </c>
      <c r="C54" s="8" t="n">
        <f aca="false">SUMIFS('Source 2025'!$O:$O,'Source 2025'!$B:$B,$A54,'Source 2025'!$A:$A,"Quantity (units)")</f>
        <v>3</v>
      </c>
      <c r="D54" s="8" t="n">
        <f aca="false">SUMIFS('Source 2026'!$O:$O,'Source 2026'!$B:$B,$A54,'Source 2026'!$A:$A,"Quantity (units)")</f>
        <v>3</v>
      </c>
      <c r="E54" s="8" t="n">
        <f aca="false">D54-C54</f>
        <v>0</v>
      </c>
      <c r="F54" s="9" t="n">
        <f aca="false">IF(AND(C54=0,D54=0),0,IF(C54=0,"New",(D54-C54)/C54))</f>
        <v>0</v>
      </c>
      <c r="G54" s="10" t="n">
        <f aca="false">SUMIFS('Source 2025'!$O:$O,'Source 2025'!$B:$B,$A54,'Source 2025'!$A:$A,"Amount (NIS)")</f>
        <v>196.6</v>
      </c>
      <c r="H54" s="10" t="n">
        <f aca="false">SUMIFS('Source 2026'!$O:$O,'Source 2026'!$B:$B,$A54,'Source 2026'!$A:$A,"Amount (NIS)")</f>
        <v>196.5</v>
      </c>
      <c r="I54" s="10" t="n">
        <f aca="false">H54-G54</f>
        <v>-0.0999999999999943</v>
      </c>
      <c r="J54" s="9" t="n">
        <f aca="false">IF(AND(G54=0,H54=0),0,IF(G54=0,"New",(H54-G54)/G54))</f>
        <v>-0.000508646998982677</v>
      </c>
    </row>
    <row r="55" customFormat="false" ht="15" hidden="false" customHeight="false" outlineLevel="0" collapsed="false">
      <c r="A55" s="7" t="s">
        <v>153</v>
      </c>
      <c r="B55" s="7" t="str">
        <f aca="false">IFERROR(INDEX('Source 2026'!$C:$C,MATCH($A55,'Source 2026'!$B:$B,0)),IFERROR(INDEX('Source 2025'!$C:$C,MATCH($A55,'Source 2025'!$B:$B,0)),""))</f>
        <v>S-M סד לאגודל</v>
      </c>
      <c r="C55" s="8" t="n">
        <f aca="false">SUMIFS('Source 2025'!$O:$O,'Source 2025'!$B:$B,$A55,'Source 2025'!$A:$A,"Quantity (units)")</f>
        <v>2</v>
      </c>
      <c r="D55" s="8" t="n">
        <f aca="false">SUMIFS('Source 2026'!$O:$O,'Source 2026'!$B:$B,$A55,'Source 2026'!$A:$A,"Quantity (units)")</f>
        <v>2</v>
      </c>
      <c r="E55" s="8" t="n">
        <f aca="false">D55-C55</f>
        <v>0</v>
      </c>
      <c r="F55" s="9" t="n">
        <f aca="false">IF(AND(C55=0,D55=0),0,IF(C55=0,"New",(D55-C55)/C55))</f>
        <v>0</v>
      </c>
      <c r="G55" s="10" t="n">
        <f aca="false">SUMIFS('Source 2025'!$O:$O,'Source 2025'!$B:$B,$A55,'Source 2025'!$A:$A,"Amount (NIS)")</f>
        <v>135.2</v>
      </c>
      <c r="H55" s="10" t="n">
        <f aca="false">SUMIFS('Source 2026'!$O:$O,'Source 2026'!$B:$B,$A55,'Source 2026'!$A:$A,"Amount (NIS)")</f>
        <v>135.1</v>
      </c>
      <c r="I55" s="10" t="n">
        <f aca="false">H55-G55</f>
        <v>-0.0999999999999943</v>
      </c>
      <c r="J55" s="9" t="n">
        <f aca="false">IF(AND(G55=0,H55=0),0,IF(G55=0,"New",(H55-G55)/G55))</f>
        <v>-0.000739644970414159</v>
      </c>
    </row>
    <row r="56" customFormat="false" ht="15" hidden="false" customHeight="false" outlineLevel="0" collapsed="false">
      <c r="A56" s="7" t="s">
        <v>93</v>
      </c>
      <c r="B56" s="7" t="str">
        <f aca="false">IFERROR(INDEX('Source 2026'!$C:$C,MATCH($A56,'Source 2026'!$B:$B,0)),IFERROR(INDEX('Source 2025'!$C:$C,MATCH($A56,'Source 2025'!$B:$B,0)),""))</f>
        <v>תחבושת א.נצמ</v>
      </c>
      <c r="C56" s="8" t="n">
        <f aca="false">SUMIFS('Source 2025'!$O:$O,'Source 2025'!$B:$B,$A56,'Source 2025'!$A:$A,"Quantity (units)")</f>
        <v>5</v>
      </c>
      <c r="D56" s="8" t="n">
        <f aca="false">SUMIFS('Source 2026'!$O:$O,'Source 2026'!$B:$B,$A56,'Source 2026'!$A:$A,"Quantity (units)")</f>
        <v>5</v>
      </c>
      <c r="E56" s="8" t="n">
        <f aca="false">D56-C56</f>
        <v>0</v>
      </c>
      <c r="F56" s="9" t="n">
        <f aca="false">IF(AND(C56=0,D56=0),0,IF(C56=0,"New",(D56-C56)/C56))</f>
        <v>0</v>
      </c>
      <c r="G56" s="10" t="n">
        <f aca="false">SUMIFS('Source 2025'!$O:$O,'Source 2025'!$B:$B,$A56,'Source 2025'!$A:$A,"Amount (NIS)")</f>
        <v>58.8</v>
      </c>
      <c r="H56" s="10" t="n">
        <f aca="false">SUMIFS('Source 2026'!$O:$O,'Source 2026'!$B:$B,$A56,'Source 2026'!$A:$A,"Amount (NIS)")</f>
        <v>58.8</v>
      </c>
      <c r="I56" s="10" t="n">
        <f aca="false">H56-G56</f>
        <v>0</v>
      </c>
      <c r="J56" s="9" t="n">
        <f aca="false">IF(AND(G56=0,H56=0),0,IF(G56=0,"New",(H56-G56)/G56))</f>
        <v>0</v>
      </c>
    </row>
    <row r="57" customFormat="false" ht="15" hidden="false" customHeight="false" outlineLevel="0" collapsed="false">
      <c r="A57" s="7" t="s">
        <v>67</v>
      </c>
      <c r="B57" s="7" t="str">
        <f aca="false">IFERROR(INDEX('Source 2026'!$C:$C,MATCH($A57,'Source 2026'!$B:$B,0)),IFERROR(INDEX('Source 2025'!$C:$C,MATCH($A57,'Source 2025'!$B:$B,0)),""))</f>
        <v>שרוול מטטרזלי מסיליקון</v>
      </c>
      <c r="C57" s="8" t="n">
        <f aca="false">SUMIFS('Source 2025'!$O:$O,'Source 2025'!$B:$B,$A57,'Source 2025'!$A:$A,"Quantity (units)")</f>
        <v>1</v>
      </c>
      <c r="D57" s="8" t="n">
        <f aca="false">SUMIFS('Source 2026'!$O:$O,'Source 2026'!$B:$B,$A57,'Source 2026'!$A:$A,"Quantity (units)")</f>
        <v>1</v>
      </c>
      <c r="E57" s="8" t="n">
        <f aca="false">D57-C57</f>
        <v>0</v>
      </c>
      <c r="F57" s="9" t="n">
        <f aca="false">IF(AND(C57=0,D57=0),0,IF(C57=0,"New",(D57-C57)/C57))</f>
        <v>0</v>
      </c>
      <c r="G57" s="10" t="n">
        <f aca="false">SUMIFS('Source 2025'!$O:$O,'Source 2025'!$B:$B,$A57,'Source 2025'!$A:$A,"Amount (NIS)")</f>
        <v>56</v>
      </c>
      <c r="H57" s="10" t="n">
        <f aca="false">SUMIFS('Source 2026'!$O:$O,'Source 2026'!$B:$B,$A57,'Source 2026'!$A:$A,"Amount (NIS)")</f>
        <v>56</v>
      </c>
      <c r="I57" s="10" t="n">
        <f aca="false">H57-G57</f>
        <v>0</v>
      </c>
      <c r="J57" s="9" t="n">
        <f aca="false">IF(AND(G57=0,H57=0),0,IF(G57=0,"New",(H57-G57)/G57))</f>
        <v>0</v>
      </c>
    </row>
    <row r="59" customFormat="false" ht="15" hidden="false" customHeight="false" outlineLevel="0" collapsed="false">
      <c r="A59" s="11"/>
      <c r="B59" s="12" t="s">
        <v>257</v>
      </c>
      <c r="C59" s="13" t="n">
        <f aca="false">SUM(C6:C57)</f>
        <v>316</v>
      </c>
      <c r="D59" s="13" t="n">
        <f aca="false">SUM(D6:D57)</f>
        <v>233</v>
      </c>
      <c r="E59" s="13" t="n">
        <f aca="false">SUM(E6:E57)</f>
        <v>-83</v>
      </c>
      <c r="F59" s="14" t="n">
        <f aca="false">IF(C59=0,"N/A",E59/C59)</f>
        <v>-0.262658227848101</v>
      </c>
      <c r="G59" s="15" t="n">
        <f aca="false">SUM(G6:G57)</f>
        <v>9222.1</v>
      </c>
      <c r="H59" s="15" t="n">
        <f aca="false">SUM(H6:H57)</f>
        <v>7173.6</v>
      </c>
      <c r="I59" s="15" t="n">
        <f aca="false">SUM(I6:I57)</f>
        <v>-2048.5</v>
      </c>
      <c r="J59" s="14" t="n">
        <f aca="false">IF(G59=0,"N/A",I59/G59)</f>
        <v>-0.222129449908372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368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180</v>
      </c>
      <c r="B6" s="7" t="str">
        <f aca="false">IFERROR(INDEX('Source 2026'!$C:$C,MATCH($A6,'Source 2026'!$B:$B,0)),IFERROR(INDEX('Source 2025'!$C:$C,MATCH($A6,'Source 2025'!$B:$B,0)),""))</f>
        <v>S מגן ברך</v>
      </c>
      <c r="C6" s="8" t="n">
        <f aca="false">SUMIFS('Source 2025'!$P:$P,'Source 2025'!$B:$B,$A6,'Source 2025'!$A:$A,"Quantity (units)")</f>
        <v>-23</v>
      </c>
      <c r="D6" s="8" t="n">
        <f aca="false">SUMIFS('Source 2026'!$P:$P,'Source 2026'!$B:$B,$A6,'Source 2026'!$A:$A,"Quantity (units)")</f>
        <v>0</v>
      </c>
      <c r="E6" s="8" t="n">
        <f aca="false">D6-C6</f>
        <v>23</v>
      </c>
      <c r="F6" s="9" t="n">
        <f aca="false">IF(AND(C6=0,D6=0),0,IF(C6=0,"New",(D6-C6)/C6))</f>
        <v>-1</v>
      </c>
      <c r="G6" s="10" t="n">
        <f aca="false">SUMIFS('Source 2025'!$P:$P,'Source 2025'!$B:$B,$A6,'Source 2025'!$A:$A,"Amount (NIS)")</f>
        <v>-3451.4</v>
      </c>
      <c r="H6" s="10" t="n">
        <f aca="false">SUMIFS('Source 2026'!$P:$P,'Source 2026'!$B:$B,$A6,'Source 2026'!$A:$A,"Amount (NIS)")</f>
        <v>0</v>
      </c>
      <c r="I6" s="10" t="n">
        <f aca="false">H6-G6</f>
        <v>3451.4</v>
      </c>
      <c r="J6" s="9" t="n">
        <f aca="false">IF(AND(G6=0,H6=0),0,IF(G6=0,"New",(H6-G6)/G6))</f>
        <v>-1</v>
      </c>
    </row>
    <row r="7" customFormat="false" ht="15" hidden="false" customHeight="false" outlineLevel="0" collapsed="false">
      <c r="A7" s="7" t="s">
        <v>173</v>
      </c>
      <c r="B7" s="7" t="str">
        <f aca="false">IFERROR(INDEX('Source 2026'!$C:$C,MATCH($A7,'Source 2026'!$B:$B,0)),IFERROR(INDEX('Source 2025'!$C:$C,MATCH($A7,'Source 2025'!$B:$B,0)),""))</f>
        <v>S ח.גב סג. כפולה שחור+אדום</v>
      </c>
      <c r="C7" s="8" t="n">
        <f aca="false">SUMIFS('Source 2025'!$P:$P,'Source 2025'!$B:$B,$A7,'Source 2025'!$A:$A,"Quantity (units)")</f>
        <v>-36</v>
      </c>
      <c r="D7" s="8" t="n">
        <f aca="false">SUMIFS('Source 2026'!$P:$P,'Source 2026'!$B:$B,$A7,'Source 2026'!$A:$A,"Quantity (units)")</f>
        <v>-4</v>
      </c>
      <c r="E7" s="8" t="n">
        <f aca="false">D7-C7</f>
        <v>32</v>
      </c>
      <c r="F7" s="9" t="n">
        <f aca="false">IF(AND(C7=0,D7=0),0,IF(C7=0,"New",(D7-C7)/C7))</f>
        <v>-0.888888888888889</v>
      </c>
      <c r="G7" s="10" t="n">
        <f aca="false">SUMIFS('Source 2025'!$P:$P,'Source 2025'!$B:$B,$A7,'Source 2025'!$A:$A,"Amount (NIS)")</f>
        <v>-3572.3</v>
      </c>
      <c r="H7" s="10" t="n">
        <f aca="false">SUMIFS('Source 2026'!$P:$P,'Source 2026'!$B:$B,$A7,'Source 2026'!$A:$A,"Amount (NIS)")</f>
        <v>-396.9</v>
      </c>
      <c r="I7" s="10" t="n">
        <f aca="false">H7-G7</f>
        <v>3175.4</v>
      </c>
      <c r="J7" s="9" t="n">
        <f aca="false">IF(AND(G7=0,H7=0),0,IF(G7=0,"New",(H7-G7)/G7))</f>
        <v>-0.888895109593259</v>
      </c>
    </row>
    <row r="8" customFormat="false" ht="15" hidden="false" customHeight="false" outlineLevel="0" collapsed="false">
      <c r="A8" s="7" t="s">
        <v>42</v>
      </c>
      <c r="B8" s="7" t="str">
        <f aca="false">IFERROR(INDEX('Source 2026'!$C:$C,MATCH($A8,'Source 2026'!$B:$B,0)),IFERROR(INDEX('Source 2025'!$C:$C,MATCH($A8,'Source 2025'!$B:$B,0)),""))</f>
        <v>L סד ליד דו צדדי לאחר שבר</v>
      </c>
      <c r="C8" s="8" t="n">
        <f aca="false">SUMIFS('Source 2025'!$P:$P,'Source 2025'!$B:$B,$A8,'Source 2025'!$A:$A,"Quantity (units)")</f>
        <v>-41</v>
      </c>
      <c r="D8" s="8" t="n">
        <f aca="false">SUMIFS('Source 2026'!$P:$P,'Source 2026'!$B:$B,$A8,'Source 2026'!$A:$A,"Quantity (units)")</f>
        <v>-9</v>
      </c>
      <c r="E8" s="8" t="n">
        <f aca="false">D8-C8</f>
        <v>32</v>
      </c>
      <c r="F8" s="9" t="n">
        <f aca="false">IF(AND(C8=0,D8=0),0,IF(C8=0,"New",(D8-C8)/C8))</f>
        <v>-0.780487804878049</v>
      </c>
      <c r="G8" s="10" t="n">
        <f aca="false">SUMIFS('Source 2025'!$P:$P,'Source 2025'!$B:$B,$A8,'Source 2025'!$A:$A,"Amount (NIS)")</f>
        <v>-3782.8</v>
      </c>
      <c r="H8" s="10" t="n">
        <f aca="false">SUMIFS('Source 2026'!$P:$P,'Source 2026'!$B:$B,$A8,'Source 2026'!$A:$A,"Amount (NIS)")</f>
        <v>-843</v>
      </c>
      <c r="I8" s="10" t="n">
        <f aca="false">H8-G8</f>
        <v>2939.8</v>
      </c>
      <c r="J8" s="9" t="n">
        <f aca="false">IF(AND(G8=0,H8=0),0,IF(G8=0,"New",(H8-G8)/G8))</f>
        <v>-0.777149201649572</v>
      </c>
    </row>
    <row r="9" customFormat="false" ht="15" hidden="false" customHeight="false" outlineLevel="0" collapsed="false">
      <c r="A9" s="7" t="s">
        <v>84</v>
      </c>
      <c r="B9" s="7" t="str">
        <f aca="false">IFERROR(INDEX('Source 2026'!$C:$C,MATCH($A9,'Source 2026'!$B:$B,0)),IFERROR(INDEX('Source 2025'!$C:$C,MATCH($A9,'Source 2025'!$B:$B,0)),""))</f>
        <v>Sמיישר כתף יציב יישור גב צר</v>
      </c>
      <c r="C9" s="8" t="n">
        <f aca="false">SUMIFS('Source 2025'!$P:$P,'Source 2025'!$B:$B,$A9,'Source 2025'!$A:$A,"Quantity (units)")</f>
        <v>-38</v>
      </c>
      <c r="D9" s="8" t="n">
        <f aca="false">SUMIFS('Source 2026'!$P:$P,'Source 2026'!$B:$B,$A9,'Source 2026'!$A:$A,"Quantity (units)")</f>
        <v>-19</v>
      </c>
      <c r="E9" s="8" t="n">
        <f aca="false">D9-C9</f>
        <v>19</v>
      </c>
      <c r="F9" s="9" t="n">
        <f aca="false">IF(AND(C9=0,D9=0),0,IF(C9=0,"New",(D9-C9)/C9))</f>
        <v>-0.5</v>
      </c>
      <c r="G9" s="10" t="n">
        <f aca="false">SUMIFS('Source 2025'!$P:$P,'Source 2025'!$B:$B,$A9,'Source 2025'!$A:$A,"Amount (NIS)")</f>
        <v>-5605.7</v>
      </c>
      <c r="H9" s="10" t="n">
        <f aca="false">SUMIFS('Source 2026'!$P:$P,'Source 2026'!$B:$B,$A9,'Source 2026'!$A:$A,"Amount (NIS)")</f>
        <v>-2759.4</v>
      </c>
      <c r="I9" s="10" t="n">
        <f aca="false">H9-G9</f>
        <v>2846.3</v>
      </c>
      <c r="J9" s="9" t="n">
        <f aca="false">IF(AND(G9=0,H9=0),0,IF(G9=0,"New",(H9-G9)/G9))</f>
        <v>-0.507751039120895</v>
      </c>
    </row>
    <row r="10" customFormat="false" ht="15" hidden="false" customHeight="false" outlineLevel="0" collapsed="false">
      <c r="A10" s="7" t="s">
        <v>116</v>
      </c>
      <c r="B10" s="7" t="str">
        <f aca="false">IFERROR(INDEX('Source 2026'!$C:$C,MATCH($A10,'Source 2026'!$B:$B,0)),IFERROR(INDEX('Source 2025'!$C:$C,MATCH($A10,'Source 2025'!$B:$B,0)),""))</f>
        <v>S חגורה למנותחי בית החזה</v>
      </c>
      <c r="C10" s="8" t="n">
        <f aca="false">SUMIFS('Source 2025'!$P:$P,'Source 2025'!$B:$B,$A10,'Source 2025'!$A:$A,"Quantity (units)")</f>
        <v>-27</v>
      </c>
      <c r="D10" s="8" t="n">
        <f aca="false">SUMIFS('Source 2026'!$P:$P,'Source 2026'!$B:$B,$A10,'Source 2026'!$A:$A,"Quantity (units)")</f>
        <v>-14</v>
      </c>
      <c r="E10" s="8" t="n">
        <f aca="false">D10-C10</f>
        <v>13</v>
      </c>
      <c r="F10" s="9" t="n">
        <f aca="false">IF(AND(C10=0,D10=0),0,IF(C10=0,"New",(D10-C10)/C10))</f>
        <v>-0.481481481481481</v>
      </c>
      <c r="G10" s="10" t="n">
        <f aca="false">SUMIFS('Source 2025'!$P:$P,'Source 2025'!$B:$B,$A10,'Source 2025'!$A:$A,"Amount (NIS)")</f>
        <v>-4429.2</v>
      </c>
      <c r="H10" s="10" t="n">
        <f aca="false">SUMIFS('Source 2026'!$P:$P,'Source 2026'!$B:$B,$A10,'Source 2026'!$A:$A,"Amount (NIS)")</f>
        <v>-2037.8</v>
      </c>
      <c r="I10" s="10" t="n">
        <f aca="false">H10-G10</f>
        <v>2391.4</v>
      </c>
      <c r="J10" s="9" t="n">
        <f aca="false">IF(AND(G10=0,H10=0),0,IF(G10=0,"New",(H10-G10)/G10))</f>
        <v>-0.539916915018514</v>
      </c>
    </row>
    <row r="11" customFormat="false" ht="15" hidden="false" customHeight="false" outlineLevel="0" collapsed="false">
      <c r="A11" s="7" t="s">
        <v>159</v>
      </c>
      <c r="B11" s="7" t="str">
        <f aca="false">IFERROR(INDEX('Source 2026'!$C:$C,MATCH($A11,'Source 2026'!$B:$B,0)),IFERROR(INDEX('Source 2025'!$C:$C,MATCH($A11,'Source 2025'!$B:$B,0)),""))</f>
        <v>S מגן שוק</v>
      </c>
      <c r="C11" s="8" t="n">
        <f aca="false">SUMIFS('Source 2025'!$P:$P,'Source 2025'!$B:$B,$A11,'Source 2025'!$A:$A,"Quantity (units)")</f>
        <v>-15</v>
      </c>
      <c r="D11" s="8" t="n">
        <f aca="false">SUMIFS('Source 2026'!$P:$P,'Source 2026'!$B:$B,$A11,'Source 2026'!$A:$A,"Quantity (units)")</f>
        <v>-2</v>
      </c>
      <c r="E11" s="8" t="n">
        <f aca="false">D11-C11</f>
        <v>13</v>
      </c>
      <c r="F11" s="9" t="n">
        <f aca="false">IF(AND(C11=0,D11=0),0,IF(C11=0,"New",(D11-C11)/C11))</f>
        <v>-0.866666666666667</v>
      </c>
      <c r="G11" s="10" t="n">
        <f aca="false">SUMIFS('Source 2025'!$P:$P,'Source 2025'!$B:$B,$A11,'Source 2025'!$A:$A,"Amount (NIS)")</f>
        <v>-2233.9</v>
      </c>
      <c r="H11" s="10" t="n">
        <f aca="false">SUMIFS('Source 2026'!$P:$P,'Source 2026'!$B:$B,$A11,'Source 2026'!$A:$A,"Amount (NIS)")</f>
        <v>-271.6</v>
      </c>
      <c r="I11" s="10" t="n">
        <f aca="false">H11-G11</f>
        <v>1962.3</v>
      </c>
      <c r="J11" s="9" t="n">
        <f aca="false">IF(AND(G11=0,H11=0),0,IF(G11=0,"New",(H11-G11)/G11))</f>
        <v>-0.878418908635122</v>
      </c>
    </row>
    <row r="12" customFormat="false" ht="15" hidden="false" customHeight="false" outlineLevel="0" collapsed="false">
      <c r="A12" s="7" t="s">
        <v>57</v>
      </c>
      <c r="B12" s="7" t="str">
        <f aca="false">IFERROR(INDEX('Source 2026'!$C:$C,MATCH($A12,'Source 2026'!$B:$B,0)),IFERROR(INDEX('Source 2025'!$C:$C,MATCH($A12,'Source 2025'!$B:$B,0)),""))</f>
        <v>S""חגורת בטן""אורירית</v>
      </c>
      <c r="C12" s="8" t="n">
        <f aca="false">SUMIFS('Source 2025'!$P:$P,'Source 2025'!$B:$B,$A12,'Source 2025'!$A:$A,"Quantity (units)")</f>
        <v>-33</v>
      </c>
      <c r="D12" s="8" t="n">
        <f aca="false">SUMIFS('Source 2026'!$P:$P,'Source 2026'!$B:$B,$A12,'Source 2026'!$A:$A,"Quantity (units)")</f>
        <v>-20</v>
      </c>
      <c r="E12" s="8" t="n">
        <f aca="false">D12-C12</f>
        <v>13</v>
      </c>
      <c r="F12" s="9" t="n">
        <f aca="false">IF(AND(C12=0,D12=0),0,IF(C12=0,"New",(D12-C12)/C12))</f>
        <v>-0.393939393939394</v>
      </c>
      <c r="G12" s="10" t="n">
        <f aca="false">SUMIFS('Source 2025'!$P:$P,'Source 2025'!$B:$B,$A12,'Source 2025'!$A:$A,"Amount (NIS)")</f>
        <v>-3534.6</v>
      </c>
      <c r="H12" s="10" t="n">
        <f aca="false">SUMIFS('Source 2026'!$P:$P,'Source 2026'!$B:$B,$A12,'Source 2026'!$A:$A,"Amount (NIS)")</f>
        <v>-1940.7</v>
      </c>
      <c r="I12" s="10" t="n">
        <f aca="false">H12-G12</f>
        <v>1593.9</v>
      </c>
      <c r="J12" s="9" t="n">
        <f aca="false">IF(AND(G12=0,H12=0),0,IF(G12=0,"New",(H12-G12)/G12))</f>
        <v>-0.450942115090817</v>
      </c>
    </row>
    <row r="13" customFormat="false" ht="15" hidden="false" customHeight="false" outlineLevel="0" collapsed="false">
      <c r="A13" s="7" t="s">
        <v>186</v>
      </c>
      <c r="B13" s="7" t="str">
        <f aca="false">IFERROR(INDEX('Source 2026'!$C:$C,MATCH($A13,'Source 2026'!$B:$B,0)),IFERROR(INDEX('Source 2025'!$C:$C,MATCH($A13,'Source 2025'!$B:$B,0)),""))</f>
        <v>S חבק יד</v>
      </c>
      <c r="C13" s="8" t="n">
        <f aca="false">SUMIFS('Source 2025'!$P:$P,'Source 2025'!$B:$B,$A13,'Source 2025'!$A:$A,"Quantity (units)")</f>
        <v>-14</v>
      </c>
      <c r="D13" s="8" t="n">
        <f aca="false">SUMIFS('Source 2026'!$P:$P,'Source 2026'!$B:$B,$A13,'Source 2026'!$A:$A,"Quantity (units)")</f>
        <v>0</v>
      </c>
      <c r="E13" s="8" t="n">
        <f aca="false">D13-C13</f>
        <v>14</v>
      </c>
      <c r="F13" s="9" t="n">
        <f aca="false">IF(AND(C13=0,D13=0),0,IF(C13=0,"New",(D13-C13)/C13))</f>
        <v>-1</v>
      </c>
      <c r="G13" s="10" t="n">
        <f aca="false">SUMIFS('Source 2025'!$P:$P,'Source 2025'!$B:$B,$A13,'Source 2025'!$A:$A,"Amount (NIS)")</f>
        <v>-1223.2</v>
      </c>
      <c r="H13" s="10" t="n">
        <f aca="false">SUMIFS('Source 2026'!$P:$P,'Source 2026'!$B:$B,$A13,'Source 2026'!$A:$A,"Amount (NIS)")</f>
        <v>0</v>
      </c>
      <c r="I13" s="10" t="n">
        <f aca="false">H13-G13</f>
        <v>1223.2</v>
      </c>
      <c r="J13" s="9" t="n">
        <f aca="false">IF(AND(G13=0,H13=0),0,IF(G13=0,"New",(H13-G13)/G13))</f>
        <v>-1</v>
      </c>
    </row>
    <row r="14" customFormat="false" ht="15" hidden="false" customHeight="false" outlineLevel="0" collapsed="false">
      <c r="A14" s="7" t="s">
        <v>150</v>
      </c>
      <c r="B14" s="7" t="str">
        <f aca="false">IFERROR(INDEX('Source 2026'!$C:$C,MATCH($A14,'Source 2026'!$B:$B,0)),IFERROR(INDEX('Source 2025'!$C:$C,MATCH($A14,'Source 2025'!$B:$B,0)),""))</f>
        <v>S מגן קרסול שמאל</v>
      </c>
      <c r="C14" s="8" t="n">
        <f aca="false">SUMIFS('Source 2025'!$P:$P,'Source 2025'!$B:$B,$A14,'Source 2025'!$A:$A,"Quantity (units)")</f>
        <v>-15</v>
      </c>
      <c r="D14" s="8" t="n">
        <f aca="false">SUMIFS('Source 2026'!$P:$P,'Source 2026'!$B:$B,$A14,'Source 2026'!$A:$A,"Quantity (units)")</f>
        <v>0</v>
      </c>
      <c r="E14" s="8" t="n">
        <f aca="false">D14-C14</f>
        <v>15</v>
      </c>
      <c r="F14" s="9" t="n">
        <f aca="false">IF(AND(C14=0,D14=0),0,IF(C14=0,"New",(D14-C14)/C14))</f>
        <v>-1</v>
      </c>
      <c r="G14" s="10" t="n">
        <f aca="false">SUMIFS('Source 2025'!$P:$P,'Source 2025'!$B:$B,$A14,'Source 2025'!$A:$A,"Amount (NIS)")</f>
        <v>-1222.6</v>
      </c>
      <c r="H14" s="10" t="n">
        <f aca="false">SUMIFS('Source 2026'!$P:$P,'Source 2026'!$B:$B,$A14,'Source 2026'!$A:$A,"Amount (NIS)")</f>
        <v>0</v>
      </c>
      <c r="I14" s="10" t="n">
        <f aca="false">H14-G14</f>
        <v>1222.6</v>
      </c>
      <c r="J14" s="9" t="n">
        <f aca="false">IF(AND(G14=0,H14=0),0,IF(G14=0,"New",(H14-G14)/G14))</f>
        <v>-1</v>
      </c>
    </row>
    <row r="15" customFormat="false" ht="15" hidden="false" customHeight="false" outlineLevel="0" collapsed="false">
      <c r="A15" s="7" t="s">
        <v>166</v>
      </c>
      <c r="B15" s="7" t="str">
        <f aca="false">IFERROR(INDEX('Source 2026'!$C:$C,MATCH($A15,'Source 2026'!$B:$B,0)),IFERROR(INDEX('Source 2025'!$C:$C,MATCH($A15,'Source 2025'!$B:$B,0)),""))</f>
        <v>S מגן מרפק</v>
      </c>
      <c r="C15" s="8" t="n">
        <f aca="false">SUMIFS('Source 2025'!$P:$P,'Source 2025'!$B:$B,$A15,'Source 2025'!$A:$A,"Quantity (units)")</f>
        <v>-14</v>
      </c>
      <c r="D15" s="8" t="n">
        <f aca="false">SUMIFS('Source 2026'!$P:$P,'Source 2026'!$B:$B,$A15,'Source 2026'!$A:$A,"Quantity (units)")</f>
        <v>0</v>
      </c>
      <c r="E15" s="8" t="n">
        <f aca="false">D15-C15</f>
        <v>14</v>
      </c>
      <c r="F15" s="9" t="n">
        <f aca="false">IF(AND(C15=0,D15=0),0,IF(C15=0,"New",(D15-C15)/C15))</f>
        <v>-1</v>
      </c>
      <c r="G15" s="10" t="n">
        <f aca="false">SUMIFS('Source 2025'!$P:$P,'Source 2025'!$B:$B,$A15,'Source 2025'!$A:$A,"Amount (NIS)")</f>
        <v>-1136.4</v>
      </c>
      <c r="H15" s="10" t="n">
        <f aca="false">SUMIFS('Source 2026'!$P:$P,'Source 2026'!$B:$B,$A15,'Source 2026'!$A:$A,"Amount (NIS)")</f>
        <v>0</v>
      </c>
      <c r="I15" s="10" t="n">
        <f aca="false">H15-G15</f>
        <v>1136.4</v>
      </c>
      <c r="J15" s="9" t="n">
        <f aca="false">IF(AND(G15=0,H15=0),0,IF(G15=0,"New",(H15-G15)/G15))</f>
        <v>-1</v>
      </c>
    </row>
    <row r="16" customFormat="false" ht="15" hidden="false" customHeight="false" outlineLevel="0" collapsed="false">
      <c r="A16" s="7" t="s">
        <v>165</v>
      </c>
      <c r="B16" s="7" t="str">
        <f aca="false">IFERROR(INDEX('Source 2026'!$C:$C,MATCH($A16,'Source 2026'!$B:$B,0)),IFERROR(INDEX('Source 2025'!$C:$C,MATCH($A16,'Source 2025'!$B:$B,0)),""))</f>
        <v>S מגן קרסול ימין</v>
      </c>
      <c r="C16" s="8" t="n">
        <f aca="false">SUMIFS('Source 2025'!$P:$P,'Source 2025'!$B:$B,$A16,'Source 2025'!$A:$A,"Quantity (units)")</f>
        <v>-13</v>
      </c>
      <c r="D16" s="8" t="n">
        <f aca="false">SUMIFS('Source 2026'!$P:$P,'Source 2026'!$B:$B,$A16,'Source 2026'!$A:$A,"Quantity (units)")</f>
        <v>0</v>
      </c>
      <c r="E16" s="8" t="n">
        <f aca="false">D16-C16</f>
        <v>13</v>
      </c>
      <c r="F16" s="9" t="n">
        <f aca="false">IF(AND(C16=0,D16=0),0,IF(C16=0,"New",(D16-C16)/C16))</f>
        <v>-1</v>
      </c>
      <c r="G16" s="10" t="n">
        <f aca="false">SUMIFS('Source 2025'!$P:$P,'Source 2025'!$B:$B,$A16,'Source 2025'!$A:$A,"Amount (NIS)")</f>
        <v>-1100</v>
      </c>
      <c r="H16" s="10" t="n">
        <f aca="false">SUMIFS('Source 2026'!$P:$P,'Source 2026'!$B:$B,$A16,'Source 2026'!$A:$A,"Amount (NIS)")</f>
        <v>0</v>
      </c>
      <c r="I16" s="10" t="n">
        <f aca="false">H16-G16</f>
        <v>1100</v>
      </c>
      <c r="J16" s="9" t="n">
        <f aca="false">IF(AND(G16=0,H16=0),0,IF(G16=0,"New",(H16-G16)/G16))</f>
        <v>-1</v>
      </c>
    </row>
    <row r="17" customFormat="false" ht="15" hidden="false" customHeight="false" outlineLevel="0" collapsed="false">
      <c r="A17" s="7" t="s">
        <v>101</v>
      </c>
      <c r="B17" s="7" t="str">
        <f aca="false">IFERROR(INDEX('Source 2026'!$C:$C,MATCH($A17,'Source 2026'!$B:$B,0)),IFERROR(INDEX('Source 2025'!$C:$C,MATCH($A17,'Source 2025'!$B:$B,0)),""))</f>
        <v>S מגן קרסול מתכוון עם סקוטש</v>
      </c>
      <c r="C17" s="8" t="n">
        <f aca="false">SUMIFS('Source 2025'!$P:$P,'Source 2025'!$B:$B,$A17,'Source 2025'!$A:$A,"Quantity (units)")</f>
        <v>-25</v>
      </c>
      <c r="D17" s="8" t="n">
        <f aca="false">SUMIFS('Source 2026'!$P:$P,'Source 2026'!$B:$B,$A17,'Source 2026'!$A:$A,"Quantity (units)")</f>
        <v>-9</v>
      </c>
      <c r="E17" s="8" t="n">
        <f aca="false">D17-C17</f>
        <v>16</v>
      </c>
      <c r="F17" s="9" t="n">
        <f aca="false">IF(AND(C17=0,D17=0),0,IF(C17=0,"New",(D17-C17)/C17))</f>
        <v>-0.64</v>
      </c>
      <c r="G17" s="10" t="n">
        <f aca="false">SUMIFS('Source 2025'!$P:$P,'Source 2025'!$B:$B,$A17,'Source 2025'!$A:$A,"Amount (NIS)")</f>
        <v>-1649.1</v>
      </c>
      <c r="H17" s="10" t="n">
        <f aca="false">SUMIFS('Source 2026'!$P:$P,'Source 2026'!$B:$B,$A17,'Source 2026'!$A:$A,"Amount (NIS)")</f>
        <v>-555.6</v>
      </c>
      <c r="I17" s="10" t="n">
        <f aca="false">H17-G17</f>
        <v>1093.5</v>
      </c>
      <c r="J17" s="9" t="n">
        <f aca="false">IF(AND(G17=0,H17=0),0,IF(G17=0,"New",(H17-G17)/G17))</f>
        <v>-0.663088957613244</v>
      </c>
    </row>
    <row r="18" customFormat="false" ht="15" hidden="false" customHeight="false" outlineLevel="0" collapsed="false">
      <c r="A18" s="7" t="s">
        <v>97</v>
      </c>
      <c r="B18" s="7" t="str">
        <f aca="false">IFERROR(INDEX('Source 2026'!$C:$C,MATCH($A18,'Source 2026'!$B:$B,0)),IFERROR(INDEX('Source 2025'!$C:$C,MATCH($A18,'Source 2025'!$B:$B,0)),""))</f>
        <v>חגורת גב אפורה</v>
      </c>
      <c r="C18" s="8" t="n">
        <f aca="false">SUMIFS('Source 2025'!$P:$P,'Source 2025'!$B:$B,$A18,'Source 2025'!$A:$A,"Quantity (units)")</f>
        <v>-8</v>
      </c>
      <c r="D18" s="8" t="n">
        <f aca="false">SUMIFS('Source 2026'!$P:$P,'Source 2026'!$B:$B,$A18,'Source 2026'!$A:$A,"Quantity (units)")</f>
        <v>-2</v>
      </c>
      <c r="E18" s="8" t="n">
        <f aca="false">D18-C18</f>
        <v>6</v>
      </c>
      <c r="F18" s="9" t="n">
        <f aca="false">IF(AND(C18=0,D18=0),0,IF(C18=0,"New",(D18-C18)/C18))</f>
        <v>-0.75</v>
      </c>
      <c r="G18" s="10" t="n">
        <f aca="false">SUMIFS('Source 2025'!$P:$P,'Source 2025'!$B:$B,$A18,'Source 2025'!$A:$A,"Amount (NIS)")</f>
        <v>-976.6</v>
      </c>
      <c r="H18" s="10" t="n">
        <f aca="false">SUMIFS('Source 2026'!$P:$P,'Source 2026'!$B:$B,$A18,'Source 2026'!$A:$A,"Amount (NIS)")</f>
        <v>-198.5</v>
      </c>
      <c r="I18" s="10" t="n">
        <f aca="false">H18-G18</f>
        <v>778.1</v>
      </c>
      <c r="J18" s="9" t="n">
        <f aca="false">IF(AND(G18=0,H18=0),0,IF(G18=0,"New",(H18-G18)/G18))</f>
        <v>-0.796743805037887</v>
      </c>
    </row>
    <row r="19" customFormat="false" ht="15" hidden="false" customHeight="false" outlineLevel="0" collapsed="false">
      <c r="A19" s="7" t="s">
        <v>52</v>
      </c>
      <c r="B19" s="7" t="str">
        <f aca="false">IFERROR(INDEX('Source 2026'!$C:$C,MATCH($A19,'Source 2026'!$B:$B,0)),IFERROR(INDEX('Source 2025'!$C:$C,MATCH($A19,'Source 2025'!$B:$B,0)),""))</f>
        <v>L סד לאגודל לאחר שבר</v>
      </c>
      <c r="C19" s="8" t="n">
        <f aca="false">SUMIFS('Source 2025'!$P:$P,'Source 2025'!$B:$B,$A19,'Source 2025'!$A:$A,"Quantity (units)")</f>
        <v>-31</v>
      </c>
      <c r="D19" s="8" t="n">
        <f aca="false">SUMIFS('Source 2026'!$P:$P,'Source 2026'!$B:$B,$A19,'Source 2026'!$A:$A,"Quantity (units)")</f>
        <v>-24</v>
      </c>
      <c r="E19" s="8" t="n">
        <f aca="false">D19-C19</f>
        <v>7</v>
      </c>
      <c r="F19" s="9" t="n">
        <f aca="false">IF(AND(C19=0,D19=0),0,IF(C19=0,"New",(D19-C19)/C19))</f>
        <v>-0.225806451612903</v>
      </c>
      <c r="G19" s="10" t="n">
        <f aca="false">SUMIFS('Source 2025'!$P:$P,'Source 2025'!$B:$B,$A19,'Source 2025'!$A:$A,"Amount (NIS)")</f>
        <v>-2847.6</v>
      </c>
      <c r="H19" s="10" t="n">
        <f aca="false">SUMIFS('Source 2026'!$P:$P,'Source 2026'!$B:$B,$A19,'Source 2026'!$A:$A,"Amount (NIS)")</f>
        <v>-2116.8</v>
      </c>
      <c r="I19" s="10" t="n">
        <f aca="false">H19-G19</f>
        <v>730.800000000001</v>
      </c>
      <c r="J19" s="9" t="n">
        <f aca="false">IF(AND(G19=0,H19=0),0,IF(G19=0,"New",(H19-G19)/G19))</f>
        <v>-0.256637168141593</v>
      </c>
    </row>
    <row r="20" customFormat="false" ht="15" hidden="false" customHeight="false" outlineLevel="0" collapsed="false">
      <c r="A20" s="7" t="s">
        <v>62</v>
      </c>
      <c r="B20" s="7" t="str">
        <f aca="false">IFERROR(INDEX('Source 2026'!$C:$C,MATCH($A20,'Source 2026'!$B:$B,0)),IFERROR(INDEX('Source 2025'!$C:$C,MATCH($A20,'Source 2025'!$B:$B,0)),""))</f>
        <v>L (מתלה ליד )כיס</v>
      </c>
      <c r="C20" s="8" t="n">
        <f aca="false">SUMIFS('Source 2025'!$P:$P,'Source 2025'!$B:$B,$A20,'Source 2025'!$A:$A,"Quantity (units)")</f>
        <v>-31</v>
      </c>
      <c r="D20" s="8" t="n">
        <f aca="false">SUMIFS('Source 2026'!$P:$P,'Source 2026'!$B:$B,$A20,'Source 2026'!$A:$A,"Quantity (units)")</f>
        <v>-19</v>
      </c>
      <c r="E20" s="8" t="n">
        <f aca="false">D20-C20</f>
        <v>12</v>
      </c>
      <c r="F20" s="9" t="n">
        <f aca="false">IF(AND(C20=0,D20=0),0,IF(C20=0,"New",(D20-C20)/C20))</f>
        <v>-0.387096774193548</v>
      </c>
      <c r="G20" s="10" t="n">
        <f aca="false">SUMIFS('Source 2025'!$P:$P,'Source 2025'!$B:$B,$A20,'Source 2025'!$A:$A,"Amount (NIS)")</f>
        <v>-1691.4</v>
      </c>
      <c r="H20" s="10" t="n">
        <f aca="false">SUMIFS('Source 2026'!$P:$P,'Source 2026'!$B:$B,$A20,'Source 2026'!$A:$A,"Amount (NIS)")</f>
        <v>-994</v>
      </c>
      <c r="I20" s="10" t="n">
        <f aca="false">H20-G20</f>
        <v>697.4</v>
      </c>
      <c r="J20" s="9" t="n">
        <f aca="false">IF(AND(G20=0,H20=0),0,IF(G20=0,"New",(H20-G20)/G20))</f>
        <v>-0.412321154073549</v>
      </c>
    </row>
    <row r="21" customFormat="false" ht="15" hidden="false" customHeight="false" outlineLevel="0" collapsed="false">
      <c r="A21" s="7" t="s">
        <v>63</v>
      </c>
      <c r="B21" s="7" t="str">
        <f aca="false">IFERROR(INDEX('Source 2026'!$C:$C,MATCH($A21,'Source 2026'!$B:$B,0)),IFERROR(INDEX('Source 2025'!$C:$C,MATCH($A21,'Source 2025'!$B:$B,0)),""))</f>
        <v>L עקבים לדורבן-זוג כריות</v>
      </c>
      <c r="C21" s="8" t="n">
        <f aca="false">SUMIFS('Source 2025'!$P:$P,'Source 2025'!$B:$B,$A21,'Source 2025'!$A:$A,"Quantity (units)")</f>
        <v>-22</v>
      </c>
      <c r="D21" s="8" t="n">
        <f aca="false">SUMIFS('Source 2026'!$P:$P,'Source 2026'!$B:$B,$A21,'Source 2026'!$A:$A,"Quantity (units)")</f>
        <v>-15</v>
      </c>
      <c r="E21" s="8" t="n">
        <f aca="false">D21-C21</f>
        <v>7</v>
      </c>
      <c r="F21" s="9" t="n">
        <f aca="false">IF(AND(C21=0,D21=0),0,IF(C21=0,"New",(D21-C21)/C21))</f>
        <v>-0.318181818181818</v>
      </c>
      <c r="G21" s="10" t="n">
        <f aca="false">SUMIFS('Source 2025'!$P:$P,'Source 2025'!$B:$B,$A21,'Source 2025'!$A:$A,"Amount (NIS)")</f>
        <v>-2008.7</v>
      </c>
      <c r="H21" s="10" t="n">
        <f aca="false">SUMIFS('Source 2026'!$P:$P,'Source 2026'!$B:$B,$A21,'Source 2026'!$A:$A,"Amount (NIS)")</f>
        <v>-1311.8</v>
      </c>
      <c r="I21" s="10" t="n">
        <f aca="false">H21-G21</f>
        <v>696.9</v>
      </c>
      <c r="J21" s="9" t="n">
        <f aca="false">IF(AND(G21=0,H21=0),0,IF(G21=0,"New",(H21-G21)/G21))</f>
        <v>-0.34694080748743</v>
      </c>
    </row>
    <row r="22" customFormat="false" ht="15" hidden="false" customHeight="false" outlineLevel="0" collapsed="false">
      <c r="A22" s="7" t="s">
        <v>197</v>
      </c>
      <c r="B22" s="7" t="str">
        <f aca="false">IFERROR(INDEX('Source 2026'!$C:$C,MATCH($A22,'Source 2026'!$B:$B,0)),IFERROR(INDEX('Source 2025'!$C:$C,MATCH($A22,'Source 2025'!$B:$B,0)),""))</f>
        <v>S ח.בטן לאחר ניתוח</v>
      </c>
      <c r="C22" s="8" t="n">
        <f aca="false">SUMIFS('Source 2025'!$P:$P,'Source 2025'!$B:$B,$A22,'Source 2025'!$A:$A,"Quantity (units)")</f>
        <v>-10</v>
      </c>
      <c r="D22" s="8" t="n">
        <f aca="false">SUMIFS('Source 2026'!$P:$P,'Source 2026'!$B:$B,$A22,'Source 2026'!$A:$A,"Quantity (units)")</f>
        <v>-3</v>
      </c>
      <c r="E22" s="8" t="n">
        <f aca="false">D22-C22</f>
        <v>7</v>
      </c>
      <c r="F22" s="9" t="n">
        <f aca="false">IF(AND(C22=0,D22=0),0,IF(C22=0,"New",(D22-C22)/C22))</f>
        <v>-0.7</v>
      </c>
      <c r="G22" s="10" t="n">
        <f aca="false">SUMIFS('Source 2025'!$P:$P,'Source 2025'!$B:$B,$A22,'Source 2025'!$A:$A,"Amount (NIS)")</f>
        <v>-963.1</v>
      </c>
      <c r="H22" s="10" t="n">
        <f aca="false">SUMIFS('Source 2026'!$P:$P,'Source 2026'!$B:$B,$A22,'Source 2026'!$A:$A,"Amount (NIS)")</f>
        <v>-289</v>
      </c>
      <c r="I22" s="10" t="n">
        <f aca="false">H22-G22</f>
        <v>674.1</v>
      </c>
      <c r="J22" s="9" t="n">
        <f aca="false">IF(AND(G22=0,H22=0),0,IF(G22=0,"New",(H22-G22)/G22))</f>
        <v>-0.69992731803551</v>
      </c>
    </row>
    <row r="23" customFormat="false" ht="15" hidden="false" customHeight="false" outlineLevel="0" collapsed="false">
      <c r="A23" s="7" t="s">
        <v>108</v>
      </c>
      <c r="B23" s="7" t="str">
        <f aca="false">IFERROR(INDEX('Source 2026'!$C:$C,MATCH($A23,'Source 2026'!$B:$B,0)),IFERROR(INDEX('Source 2025'!$C:$C,MATCH($A23,'Source 2025'!$B:$B,0)),""))</f>
        <v>גב אפורה</v>
      </c>
      <c r="C23" s="8" t="n">
        <f aca="false">SUMIFS('Source 2025'!$P:$P,'Source 2025'!$B:$B,$A23,'Source 2025'!$A:$A,"Quantity (units)")</f>
        <v>-9</v>
      </c>
      <c r="D23" s="8" t="n">
        <f aca="false">SUMIFS('Source 2026'!$P:$P,'Source 2026'!$B:$B,$A23,'Source 2026'!$A:$A,"Quantity (units)")</f>
        <v>-3</v>
      </c>
      <c r="E23" s="8" t="n">
        <f aca="false">D23-C23</f>
        <v>6</v>
      </c>
      <c r="F23" s="9" t="n">
        <f aca="false">IF(AND(C23=0,D23=0),0,IF(C23=0,"New",(D23-C23)/C23))</f>
        <v>-0.666666666666667</v>
      </c>
      <c r="G23" s="10" t="n">
        <f aca="false">SUMIFS('Source 2025'!$P:$P,'Source 2025'!$B:$B,$A23,'Source 2025'!$A:$A,"Amount (NIS)")</f>
        <v>-893.1</v>
      </c>
      <c r="H23" s="10" t="n">
        <f aca="false">SUMIFS('Source 2026'!$P:$P,'Source 2026'!$B:$B,$A23,'Source 2026'!$A:$A,"Amount (NIS)")</f>
        <v>-297.7</v>
      </c>
      <c r="I23" s="10" t="n">
        <f aca="false">H23-G23</f>
        <v>595.4</v>
      </c>
      <c r="J23" s="9" t="n">
        <f aca="false">IF(AND(G23=0,H23=0),0,IF(G23=0,"New",(H23-G23)/G23))</f>
        <v>-0.666666666666667</v>
      </c>
    </row>
    <row r="24" customFormat="false" ht="15" hidden="false" customHeight="false" outlineLevel="0" collapsed="false">
      <c r="A24" s="7" t="s">
        <v>43</v>
      </c>
      <c r="B24" s="7" t="str">
        <f aca="false">IFERROR(INDEX('Source 2026'!$C:$C,MATCH($A24,'Source 2026'!$B:$B,0)),IFERROR(INDEX('Source 2025'!$C:$C,MATCH($A24,'Source 2025'!$B:$B,0)),""))</f>
        <v>S מגן קרסול חום</v>
      </c>
      <c r="C24" s="8" t="n">
        <f aca="false">SUMIFS('Source 2025'!$P:$P,'Source 2025'!$B:$B,$A24,'Source 2025'!$A:$A,"Quantity (units)")</f>
        <v>-35</v>
      </c>
      <c r="D24" s="8" t="n">
        <f aca="false">SUMIFS('Source 2026'!$P:$P,'Source 2026'!$B:$B,$A24,'Source 2026'!$A:$A,"Quantity (units)")</f>
        <v>-14</v>
      </c>
      <c r="E24" s="8" t="n">
        <f aca="false">D24-C24</f>
        <v>21</v>
      </c>
      <c r="F24" s="9" t="n">
        <f aca="false">IF(AND(C24=0,D24=0),0,IF(C24=0,"New",(D24-C24)/C24))</f>
        <v>-0.6</v>
      </c>
      <c r="G24" s="10" t="n">
        <f aca="false">SUMIFS('Source 2025'!$P:$P,'Source 2025'!$B:$B,$A24,'Source 2025'!$A:$A,"Amount (NIS)")</f>
        <v>-981.4</v>
      </c>
      <c r="H24" s="10" t="n">
        <f aca="false">SUMIFS('Source 2026'!$P:$P,'Source 2026'!$B:$B,$A24,'Source 2026'!$A:$A,"Amount (NIS)")</f>
        <v>-388.7</v>
      </c>
      <c r="I24" s="10" t="n">
        <f aca="false">H24-G24</f>
        <v>592.7</v>
      </c>
      <c r="J24" s="9" t="n">
        <f aca="false">IF(AND(G24=0,H24=0),0,IF(G24=0,"New",(H24-G24)/G24))</f>
        <v>-0.603933156714897</v>
      </c>
    </row>
    <row r="25" customFormat="false" ht="15" hidden="false" customHeight="false" outlineLevel="0" collapsed="false">
      <c r="A25" s="7" t="s">
        <v>58</v>
      </c>
      <c r="B25" s="7" t="str">
        <f aca="false">IFERROR(INDEX('Source 2026'!$C:$C,MATCH($A25,'Source 2026'!$B:$B,0)),IFERROR(INDEX('Source 2025'!$C:$C,MATCH($A25,'Source 2025'!$B:$B,0)),""))</f>
        <v>L מגן ברך לבן</v>
      </c>
      <c r="C25" s="8" t="n">
        <f aca="false">SUMIFS('Source 2025'!$P:$P,'Source 2025'!$B:$B,$A25,'Source 2025'!$A:$A,"Quantity (units)")</f>
        <v>-38</v>
      </c>
      <c r="D25" s="8" t="n">
        <f aca="false">SUMIFS('Source 2026'!$P:$P,'Source 2026'!$B:$B,$A25,'Source 2026'!$A:$A,"Quantity (units)")</f>
        <v>-17</v>
      </c>
      <c r="E25" s="8" t="n">
        <f aca="false">D25-C25</f>
        <v>21</v>
      </c>
      <c r="F25" s="9" t="n">
        <f aca="false">IF(AND(C25=0,D25=0),0,IF(C25=0,"New",(D25-C25)/C25))</f>
        <v>-0.552631578947369</v>
      </c>
      <c r="G25" s="10" t="n">
        <f aca="false">SUMIFS('Source 2025'!$P:$P,'Source 2025'!$B:$B,$A25,'Source 2025'!$A:$A,"Amount (NIS)")</f>
        <v>-1054.9</v>
      </c>
      <c r="H25" s="10" t="n">
        <f aca="false">SUMIFS('Source 2026'!$P:$P,'Source 2026'!$B:$B,$A25,'Source 2026'!$A:$A,"Amount (NIS)")</f>
        <v>-467.6</v>
      </c>
      <c r="I25" s="10" t="n">
        <f aca="false">H25-G25</f>
        <v>587.3</v>
      </c>
      <c r="J25" s="9" t="n">
        <f aca="false">IF(AND(G25=0,H25=0),0,IF(G25=0,"New",(H25-G25)/G25))</f>
        <v>-0.556735235567352</v>
      </c>
    </row>
    <row r="26" customFormat="false" ht="15" hidden="false" customHeight="false" outlineLevel="0" collapsed="false">
      <c r="A26" s="7" t="s">
        <v>265</v>
      </c>
      <c r="B26" s="7" t="str">
        <f aca="false">IFERROR(INDEX('Source 2026'!$C:$C,MATCH($A26,'Source 2026'!$B:$B,0)),IFERROR(INDEX('Source 2025'!$C:$C,MATCH($A26,'Source 2025'!$B:$B,0)),""))</f>
        <v>מדרס ג'ל לגבר</v>
      </c>
      <c r="C26" s="8" t="n">
        <f aca="false">SUMIFS('Source 2025'!$P:$P,'Source 2025'!$B:$B,$A26,'Source 2025'!$A:$A,"Quantity (units)")</f>
        <v>-34</v>
      </c>
      <c r="D26" s="8" t="n">
        <f aca="false">SUMIFS('Source 2026'!$P:$P,'Source 2026'!$B:$B,$A26,'Source 2026'!$A:$A,"Quantity (units)")</f>
        <v>-30</v>
      </c>
      <c r="E26" s="8" t="n">
        <f aca="false">D26-C26</f>
        <v>4</v>
      </c>
      <c r="F26" s="9" t="n">
        <f aca="false">IF(AND(C26=0,D26=0),0,IF(C26=0,"New",(D26-C26)/C26))</f>
        <v>-0.117647058823529</v>
      </c>
      <c r="G26" s="10" t="n">
        <f aca="false">SUMIFS('Source 2025'!$P:$P,'Source 2025'!$B:$B,$A26,'Source 2025'!$A:$A,"Amount (NIS)")</f>
        <v>-2549.2</v>
      </c>
      <c r="H26" s="10" t="n">
        <f aca="false">SUMIFS('Source 2026'!$P:$P,'Source 2026'!$B:$B,$A26,'Source 2026'!$A:$A,"Amount (NIS)")</f>
        <v>-2027.5</v>
      </c>
      <c r="I26" s="10" t="n">
        <f aca="false">H26-G26</f>
        <v>521.7</v>
      </c>
      <c r="J26" s="9" t="n">
        <f aca="false">IF(AND(G26=0,H26=0),0,IF(G26=0,"New",(H26-G26)/G26))</f>
        <v>-0.204652439981171</v>
      </c>
    </row>
    <row r="27" customFormat="false" ht="15" hidden="false" customHeight="false" outlineLevel="0" collapsed="false">
      <c r="A27" s="7" t="s">
        <v>187</v>
      </c>
      <c r="B27" s="7" t="str">
        <f aca="false">IFERROR(INDEX('Source 2026'!$C:$C,MATCH($A27,'Source 2026'!$B:$B,0)),IFERROR(INDEX('Source 2025'!$C:$C,MATCH($A27,'Source 2025'!$B:$B,0)),""))</f>
        <v>M חבק יד אגודלי</v>
      </c>
      <c r="C27" s="8" t="n">
        <f aca="false">SUMIFS('Source 2025'!$P:$P,'Source 2025'!$B:$B,$A27,'Source 2025'!$A:$A,"Quantity (units)")</f>
        <v>-8</v>
      </c>
      <c r="D27" s="8" t="n">
        <f aca="false">SUMIFS('Source 2026'!$P:$P,'Source 2026'!$B:$B,$A27,'Source 2026'!$A:$A,"Quantity (units)")</f>
        <v>-1</v>
      </c>
      <c r="E27" s="8" t="n">
        <f aca="false">D27-C27</f>
        <v>7</v>
      </c>
      <c r="F27" s="9" t="n">
        <f aca="false">IF(AND(C27=0,D27=0),0,IF(C27=0,"New",(D27-C27)/C27))</f>
        <v>-0.875</v>
      </c>
      <c r="G27" s="10" t="n">
        <f aca="false">SUMIFS('Source 2025'!$P:$P,'Source 2025'!$B:$B,$A27,'Source 2025'!$A:$A,"Amount (NIS)")</f>
        <v>-585</v>
      </c>
      <c r="H27" s="10" t="n">
        <f aca="false">SUMIFS('Source 2026'!$P:$P,'Source 2026'!$B:$B,$A27,'Source 2026'!$A:$A,"Amount (NIS)")</f>
        <v>-68.5</v>
      </c>
      <c r="I27" s="10" t="n">
        <f aca="false">H27-G27</f>
        <v>516.5</v>
      </c>
      <c r="J27" s="9" t="n">
        <f aca="false">IF(AND(G27=0,H27=0),0,IF(G27=0,"New",(H27-G27)/G27))</f>
        <v>-0.882905982905983</v>
      </c>
    </row>
    <row r="28" customFormat="false" ht="15" hidden="false" customHeight="false" outlineLevel="0" collapsed="false">
      <c r="A28" s="7" t="s">
        <v>352</v>
      </c>
      <c r="B28" s="7" t="str">
        <f aca="false">IFERROR(INDEX('Source 2026'!$C:$C,MATCH($A28,'Source 2026'!$B:$B,0)),IFERROR(INDEX('Source 2025'!$C:$C,MATCH($A28,'Source 2025'!$B:$B,0)),""))</f>
        <v>Mמגן קרסול+ צמדן</v>
      </c>
      <c r="C28" s="8" t="n">
        <f aca="false">SUMIFS('Source 2025'!$P:$P,'Source 2025'!$B:$B,$A28,'Source 2025'!$A:$A,"Quantity (units)")</f>
        <v>-8</v>
      </c>
      <c r="D28" s="8" t="n">
        <f aca="false">SUMIFS('Source 2026'!$P:$P,'Source 2026'!$B:$B,$A28,'Source 2026'!$A:$A,"Quantity (units)")</f>
        <v>0</v>
      </c>
      <c r="E28" s="8" t="n">
        <f aca="false">D28-C28</f>
        <v>8</v>
      </c>
      <c r="F28" s="9" t="n">
        <f aca="false">IF(AND(C28=0,D28=0),0,IF(C28=0,"New",(D28-C28)/C28))</f>
        <v>-1</v>
      </c>
      <c r="G28" s="10" t="n">
        <f aca="false">SUMIFS('Source 2025'!$P:$P,'Source 2025'!$B:$B,$A28,'Source 2025'!$A:$A,"Amount (NIS)")</f>
        <v>-509.9</v>
      </c>
      <c r="H28" s="10" t="n">
        <f aca="false">SUMIFS('Source 2026'!$P:$P,'Source 2026'!$B:$B,$A28,'Source 2026'!$A:$A,"Amount (NIS)")</f>
        <v>0</v>
      </c>
      <c r="I28" s="10" t="n">
        <f aca="false">H28-G28</f>
        <v>509.9</v>
      </c>
      <c r="J28" s="9" t="n">
        <f aca="false">IF(AND(G28=0,H28=0),0,IF(G28=0,"New",(H28-G28)/G28))</f>
        <v>-1</v>
      </c>
    </row>
    <row r="29" customFormat="false" ht="15" hidden="false" customHeight="false" outlineLevel="0" collapsed="false">
      <c r="A29" s="7" t="s">
        <v>61</v>
      </c>
      <c r="B29" s="7" t="str">
        <f aca="false">IFERROR(INDEX('Source 2026'!$C:$C,MATCH($A29,'Source 2026'!$B:$B,0)),IFERROR(INDEX('Source 2025'!$C:$C,MATCH($A29,'Source 2025'!$B:$B,0)),""))</f>
        <v>חגורת גב אפורה</v>
      </c>
      <c r="C29" s="8" t="n">
        <f aca="false">SUMIFS('Source 2025'!$P:$P,'Source 2025'!$B:$B,$A29,'Source 2025'!$A:$A,"Quantity (units)")</f>
        <v>-10</v>
      </c>
      <c r="D29" s="8" t="n">
        <f aca="false">SUMIFS('Source 2026'!$P:$P,'Source 2026'!$B:$B,$A29,'Source 2026'!$A:$A,"Quantity (units)")</f>
        <v>-5</v>
      </c>
      <c r="E29" s="8" t="n">
        <f aca="false">D29-C29</f>
        <v>5</v>
      </c>
      <c r="F29" s="9" t="n">
        <f aca="false">IF(AND(C29=0,D29=0),0,IF(C29=0,"New",(D29-C29)/C29))</f>
        <v>-0.5</v>
      </c>
      <c r="G29" s="10" t="n">
        <f aca="false">SUMIFS('Source 2025'!$P:$P,'Source 2025'!$B:$B,$A29,'Source 2025'!$A:$A,"Amount (NIS)")</f>
        <v>-992.3</v>
      </c>
      <c r="H29" s="10" t="n">
        <f aca="false">SUMIFS('Source 2026'!$P:$P,'Source 2026'!$B:$B,$A29,'Source 2026'!$A:$A,"Amount (NIS)")</f>
        <v>-496.2</v>
      </c>
      <c r="I29" s="10" t="n">
        <f aca="false">H29-G29</f>
        <v>496.1</v>
      </c>
      <c r="J29" s="9" t="n">
        <f aca="false">IF(AND(G29=0,H29=0),0,IF(G29=0,"New",(H29-G29)/G29))</f>
        <v>-0.499949612012496</v>
      </c>
    </row>
    <row r="30" customFormat="false" ht="15" hidden="false" customHeight="false" outlineLevel="0" collapsed="false">
      <c r="A30" s="7" t="s">
        <v>100</v>
      </c>
      <c r="B30" s="7" t="str">
        <f aca="false">IFERROR(INDEX('Source 2026'!$C:$C,MATCH($A30,'Source 2026'!$B:$B,0)),IFERROR(INDEX('Source 2025'!$C:$C,MATCH($A30,'Source 2025'!$B:$B,0)),""))</f>
        <v>L חבק יד מתכוון עם צמדן</v>
      </c>
      <c r="C30" s="8" t="n">
        <f aca="false">SUMIFS('Source 2025'!$P:$P,'Source 2025'!$B:$B,$A30,'Source 2025'!$A:$A,"Quantity (units)")</f>
        <v>-30</v>
      </c>
      <c r="D30" s="8" t="n">
        <f aca="false">SUMIFS('Source 2026'!$P:$P,'Source 2026'!$B:$B,$A30,'Source 2026'!$A:$A,"Quantity (units)")</f>
        <v>-12</v>
      </c>
      <c r="E30" s="8" t="n">
        <f aca="false">D30-C30</f>
        <v>18</v>
      </c>
      <c r="F30" s="9" t="n">
        <f aca="false">IF(AND(C30=0,D30=0),0,IF(C30=0,"New",(D30-C30)/C30))</f>
        <v>-0.6</v>
      </c>
      <c r="G30" s="10" t="n">
        <f aca="false">SUMIFS('Source 2025'!$P:$P,'Source 2025'!$B:$B,$A30,'Source 2025'!$A:$A,"Amount (NIS)")</f>
        <v>-817.1</v>
      </c>
      <c r="H30" s="10" t="n">
        <f aca="false">SUMIFS('Source 2026'!$P:$P,'Source 2026'!$B:$B,$A30,'Source 2026'!$A:$A,"Amount (NIS)")</f>
        <v>-325.6</v>
      </c>
      <c r="I30" s="10" t="n">
        <f aca="false">H30-G30</f>
        <v>491.5</v>
      </c>
      <c r="J30" s="9" t="n">
        <f aca="false">IF(AND(G30=0,H30=0),0,IF(G30=0,"New",(H30-G30)/G30))</f>
        <v>-0.601517562109901</v>
      </c>
    </row>
    <row r="31" customFormat="false" ht="15" hidden="false" customHeight="false" outlineLevel="0" collapsed="false">
      <c r="A31" s="7" t="s">
        <v>69</v>
      </c>
      <c r="B31" s="7" t="str">
        <f aca="false">IFERROR(INDEX('Source 2026'!$C:$C,MATCH($A31,'Source 2026'!$B:$B,0)),IFERROR(INDEX('Source 2025'!$C:$C,MATCH($A31,'Source 2025'!$B:$B,0)),""))</f>
        <v>לציפורן חודרנית</v>
      </c>
      <c r="C31" s="8" t="n">
        <f aca="false">SUMIFS('Source 2025'!$P:$P,'Source 2025'!$B:$B,$A31,'Source 2025'!$A:$A,"Quantity (units)")</f>
        <v>-16</v>
      </c>
      <c r="D31" s="8" t="n">
        <f aca="false">SUMIFS('Source 2026'!$P:$P,'Source 2026'!$B:$B,$A31,'Source 2026'!$A:$A,"Quantity (units)")</f>
        <v>-3</v>
      </c>
      <c r="E31" s="8" t="n">
        <f aca="false">D31-C31</f>
        <v>13</v>
      </c>
      <c r="F31" s="9" t="n">
        <f aca="false">IF(AND(C31=0,D31=0),0,IF(C31=0,"New",(D31-C31)/C31))</f>
        <v>-0.8125</v>
      </c>
      <c r="G31" s="10" t="n">
        <f aca="false">SUMIFS('Source 2025'!$P:$P,'Source 2025'!$B:$B,$A31,'Source 2025'!$A:$A,"Amount (NIS)")</f>
        <v>-538.9</v>
      </c>
      <c r="H31" s="10" t="n">
        <f aca="false">SUMIFS('Source 2026'!$P:$P,'Source 2026'!$B:$B,$A31,'Source 2026'!$A:$A,"Amount (NIS)")</f>
        <v>-101</v>
      </c>
      <c r="I31" s="10" t="n">
        <f aca="false">H31-G31</f>
        <v>437.9</v>
      </c>
      <c r="J31" s="9" t="n">
        <f aca="false">IF(AND(G31=0,H31=0),0,IF(G31=0,"New",(H31-G31)/G31))</f>
        <v>-0.812581183893116</v>
      </c>
    </row>
    <row r="32" customFormat="false" ht="15" hidden="false" customHeight="false" outlineLevel="0" collapsed="false">
      <c r="A32" s="7" t="s">
        <v>44</v>
      </c>
      <c r="B32" s="7" t="str">
        <f aca="false">IFERROR(INDEX('Source 2026'!$C:$C,MATCH($A32,'Source 2026'!$B:$B,0)),IFERROR(INDEX('Source 2025'!$C:$C,MATCH($A32,'Source 2025'!$B:$B,0)),""))</f>
        <v>S  חבק יד ארוך</v>
      </c>
      <c r="C32" s="8" t="n">
        <f aca="false">SUMIFS('Source 2025'!$P:$P,'Source 2025'!$B:$B,$A32,'Source 2025'!$A:$A,"Quantity (units)")</f>
        <v>-28</v>
      </c>
      <c r="D32" s="8" t="n">
        <f aca="false">SUMIFS('Source 2026'!$P:$P,'Source 2026'!$B:$B,$A32,'Source 2026'!$A:$A,"Quantity (units)")</f>
        <v>-16</v>
      </c>
      <c r="E32" s="8" t="n">
        <f aca="false">D32-C32</f>
        <v>12</v>
      </c>
      <c r="F32" s="9" t="n">
        <f aca="false">IF(AND(C32=0,D32=0),0,IF(C32=0,"New",(D32-C32)/C32))</f>
        <v>-0.428571428571429</v>
      </c>
      <c r="G32" s="10" t="n">
        <f aca="false">SUMIFS('Source 2025'!$P:$P,'Source 2025'!$B:$B,$A32,'Source 2025'!$A:$A,"Amount (NIS)")</f>
        <v>-992.1</v>
      </c>
      <c r="H32" s="10" t="n">
        <f aca="false">SUMIFS('Source 2026'!$P:$P,'Source 2026'!$B:$B,$A32,'Source 2026'!$A:$A,"Amount (NIS)")</f>
        <v>-564.1</v>
      </c>
      <c r="I32" s="10" t="n">
        <f aca="false">H32-G32</f>
        <v>428</v>
      </c>
      <c r="J32" s="9" t="n">
        <f aca="false">IF(AND(G32=0,H32=0),0,IF(G32=0,"New",(H32-G32)/G32))</f>
        <v>-0.43140812418103</v>
      </c>
    </row>
    <row r="33" customFormat="false" ht="15" hidden="false" customHeight="false" outlineLevel="0" collapsed="false">
      <c r="A33" s="7" t="s">
        <v>82</v>
      </c>
      <c r="B33" s="7" t="str">
        <f aca="false">IFERROR(INDEX('Source 2026'!$C:$C,MATCH($A33,'Source 2026'!$B:$B,0)),IFERROR(INDEX('Source 2025'!$C:$C,MATCH($A33,'Source 2025'!$B:$B,0)),""))</f>
        <v>S-L אצבעון מסיליקון יחידה</v>
      </c>
      <c r="C33" s="8" t="n">
        <f aca="false">SUMIFS('Source 2025'!$P:$P,'Source 2025'!$B:$B,$A33,'Source 2025'!$A:$A,"Quantity (units)")</f>
        <v>-21</v>
      </c>
      <c r="D33" s="8" t="n">
        <f aca="false">SUMIFS('Source 2026'!$P:$P,'Source 2026'!$B:$B,$A33,'Source 2026'!$A:$A,"Quantity (units)")</f>
        <v>-3</v>
      </c>
      <c r="E33" s="8" t="n">
        <f aca="false">D33-C33</f>
        <v>18</v>
      </c>
      <c r="F33" s="9" t="n">
        <f aca="false">IF(AND(C33=0,D33=0),0,IF(C33=0,"New",(D33-C33)/C33))</f>
        <v>-0.857142857142857</v>
      </c>
      <c r="G33" s="10" t="n">
        <f aca="false">SUMIFS('Source 2025'!$P:$P,'Source 2025'!$B:$B,$A33,'Source 2025'!$A:$A,"Amount (NIS)")</f>
        <v>-474.8</v>
      </c>
      <c r="H33" s="10" t="n">
        <f aca="false">SUMIFS('Source 2026'!$P:$P,'Source 2026'!$B:$B,$A33,'Source 2026'!$A:$A,"Amount (NIS)")</f>
        <v>-64</v>
      </c>
      <c r="I33" s="10" t="n">
        <f aca="false">H33-G33</f>
        <v>410.8</v>
      </c>
      <c r="J33" s="9" t="n">
        <f aca="false">IF(AND(G33=0,H33=0),0,IF(G33=0,"New",(H33-G33)/G33))</f>
        <v>-0.865206402695872</v>
      </c>
    </row>
    <row r="34" customFormat="false" ht="15" hidden="false" customHeight="false" outlineLevel="0" collapsed="false">
      <c r="A34" s="7" t="s">
        <v>73</v>
      </c>
      <c r="B34" s="7" t="str">
        <f aca="false">IFERROR(INDEX('Source 2026'!$C:$C,MATCH($A34,'Source 2026'!$B:$B,0)),IFERROR(INDEX('Source 2025'!$C:$C,MATCH($A34,'Source 2025'!$B:$B,0)),""))</f>
        <v>L צוארון ספוגי</v>
      </c>
      <c r="C34" s="8" t="n">
        <f aca="false">SUMIFS('Source 2025'!$P:$P,'Source 2025'!$B:$B,$A34,'Source 2025'!$A:$A,"Quantity (units)")</f>
        <v>-12</v>
      </c>
      <c r="D34" s="8" t="n">
        <f aca="false">SUMIFS('Source 2026'!$P:$P,'Source 2026'!$B:$B,$A34,'Source 2026'!$A:$A,"Quantity (units)")</f>
        <v>-5</v>
      </c>
      <c r="E34" s="8" t="n">
        <f aca="false">D34-C34</f>
        <v>7</v>
      </c>
      <c r="F34" s="9" t="n">
        <f aca="false">IF(AND(C34=0,D34=0),0,IF(C34=0,"New",(D34-C34)/C34))</f>
        <v>-0.583333333333333</v>
      </c>
      <c r="G34" s="10" t="n">
        <f aca="false">SUMIFS('Source 2025'!$P:$P,'Source 2025'!$B:$B,$A34,'Source 2025'!$A:$A,"Amount (NIS)")</f>
        <v>-559.1</v>
      </c>
      <c r="H34" s="10" t="n">
        <f aca="false">SUMIFS('Source 2026'!$P:$P,'Source 2026'!$B:$B,$A34,'Source 2026'!$A:$A,"Amount (NIS)")</f>
        <v>-161.5</v>
      </c>
      <c r="I34" s="10" t="n">
        <f aca="false">H34-G34</f>
        <v>397.6</v>
      </c>
      <c r="J34" s="9" t="n">
        <f aca="false">IF(AND(G34=0,H34=0),0,IF(G34=0,"New",(H34-G34)/G34))</f>
        <v>-0.711142908245394</v>
      </c>
    </row>
    <row r="35" customFormat="false" ht="15" hidden="false" customHeight="false" outlineLevel="0" collapsed="false">
      <c r="A35" s="7" t="s">
        <v>54</v>
      </c>
      <c r="B35" s="7" t="str">
        <f aca="false">IFERROR(INDEX('Source 2026'!$C:$C,MATCH($A35,'Source 2026'!$B:$B,0)),IFERROR(INDEX('Source 2025'!$C:$C,MATCH($A35,'Source 2025'!$B:$B,0)),""))</f>
        <v>גב אפורה</v>
      </c>
      <c r="C35" s="8" t="n">
        <f aca="false">SUMIFS('Source 2025'!$P:$P,'Source 2025'!$B:$B,$A35,'Source 2025'!$A:$A,"Quantity (units)")</f>
        <v>-7</v>
      </c>
      <c r="D35" s="8" t="n">
        <f aca="false">SUMIFS('Source 2026'!$P:$P,'Source 2026'!$B:$B,$A35,'Source 2026'!$A:$A,"Quantity (units)")</f>
        <v>-3</v>
      </c>
      <c r="E35" s="8" t="n">
        <f aca="false">D35-C35</f>
        <v>4</v>
      </c>
      <c r="F35" s="9" t="n">
        <f aca="false">IF(AND(C35=0,D35=0),0,IF(C35=0,"New",(D35-C35)/C35))</f>
        <v>-0.571428571428571</v>
      </c>
      <c r="G35" s="10" t="n">
        <f aca="false">SUMIFS('Source 2025'!$P:$P,'Source 2025'!$B:$B,$A35,'Source 2025'!$A:$A,"Amount (NIS)")</f>
        <v>-694.6</v>
      </c>
      <c r="H35" s="10" t="n">
        <f aca="false">SUMIFS('Source 2026'!$P:$P,'Source 2026'!$B:$B,$A35,'Source 2026'!$A:$A,"Amount (NIS)")</f>
        <v>-297.7</v>
      </c>
      <c r="I35" s="10" t="n">
        <f aca="false">H35-G35</f>
        <v>396.9</v>
      </c>
      <c r="J35" s="9" t="n">
        <f aca="false">IF(AND(G35=0,H35=0),0,IF(G35=0,"New",(H35-G35)/G35))</f>
        <v>-0.571408004606968</v>
      </c>
    </row>
    <row r="36" customFormat="false" ht="15" hidden="false" customHeight="false" outlineLevel="0" collapsed="false">
      <c r="A36" s="7" t="s">
        <v>329</v>
      </c>
      <c r="B36" s="7" t="str">
        <f aca="false">IFERROR(INDEX('Source 2026'!$C:$C,MATCH($A36,'Source 2026'!$B:$B,0)),IFERROR(INDEX('Source 2025'!$C:$C,MATCH($A36,'Source 2025'!$B:$B,0)),""))</f>
        <v>S מגן מרפק רגיל</v>
      </c>
      <c r="C36" s="8" t="n">
        <f aca="false">SUMIFS('Source 2025'!$P:$P,'Source 2025'!$B:$B,$A36,'Source 2025'!$A:$A,"Quantity (units)")</f>
        <v>-4</v>
      </c>
      <c r="D36" s="8" t="n">
        <f aca="false">SUMIFS('Source 2026'!$P:$P,'Source 2026'!$B:$B,$A36,'Source 2026'!$A:$A,"Quantity (units)")</f>
        <v>0</v>
      </c>
      <c r="E36" s="8" t="n">
        <f aca="false">D36-C36</f>
        <v>4</v>
      </c>
      <c r="F36" s="9" t="n">
        <f aca="false">IF(AND(C36=0,D36=0),0,IF(C36=0,"New",(D36-C36)/C36))</f>
        <v>-1</v>
      </c>
      <c r="G36" s="10" t="n">
        <f aca="false">SUMIFS('Source 2025'!$P:$P,'Source 2025'!$B:$B,$A36,'Source 2025'!$A:$A,"Amount (NIS)")</f>
        <v>-390.6</v>
      </c>
      <c r="H36" s="10" t="n">
        <f aca="false">SUMIFS('Source 2026'!$P:$P,'Source 2026'!$B:$B,$A36,'Source 2026'!$A:$A,"Amount (NIS)")</f>
        <v>0</v>
      </c>
      <c r="I36" s="10" t="n">
        <f aca="false">H36-G36</f>
        <v>390.6</v>
      </c>
      <c r="J36" s="9" t="n">
        <f aca="false">IF(AND(G36=0,H36=0),0,IF(G36=0,"New",(H36-G36)/G36))</f>
        <v>-1</v>
      </c>
    </row>
    <row r="37" customFormat="false" ht="15" hidden="false" customHeight="false" outlineLevel="0" collapsed="false">
      <c r="A37" s="7" t="s">
        <v>49</v>
      </c>
      <c r="B37" s="7" t="str">
        <f aca="false">IFERROR(INDEX('Source 2026'!$C:$C,MATCH($A37,'Source 2026'!$B:$B,0)),IFERROR(INDEX('Source 2025'!$C:$C,MATCH($A37,'Source 2025'!$B:$B,0)),""))</f>
        <v>S מגן ברך חום</v>
      </c>
      <c r="C37" s="8" t="n">
        <f aca="false">SUMIFS('Source 2025'!$P:$P,'Source 2025'!$B:$B,$A37,'Source 2025'!$A:$A,"Quantity (units)")</f>
        <v>-31</v>
      </c>
      <c r="D37" s="8" t="n">
        <f aca="false">SUMIFS('Source 2026'!$P:$P,'Source 2026'!$B:$B,$A37,'Source 2026'!$A:$A,"Quantity (units)")</f>
        <v>-17</v>
      </c>
      <c r="E37" s="8" t="n">
        <f aca="false">D37-C37</f>
        <v>14</v>
      </c>
      <c r="F37" s="9" t="n">
        <f aca="false">IF(AND(C37=0,D37=0),0,IF(C37=0,"New",(D37-C37)/C37))</f>
        <v>-0.451612903225806</v>
      </c>
      <c r="G37" s="10" t="n">
        <f aca="false">SUMIFS('Source 2025'!$P:$P,'Source 2025'!$B:$B,$A37,'Source 2025'!$A:$A,"Amount (NIS)")</f>
        <v>-860.5</v>
      </c>
      <c r="H37" s="10" t="n">
        <f aca="false">SUMIFS('Source 2026'!$P:$P,'Source 2026'!$B:$B,$A37,'Source 2026'!$A:$A,"Amount (NIS)")</f>
        <v>-471.9</v>
      </c>
      <c r="I37" s="10" t="n">
        <f aca="false">H37-G37</f>
        <v>388.6</v>
      </c>
      <c r="J37" s="9" t="n">
        <f aca="false">IF(AND(G37=0,H37=0),0,IF(G37=0,"New",(H37-G37)/G37))</f>
        <v>-0.451597908192911</v>
      </c>
    </row>
    <row r="38" customFormat="false" ht="15" hidden="false" customHeight="false" outlineLevel="0" collapsed="false">
      <c r="A38" s="7" t="s">
        <v>77</v>
      </c>
      <c r="B38" s="7" t="str">
        <f aca="false">IFERROR(INDEX('Source 2026'!$C:$C,MATCH($A38,'Source 2026'!$B:$B,0)),IFERROR(INDEX('Source 2025'!$C:$C,MATCH($A38,'Source 2025'!$B:$B,0)),""))</f>
        <v>S מקבע כתף ויד</v>
      </c>
      <c r="C38" s="8" t="n">
        <f aca="false">SUMIFS('Source 2025'!$P:$P,'Source 2025'!$B:$B,$A38,'Source 2025'!$A:$A,"Quantity (units)")</f>
        <v>-2</v>
      </c>
      <c r="D38" s="8" t="n">
        <f aca="false">SUMIFS('Source 2026'!$P:$P,'Source 2026'!$B:$B,$A38,'Source 2026'!$A:$A,"Quantity (units)")</f>
        <v>0</v>
      </c>
      <c r="E38" s="8" t="n">
        <f aca="false">D38-C38</f>
        <v>2</v>
      </c>
      <c r="F38" s="9" t="n">
        <f aca="false">IF(AND(C38=0,D38=0),0,IF(C38=0,"New",(D38-C38)/C38))</f>
        <v>-1</v>
      </c>
      <c r="G38" s="10" t="n">
        <f aca="false">SUMIFS('Source 2025'!$P:$P,'Source 2025'!$B:$B,$A38,'Source 2025'!$A:$A,"Amount (NIS)")</f>
        <v>-352.8</v>
      </c>
      <c r="H38" s="10" t="n">
        <f aca="false">SUMIFS('Source 2026'!$P:$P,'Source 2026'!$B:$B,$A38,'Source 2026'!$A:$A,"Amount (NIS)")</f>
        <v>0</v>
      </c>
      <c r="I38" s="10" t="n">
        <f aca="false">H38-G38</f>
        <v>352.8</v>
      </c>
      <c r="J38" s="9" t="n">
        <f aca="false">IF(AND(G38=0,H38=0),0,IF(G38=0,"New",(H38-G38)/G38))</f>
        <v>-1</v>
      </c>
    </row>
    <row r="39" customFormat="false" ht="15" hidden="false" customHeight="false" outlineLevel="0" collapsed="false">
      <c r="A39" s="7" t="s">
        <v>254</v>
      </c>
      <c r="B39" s="7" t="str">
        <f aca="false">IFERROR(INDEX('Source 2026'!$C:$C,MATCH($A39,'Source 2026'!$B:$B,0)),IFERROR(INDEX('Source 2025'!$C:$C,MATCH($A39,'Source 2025'!$B:$B,0)),""))</f>
        <v>L מיצב פיקה</v>
      </c>
      <c r="C39" s="8" t="n">
        <f aca="false">SUMIFS('Source 2025'!$P:$P,'Source 2025'!$B:$B,$A39,'Source 2025'!$A:$A,"Quantity (units)")</f>
        <v>-4</v>
      </c>
      <c r="D39" s="8" t="n">
        <f aca="false">SUMIFS('Source 2026'!$P:$P,'Source 2026'!$B:$B,$A39,'Source 2026'!$A:$A,"Quantity (units)")</f>
        <v>0</v>
      </c>
      <c r="E39" s="8" t="n">
        <f aca="false">D39-C39</f>
        <v>4</v>
      </c>
      <c r="F39" s="9" t="n">
        <f aca="false">IF(AND(C39=0,D39=0),0,IF(C39=0,"New",(D39-C39)/C39))</f>
        <v>-1</v>
      </c>
      <c r="G39" s="10" t="n">
        <f aca="false">SUMIFS('Source 2025'!$P:$P,'Source 2025'!$B:$B,$A39,'Source 2025'!$A:$A,"Amount (NIS)")</f>
        <v>-352.8</v>
      </c>
      <c r="H39" s="10" t="n">
        <f aca="false">SUMIFS('Source 2026'!$P:$P,'Source 2026'!$B:$B,$A39,'Source 2026'!$A:$A,"Amount (NIS)")</f>
        <v>0</v>
      </c>
      <c r="I39" s="10" t="n">
        <f aca="false">H39-G39</f>
        <v>352.8</v>
      </c>
      <c r="J39" s="9" t="n">
        <f aca="false">IF(AND(G39=0,H39=0),0,IF(G39=0,"New",(H39-G39)/G39))</f>
        <v>-1</v>
      </c>
    </row>
    <row r="40" customFormat="false" ht="15" hidden="false" customHeight="false" outlineLevel="0" collapsed="false">
      <c r="A40" s="7" t="s">
        <v>193</v>
      </c>
      <c r="B40" s="7" t="str">
        <f aca="false">IFERROR(INDEX('Source 2026'!$C:$C,MATCH($A40,'Source 2026'!$B:$B,0)),IFERROR(INDEX('Source 2025'!$C:$C,MATCH($A40,'Source 2025'!$B:$B,0)),""))</f>
        <v>Sמ.ברך מוצלב+ספירלות בצדדים</v>
      </c>
      <c r="C40" s="8" t="n">
        <f aca="false">SUMIFS('Source 2025'!$P:$P,'Source 2025'!$B:$B,$A40,'Source 2025'!$A:$A,"Quantity (units)")</f>
        <v>-1</v>
      </c>
      <c r="D40" s="8" t="n">
        <f aca="false">SUMIFS('Source 2026'!$P:$P,'Source 2026'!$B:$B,$A40,'Source 2026'!$A:$A,"Quantity (units)")</f>
        <v>-3</v>
      </c>
      <c r="E40" s="8" t="n">
        <f aca="false">D40-C40</f>
        <v>-2</v>
      </c>
      <c r="F40" s="9" t="n">
        <f aca="false">IF(AND(C40=0,D40=0),0,IF(C40=0,"New",(D40-C40)/C40))</f>
        <v>2</v>
      </c>
      <c r="G40" s="10" t="n">
        <f aca="false">SUMIFS('Source 2025'!$P:$P,'Source 2025'!$B:$B,$A40,'Source 2025'!$A:$A,"Amount (NIS)")</f>
        <v>-114.7</v>
      </c>
      <c r="H40" s="10" t="n">
        <f aca="false">SUMIFS('Source 2026'!$P:$P,'Source 2026'!$B:$B,$A40,'Source 2026'!$A:$A,"Amount (NIS)")</f>
        <v>-452.1</v>
      </c>
      <c r="I40" s="10" t="n">
        <f aca="false">H40-G40</f>
        <v>-337.4</v>
      </c>
      <c r="J40" s="9" t="n">
        <f aca="false">IF(AND(G40=0,H40=0),0,IF(G40=0,"New",(H40-G40)/G40))</f>
        <v>2.94158674803836</v>
      </c>
    </row>
    <row r="41" customFormat="false" ht="15" hidden="false" customHeight="false" outlineLevel="0" collapsed="false">
      <c r="A41" s="7" t="s">
        <v>74</v>
      </c>
      <c r="B41" s="7" t="str">
        <f aca="false">IFERROR(INDEX('Source 2026'!$C:$C,MATCH($A41,'Source 2026'!$B:$B,0)),IFERROR(INDEX('Source 2025'!$C:$C,MATCH($A41,'Source 2025'!$B:$B,0)),""))</f>
        <v>L מגן מרפק רגיל לבן</v>
      </c>
      <c r="C41" s="8" t="n">
        <f aca="false">SUMIFS('Source 2025'!$P:$P,'Source 2025'!$B:$B,$A41,'Source 2025'!$A:$A,"Quantity (units)")</f>
        <v>-33</v>
      </c>
      <c r="D41" s="8" t="n">
        <f aca="false">SUMIFS('Source 2026'!$P:$P,'Source 2026'!$B:$B,$A41,'Source 2026'!$A:$A,"Quantity (units)")</f>
        <v>-21</v>
      </c>
      <c r="E41" s="8" t="n">
        <f aca="false">D41-C41</f>
        <v>12</v>
      </c>
      <c r="F41" s="9" t="n">
        <f aca="false">IF(AND(C41=0,D41=0),0,IF(C41=0,"New",(D41-C41)/C41))</f>
        <v>-0.363636363636364</v>
      </c>
      <c r="G41" s="10" t="n">
        <f aca="false">SUMIFS('Source 2025'!$P:$P,'Source 2025'!$B:$B,$A41,'Source 2025'!$A:$A,"Amount (NIS)")</f>
        <v>-920</v>
      </c>
      <c r="H41" s="10" t="n">
        <f aca="false">SUMIFS('Source 2026'!$P:$P,'Source 2026'!$B:$B,$A41,'Source 2026'!$A:$A,"Amount (NIS)")</f>
        <v>-582.9</v>
      </c>
      <c r="I41" s="10" t="n">
        <f aca="false">H41-G41</f>
        <v>337.1</v>
      </c>
      <c r="J41" s="9" t="n">
        <f aca="false">IF(AND(G41=0,H41=0),0,IF(G41=0,"New",(H41-G41)/G41))</f>
        <v>-0.366413043478261</v>
      </c>
    </row>
    <row r="42" customFormat="false" ht="15" hidden="false" customHeight="false" outlineLevel="0" collapsed="false">
      <c r="A42" s="7" t="s">
        <v>89</v>
      </c>
      <c r="B42" s="7" t="str">
        <f aca="false">IFERROR(INDEX('Source 2026'!$C:$C,MATCH($A42,'Source 2026'!$B:$B,0)),IFERROR(INDEX('Source 2025'!$C:$C,MATCH($A42,'Source 2025'!$B:$B,0)),""))</f>
        <v>מדרס אורטופ.מתכוון35-36</v>
      </c>
      <c r="C42" s="8" t="n">
        <f aca="false">SUMIFS('Source 2025'!$P:$P,'Source 2025'!$B:$B,$A42,'Source 2025'!$A:$A,"Quantity (units)")</f>
        <v>-1</v>
      </c>
      <c r="D42" s="8" t="n">
        <f aca="false">SUMIFS('Source 2026'!$P:$P,'Source 2026'!$B:$B,$A42,'Source 2026'!$A:$A,"Quantity (units)")</f>
        <v>-5</v>
      </c>
      <c r="E42" s="8" t="n">
        <f aca="false">D42-C42</f>
        <v>-4</v>
      </c>
      <c r="F42" s="9" t="n">
        <f aca="false">IF(AND(C42=0,D42=0),0,IF(C42=0,"New",(D42-C42)/C42))</f>
        <v>4</v>
      </c>
      <c r="G42" s="10" t="n">
        <f aca="false">SUMIFS('Source 2025'!$P:$P,'Source 2025'!$B:$B,$A42,'Source 2025'!$A:$A,"Amount (NIS)")</f>
        <v>-70</v>
      </c>
      <c r="H42" s="10" t="n">
        <f aca="false">SUMIFS('Source 2026'!$P:$P,'Source 2026'!$B:$B,$A42,'Source 2026'!$A:$A,"Amount (NIS)")</f>
        <v>-404.8</v>
      </c>
      <c r="I42" s="10" t="n">
        <f aca="false">H42-G42</f>
        <v>-334.8</v>
      </c>
      <c r="J42" s="9" t="n">
        <f aca="false">IF(AND(G42=0,H42=0),0,IF(G42=0,"New",(H42-G42)/G42))</f>
        <v>4.78285714285714</v>
      </c>
    </row>
    <row r="43" customFormat="false" ht="15" hidden="false" customHeight="false" outlineLevel="0" collapsed="false">
      <c r="A43" s="7" t="s">
        <v>46</v>
      </c>
      <c r="B43" s="7" t="str">
        <f aca="false">IFERROR(INDEX('Source 2026'!$C:$C,MATCH($A43,'Source 2026'!$B:$B,0)),IFERROR(INDEX('Source 2025'!$C:$C,MATCH($A43,'Source 2025'!$B:$B,0)),""))</f>
        <v>35-38 גרבי טיסה מידה</v>
      </c>
      <c r="C43" s="8" t="n">
        <f aca="false">SUMIFS('Source 2025'!$P:$P,'Source 2025'!$B:$B,$A43,'Source 2025'!$A:$A,"Quantity (units)")</f>
        <v>-13</v>
      </c>
      <c r="D43" s="8" t="n">
        <f aca="false">SUMIFS('Source 2026'!$P:$P,'Source 2026'!$B:$B,$A43,'Source 2026'!$A:$A,"Quantity (units)")</f>
        <v>-7</v>
      </c>
      <c r="E43" s="8" t="n">
        <f aca="false">D43-C43</f>
        <v>6</v>
      </c>
      <c r="F43" s="9" t="n">
        <f aca="false">IF(AND(C43=0,D43=0),0,IF(C43=0,"New",(D43-C43)/C43))</f>
        <v>-0.461538461538462</v>
      </c>
      <c r="G43" s="10" t="n">
        <f aca="false">SUMIFS('Source 2025'!$P:$P,'Source 2025'!$B:$B,$A43,'Source 2025'!$A:$A,"Amount (NIS)")</f>
        <v>-725.3</v>
      </c>
      <c r="H43" s="10" t="n">
        <f aca="false">SUMIFS('Source 2026'!$P:$P,'Source 2026'!$B:$B,$A43,'Source 2026'!$A:$A,"Amount (NIS)")</f>
        <v>-397.9</v>
      </c>
      <c r="I43" s="10" t="n">
        <f aca="false">H43-G43</f>
        <v>327.4</v>
      </c>
      <c r="J43" s="9" t="n">
        <f aca="false">IF(AND(G43=0,H43=0),0,IF(G43=0,"New",(H43-G43)/G43))</f>
        <v>-0.451399420929271</v>
      </c>
    </row>
    <row r="44" customFormat="false" ht="15" hidden="false" customHeight="false" outlineLevel="0" collapsed="false">
      <c r="A44" s="7" t="s">
        <v>172</v>
      </c>
      <c r="B44" s="7" t="str">
        <f aca="false">IFERROR(INDEX('Source 2026'!$C:$C,MATCH($A44,'Source 2026'!$B:$B,0)),IFERROR(INDEX('Source 2025'!$C:$C,MATCH($A44,'Source 2025'!$B:$B,0)),""))</f>
        <v>Lמ.ברך+כרית סיל.סביב לפיקה</v>
      </c>
      <c r="C44" s="8" t="n">
        <f aca="false">SUMIFS('Source 2025'!$P:$P,'Source 2025'!$B:$B,$A44,'Source 2025'!$A:$A,"Quantity (units)")</f>
        <v>-2</v>
      </c>
      <c r="D44" s="8" t="n">
        <f aca="false">SUMIFS('Source 2026'!$P:$P,'Source 2026'!$B:$B,$A44,'Source 2026'!$A:$A,"Quantity (units)")</f>
        <v>0</v>
      </c>
      <c r="E44" s="8" t="n">
        <f aca="false">D44-C44</f>
        <v>2</v>
      </c>
      <c r="F44" s="9" t="n">
        <f aca="false">IF(AND(C44=0,D44=0),0,IF(C44=0,"New",(D44-C44)/C44))</f>
        <v>-1</v>
      </c>
      <c r="G44" s="10" t="n">
        <f aca="false">SUMIFS('Source 2025'!$P:$P,'Source 2025'!$B:$B,$A44,'Source 2025'!$A:$A,"Amount (NIS)")</f>
        <v>-326.4</v>
      </c>
      <c r="H44" s="10" t="n">
        <f aca="false">SUMIFS('Source 2026'!$P:$P,'Source 2026'!$B:$B,$A44,'Source 2026'!$A:$A,"Amount (NIS)")</f>
        <v>0</v>
      </c>
      <c r="I44" s="10" t="n">
        <f aca="false">H44-G44</f>
        <v>326.4</v>
      </c>
      <c r="J44" s="9" t="n">
        <f aca="false">IF(AND(G44=0,H44=0),0,IF(G44=0,"New",(H44-G44)/G44))</f>
        <v>-1</v>
      </c>
    </row>
    <row r="45" customFormat="false" ht="15" hidden="false" customHeight="false" outlineLevel="0" collapsed="false">
      <c r="A45" s="7" t="s">
        <v>214</v>
      </c>
      <c r="B45" s="7" t="str">
        <f aca="false">IFERROR(INDEX('Source 2026'!$C:$C,MATCH($A45,'Source 2026'!$B:$B,0)),IFERROR(INDEX('Source 2025'!$C:$C,MATCH($A45,'Source 2025'!$B:$B,0)),""))</f>
        <v>L-XL רצועת טניס אלבו</v>
      </c>
      <c r="C45" s="8" t="n">
        <f aca="false">SUMIFS('Source 2025'!$P:$P,'Source 2025'!$B:$B,$A45,'Source 2025'!$A:$A,"Quantity (units)")</f>
        <v>-6</v>
      </c>
      <c r="D45" s="8" t="n">
        <f aca="false">SUMIFS('Source 2026'!$P:$P,'Source 2026'!$B:$B,$A45,'Source 2026'!$A:$A,"Quantity (units)")</f>
        <v>0</v>
      </c>
      <c r="E45" s="8" t="n">
        <f aca="false">D45-C45</f>
        <v>6</v>
      </c>
      <c r="F45" s="9" t="n">
        <f aca="false">IF(AND(C45=0,D45=0),0,IF(C45=0,"New",(D45-C45)/C45))</f>
        <v>-1</v>
      </c>
      <c r="G45" s="10" t="n">
        <f aca="false">SUMIFS('Source 2025'!$P:$P,'Source 2025'!$B:$B,$A45,'Source 2025'!$A:$A,"Amount (NIS)")</f>
        <v>-317.4</v>
      </c>
      <c r="H45" s="10" t="n">
        <f aca="false">SUMIFS('Source 2026'!$P:$P,'Source 2026'!$B:$B,$A45,'Source 2026'!$A:$A,"Amount (NIS)")</f>
        <v>0</v>
      </c>
      <c r="I45" s="10" t="n">
        <f aca="false">H45-G45</f>
        <v>317.4</v>
      </c>
      <c r="J45" s="9" t="n">
        <f aca="false">IF(AND(G45=0,H45=0),0,IF(G45=0,"New",(H45-G45)/G45))</f>
        <v>-1</v>
      </c>
    </row>
    <row r="46" customFormat="false" ht="15" hidden="false" customHeight="false" outlineLevel="0" collapsed="false">
      <c r="A46" s="7" t="s">
        <v>156</v>
      </c>
      <c r="B46" s="7" t="str">
        <f aca="false">IFERROR(INDEX('Source 2026'!$C:$C,MATCH($A46,'Source 2026'!$B:$B,0)),IFERROR(INDEX('Source 2025'!$C:$C,MATCH($A46,'Source 2025'!$B:$B,0)),""))</f>
        <v>כרית ליישור אצבע פטיש</v>
      </c>
      <c r="C46" s="8" t="n">
        <f aca="false">SUMIFS('Source 2025'!$P:$P,'Source 2025'!$B:$B,$A46,'Source 2025'!$A:$A,"Quantity (units)")</f>
        <v>-14</v>
      </c>
      <c r="D46" s="8" t="n">
        <f aca="false">SUMIFS('Source 2026'!$P:$P,'Source 2026'!$B:$B,$A46,'Source 2026'!$A:$A,"Quantity (units)")</f>
        <v>-2</v>
      </c>
      <c r="E46" s="8" t="n">
        <f aca="false">D46-C46</f>
        <v>12</v>
      </c>
      <c r="F46" s="9" t="n">
        <f aca="false">IF(AND(C46=0,D46=0),0,IF(C46=0,"New",(D46-C46)/C46))</f>
        <v>-0.857142857142857</v>
      </c>
      <c r="G46" s="10" t="n">
        <f aca="false">SUMIFS('Source 2025'!$P:$P,'Source 2025'!$B:$B,$A46,'Source 2025'!$A:$A,"Amount (NIS)")</f>
        <v>-369.5</v>
      </c>
      <c r="H46" s="10" t="n">
        <f aca="false">SUMIFS('Source 2026'!$P:$P,'Source 2026'!$B:$B,$A46,'Source 2026'!$A:$A,"Amount (NIS)")</f>
        <v>-52.4</v>
      </c>
      <c r="I46" s="10" t="n">
        <f aca="false">H46-G46</f>
        <v>317.1</v>
      </c>
      <c r="J46" s="9" t="n">
        <f aca="false">IF(AND(G46=0,H46=0),0,IF(G46=0,"New",(H46-G46)/G46))</f>
        <v>-0.858186738836265</v>
      </c>
    </row>
    <row r="47" customFormat="false" ht="15" hidden="false" customHeight="false" outlineLevel="0" collapsed="false">
      <c r="A47" s="7" t="s">
        <v>223</v>
      </c>
      <c r="B47" s="7" t="str">
        <f aca="false">IFERROR(INDEX('Source 2026'!$C:$C,MATCH($A47,'Source 2026'!$B:$B,0)),IFERROR(INDEX('Source 2025'!$C:$C,MATCH($A47,'Source 2025'!$B:$B,0)),""))</f>
        <v>L מגן ברך מוצלב+מוט</v>
      </c>
      <c r="C47" s="8" t="n">
        <f aca="false">SUMIFS('Source 2025'!$P:$P,'Source 2025'!$B:$B,$A47,'Source 2025'!$A:$A,"Quantity (units)")</f>
        <v>-1</v>
      </c>
      <c r="D47" s="8" t="n">
        <f aca="false">SUMIFS('Source 2026'!$P:$P,'Source 2026'!$B:$B,$A47,'Source 2026'!$A:$A,"Quantity (units)")</f>
        <v>-3</v>
      </c>
      <c r="E47" s="8" t="n">
        <f aca="false">D47-C47</f>
        <v>-2</v>
      </c>
      <c r="F47" s="9" t="n">
        <f aca="false">IF(AND(C47=0,D47=0),0,IF(C47=0,"New",(D47-C47)/C47))</f>
        <v>2</v>
      </c>
      <c r="G47" s="10" t="n">
        <f aca="false">SUMIFS('Source 2025'!$P:$P,'Source 2025'!$B:$B,$A47,'Source 2025'!$A:$A,"Amount (NIS)")</f>
        <v>-125.7</v>
      </c>
      <c r="H47" s="10" t="n">
        <f aca="false">SUMIFS('Source 2026'!$P:$P,'Source 2026'!$B:$B,$A47,'Source 2026'!$A:$A,"Amount (NIS)")</f>
        <v>-437.1</v>
      </c>
      <c r="I47" s="10" t="n">
        <f aca="false">H47-G47</f>
        <v>-311.4</v>
      </c>
      <c r="J47" s="9" t="n">
        <f aca="false">IF(AND(G47=0,H47=0),0,IF(G47=0,"New",(H47-G47)/G47))</f>
        <v>2.47732696897375</v>
      </c>
    </row>
    <row r="48" customFormat="false" ht="15" hidden="false" customHeight="false" outlineLevel="0" collapsed="false">
      <c r="A48" s="7" t="s">
        <v>303</v>
      </c>
      <c r="B48" s="7" t="str">
        <f aca="false">IFERROR(INDEX('Source 2026'!$C:$C,MATCH($A48,'Source 2026'!$B:$B,0)),IFERROR(INDEX('Source 2025'!$C:$C,MATCH($A48,'Source 2025'!$B:$B,0)),""))</f>
        <v>S חגורת שבר דו צדדי</v>
      </c>
      <c r="C48" s="8" t="n">
        <f aca="false">SUMIFS('Source 2025'!$P:$P,'Source 2025'!$B:$B,$A48,'Source 2025'!$A:$A,"Quantity (units)")</f>
        <v>-1</v>
      </c>
      <c r="D48" s="8" t="n">
        <f aca="false">SUMIFS('Source 2026'!$P:$P,'Source 2026'!$B:$B,$A48,'Source 2026'!$A:$A,"Quantity (units)")</f>
        <v>0</v>
      </c>
      <c r="E48" s="8" t="n">
        <f aca="false">D48-C48</f>
        <v>1</v>
      </c>
      <c r="F48" s="9" t="n">
        <f aca="false">IF(AND(C48=0,D48=0),0,IF(C48=0,"New",(D48-C48)/C48))</f>
        <v>-1</v>
      </c>
      <c r="G48" s="10" t="n">
        <f aca="false">SUMIFS('Source 2025'!$P:$P,'Source 2025'!$B:$B,$A48,'Source 2025'!$A:$A,"Amount (NIS)")</f>
        <v>-301.7</v>
      </c>
      <c r="H48" s="10" t="n">
        <f aca="false">SUMIFS('Source 2026'!$P:$P,'Source 2026'!$B:$B,$A48,'Source 2026'!$A:$A,"Amount (NIS)")</f>
        <v>0</v>
      </c>
      <c r="I48" s="10" t="n">
        <f aca="false">H48-G48</f>
        <v>301.7</v>
      </c>
      <c r="J48" s="9" t="n">
        <f aca="false">IF(AND(G48=0,H48=0),0,IF(G48=0,"New",(H48-G48)/G48))</f>
        <v>-1</v>
      </c>
    </row>
    <row r="49" customFormat="false" ht="15" hidden="false" customHeight="false" outlineLevel="0" collapsed="false">
      <c r="A49" s="7" t="s">
        <v>210</v>
      </c>
      <c r="B49" s="7" t="str">
        <f aca="false">IFERROR(INDEX('Source 2026'!$C:$C,MATCH($A49,'Source 2026'!$B:$B,0)),IFERROR(INDEX('Source 2025'!$C:$C,MATCH($A49,'Source 2025'!$B:$B,0)),""))</f>
        <v>L-מדרס סיליקון לנעלי עקב</v>
      </c>
      <c r="C49" s="8" t="n">
        <f aca="false">SUMIFS('Source 2025'!$P:$P,'Source 2025'!$B:$B,$A49,'Source 2025'!$A:$A,"Quantity (units)")</f>
        <v>-8</v>
      </c>
      <c r="D49" s="8" t="n">
        <f aca="false">SUMIFS('Source 2026'!$P:$P,'Source 2026'!$B:$B,$A49,'Source 2026'!$A:$A,"Quantity (units)")</f>
        <v>-2</v>
      </c>
      <c r="E49" s="8" t="n">
        <f aca="false">D49-C49</f>
        <v>6</v>
      </c>
      <c r="F49" s="9" t="n">
        <f aca="false">IF(AND(C49=0,D49=0),0,IF(C49=0,"New",(D49-C49)/C49))</f>
        <v>-0.75</v>
      </c>
      <c r="G49" s="10" t="n">
        <f aca="false">SUMIFS('Source 2025'!$P:$P,'Source 2025'!$B:$B,$A49,'Source 2025'!$A:$A,"Amount (NIS)")</f>
        <v>-427</v>
      </c>
      <c r="H49" s="10" t="n">
        <f aca="false">SUMIFS('Source 2026'!$P:$P,'Source 2026'!$B:$B,$A49,'Source 2026'!$A:$A,"Amount (NIS)")</f>
        <v>-126.1</v>
      </c>
      <c r="I49" s="10" t="n">
        <f aca="false">H49-G49</f>
        <v>300.9</v>
      </c>
      <c r="J49" s="9" t="n">
        <f aca="false">IF(AND(G49=0,H49=0),0,IF(G49=0,"New",(H49-G49)/G49))</f>
        <v>-0.704683840749415</v>
      </c>
    </row>
    <row r="50" customFormat="false" ht="15" hidden="false" customHeight="false" outlineLevel="0" collapsed="false">
      <c r="A50" s="7" t="s">
        <v>199</v>
      </c>
      <c r="B50" s="7" t="str">
        <f aca="false">IFERROR(INDEX('Source 2026'!$C:$C,MATCH($A50,'Source 2026'!$B:$B,0)),IFERROR(INDEX('Source 2025'!$C:$C,MATCH($A50,'Source 2025'!$B:$B,0)),""))</f>
        <v>רפ.אורטופדית ספורט זוג35</v>
      </c>
      <c r="C50" s="8" t="n">
        <f aca="false">SUMIFS('Source 2025'!$P:$P,'Source 2025'!$B:$B,$A50,'Source 2025'!$A:$A,"Quantity (units)")</f>
        <v>-7</v>
      </c>
      <c r="D50" s="8" t="n">
        <f aca="false">SUMIFS('Source 2026'!$P:$P,'Source 2026'!$B:$B,$A50,'Source 2026'!$A:$A,"Quantity (units)")</f>
        <v>0</v>
      </c>
      <c r="E50" s="8" t="n">
        <f aca="false">D50-C50</f>
        <v>7</v>
      </c>
      <c r="F50" s="9" t="n">
        <f aca="false">IF(AND(C50=0,D50=0),0,IF(C50=0,"New",(D50-C50)/C50))</f>
        <v>-1</v>
      </c>
      <c r="G50" s="10" t="n">
        <f aca="false">SUMIFS('Source 2025'!$P:$P,'Source 2025'!$B:$B,$A50,'Source 2025'!$A:$A,"Amount (NIS)")</f>
        <v>-299.1</v>
      </c>
      <c r="H50" s="10" t="n">
        <f aca="false">SUMIFS('Source 2026'!$P:$P,'Source 2026'!$B:$B,$A50,'Source 2026'!$A:$A,"Amount (NIS)")</f>
        <v>0</v>
      </c>
      <c r="I50" s="10" t="n">
        <f aca="false">H50-G50</f>
        <v>299.1</v>
      </c>
      <c r="J50" s="9" t="n">
        <f aca="false">IF(AND(G50=0,H50=0),0,IF(G50=0,"New",(H50-G50)/G50))</f>
        <v>-1</v>
      </c>
    </row>
    <row r="51" customFormat="false" ht="15" hidden="false" customHeight="false" outlineLevel="0" collapsed="false">
      <c r="A51" s="7" t="s">
        <v>53</v>
      </c>
      <c r="B51" s="7" t="str">
        <f aca="false">IFERROR(INDEX('Source 2026'!$C:$C,MATCH($A51,'Source 2026'!$B:$B,0)),IFERROR(INDEX('Source 2025'!$C:$C,MATCH($A51,'Source 2025'!$B:$B,0)),""))</f>
        <v>סד ליד דו צדדי</v>
      </c>
      <c r="C51" s="8" t="n">
        <f aca="false">SUMIFS('Source 2025'!$P:$P,'Source 2025'!$B:$B,$A51,'Source 2025'!$A:$A,"Quantity (units)")</f>
        <v>-6</v>
      </c>
      <c r="D51" s="8" t="n">
        <f aca="false">SUMIFS('Source 2026'!$P:$P,'Source 2026'!$B:$B,$A51,'Source 2026'!$A:$A,"Quantity (units)")</f>
        <v>-2</v>
      </c>
      <c r="E51" s="8" t="n">
        <f aca="false">D51-C51</f>
        <v>4</v>
      </c>
      <c r="F51" s="9" t="n">
        <f aca="false">IF(AND(C51=0,D51=0),0,IF(C51=0,"New",(D51-C51)/C51))</f>
        <v>-0.666666666666667</v>
      </c>
      <c r="G51" s="10" t="n">
        <f aca="false">SUMIFS('Source 2025'!$P:$P,'Source 2025'!$B:$B,$A51,'Source 2025'!$A:$A,"Amount (NIS)")</f>
        <v>-436.6</v>
      </c>
      <c r="H51" s="10" t="n">
        <f aca="false">SUMIFS('Source 2026'!$P:$P,'Source 2026'!$B:$B,$A51,'Source 2026'!$A:$A,"Amount (NIS)")</f>
        <v>-145.5</v>
      </c>
      <c r="I51" s="10" t="n">
        <f aca="false">H51-G51</f>
        <v>291.1</v>
      </c>
      <c r="J51" s="9" t="n">
        <f aca="false">IF(AND(G51=0,H51=0),0,IF(G51=0,"New",(H51-G51)/G51))</f>
        <v>-0.666743014200641</v>
      </c>
    </row>
    <row r="52" customFormat="false" ht="15" hidden="false" customHeight="false" outlineLevel="0" collapsed="false">
      <c r="A52" s="7" t="s">
        <v>191</v>
      </c>
      <c r="B52" s="7" t="str">
        <f aca="false">IFERROR(INDEX('Source 2026'!$C:$C,MATCH($A52,'Source 2026'!$B:$B,0)),IFERROR(INDEX('Source 2025'!$C:$C,MATCH($A52,'Source 2025'!$B:$B,0)),""))</f>
        <v>S מגן שוק</v>
      </c>
      <c r="C52" s="8" t="n">
        <f aca="false">SUMIFS('Source 2025'!$P:$P,'Source 2025'!$B:$B,$A52,'Source 2025'!$A:$A,"Quantity (units)")</f>
        <v>-3</v>
      </c>
      <c r="D52" s="8" t="n">
        <f aca="false">SUMIFS('Source 2026'!$P:$P,'Source 2026'!$B:$B,$A52,'Source 2026'!$A:$A,"Quantity (units)")</f>
        <v>0</v>
      </c>
      <c r="E52" s="8" t="n">
        <f aca="false">D52-C52</f>
        <v>3</v>
      </c>
      <c r="F52" s="9" t="n">
        <f aca="false">IF(AND(C52=0,D52=0),0,IF(C52=0,"New",(D52-C52)/C52))</f>
        <v>-1</v>
      </c>
      <c r="G52" s="10" t="n">
        <f aca="false">SUMIFS('Source 2025'!$P:$P,'Source 2025'!$B:$B,$A52,'Source 2025'!$A:$A,"Amount (NIS)")</f>
        <v>-291.1</v>
      </c>
      <c r="H52" s="10" t="n">
        <f aca="false">SUMIFS('Source 2026'!$P:$P,'Source 2026'!$B:$B,$A52,'Source 2026'!$A:$A,"Amount (NIS)")</f>
        <v>0</v>
      </c>
      <c r="I52" s="10" t="n">
        <f aca="false">H52-G52</f>
        <v>291.1</v>
      </c>
      <c r="J52" s="9" t="n">
        <f aca="false">IF(AND(G52=0,H52=0),0,IF(G52=0,"New",(H52-G52)/G52))</f>
        <v>-1</v>
      </c>
    </row>
    <row r="53" customFormat="false" ht="15" hidden="false" customHeight="false" outlineLevel="0" collapsed="false">
      <c r="A53" s="7" t="s">
        <v>353</v>
      </c>
      <c r="B53" s="7" t="str">
        <f aca="false">IFERROR(INDEX('Source 2026'!$C:$C,MATCH($A53,'Source 2026'!$B:$B,0)),IFERROR(INDEX('Source 2025'!$C:$C,MATCH($A53,'Source 2025'!$B:$B,0)),""))</f>
        <v>תתמדרס.ציפוי עור גבר זו43</v>
      </c>
      <c r="C53" s="8" t="n">
        <f aca="false">SUMIFS('Source 2025'!$P:$P,'Source 2025'!$B:$B,$A53,'Source 2025'!$A:$A,"Quantity (units)")</f>
        <v>-4</v>
      </c>
      <c r="D53" s="8" t="n">
        <f aca="false">SUMIFS('Source 2026'!$P:$P,'Source 2026'!$B:$B,$A53,'Source 2026'!$A:$A,"Quantity (units)")</f>
        <v>-1</v>
      </c>
      <c r="E53" s="8" t="n">
        <f aca="false">D53-C53</f>
        <v>3</v>
      </c>
      <c r="F53" s="9" t="n">
        <f aca="false">IF(AND(C53=0,D53=0),0,IF(C53=0,"New",(D53-C53)/C53))</f>
        <v>-0.75</v>
      </c>
      <c r="G53" s="10" t="n">
        <f aca="false">SUMIFS('Source 2025'!$P:$P,'Source 2025'!$B:$B,$A53,'Source 2025'!$A:$A,"Amount (NIS)")</f>
        <v>-387</v>
      </c>
      <c r="H53" s="10" t="n">
        <f aca="false">SUMIFS('Source 2026'!$P:$P,'Source 2026'!$B:$B,$A53,'Source 2026'!$A:$A,"Amount (NIS)")</f>
        <v>-96.7</v>
      </c>
      <c r="I53" s="10" t="n">
        <f aca="false">H53-G53</f>
        <v>290.3</v>
      </c>
      <c r="J53" s="9" t="n">
        <f aca="false">IF(AND(G53=0,H53=0),0,IF(G53=0,"New",(H53-G53)/G53))</f>
        <v>-0.750129198966408</v>
      </c>
    </row>
    <row r="54" customFormat="false" ht="15" hidden="false" customHeight="false" outlineLevel="0" collapsed="false">
      <c r="A54" s="7" t="s">
        <v>202</v>
      </c>
      <c r="B54" s="7" t="str">
        <f aca="false">IFERROR(INDEX('Source 2026'!$C:$C,MATCH($A54,'Source 2026'!$B:$B,0)),IFERROR(INDEX('Source 2025'!$C:$C,MATCH($A54,'Source 2025'!$B:$B,0)),""))</f>
        <v>S ח.הריון מכנס למניעת כאבים</v>
      </c>
      <c r="C54" s="8" t="n">
        <f aca="false">SUMIFS('Source 2025'!$P:$P,'Source 2025'!$B:$B,$A54,'Source 2025'!$A:$A,"Quantity (units)")</f>
        <v>0</v>
      </c>
      <c r="D54" s="8" t="n">
        <f aca="false">SUMIFS('Source 2026'!$P:$P,'Source 2026'!$B:$B,$A54,'Source 2026'!$A:$A,"Quantity (units)")</f>
        <v>-1</v>
      </c>
      <c r="E54" s="8" t="n">
        <f aca="false">D54-C54</f>
        <v>-1</v>
      </c>
      <c r="F54" s="9" t="str">
        <f aca="false">IF(AND(C54=0,D54=0),0,IF(C54=0,"New",(D54-C54)/C54))</f>
        <v>New</v>
      </c>
      <c r="G54" s="10" t="n">
        <f aca="false">SUMIFS('Source 2025'!$P:$P,'Source 2025'!$B:$B,$A54,'Source 2025'!$A:$A,"Amount (NIS)")</f>
        <v>0</v>
      </c>
      <c r="H54" s="10" t="n">
        <f aca="false">SUMIFS('Source 2026'!$P:$P,'Source 2026'!$B:$B,$A54,'Source 2026'!$A:$A,"Amount (NIS)")</f>
        <v>-286.8</v>
      </c>
      <c r="I54" s="10" t="n">
        <f aca="false">H54-G54</f>
        <v>-286.8</v>
      </c>
      <c r="J54" s="9" t="str">
        <f aca="false">IF(AND(G54=0,H54=0),0,IF(G54=0,"New",(H54-G54)/G54))</f>
        <v>New</v>
      </c>
    </row>
    <row r="55" customFormat="false" ht="15" hidden="false" customHeight="false" outlineLevel="0" collapsed="false">
      <c r="A55" s="7" t="s">
        <v>162</v>
      </c>
      <c r="B55" s="7" t="str">
        <f aca="false">IFERROR(INDEX('Source 2026'!$C:$C,MATCH($A55,'Source 2026'!$B:$B,0)),IFERROR(INDEX('Source 2025'!$C:$C,MATCH($A55,'Source 2025'!$B:$B,0)),""))</f>
        <v>מגן קרסול עקב סגור+רצוע</v>
      </c>
      <c r="C55" s="8" t="n">
        <f aca="false">SUMIFS('Source 2025'!$P:$P,'Source 2025'!$B:$B,$A55,'Source 2025'!$A:$A,"Quantity (units)")</f>
        <v>-6</v>
      </c>
      <c r="D55" s="8" t="n">
        <f aca="false">SUMIFS('Source 2026'!$P:$P,'Source 2026'!$B:$B,$A55,'Source 2026'!$A:$A,"Quantity (units)")</f>
        <v>-1</v>
      </c>
      <c r="E55" s="8" t="n">
        <f aca="false">D55-C55</f>
        <v>5</v>
      </c>
      <c r="F55" s="9" t="n">
        <f aca="false">IF(AND(C55=0,D55=0),0,IF(C55=0,"New",(D55-C55)/C55))</f>
        <v>-0.833333333333333</v>
      </c>
      <c r="G55" s="10" t="n">
        <f aca="false">SUMIFS('Source 2025'!$P:$P,'Source 2025'!$B:$B,$A55,'Source 2025'!$A:$A,"Amount (NIS)")</f>
        <v>-343.9</v>
      </c>
      <c r="H55" s="10" t="n">
        <f aca="false">SUMIFS('Source 2026'!$P:$P,'Source 2026'!$B:$B,$A55,'Source 2026'!$A:$A,"Amount (NIS)")</f>
        <v>-57.3</v>
      </c>
      <c r="I55" s="10" t="n">
        <f aca="false">H55-G55</f>
        <v>286.6</v>
      </c>
      <c r="J55" s="9" t="n">
        <f aca="false">IF(AND(G55=0,H55=0),0,IF(G55=0,"New",(H55-G55)/G55))</f>
        <v>-0.833381797034022</v>
      </c>
    </row>
    <row r="56" customFormat="false" ht="15" hidden="false" customHeight="false" outlineLevel="0" collapsed="false">
      <c r="A56" s="7" t="s">
        <v>113</v>
      </c>
      <c r="B56" s="7" t="str">
        <f aca="false">IFERROR(INDEX('Source 2026'!$C:$C,MATCH($A56,'Source 2026'!$B:$B,0)),IFERROR(INDEX('Source 2025'!$C:$C,MATCH($A56,'Source 2025'!$B:$B,0)),""))</f>
        <v>S מגן קרסול עקב סגור+רצוע</v>
      </c>
      <c r="C56" s="8" t="n">
        <f aca="false">SUMIFS('Source 2025'!$P:$P,'Source 2025'!$B:$B,$A56,'Source 2025'!$A:$A,"Quantity (units)")</f>
        <v>-9</v>
      </c>
      <c r="D56" s="8" t="n">
        <f aca="false">SUMIFS('Source 2026'!$P:$P,'Source 2026'!$B:$B,$A56,'Source 2026'!$A:$A,"Quantity (units)")</f>
        <v>-4</v>
      </c>
      <c r="E56" s="8" t="n">
        <f aca="false">D56-C56</f>
        <v>5</v>
      </c>
      <c r="F56" s="9" t="n">
        <f aca="false">IF(AND(C56=0,D56=0),0,IF(C56=0,"New",(D56-C56)/C56))</f>
        <v>-0.555555555555556</v>
      </c>
      <c r="G56" s="10" t="n">
        <f aca="false">SUMIFS('Source 2025'!$P:$P,'Source 2025'!$B:$B,$A56,'Source 2025'!$A:$A,"Amount (NIS)")</f>
        <v>-515.8</v>
      </c>
      <c r="H56" s="10" t="n">
        <f aca="false">SUMIFS('Source 2026'!$P:$P,'Source 2026'!$B:$B,$A56,'Source 2026'!$A:$A,"Amount (NIS)")</f>
        <v>-229.2</v>
      </c>
      <c r="I56" s="10" t="n">
        <f aca="false">H56-G56</f>
        <v>286.6</v>
      </c>
      <c r="J56" s="9" t="n">
        <f aca="false">IF(AND(G56=0,H56=0),0,IF(G56=0,"New",(H56-G56)/G56))</f>
        <v>-0.555641721597518</v>
      </c>
    </row>
    <row r="57" customFormat="false" ht="15" hidden="false" customHeight="false" outlineLevel="0" collapsed="false">
      <c r="A57" s="7" t="s">
        <v>178</v>
      </c>
      <c r="B57" s="7" t="str">
        <f aca="false">IFERROR(INDEX('Source 2026'!$C:$C,MATCH($A57,'Source 2026'!$B:$B,0)),IFERROR(INDEX('Source 2025'!$C:$C,MATCH($A57,'Source 2025'!$B:$B,0)),""))</f>
        <v>XXL מגן ברך ארוך עם כרית</v>
      </c>
      <c r="C57" s="8" t="n">
        <f aca="false">SUMIFS('Source 2025'!$P:$P,'Source 2025'!$B:$B,$A57,'Source 2025'!$A:$A,"Quantity (units)")</f>
        <v>-4</v>
      </c>
      <c r="D57" s="8" t="n">
        <f aca="false">SUMIFS('Source 2026'!$P:$P,'Source 2026'!$B:$B,$A57,'Source 2026'!$A:$A,"Quantity (units)")</f>
        <v>-3</v>
      </c>
      <c r="E57" s="8" t="n">
        <f aca="false">D57-C57</f>
        <v>1</v>
      </c>
      <c r="F57" s="9" t="n">
        <f aca="false">IF(AND(C57=0,D57=0),0,IF(C57=0,"New",(D57-C57)/C57))</f>
        <v>-0.25</v>
      </c>
      <c r="G57" s="10" t="n">
        <f aca="false">SUMIFS('Source 2025'!$P:$P,'Source 2025'!$B:$B,$A57,'Source 2025'!$A:$A,"Amount (NIS)")</f>
        <v>-861.2</v>
      </c>
      <c r="H57" s="10" t="n">
        <f aca="false">SUMIFS('Source 2026'!$P:$P,'Source 2026'!$B:$B,$A57,'Source 2026'!$A:$A,"Amount (NIS)")</f>
        <v>-590.2</v>
      </c>
      <c r="I57" s="10" t="n">
        <f aca="false">H57-G57</f>
        <v>271</v>
      </c>
      <c r="J57" s="9" t="n">
        <f aca="false">IF(AND(G57=0,H57=0),0,IF(G57=0,"New",(H57-G57)/G57))</f>
        <v>-0.314677194612169</v>
      </c>
    </row>
    <row r="58" customFormat="false" ht="15" hidden="false" customHeight="false" outlineLevel="0" collapsed="false">
      <c r="A58" s="7" t="s">
        <v>87</v>
      </c>
      <c r="B58" s="7" t="str">
        <f aca="false">IFERROR(INDEX('Source 2026'!$C:$C,MATCH($A58,'Source 2026'!$B:$B,0)),IFERROR(INDEX('Source 2025'!$C:$C,MATCH($A58,'Source 2025'!$B:$B,0)),""))</f>
        <v>טלק מעושר באלוורה</v>
      </c>
      <c r="C58" s="8" t="n">
        <f aca="false">SUMIFS('Source 2025'!$P:$P,'Source 2025'!$B:$B,$A58,'Source 2025'!$A:$A,"Quantity (units)")</f>
        <v>-12</v>
      </c>
      <c r="D58" s="8" t="n">
        <f aca="false">SUMIFS('Source 2026'!$P:$P,'Source 2026'!$B:$B,$A58,'Source 2026'!$A:$A,"Quantity (units)")</f>
        <v>-15</v>
      </c>
      <c r="E58" s="8" t="n">
        <f aca="false">D58-C58</f>
        <v>-3</v>
      </c>
      <c r="F58" s="9" t="n">
        <f aca="false">IF(AND(C58=0,D58=0),0,IF(C58=0,"New",(D58-C58)/C58))</f>
        <v>0.25</v>
      </c>
      <c r="G58" s="10" t="n">
        <f aca="false">SUMIFS('Source 2025'!$P:$P,'Source 2025'!$B:$B,$A58,'Source 2025'!$A:$A,"Amount (NIS)")</f>
        <v>-210</v>
      </c>
      <c r="H58" s="10" t="n">
        <f aca="false">SUMIFS('Source 2026'!$P:$P,'Source 2026'!$B:$B,$A58,'Source 2026'!$A:$A,"Amount (NIS)")</f>
        <v>-467.9</v>
      </c>
      <c r="I58" s="10" t="n">
        <f aca="false">H58-G58</f>
        <v>-257.9</v>
      </c>
      <c r="J58" s="9" t="n">
        <f aca="false">IF(AND(G58=0,H58=0),0,IF(G58=0,"New",(H58-G58)/G58))</f>
        <v>1.22809523809524</v>
      </c>
    </row>
    <row r="59" customFormat="false" ht="15" hidden="false" customHeight="false" outlineLevel="0" collapsed="false">
      <c r="A59" s="7" t="s">
        <v>47</v>
      </c>
      <c r="B59" s="7" t="str">
        <f aca="false">IFERROR(INDEX('Source 2026'!$C:$C,MATCH($A59,'Source 2026'!$B:$B,0)),IFERROR(INDEX('Source 2025'!$C:$C,MATCH($A59,'Source 2025'!$B:$B,0)),""))</f>
        <v>M מגן קרסול עקב סגור</v>
      </c>
      <c r="C59" s="8" t="n">
        <f aca="false">SUMIFS('Source 2025'!$P:$P,'Source 2025'!$B:$B,$A59,'Source 2025'!$A:$A,"Quantity (units)")</f>
        <v>-29</v>
      </c>
      <c r="D59" s="8" t="n">
        <f aca="false">SUMIFS('Source 2026'!$P:$P,'Source 2026'!$B:$B,$A59,'Source 2026'!$A:$A,"Quantity (units)")</f>
        <v>-23</v>
      </c>
      <c r="E59" s="8" t="n">
        <f aca="false">D59-C59</f>
        <v>6</v>
      </c>
      <c r="F59" s="9" t="n">
        <f aca="false">IF(AND(C59=0,D59=0),0,IF(C59=0,"New",(D59-C59)/C59))</f>
        <v>-0.206896551724138</v>
      </c>
      <c r="G59" s="10" t="n">
        <f aca="false">SUMIFS('Source 2025'!$P:$P,'Source 2025'!$B:$B,$A59,'Source 2025'!$A:$A,"Amount (NIS)")</f>
        <v>-1177.4</v>
      </c>
      <c r="H59" s="10" t="n">
        <f aca="false">SUMIFS('Source 2026'!$P:$P,'Source 2026'!$B:$B,$A59,'Source 2026'!$A:$A,"Amount (NIS)")</f>
        <v>-931.5</v>
      </c>
      <c r="I59" s="10" t="n">
        <f aca="false">H59-G59</f>
        <v>245.9</v>
      </c>
      <c r="J59" s="9" t="n">
        <f aca="false">IF(AND(G59=0,H59=0),0,IF(G59=0,"New",(H59-G59)/G59))</f>
        <v>-0.20885000849329</v>
      </c>
    </row>
    <row r="60" customFormat="false" ht="15" hidden="false" customHeight="false" outlineLevel="0" collapsed="false">
      <c r="A60" s="7" t="s">
        <v>249</v>
      </c>
      <c r="B60" s="7" t="str">
        <f aca="false">IFERROR(INDEX('Source 2026'!$C:$C,MATCH($A60,'Source 2026'!$B:$B,0)),IFERROR(INDEX('Source 2025'!$C:$C,MATCH($A60,'Source 2025'!$B:$B,0)),""))</f>
        <v>S ח.גב ""איטלקית"" אורירית</v>
      </c>
      <c r="C60" s="8" t="n">
        <f aca="false">SUMIFS('Source 2025'!$P:$P,'Source 2025'!$B:$B,$A60,'Source 2025'!$A:$A,"Quantity (units)")</f>
        <v>-1</v>
      </c>
      <c r="D60" s="8" t="n">
        <f aca="false">SUMIFS('Source 2026'!$P:$P,'Source 2026'!$B:$B,$A60,'Source 2026'!$A:$A,"Quantity (units)")</f>
        <v>0</v>
      </c>
      <c r="E60" s="8" t="n">
        <f aca="false">D60-C60</f>
        <v>1</v>
      </c>
      <c r="F60" s="9" t="n">
        <f aca="false">IF(AND(C60=0,D60=0),0,IF(C60=0,"New",(D60-C60)/C60))</f>
        <v>-1</v>
      </c>
      <c r="G60" s="10" t="n">
        <f aca="false">SUMIFS('Source 2025'!$P:$P,'Source 2025'!$B:$B,$A60,'Source 2025'!$A:$A,"Amount (NIS)")</f>
        <v>-244.2</v>
      </c>
      <c r="H60" s="10" t="n">
        <f aca="false">SUMIFS('Source 2026'!$P:$P,'Source 2026'!$B:$B,$A60,'Source 2026'!$A:$A,"Amount (NIS)")</f>
        <v>0</v>
      </c>
      <c r="I60" s="10" t="n">
        <f aca="false">H60-G60</f>
        <v>244.2</v>
      </c>
      <c r="J60" s="9" t="n">
        <f aca="false">IF(AND(G60=0,H60=0),0,IF(G60=0,"New",(H60-G60)/G60))</f>
        <v>-1</v>
      </c>
    </row>
    <row r="61" customFormat="false" ht="15" hidden="false" customHeight="false" outlineLevel="0" collapsed="false">
      <c r="A61" s="7" t="s">
        <v>168</v>
      </c>
      <c r="B61" s="7" t="str">
        <f aca="false">IFERROR(INDEX('Source 2026'!$C:$C,MATCH($A61,'Source 2026'!$B:$B,0)),IFERROR(INDEX('Source 2025'!$C:$C,MATCH($A61,'Source 2025'!$B:$B,0)),""))</f>
        <v>גרב כסף לסכרתיים לבן35-38</v>
      </c>
      <c r="C61" s="8" t="n">
        <f aca="false">SUMIFS('Source 2025'!$P:$P,'Source 2025'!$B:$B,$A61,'Source 2025'!$A:$A,"Quantity (units)")</f>
        <v>-9</v>
      </c>
      <c r="D61" s="8" t="n">
        <f aca="false">SUMIFS('Source 2026'!$P:$P,'Source 2026'!$B:$B,$A61,'Source 2026'!$A:$A,"Quantity (units)")</f>
        <v>-2</v>
      </c>
      <c r="E61" s="8" t="n">
        <f aca="false">D61-C61</f>
        <v>7</v>
      </c>
      <c r="F61" s="9" t="n">
        <f aca="false">IF(AND(C61=0,D61=0),0,IF(C61=0,"New",(D61-C61)/C61))</f>
        <v>-0.777777777777778</v>
      </c>
      <c r="G61" s="10" t="n">
        <f aca="false">SUMIFS('Source 2025'!$P:$P,'Source 2025'!$B:$B,$A61,'Source 2025'!$A:$A,"Amount (NIS)")</f>
        <v>-286.5</v>
      </c>
      <c r="H61" s="10" t="n">
        <f aca="false">SUMIFS('Source 2026'!$P:$P,'Source 2026'!$B:$B,$A61,'Source 2026'!$A:$A,"Amount (NIS)")</f>
        <v>-62.9</v>
      </c>
      <c r="I61" s="10" t="n">
        <f aca="false">H61-G61</f>
        <v>223.6</v>
      </c>
      <c r="J61" s="9" t="n">
        <f aca="false">IF(AND(G61=0,H61=0),0,IF(G61=0,"New",(H61-G61)/G61))</f>
        <v>-0.780453752181501</v>
      </c>
    </row>
    <row r="62" customFormat="false" ht="15" hidden="false" customHeight="false" outlineLevel="0" collapsed="false">
      <c r="A62" s="7" t="s">
        <v>207</v>
      </c>
      <c r="B62" s="7" t="str">
        <f aca="false">IFERROR(INDEX('Source 2026'!$C:$C,MATCH($A62,'Source 2026'!$B:$B,0)),IFERROR(INDEX('Source 2025'!$C:$C,MATCH($A62,'Source 2025'!$B:$B,0)),""))</f>
        <v>L-XLחגורת הריון בכאב.חזק</v>
      </c>
      <c r="C62" s="8" t="n">
        <f aca="false">SUMIFS('Source 2025'!$P:$P,'Source 2025'!$B:$B,$A62,'Source 2025'!$A:$A,"Quantity (units)")</f>
        <v>0</v>
      </c>
      <c r="D62" s="8" t="n">
        <f aca="false">SUMIFS('Source 2026'!$P:$P,'Source 2026'!$B:$B,$A62,'Source 2026'!$A:$A,"Quantity (units)")</f>
        <v>-1</v>
      </c>
      <c r="E62" s="8" t="n">
        <f aca="false">D62-C62</f>
        <v>-1</v>
      </c>
      <c r="F62" s="9" t="str">
        <f aca="false">IF(AND(C62=0,D62=0),0,IF(C62=0,"New",(D62-C62)/C62))</f>
        <v>New</v>
      </c>
      <c r="G62" s="10" t="n">
        <f aca="false">SUMIFS('Source 2025'!$P:$P,'Source 2025'!$B:$B,$A62,'Source 2025'!$A:$A,"Amount (NIS)")</f>
        <v>0</v>
      </c>
      <c r="H62" s="10" t="n">
        <f aca="false">SUMIFS('Source 2026'!$P:$P,'Source 2026'!$B:$B,$A62,'Source 2026'!$A:$A,"Amount (NIS)")</f>
        <v>-223.2</v>
      </c>
      <c r="I62" s="10" t="n">
        <f aca="false">H62-G62</f>
        <v>-223.2</v>
      </c>
      <c r="J62" s="9" t="str">
        <f aca="false">IF(AND(G62=0,H62=0),0,IF(G62=0,"New",(H62-G62)/G62))</f>
        <v>New</v>
      </c>
    </row>
    <row r="63" customFormat="false" ht="15" hidden="false" customHeight="false" outlineLevel="0" collapsed="false">
      <c r="A63" s="7" t="s">
        <v>190</v>
      </c>
      <c r="B63" s="7" t="str">
        <f aca="false">IFERROR(INDEX('Source 2026'!$C:$C,MATCH($A63,'Source 2026'!$B:$B,0)),IFERROR(INDEX('Source 2025'!$C:$C,MATCH($A63,'Source 2025'!$B:$B,0)),""))</f>
        <v>M'חגורת גב+סגירה כפו בז</v>
      </c>
      <c r="C63" s="8" t="n">
        <f aca="false">SUMIFS('Source 2025'!$P:$P,'Source 2025'!$B:$B,$A63,'Source 2025'!$A:$A,"Quantity (units)")</f>
        <v>-7</v>
      </c>
      <c r="D63" s="8" t="n">
        <f aca="false">SUMIFS('Source 2026'!$P:$P,'Source 2026'!$B:$B,$A63,'Source 2026'!$A:$A,"Quantity (units)")</f>
        <v>-5</v>
      </c>
      <c r="E63" s="8" t="n">
        <f aca="false">D63-C63</f>
        <v>2</v>
      </c>
      <c r="F63" s="9" t="n">
        <f aca="false">IF(AND(C63=0,D63=0),0,IF(C63=0,"New",(D63-C63)/C63))</f>
        <v>-0.285714285714286</v>
      </c>
      <c r="G63" s="10" t="n">
        <f aca="false">SUMIFS('Source 2025'!$P:$P,'Source 2025'!$B:$B,$A63,'Source 2025'!$A:$A,"Amount (NIS)")</f>
        <v>-694.6</v>
      </c>
      <c r="H63" s="10" t="n">
        <f aca="false">SUMIFS('Source 2026'!$P:$P,'Source 2026'!$B:$B,$A63,'Source 2026'!$A:$A,"Amount (NIS)")</f>
        <v>-496.1</v>
      </c>
      <c r="I63" s="10" t="n">
        <f aca="false">H63-G63</f>
        <v>198.5</v>
      </c>
      <c r="J63" s="9" t="n">
        <f aca="false">IF(AND(G63=0,H63=0),0,IF(G63=0,"New",(H63-G63)/G63))</f>
        <v>-0.285775986179096</v>
      </c>
    </row>
    <row r="64" customFormat="false" ht="15" hidden="false" customHeight="false" outlineLevel="0" collapsed="false">
      <c r="A64" s="7" t="s">
        <v>55</v>
      </c>
      <c r="B64" s="7" t="str">
        <f aca="false">IFERROR(INDEX('Source 2026'!$C:$C,MATCH($A64,'Source 2026'!$B:$B,0)),IFERROR(INDEX('Source 2025'!$C:$C,MATCH($A64,'Source 2025'!$B:$B,0)),""))</f>
        <v>חגורת גב אפורה</v>
      </c>
      <c r="C64" s="8" t="n">
        <f aca="false">SUMIFS('Source 2025'!$P:$P,'Source 2025'!$B:$B,$A64,'Source 2025'!$A:$A,"Quantity (units)")</f>
        <v>-7</v>
      </c>
      <c r="D64" s="8" t="n">
        <f aca="false">SUMIFS('Source 2026'!$P:$P,'Source 2026'!$B:$B,$A64,'Source 2026'!$A:$A,"Quantity (units)")</f>
        <v>-5</v>
      </c>
      <c r="E64" s="8" t="n">
        <f aca="false">D64-C64</f>
        <v>2</v>
      </c>
      <c r="F64" s="9" t="n">
        <f aca="false">IF(AND(C64=0,D64=0),0,IF(C64=0,"New",(D64-C64)/C64))</f>
        <v>-0.285714285714286</v>
      </c>
      <c r="G64" s="10" t="n">
        <f aca="false">SUMIFS('Source 2025'!$P:$P,'Source 2025'!$B:$B,$A64,'Source 2025'!$A:$A,"Amount (NIS)")</f>
        <v>-694.6</v>
      </c>
      <c r="H64" s="10" t="n">
        <f aca="false">SUMIFS('Source 2026'!$P:$P,'Source 2026'!$B:$B,$A64,'Source 2026'!$A:$A,"Amount (NIS)")</f>
        <v>-496.2</v>
      </c>
      <c r="I64" s="10" t="n">
        <f aca="false">H64-G64</f>
        <v>198.4</v>
      </c>
      <c r="J64" s="9" t="n">
        <f aca="false">IF(AND(G64=0,H64=0),0,IF(G64=0,"New",(H64-G64)/G64))</f>
        <v>-0.285632018427872</v>
      </c>
    </row>
    <row r="65" customFormat="false" ht="15" hidden="false" customHeight="false" outlineLevel="0" collapsed="false">
      <c r="A65" s="7" t="s">
        <v>220</v>
      </c>
      <c r="B65" s="7" t="str">
        <f aca="false">IFERROR(INDEX('Source 2026'!$C:$C,MATCH($A65,'Source 2026'!$B:$B,0)),IFERROR(INDEX('Source 2025'!$C:$C,MATCH($A65,'Source 2025'!$B:$B,0)),""))</f>
        <v>XL סד לאגודל כפפה</v>
      </c>
      <c r="C65" s="8" t="n">
        <f aca="false">SUMIFS('Source 2025'!$P:$P,'Source 2025'!$B:$B,$A65,'Source 2025'!$A:$A,"Quantity (units)")</f>
        <v>-3</v>
      </c>
      <c r="D65" s="8" t="n">
        <f aca="false">SUMIFS('Source 2026'!$P:$P,'Source 2026'!$B:$B,$A65,'Source 2026'!$A:$A,"Quantity (units)")</f>
        <v>0</v>
      </c>
      <c r="E65" s="8" t="n">
        <f aca="false">D65-C65</f>
        <v>3</v>
      </c>
      <c r="F65" s="9" t="n">
        <f aca="false">IF(AND(C65=0,D65=0),0,IF(C65=0,"New",(D65-C65)/C65))</f>
        <v>-1</v>
      </c>
      <c r="G65" s="10" t="n">
        <f aca="false">SUMIFS('Source 2025'!$P:$P,'Source 2025'!$B:$B,$A65,'Source 2025'!$A:$A,"Amount (NIS)")</f>
        <v>-198.4</v>
      </c>
      <c r="H65" s="10" t="n">
        <f aca="false">SUMIFS('Source 2026'!$P:$P,'Source 2026'!$B:$B,$A65,'Source 2026'!$A:$A,"Amount (NIS)")</f>
        <v>0</v>
      </c>
      <c r="I65" s="10" t="n">
        <f aca="false">H65-G65</f>
        <v>198.4</v>
      </c>
      <c r="J65" s="9" t="n">
        <f aca="false">IF(AND(G65=0,H65=0),0,IF(G65=0,"New",(H65-G65)/G65))</f>
        <v>-1</v>
      </c>
    </row>
    <row r="66" customFormat="false" ht="15" hidden="false" customHeight="false" outlineLevel="0" collapsed="false">
      <c r="A66" s="7" t="s">
        <v>253</v>
      </c>
      <c r="B66" s="7" t="str">
        <f aca="false">IFERROR(INDEX('Source 2026'!$C:$C,MATCH($A66,'Source 2026'!$B:$B,0)),IFERROR(INDEX('Source 2025'!$C:$C,MATCH($A66,'Source 2025'!$B:$B,0)),""))</f>
        <v>XLסד ליד שמאל</v>
      </c>
      <c r="C66" s="8" t="n">
        <f aca="false">SUMIFS('Source 2025'!$P:$P,'Source 2025'!$B:$B,$A66,'Source 2025'!$A:$A,"Quantity (units)")</f>
        <v>-2</v>
      </c>
      <c r="D66" s="8" t="n">
        <f aca="false">SUMIFS('Source 2026'!$P:$P,'Source 2026'!$B:$B,$A66,'Source 2026'!$A:$A,"Quantity (units)")</f>
        <v>0</v>
      </c>
      <c r="E66" s="8" t="n">
        <f aca="false">D66-C66</f>
        <v>2</v>
      </c>
      <c r="F66" s="9" t="n">
        <f aca="false">IF(AND(C66=0,D66=0),0,IF(C66=0,"New",(D66-C66)/C66))</f>
        <v>-1</v>
      </c>
      <c r="G66" s="10" t="n">
        <f aca="false">SUMIFS('Source 2025'!$P:$P,'Source 2025'!$B:$B,$A66,'Source 2025'!$A:$A,"Amount (NIS)")</f>
        <v>-194.1</v>
      </c>
      <c r="H66" s="10" t="n">
        <f aca="false">SUMIFS('Source 2026'!$P:$P,'Source 2026'!$B:$B,$A66,'Source 2026'!$A:$A,"Amount (NIS)")</f>
        <v>0</v>
      </c>
      <c r="I66" s="10" t="n">
        <f aca="false">H66-G66</f>
        <v>194.1</v>
      </c>
      <c r="J66" s="9" t="n">
        <f aca="false">IF(AND(G66=0,H66=0),0,IF(G66=0,"New",(H66-G66)/G66))</f>
        <v>-1</v>
      </c>
    </row>
    <row r="67" customFormat="false" ht="15" hidden="false" customHeight="false" outlineLevel="0" collapsed="false">
      <c r="A67" s="7" t="s">
        <v>196</v>
      </c>
      <c r="B67" s="7" t="str">
        <f aca="false">IFERROR(INDEX('Source 2026'!$C:$C,MATCH($A67,'Source 2026'!$B:$B,0)),IFERROR(INDEX('Source 2025'!$C:$C,MATCH($A67,'Source 2025'!$B:$B,0)),""))</f>
        <v>מגן זרת מסיליקון</v>
      </c>
      <c r="C67" s="8" t="n">
        <f aca="false">SUMIFS('Source 2025'!$P:$P,'Source 2025'!$B:$B,$A67,'Source 2025'!$A:$A,"Quantity (units)")</f>
        <v>-7</v>
      </c>
      <c r="D67" s="8" t="n">
        <f aca="false">SUMIFS('Source 2026'!$P:$P,'Source 2026'!$B:$B,$A67,'Source 2026'!$A:$A,"Quantity (units)")</f>
        <v>0</v>
      </c>
      <c r="E67" s="8" t="n">
        <f aca="false">D67-C67</f>
        <v>7</v>
      </c>
      <c r="F67" s="9" t="n">
        <f aca="false">IF(AND(C67=0,D67=0),0,IF(C67=0,"New",(D67-C67)/C67))</f>
        <v>-1</v>
      </c>
      <c r="G67" s="10" t="n">
        <f aca="false">SUMIFS('Source 2025'!$P:$P,'Source 2025'!$B:$B,$A67,'Source 2025'!$A:$A,"Amount (NIS)")</f>
        <v>-192.6</v>
      </c>
      <c r="H67" s="10" t="n">
        <f aca="false">SUMIFS('Source 2026'!$P:$P,'Source 2026'!$B:$B,$A67,'Source 2026'!$A:$A,"Amount (NIS)")</f>
        <v>0</v>
      </c>
      <c r="I67" s="10" t="n">
        <f aca="false">H67-G67</f>
        <v>192.6</v>
      </c>
      <c r="J67" s="9" t="n">
        <f aca="false">IF(AND(G67=0,H67=0),0,IF(G67=0,"New",(H67-G67)/G67))</f>
        <v>-1</v>
      </c>
    </row>
    <row r="68" customFormat="false" ht="15" hidden="false" customHeight="false" outlineLevel="0" collapsed="false">
      <c r="A68" s="7" t="s">
        <v>153</v>
      </c>
      <c r="B68" s="7" t="str">
        <f aca="false">IFERROR(INDEX('Source 2026'!$C:$C,MATCH($A68,'Source 2026'!$B:$B,0)),IFERROR(INDEX('Source 2025'!$C:$C,MATCH($A68,'Source 2025'!$B:$B,0)),""))</f>
        <v>S-M סד לאגודל</v>
      </c>
      <c r="C68" s="8" t="n">
        <f aca="false">SUMIFS('Source 2025'!$P:$P,'Source 2025'!$B:$B,$A68,'Source 2025'!$A:$A,"Quantity (units)")</f>
        <v>-13</v>
      </c>
      <c r="D68" s="8" t="n">
        <f aca="false">SUMIFS('Source 2026'!$P:$P,'Source 2026'!$B:$B,$A68,'Source 2026'!$A:$A,"Quantity (units)")</f>
        <v>-10</v>
      </c>
      <c r="E68" s="8" t="n">
        <f aca="false">D68-C68</f>
        <v>3</v>
      </c>
      <c r="F68" s="9" t="n">
        <f aca="false">IF(AND(C68=0,D68=0),0,IF(C68=0,"New",(D68-C68)/C68))</f>
        <v>-0.230769230769231</v>
      </c>
      <c r="G68" s="10" t="n">
        <f aca="false">SUMIFS('Source 2025'!$P:$P,'Source 2025'!$B:$B,$A68,'Source 2025'!$A:$A,"Amount (NIS)")</f>
        <v>-819.7</v>
      </c>
      <c r="H68" s="10" t="n">
        <f aca="false">SUMIFS('Source 2026'!$P:$P,'Source 2026'!$B:$B,$A68,'Source 2026'!$A:$A,"Amount (NIS)")</f>
        <v>-630.5</v>
      </c>
      <c r="I68" s="10" t="n">
        <f aca="false">H68-G68</f>
        <v>189.2</v>
      </c>
      <c r="J68" s="9" t="n">
        <f aca="false">IF(AND(G68=0,H68=0),0,IF(G68=0,"New",(H68-G68)/G68))</f>
        <v>-0.230816152250824</v>
      </c>
    </row>
    <row r="69" customFormat="false" ht="15" hidden="false" customHeight="false" outlineLevel="0" collapsed="false">
      <c r="A69" s="7" t="s">
        <v>201</v>
      </c>
      <c r="B69" s="7" t="str">
        <f aca="false">IFERROR(INDEX('Source 2026'!$C:$C,MATCH($A69,'Source 2026'!$B:$B,0)),IFERROR(INDEX('Source 2025'!$C:$C,MATCH($A69,'Source 2025'!$B:$B,0)),""))</f>
        <v>S חגורת שבר לצד שמאל</v>
      </c>
      <c r="C69" s="8" t="n">
        <f aca="false">SUMIFS('Source 2025'!$P:$P,'Source 2025'!$B:$B,$A69,'Source 2025'!$A:$A,"Quantity (units)")</f>
        <v>-1</v>
      </c>
      <c r="D69" s="8" t="n">
        <f aca="false">SUMIFS('Source 2026'!$P:$P,'Source 2026'!$B:$B,$A69,'Source 2026'!$A:$A,"Quantity (units)")</f>
        <v>0</v>
      </c>
      <c r="E69" s="8" t="n">
        <f aca="false">D69-C69</f>
        <v>1</v>
      </c>
      <c r="F69" s="9" t="n">
        <f aca="false">IF(AND(C69=0,D69=0),0,IF(C69=0,"New",(D69-C69)/C69))</f>
        <v>-1</v>
      </c>
      <c r="G69" s="10" t="n">
        <f aca="false">SUMIFS('Source 2025'!$P:$P,'Source 2025'!$B:$B,$A69,'Source 2025'!$A:$A,"Amount (NIS)")</f>
        <v>-178.9</v>
      </c>
      <c r="H69" s="10" t="n">
        <f aca="false">SUMIFS('Source 2026'!$P:$P,'Source 2026'!$B:$B,$A69,'Source 2026'!$A:$A,"Amount (NIS)")</f>
        <v>0</v>
      </c>
      <c r="I69" s="10" t="n">
        <f aca="false">H69-G69</f>
        <v>178.9</v>
      </c>
      <c r="J69" s="9" t="n">
        <f aca="false">IF(AND(G69=0,H69=0),0,IF(G69=0,"New",(H69-G69)/G69))</f>
        <v>-1</v>
      </c>
    </row>
    <row r="70" customFormat="false" ht="15" hidden="false" customHeight="false" outlineLevel="0" collapsed="false">
      <c r="A70" s="7" t="s">
        <v>152</v>
      </c>
      <c r="B70" s="7" t="str">
        <f aca="false">IFERROR(INDEX('Source 2026'!$C:$C,MATCH($A70,'Source 2026'!$B:$B,0)),IFERROR(INDEX('Source 2025'!$C:$C,MATCH($A70,'Source 2025'!$B:$B,0)),""))</f>
        <v>S  חגורת גב פוג'יאמה</v>
      </c>
      <c r="C70" s="8" t="n">
        <f aca="false">SUMIFS('Source 2025'!$P:$P,'Source 2025'!$B:$B,$A70,'Source 2025'!$A:$A,"Quantity (units)")</f>
        <v>-3</v>
      </c>
      <c r="D70" s="8" t="n">
        <f aca="false">SUMIFS('Source 2026'!$P:$P,'Source 2026'!$B:$B,$A70,'Source 2026'!$A:$A,"Quantity (units)")</f>
        <v>-1</v>
      </c>
      <c r="E70" s="8" t="n">
        <f aca="false">D70-C70</f>
        <v>2</v>
      </c>
      <c r="F70" s="9" t="n">
        <f aca="false">IF(AND(C70=0,D70=0),0,IF(C70=0,"New",(D70-C70)/C70))</f>
        <v>-0.666666666666667</v>
      </c>
      <c r="G70" s="10" t="n">
        <f aca="false">SUMIFS('Source 2025'!$P:$P,'Source 2025'!$B:$B,$A70,'Source 2025'!$A:$A,"Amount (NIS)")</f>
        <v>-264.6</v>
      </c>
      <c r="H70" s="10" t="n">
        <f aca="false">SUMIFS('Source 2026'!$P:$P,'Source 2026'!$B:$B,$A70,'Source 2026'!$A:$A,"Amount (NIS)")</f>
        <v>-88.2</v>
      </c>
      <c r="I70" s="10" t="n">
        <f aca="false">H70-G70</f>
        <v>176.4</v>
      </c>
      <c r="J70" s="9" t="n">
        <f aca="false">IF(AND(G70=0,H70=0),0,IF(G70=0,"New",(H70-G70)/G70))</f>
        <v>-0.666666666666667</v>
      </c>
    </row>
    <row r="71" customFormat="false" ht="15" hidden="false" customHeight="false" outlineLevel="0" collapsed="false">
      <c r="A71" s="7" t="s">
        <v>164</v>
      </c>
      <c r="B71" s="7" t="str">
        <f aca="false">IFERROR(INDEX('Source 2026'!$C:$C,MATCH($A71,'Source 2026'!$B:$B,0)),IFERROR(INDEX('Source 2025'!$C:$C,MATCH($A71,'Source 2025'!$B:$B,0)),""))</f>
        <v>Sמיישר כתף יציב יישור ג.רחב</v>
      </c>
      <c r="C71" s="8" t="n">
        <f aca="false">SUMIFS('Source 2025'!$P:$P,'Source 2025'!$B:$B,$A71,'Source 2025'!$A:$A,"Quantity (units)")</f>
        <v>-1</v>
      </c>
      <c r="D71" s="8" t="n">
        <f aca="false">SUMIFS('Source 2026'!$P:$P,'Source 2026'!$B:$B,$A71,'Source 2026'!$A:$A,"Quantity (units)")</f>
        <v>0</v>
      </c>
      <c r="E71" s="8" t="n">
        <f aca="false">D71-C71</f>
        <v>1</v>
      </c>
      <c r="F71" s="9" t="n">
        <f aca="false">IF(AND(C71=0,D71=0),0,IF(C71=0,"New",(D71-C71)/C71))</f>
        <v>-1</v>
      </c>
      <c r="G71" s="10" t="n">
        <f aca="false">SUMIFS('Source 2025'!$P:$P,'Source 2025'!$B:$B,$A71,'Source 2025'!$A:$A,"Amount (NIS)")</f>
        <v>-176.4</v>
      </c>
      <c r="H71" s="10" t="n">
        <f aca="false">SUMIFS('Source 2026'!$P:$P,'Source 2026'!$B:$B,$A71,'Source 2026'!$A:$A,"Amount (NIS)")</f>
        <v>0</v>
      </c>
      <c r="I71" s="10" t="n">
        <f aca="false">H71-G71</f>
        <v>176.4</v>
      </c>
      <c r="J71" s="9" t="n">
        <f aca="false">IF(AND(G71=0,H71=0),0,IF(G71=0,"New",(H71-G71)/G71))</f>
        <v>-1</v>
      </c>
    </row>
    <row r="72" customFormat="false" ht="15" hidden="false" customHeight="false" outlineLevel="0" collapsed="false">
      <c r="A72" s="7" t="s">
        <v>317</v>
      </c>
      <c r="B72" s="7" t="str">
        <f aca="false">IFERROR(INDEX('Source 2026'!$C:$C,MATCH($A72,'Source 2026'!$B:$B,0)),IFERROR(INDEX('Source 2025'!$C:$C,MATCH($A72,'Source 2025'!$B:$B,0)),""))</f>
        <v>סד לאגודל לאחר שבר</v>
      </c>
      <c r="C72" s="8" t="n">
        <f aca="false">SUMIFS('Source 2025'!$P:$P,'Source 2025'!$B:$B,$A72,'Source 2025'!$A:$A,"Quantity (units)")</f>
        <v>-5</v>
      </c>
      <c r="D72" s="8" t="n">
        <f aca="false">SUMIFS('Source 2026'!$P:$P,'Source 2026'!$B:$B,$A72,'Source 2026'!$A:$A,"Quantity (units)")</f>
        <v>-3</v>
      </c>
      <c r="E72" s="8" t="n">
        <f aca="false">D72-C72</f>
        <v>2</v>
      </c>
      <c r="F72" s="9" t="n">
        <f aca="false">IF(AND(C72=0,D72=0),0,IF(C72=0,"New",(D72-C72)/C72))</f>
        <v>-0.4</v>
      </c>
      <c r="G72" s="10" t="n">
        <f aca="false">SUMIFS('Source 2025'!$P:$P,'Source 2025'!$B:$B,$A72,'Source 2025'!$A:$A,"Amount (NIS)")</f>
        <v>-441</v>
      </c>
      <c r="H72" s="10" t="n">
        <f aca="false">SUMIFS('Source 2026'!$P:$P,'Source 2026'!$B:$B,$A72,'Source 2026'!$A:$A,"Amount (NIS)")</f>
        <v>-264.6</v>
      </c>
      <c r="I72" s="10" t="n">
        <f aca="false">H72-G72</f>
        <v>176.4</v>
      </c>
      <c r="J72" s="9" t="n">
        <f aca="false">IF(AND(G72=0,H72=0),0,IF(G72=0,"New",(H72-G72)/G72))</f>
        <v>-0.4</v>
      </c>
    </row>
    <row r="73" customFormat="false" ht="15" hidden="false" customHeight="false" outlineLevel="0" collapsed="false">
      <c r="A73" s="7" t="s">
        <v>211</v>
      </c>
      <c r="B73" s="7" t="str">
        <f aca="false">IFERROR(INDEX('Source 2026'!$C:$C,MATCH($A73,'Source 2026'!$B:$B,0)),IFERROR(INDEX('Source 2025'!$C:$C,MATCH($A73,'Source 2025'!$B:$B,0)),""))</f>
        <v>נגד פטרת הציפורן</v>
      </c>
      <c r="C73" s="8" t="n">
        <f aca="false">SUMIFS('Source 2025'!$P:$P,'Source 2025'!$B:$B,$A73,'Source 2025'!$A:$A,"Quantity (units)")</f>
        <v>-11</v>
      </c>
      <c r="D73" s="8" t="n">
        <f aca="false">SUMIFS('Source 2026'!$P:$P,'Source 2026'!$B:$B,$A73,'Source 2026'!$A:$A,"Quantity (units)")</f>
        <v>-6</v>
      </c>
      <c r="E73" s="8" t="n">
        <f aca="false">D73-C73</f>
        <v>5</v>
      </c>
      <c r="F73" s="9" t="n">
        <f aca="false">IF(AND(C73=0,D73=0),0,IF(C73=0,"New",(D73-C73)/C73))</f>
        <v>-0.454545454545455</v>
      </c>
      <c r="G73" s="10" t="n">
        <f aca="false">SUMIFS('Source 2025'!$P:$P,'Source 2025'!$B:$B,$A73,'Source 2025'!$A:$A,"Amount (NIS)")</f>
        <v>-366.5</v>
      </c>
      <c r="H73" s="10" t="n">
        <f aca="false">SUMIFS('Source 2026'!$P:$P,'Source 2026'!$B:$B,$A73,'Source 2026'!$A:$A,"Amount (NIS)")</f>
        <v>-191.6</v>
      </c>
      <c r="I73" s="10" t="n">
        <f aca="false">H73-G73</f>
        <v>174.9</v>
      </c>
      <c r="J73" s="9" t="n">
        <f aca="false">IF(AND(G73=0,H73=0),0,IF(G73=0,"New",(H73-G73)/G73))</f>
        <v>-0.477216916780355</v>
      </c>
    </row>
    <row r="74" customFormat="false" ht="15" hidden="false" customHeight="false" outlineLevel="0" collapsed="false">
      <c r="A74" s="7" t="s">
        <v>51</v>
      </c>
      <c r="B74" s="7" t="str">
        <f aca="false">IFERROR(INDEX('Source 2026'!$C:$C,MATCH($A74,'Source 2026'!$B:$B,0)),IFERROR(INDEX('Source 2025'!$C:$C,MATCH($A74,'Source 2025'!$B:$B,0)),""))</f>
        <v>Sמגן ברך ארוך לבן</v>
      </c>
      <c r="C74" s="8" t="n">
        <f aca="false">SUMIFS('Source 2025'!$P:$P,'Source 2025'!$B:$B,$A74,'Source 2025'!$A:$A,"Quantity (units)")</f>
        <v>-32</v>
      </c>
      <c r="D74" s="8" t="n">
        <f aca="false">SUMIFS('Source 2026'!$P:$P,'Source 2026'!$B:$B,$A74,'Source 2026'!$A:$A,"Quantity (units)")</f>
        <v>-27</v>
      </c>
      <c r="E74" s="8" t="n">
        <f aca="false">D74-C74</f>
        <v>5</v>
      </c>
      <c r="F74" s="9" t="n">
        <f aca="false">IF(AND(C74=0,D74=0),0,IF(C74=0,"New",(D74-C74)/C74))</f>
        <v>-0.15625</v>
      </c>
      <c r="G74" s="10" t="n">
        <f aca="false">SUMIFS('Source 2025'!$P:$P,'Source 2025'!$B:$B,$A74,'Source 2025'!$A:$A,"Amount (NIS)")</f>
        <v>-1071.7</v>
      </c>
      <c r="H74" s="10" t="n">
        <f aca="false">SUMIFS('Source 2026'!$P:$P,'Source 2026'!$B:$B,$A74,'Source 2026'!$A:$A,"Amount (NIS)")</f>
        <v>-904.4</v>
      </c>
      <c r="I74" s="10" t="n">
        <f aca="false">H74-G74</f>
        <v>167.3</v>
      </c>
      <c r="J74" s="9" t="n">
        <f aca="false">IF(AND(G74=0,H74=0),0,IF(G74=0,"New",(H74-G74)/G74))</f>
        <v>-0.156107119529719</v>
      </c>
    </row>
    <row r="75" customFormat="false" ht="15" hidden="false" customHeight="false" outlineLevel="0" collapsed="false">
      <c r="A75" s="7" t="s">
        <v>229</v>
      </c>
      <c r="B75" s="7" t="str">
        <f aca="false">IFERROR(INDEX('Source 2026'!$C:$C,MATCH($A75,'Source 2026'!$B:$B,0)),IFERROR(INDEX('Source 2025'!$C:$C,MATCH($A75,'Source 2025'!$B:$B,0)),""))</f>
        <v>Lעקבים סיליקון כחול לדורבן</v>
      </c>
      <c r="C75" s="8" t="n">
        <f aca="false">SUMIFS('Source 2025'!$P:$P,'Source 2025'!$B:$B,$A75,'Source 2025'!$A:$A,"Quantity (units)")</f>
        <v>-12</v>
      </c>
      <c r="D75" s="8" t="n">
        <f aca="false">SUMIFS('Source 2026'!$P:$P,'Source 2026'!$B:$B,$A75,'Source 2026'!$A:$A,"Quantity (units)")</f>
        <v>-9</v>
      </c>
      <c r="E75" s="8" t="n">
        <f aca="false">D75-C75</f>
        <v>3</v>
      </c>
      <c r="F75" s="9" t="n">
        <f aca="false">IF(AND(C75=0,D75=0),0,IF(C75=0,"New",(D75-C75)/C75))</f>
        <v>-0.25</v>
      </c>
      <c r="G75" s="10" t="n">
        <f aca="false">SUMIFS('Source 2025'!$P:$P,'Source 2025'!$B:$B,$A75,'Source 2025'!$A:$A,"Amount (NIS)")</f>
        <v>-654.3</v>
      </c>
      <c r="H75" s="10" t="n">
        <f aca="false">SUMIFS('Source 2026'!$P:$P,'Source 2026'!$B:$B,$A75,'Source 2026'!$A:$A,"Amount (NIS)")</f>
        <v>-490.6</v>
      </c>
      <c r="I75" s="10" t="n">
        <f aca="false">H75-G75</f>
        <v>163.7</v>
      </c>
      <c r="J75" s="9" t="n">
        <f aca="false">IF(AND(G75=0,H75=0),0,IF(G75=0,"New",(H75-G75)/G75))</f>
        <v>-0.250191043863671</v>
      </c>
    </row>
    <row r="76" customFormat="false" ht="15" hidden="false" customHeight="false" outlineLevel="0" collapsed="false">
      <c r="A76" s="7" t="s">
        <v>48</v>
      </c>
      <c r="B76" s="7" t="str">
        <f aca="false">IFERROR(INDEX('Source 2026'!$C:$C,MATCH($A76,'Source 2026'!$B:$B,0)),IFERROR(INDEX('Source 2025'!$C:$C,MATCH($A76,'Source 2025'!$B:$B,0)),""))</f>
        <v>מישר כתפיים אקטיב</v>
      </c>
      <c r="C76" s="8" t="n">
        <f aca="false">SUMIFS('Source 2025'!$P:$P,'Source 2025'!$B:$B,$A76,'Source 2025'!$A:$A,"Quantity (units)")</f>
        <v>-2</v>
      </c>
      <c r="D76" s="8" t="n">
        <f aca="false">SUMIFS('Source 2026'!$P:$P,'Source 2026'!$B:$B,$A76,'Source 2026'!$A:$A,"Quantity (units)")</f>
        <v>0</v>
      </c>
      <c r="E76" s="8" t="n">
        <f aca="false">D76-C76</f>
        <v>2</v>
      </c>
      <c r="F76" s="9" t="n">
        <f aca="false">IF(AND(C76=0,D76=0),0,IF(C76=0,"New",(D76-C76)/C76))</f>
        <v>-1</v>
      </c>
      <c r="G76" s="10" t="n">
        <f aca="false">SUMIFS('Source 2025'!$P:$P,'Source 2025'!$B:$B,$A76,'Source 2025'!$A:$A,"Amount (NIS)")</f>
        <v>-159</v>
      </c>
      <c r="H76" s="10" t="n">
        <f aca="false">SUMIFS('Source 2026'!$P:$P,'Source 2026'!$B:$B,$A76,'Source 2026'!$A:$A,"Amount (NIS)")</f>
        <v>0</v>
      </c>
      <c r="I76" s="10" t="n">
        <f aca="false">H76-G76</f>
        <v>159</v>
      </c>
      <c r="J76" s="9" t="n">
        <f aca="false">IF(AND(G76=0,H76=0),0,IF(G76=0,"New",(H76-G76)/G76))</f>
        <v>-1</v>
      </c>
    </row>
    <row r="77" customFormat="false" ht="15" hidden="false" customHeight="false" outlineLevel="0" collapsed="false">
      <c r="A77" s="7" t="s">
        <v>213</v>
      </c>
      <c r="B77" s="7" t="str">
        <f aca="false">IFERROR(INDEX('Source 2026'!$C:$C,MATCH($A77,'Source 2026'!$B:$B,0)),IFERROR(INDEX('Source 2025'!$C:$C,MATCH($A77,'Source 2025'!$B:$B,0)),""))</f>
        <v>L  ""ח.גב קלה ""מיקדו</v>
      </c>
      <c r="C77" s="8" t="n">
        <f aca="false">SUMIFS('Source 2025'!$P:$P,'Source 2025'!$B:$B,$A77,'Source 2025'!$A:$A,"Quantity (units)")</f>
        <v>-1</v>
      </c>
      <c r="D77" s="8" t="n">
        <f aca="false">SUMIFS('Source 2026'!$P:$P,'Source 2026'!$B:$B,$A77,'Source 2026'!$A:$A,"Quantity (units)")</f>
        <v>0</v>
      </c>
      <c r="E77" s="8" t="n">
        <f aca="false">D77-C77</f>
        <v>1</v>
      </c>
      <c r="F77" s="9" t="n">
        <f aca="false">IF(AND(C77=0,D77=0),0,IF(C77=0,"New",(D77-C77)/C77))</f>
        <v>-1</v>
      </c>
      <c r="G77" s="10" t="n">
        <f aca="false">SUMIFS('Source 2025'!$P:$P,'Source 2025'!$B:$B,$A77,'Source 2025'!$A:$A,"Amount (NIS)")</f>
        <v>-158.8</v>
      </c>
      <c r="H77" s="10" t="n">
        <f aca="false">SUMIFS('Source 2026'!$P:$P,'Source 2026'!$B:$B,$A77,'Source 2026'!$A:$A,"Amount (NIS)")</f>
        <v>0</v>
      </c>
      <c r="I77" s="10" t="n">
        <f aca="false">H77-G77</f>
        <v>158.8</v>
      </c>
      <c r="J77" s="9" t="n">
        <f aca="false">IF(AND(G77=0,H77=0),0,IF(G77=0,"New",(H77-G77)/G77))</f>
        <v>-1</v>
      </c>
    </row>
    <row r="78" customFormat="false" ht="15" hidden="false" customHeight="false" outlineLevel="0" collapsed="false">
      <c r="A78" s="7" t="s">
        <v>59</v>
      </c>
      <c r="B78" s="7" t="str">
        <f aca="false">IFERROR(INDEX('Source 2026'!$C:$C,MATCH($A78,'Source 2026'!$B:$B,0)),IFERROR(INDEX('Source 2025'!$C:$C,MATCH($A78,'Source 2025'!$B:$B,0)),""))</f>
        <v>יד אגודלי</v>
      </c>
      <c r="C78" s="8" t="n">
        <f aca="false">SUMIFS('Source 2025'!$P:$P,'Source 2025'!$B:$B,$A78,'Source 2025'!$A:$A,"Quantity (units)")</f>
        <v>-7</v>
      </c>
      <c r="D78" s="8" t="n">
        <f aca="false">SUMIFS('Source 2026'!$P:$P,'Source 2026'!$B:$B,$A78,'Source 2026'!$A:$A,"Quantity (units)")</f>
        <v>-3</v>
      </c>
      <c r="E78" s="8" t="n">
        <f aca="false">D78-C78</f>
        <v>4</v>
      </c>
      <c r="F78" s="9" t="n">
        <f aca="false">IF(AND(C78=0,D78=0),0,IF(C78=0,"New",(D78-C78)/C78))</f>
        <v>-0.571428571428571</v>
      </c>
      <c r="G78" s="10" t="n">
        <f aca="false">SUMIFS('Source 2025'!$P:$P,'Source 2025'!$B:$B,$A78,'Source 2025'!$A:$A,"Amount (NIS)")</f>
        <v>-277.6</v>
      </c>
      <c r="H78" s="10" t="n">
        <f aca="false">SUMIFS('Source 2026'!$P:$P,'Source 2026'!$B:$B,$A78,'Source 2026'!$A:$A,"Amount (NIS)")</f>
        <v>-119</v>
      </c>
      <c r="I78" s="10" t="n">
        <f aca="false">H78-G78</f>
        <v>158.6</v>
      </c>
      <c r="J78" s="9" t="n">
        <f aca="false">IF(AND(G78=0,H78=0),0,IF(G78=0,"New",(H78-G78)/G78))</f>
        <v>-0.571325648414986</v>
      </c>
    </row>
    <row r="79" customFormat="false" ht="15" hidden="false" customHeight="false" outlineLevel="0" collapsed="false">
      <c r="A79" s="7" t="s">
        <v>167</v>
      </c>
      <c r="B79" s="7" t="str">
        <f aca="false">IFERROR(INDEX('Source 2026'!$C:$C,MATCH($A79,'Source 2026'!$B:$B,0)),IFERROR(INDEX('Source 2025'!$C:$C,MATCH($A79,'Source 2025'!$B:$B,0)),""))</f>
        <v>S מגן ברך מחמם</v>
      </c>
      <c r="C79" s="8" t="n">
        <f aca="false">SUMIFS('Source 2025'!$P:$P,'Source 2025'!$B:$B,$A79,'Source 2025'!$A:$A,"Quantity (units)")</f>
        <v>-3</v>
      </c>
      <c r="D79" s="8" t="n">
        <f aca="false">SUMIFS('Source 2026'!$P:$P,'Source 2026'!$B:$B,$A79,'Source 2026'!$A:$A,"Quantity (units)")</f>
        <v>0</v>
      </c>
      <c r="E79" s="8" t="n">
        <f aca="false">D79-C79</f>
        <v>3</v>
      </c>
      <c r="F79" s="9" t="n">
        <f aca="false">IF(AND(C79=0,D79=0),0,IF(C79=0,"New",(D79-C79)/C79))</f>
        <v>-1</v>
      </c>
      <c r="G79" s="10" t="n">
        <f aca="false">SUMIFS('Source 2025'!$P:$P,'Source 2025'!$B:$B,$A79,'Source 2025'!$A:$A,"Amount (NIS)")</f>
        <v>-157.2</v>
      </c>
      <c r="H79" s="10" t="n">
        <f aca="false">SUMIFS('Source 2026'!$P:$P,'Source 2026'!$B:$B,$A79,'Source 2026'!$A:$A,"Amount (NIS)")</f>
        <v>0</v>
      </c>
      <c r="I79" s="10" t="n">
        <f aca="false">H79-G79</f>
        <v>157.2</v>
      </c>
      <c r="J79" s="9" t="n">
        <f aca="false">IF(AND(G79=0,H79=0),0,IF(G79=0,"New",(H79-G79)/G79))</f>
        <v>-1</v>
      </c>
    </row>
    <row r="80" customFormat="false" ht="15" hidden="false" customHeight="false" outlineLevel="0" collapsed="false">
      <c r="A80" s="7" t="s">
        <v>225</v>
      </c>
      <c r="B80" s="7" t="str">
        <f aca="false">IFERROR(INDEX('Source 2026'!$C:$C,MATCH($A80,'Source 2026'!$B:$B,0)),IFERROR(INDEX('Source 2025'!$C:$C,MATCH($A80,'Source 2025'!$B:$B,0)),""))</f>
        <v>ריפוד סיליקון לנעלי אצבע</v>
      </c>
      <c r="C80" s="8" t="n">
        <f aca="false">SUMIFS('Source 2025'!$P:$P,'Source 2025'!$B:$B,$A80,'Source 2025'!$A:$A,"Quantity (units)")</f>
        <v>-6</v>
      </c>
      <c r="D80" s="8" t="n">
        <f aca="false">SUMIFS('Source 2026'!$P:$P,'Source 2026'!$B:$B,$A80,'Source 2026'!$A:$A,"Quantity (units)")</f>
        <v>-2</v>
      </c>
      <c r="E80" s="8" t="n">
        <f aca="false">D80-C80</f>
        <v>4</v>
      </c>
      <c r="F80" s="9" t="n">
        <f aca="false">IF(AND(C80=0,D80=0),0,IF(C80=0,"New",(D80-C80)/C80))</f>
        <v>-0.666666666666667</v>
      </c>
      <c r="G80" s="10" t="n">
        <f aca="false">SUMIFS('Source 2025'!$P:$P,'Source 2025'!$B:$B,$A80,'Source 2025'!$A:$A,"Amount (NIS)")</f>
        <v>-218.3</v>
      </c>
      <c r="H80" s="10" t="n">
        <f aca="false">SUMIFS('Source 2026'!$P:$P,'Source 2026'!$B:$B,$A80,'Source 2026'!$A:$A,"Amount (NIS)")</f>
        <v>-64.3</v>
      </c>
      <c r="I80" s="10" t="n">
        <f aca="false">H80-G80</f>
        <v>154</v>
      </c>
      <c r="J80" s="9" t="n">
        <f aca="false">IF(AND(G80=0,H80=0),0,IF(G80=0,"New",(H80-G80)/G80))</f>
        <v>-0.70545121392579</v>
      </c>
    </row>
    <row r="81" customFormat="false" ht="15" hidden="false" customHeight="false" outlineLevel="0" collapsed="false">
      <c r="A81" s="7" t="s">
        <v>109</v>
      </c>
      <c r="B81" s="7" t="str">
        <f aca="false">IFERROR(INDEX('Source 2026'!$C:$C,MATCH($A81,'Source 2026'!$B:$B,0)),IFERROR(INDEX('Source 2025'!$C:$C,MATCH($A81,'Source 2025'!$B:$B,0)),""))</f>
        <v>גרב.כסף לסכרתים שחור35-38</v>
      </c>
      <c r="C81" s="8" t="n">
        <f aca="false">SUMIFS('Source 2025'!$P:$P,'Source 2025'!$B:$B,$A81,'Source 2025'!$A:$A,"Quantity (units)")</f>
        <v>0</v>
      </c>
      <c r="D81" s="8" t="n">
        <f aca="false">SUMIFS('Source 2026'!$P:$P,'Source 2026'!$B:$B,$A81,'Source 2026'!$A:$A,"Quantity (units)")</f>
        <v>-5</v>
      </c>
      <c r="E81" s="8" t="n">
        <f aca="false">D81-C81</f>
        <v>-5</v>
      </c>
      <c r="F81" s="9" t="str">
        <f aca="false">IF(AND(C81=0,D81=0),0,IF(C81=0,"New",(D81-C81)/C81))</f>
        <v>New</v>
      </c>
      <c r="G81" s="10" t="n">
        <f aca="false">SUMIFS('Source 2025'!$P:$P,'Source 2025'!$B:$B,$A81,'Source 2025'!$A:$A,"Amount (NIS)")</f>
        <v>0</v>
      </c>
      <c r="H81" s="10" t="n">
        <f aca="false">SUMIFS('Source 2026'!$P:$P,'Source 2026'!$B:$B,$A81,'Source 2026'!$A:$A,"Amount (NIS)")</f>
        <v>-147</v>
      </c>
      <c r="I81" s="10" t="n">
        <f aca="false">H81-G81</f>
        <v>-147</v>
      </c>
      <c r="J81" s="9" t="str">
        <f aca="false">IF(AND(G81=0,H81=0),0,IF(G81=0,"New",(H81-G81)/G81))</f>
        <v>New</v>
      </c>
    </row>
    <row r="82" customFormat="false" ht="15" hidden="false" customHeight="false" outlineLevel="0" collapsed="false">
      <c r="A82" s="7" t="s">
        <v>56</v>
      </c>
      <c r="B82" s="7" t="str">
        <f aca="false">IFERROR(INDEX('Source 2026'!$C:$C,MATCH($A82,'Source 2026'!$B:$B,0)),IFERROR(INDEX('Source 2025'!$C:$C,MATCH($A82,'Source 2025'!$B:$B,0)),""))</f>
        <v>S מגן קרסול לבן</v>
      </c>
      <c r="C82" s="8" t="n">
        <f aca="false">SUMIFS('Source 2025'!$P:$P,'Source 2025'!$B:$B,$A82,'Source 2025'!$A:$A,"Quantity (units)")</f>
        <v>-33</v>
      </c>
      <c r="D82" s="8" t="n">
        <f aca="false">SUMIFS('Source 2026'!$P:$P,'Source 2026'!$B:$B,$A82,'Source 2026'!$A:$A,"Quantity (units)")</f>
        <v>-28</v>
      </c>
      <c r="E82" s="8" t="n">
        <f aca="false">D82-C82</f>
        <v>5</v>
      </c>
      <c r="F82" s="9" t="n">
        <f aca="false">IF(AND(C82=0,D82=0),0,IF(C82=0,"New",(D82-C82)/C82))</f>
        <v>-0.151515151515152</v>
      </c>
      <c r="G82" s="10" t="n">
        <f aca="false">SUMIFS('Source 2025'!$P:$P,'Source 2025'!$B:$B,$A82,'Source 2025'!$A:$A,"Amount (NIS)")</f>
        <v>-924.1</v>
      </c>
      <c r="H82" s="10" t="n">
        <f aca="false">SUMIFS('Source 2026'!$P:$P,'Source 2026'!$B:$B,$A82,'Source 2026'!$A:$A,"Amount (NIS)")</f>
        <v>-777.3</v>
      </c>
      <c r="I82" s="10" t="n">
        <f aca="false">H82-G82</f>
        <v>146.8</v>
      </c>
      <c r="J82" s="9" t="n">
        <f aca="false">IF(AND(G82=0,H82=0),0,IF(G82=0,"New",(H82-G82)/G82))</f>
        <v>-0.158857266529596</v>
      </c>
    </row>
    <row r="83" customFormat="false" ht="15" hidden="false" customHeight="false" outlineLevel="0" collapsed="false">
      <c r="A83" s="7" t="s">
        <v>79</v>
      </c>
      <c r="B83" s="7" t="str">
        <f aca="false">IFERROR(INDEX('Source 2026'!$C:$C,MATCH($A83,'Source 2026'!$B:$B,0)),IFERROR(INDEX('Source 2025'!$C:$C,MATCH($A83,'Source 2025'!$B:$B,0)),""))</f>
        <v>S ""חגורת גב ""לומבו</v>
      </c>
      <c r="C83" s="8" t="n">
        <f aca="false">SUMIFS('Source 2025'!$P:$P,'Source 2025'!$B:$B,$A83,'Source 2025'!$A:$A,"Quantity (units)")</f>
        <v>0</v>
      </c>
      <c r="D83" s="8" t="n">
        <f aca="false">SUMIFS('Source 2026'!$P:$P,'Source 2026'!$B:$B,$A83,'Source 2026'!$A:$A,"Quantity (units)")</f>
        <v>-1</v>
      </c>
      <c r="E83" s="8" t="n">
        <f aca="false">D83-C83</f>
        <v>-1</v>
      </c>
      <c r="F83" s="9" t="str">
        <f aca="false">IF(AND(C83=0,D83=0),0,IF(C83=0,"New",(D83-C83)/C83))</f>
        <v>New</v>
      </c>
      <c r="G83" s="10" t="n">
        <f aca="false">SUMIFS('Source 2025'!$P:$P,'Source 2025'!$B:$B,$A83,'Source 2025'!$A:$A,"Amount (NIS)")</f>
        <v>0</v>
      </c>
      <c r="H83" s="10" t="n">
        <f aca="false">SUMIFS('Source 2026'!$P:$P,'Source 2026'!$B:$B,$A83,'Source 2026'!$A:$A,"Amount (NIS)")</f>
        <v>-141.2</v>
      </c>
      <c r="I83" s="10" t="n">
        <f aca="false">H83-G83</f>
        <v>-141.2</v>
      </c>
      <c r="J83" s="9" t="str">
        <f aca="false">IF(AND(G83=0,H83=0),0,IF(G83=0,"New",(H83-G83)/G83))</f>
        <v>New</v>
      </c>
    </row>
    <row r="84" customFormat="false" ht="15" hidden="false" customHeight="false" outlineLevel="0" collapsed="false">
      <c r="A84" s="7" t="s">
        <v>120</v>
      </c>
      <c r="B84" s="7" t="str">
        <f aca="false">IFERROR(INDEX('Source 2026'!$C:$C,MATCH($A84,'Source 2026'!$B:$B,0)),IFERROR(INDEX('Source 2025'!$C:$C,MATCH($A84,'Source 2025'!$B:$B,0)),""))</f>
        <v>גרב.כסף לסכרתים אפור35-38</v>
      </c>
      <c r="C84" s="8" t="n">
        <f aca="false">SUMIFS('Source 2025'!$P:$P,'Source 2025'!$B:$B,$A84,'Source 2025'!$A:$A,"Quantity (units)")</f>
        <v>0</v>
      </c>
      <c r="D84" s="8" t="n">
        <f aca="false">SUMIFS('Source 2026'!$P:$P,'Source 2026'!$B:$B,$A84,'Source 2026'!$A:$A,"Quantity (units)")</f>
        <v>-4</v>
      </c>
      <c r="E84" s="8" t="n">
        <f aca="false">D84-C84</f>
        <v>-4</v>
      </c>
      <c r="F84" s="9" t="str">
        <f aca="false">IF(AND(C84=0,D84=0),0,IF(C84=0,"New",(D84-C84)/C84))</f>
        <v>New</v>
      </c>
      <c r="G84" s="10" t="n">
        <f aca="false">SUMIFS('Source 2025'!$P:$P,'Source 2025'!$B:$B,$A84,'Source 2025'!$A:$A,"Amount (NIS)")</f>
        <v>0</v>
      </c>
      <c r="H84" s="10" t="n">
        <f aca="false">SUMIFS('Source 2026'!$P:$P,'Source 2026'!$B:$B,$A84,'Source 2026'!$A:$A,"Amount (NIS)")</f>
        <v>-136.3</v>
      </c>
      <c r="I84" s="10" t="n">
        <f aca="false">H84-G84</f>
        <v>-136.3</v>
      </c>
      <c r="J84" s="9" t="str">
        <f aca="false">IF(AND(G84=0,H84=0),0,IF(G84=0,"New",(H84-G84)/G84))</f>
        <v>New</v>
      </c>
    </row>
    <row r="85" customFormat="false" ht="15" hidden="false" customHeight="false" outlineLevel="0" collapsed="false">
      <c r="A85" s="7" t="s">
        <v>75</v>
      </c>
      <c r="B85" s="7" t="str">
        <f aca="false">IFERROR(INDEX('Source 2026'!$C:$C,MATCH($A85,'Source 2026'!$B:$B,0)),IFERROR(INDEX('Source 2025'!$C:$C,MATCH($A85,'Source 2025'!$B:$B,0)),""))</f>
        <v>חבק ""טניס אלבו רצועה</v>
      </c>
      <c r="C85" s="8" t="n">
        <f aca="false">SUMIFS('Source 2025'!$P:$P,'Source 2025'!$B:$B,$A85,'Source 2025'!$A:$A,"Quantity (units)")</f>
        <v>-4</v>
      </c>
      <c r="D85" s="8" t="n">
        <f aca="false">SUMIFS('Source 2026'!$P:$P,'Source 2026'!$B:$B,$A85,'Source 2026'!$A:$A,"Quantity (units)")</f>
        <v>-6</v>
      </c>
      <c r="E85" s="8" t="n">
        <f aca="false">D85-C85</f>
        <v>-2</v>
      </c>
      <c r="F85" s="9" t="n">
        <f aca="false">IF(AND(C85=0,D85=0),0,IF(C85=0,"New",(D85-C85)/C85))</f>
        <v>0.5</v>
      </c>
      <c r="G85" s="10" t="n">
        <f aca="false">SUMIFS('Source 2025'!$P:$P,'Source 2025'!$B:$B,$A85,'Source 2025'!$A:$A,"Amount (NIS)")</f>
        <v>-315.9</v>
      </c>
      <c r="H85" s="10" t="n">
        <f aca="false">SUMIFS('Source 2026'!$P:$P,'Source 2026'!$B:$B,$A85,'Source 2026'!$A:$A,"Amount (NIS)")</f>
        <v>-449.8</v>
      </c>
      <c r="I85" s="10" t="n">
        <f aca="false">H85-G85</f>
        <v>-133.9</v>
      </c>
      <c r="J85" s="9" t="n">
        <f aca="false">IF(AND(G85=0,H85=0),0,IF(G85=0,"New",(H85-G85)/G85))</f>
        <v>0.423868312757202</v>
      </c>
    </row>
    <row r="86" customFormat="false" ht="15" hidden="false" customHeight="false" outlineLevel="0" collapsed="false">
      <c r="A86" s="7" t="s">
        <v>146</v>
      </c>
      <c r="B86" s="7" t="str">
        <f aca="false">IFERROR(INDEX('Source 2026'!$C:$C,MATCH($A86,'Source 2026'!$B:$B,0)),IFERROR(INDEX('Source 2025'!$C:$C,MATCH($A86,'Source 2025'!$B:$B,0)),""))</f>
        <v>מפריד הלוקס</v>
      </c>
      <c r="C86" s="8" t="n">
        <f aca="false">SUMIFS('Source 2025'!$P:$P,'Source 2025'!$B:$B,$A86,'Source 2025'!$A:$A,"Quantity (units)")</f>
        <v>-4</v>
      </c>
      <c r="D86" s="8" t="n">
        <f aca="false">SUMIFS('Source 2026'!$P:$P,'Source 2026'!$B:$B,$A86,'Source 2026'!$A:$A,"Quantity (units)")</f>
        <v>-1</v>
      </c>
      <c r="E86" s="8" t="n">
        <f aca="false">D86-C86</f>
        <v>3</v>
      </c>
      <c r="F86" s="9" t="n">
        <f aca="false">IF(AND(C86=0,D86=0),0,IF(C86=0,"New",(D86-C86)/C86))</f>
        <v>-0.75</v>
      </c>
      <c r="G86" s="10" t="n">
        <f aca="false">SUMIFS('Source 2025'!$P:$P,'Source 2025'!$B:$B,$A86,'Source 2025'!$A:$A,"Amount (NIS)")</f>
        <v>-174.8</v>
      </c>
      <c r="H86" s="10" t="n">
        <f aca="false">SUMIFS('Source 2026'!$P:$P,'Source 2026'!$B:$B,$A86,'Source 2026'!$A:$A,"Amount (NIS)")</f>
        <v>-43.7</v>
      </c>
      <c r="I86" s="10" t="n">
        <f aca="false">H86-G86</f>
        <v>131.1</v>
      </c>
      <c r="J86" s="9" t="n">
        <f aca="false">IF(AND(G86=0,H86=0),0,IF(G86=0,"New",(H86-G86)/G86))</f>
        <v>-0.75</v>
      </c>
    </row>
    <row r="87" customFormat="false" ht="15" hidden="false" customHeight="false" outlineLevel="0" collapsed="false">
      <c r="A87" s="7" t="s">
        <v>90</v>
      </c>
      <c r="B87" s="7" t="str">
        <f aca="false">IFERROR(INDEX('Source 2026'!$C:$C,MATCH($A87,'Source 2026'!$B:$B,0)),IFERROR(INDEX('Source 2025'!$C:$C,MATCH($A87,'Source 2025'!$B:$B,0)),""))</f>
        <v>מטטרזלי סיליקון362</v>
      </c>
      <c r="C87" s="8" t="n">
        <f aca="false">SUMIFS('Source 2025'!$P:$P,'Source 2025'!$B:$B,$A87,'Source 2025'!$A:$A,"Quantity (units)")</f>
        <v>-5</v>
      </c>
      <c r="D87" s="8" t="n">
        <f aca="false">SUMIFS('Source 2026'!$P:$P,'Source 2026'!$B:$B,$A87,'Source 2026'!$A:$A,"Quantity (units)")</f>
        <v>0</v>
      </c>
      <c r="E87" s="8" t="n">
        <f aca="false">D87-C87</f>
        <v>5</v>
      </c>
      <c r="F87" s="9" t="n">
        <f aca="false">IF(AND(C87=0,D87=0),0,IF(C87=0,"New",(D87-C87)/C87))</f>
        <v>-1</v>
      </c>
      <c r="G87" s="10" t="n">
        <f aca="false">SUMIFS('Source 2025'!$P:$P,'Source 2025'!$B:$B,$A87,'Source 2025'!$A:$A,"Amount (NIS)")</f>
        <v>-125.2</v>
      </c>
      <c r="H87" s="10" t="n">
        <f aca="false">SUMIFS('Source 2026'!$P:$P,'Source 2026'!$B:$B,$A87,'Source 2026'!$A:$A,"Amount (NIS)")</f>
        <v>0</v>
      </c>
      <c r="I87" s="10" t="n">
        <f aca="false">H87-G87</f>
        <v>125.2</v>
      </c>
      <c r="J87" s="9" t="n">
        <f aca="false">IF(AND(G87=0,H87=0),0,IF(G87=0,"New",(H87-G87)/G87))</f>
        <v>-1</v>
      </c>
    </row>
    <row r="88" customFormat="false" ht="15" hidden="false" customHeight="false" outlineLevel="0" collapsed="false">
      <c r="A88" s="7" t="s">
        <v>221</v>
      </c>
      <c r="B88" s="7" t="str">
        <f aca="false">IFERROR(INDEX('Source 2026'!$C:$C,MATCH($A88,'Source 2026'!$B:$B,0)),IFERROR(INDEX('Source 2025'!$C:$C,MATCH($A88,'Source 2025'!$B:$B,0)),""))</f>
        <v>099 חגורת גב שרוכים</v>
      </c>
      <c r="C88" s="8" t="n">
        <f aca="false">SUMIFS('Source 2025'!$P:$P,'Source 2025'!$B:$B,$A88,'Source 2025'!$A:$A,"Quantity (units)")</f>
        <v>0</v>
      </c>
      <c r="D88" s="8" t="n">
        <f aca="false">SUMIFS('Source 2026'!$P:$P,'Source 2026'!$B:$B,$A88,'Source 2026'!$A:$A,"Quantity (units)")</f>
        <v>-1</v>
      </c>
      <c r="E88" s="8" t="n">
        <f aca="false">D88-C88</f>
        <v>-1</v>
      </c>
      <c r="F88" s="9" t="str">
        <f aca="false">IF(AND(C88=0,D88=0),0,IF(C88=0,"New",(D88-C88)/C88))</f>
        <v>New</v>
      </c>
      <c r="G88" s="10" t="n">
        <f aca="false">SUMIFS('Source 2025'!$P:$P,'Source 2025'!$B:$B,$A88,'Source 2025'!$A:$A,"Amount (NIS)")</f>
        <v>0</v>
      </c>
      <c r="H88" s="10" t="n">
        <f aca="false">SUMIFS('Source 2026'!$P:$P,'Source 2026'!$B:$B,$A88,'Source 2026'!$A:$A,"Amount (NIS)")</f>
        <v>-121.5</v>
      </c>
      <c r="I88" s="10" t="n">
        <f aca="false">H88-G88</f>
        <v>-121.5</v>
      </c>
      <c r="J88" s="9" t="str">
        <f aca="false">IF(AND(G88=0,H88=0),0,IF(G88=0,"New",(H88-G88)/G88))</f>
        <v>New</v>
      </c>
    </row>
    <row r="89" customFormat="false" ht="15" hidden="false" customHeight="false" outlineLevel="0" collapsed="false">
      <c r="A89" s="7" t="s">
        <v>96</v>
      </c>
      <c r="B89" s="7" t="str">
        <f aca="false">IFERROR(INDEX('Source 2026'!$C:$C,MATCH($A89,'Source 2026'!$B:$B,0)),IFERROR(INDEX('Source 2025'!$C:$C,MATCH($A89,'Source 2025'!$B:$B,0)),""))</f>
        <v>שרוול מגן לבוניון</v>
      </c>
      <c r="C89" s="8" t="n">
        <f aca="false">SUMIFS('Source 2025'!$P:$P,'Source 2025'!$B:$B,$A89,'Source 2025'!$A:$A,"Quantity (units)")</f>
        <v>-4</v>
      </c>
      <c r="D89" s="8" t="n">
        <f aca="false">SUMIFS('Source 2026'!$P:$P,'Source 2026'!$B:$B,$A89,'Source 2026'!$A:$A,"Quantity (units)")</f>
        <v>-6</v>
      </c>
      <c r="E89" s="8" t="n">
        <f aca="false">D89-C89</f>
        <v>-2</v>
      </c>
      <c r="F89" s="9" t="n">
        <f aca="false">IF(AND(C89=0,D89=0),0,IF(C89=0,"New",(D89-C89)/C89))</f>
        <v>0.5</v>
      </c>
      <c r="G89" s="10" t="n">
        <f aca="false">SUMIFS('Source 2025'!$P:$P,'Source 2025'!$B:$B,$A89,'Source 2025'!$A:$A,"Amount (NIS)")</f>
        <v>-124.5</v>
      </c>
      <c r="H89" s="10" t="n">
        <f aca="false">SUMIFS('Source 2026'!$P:$P,'Source 2026'!$B:$B,$A89,'Source 2026'!$A:$A,"Amount (NIS)")</f>
        <v>-243.2</v>
      </c>
      <c r="I89" s="10" t="n">
        <f aca="false">H89-G89</f>
        <v>-118.7</v>
      </c>
      <c r="J89" s="9" t="n">
        <f aca="false">IF(AND(G89=0,H89=0),0,IF(G89=0,"New",(H89-G89)/G89))</f>
        <v>0.953413654618474</v>
      </c>
    </row>
    <row r="90" customFormat="false" ht="15" hidden="false" customHeight="false" outlineLevel="0" collapsed="false">
      <c r="A90" s="7" t="s">
        <v>188</v>
      </c>
      <c r="B90" s="7" t="str">
        <f aca="false">IFERROR(INDEX('Source 2026'!$C:$C,MATCH($A90,'Source 2026'!$B:$B,0)),IFERROR(INDEX('Source 2025'!$C:$C,MATCH($A90,'Source 2025'!$B:$B,0)),""))</f>
        <v>Sחגורה למנותחי בטן</v>
      </c>
      <c r="C90" s="8" t="n">
        <f aca="false">SUMIFS('Source 2025'!$P:$P,'Source 2025'!$B:$B,$A90,'Source 2025'!$A:$A,"Quantity (units)")</f>
        <v>-1</v>
      </c>
      <c r="D90" s="8" t="n">
        <f aca="false">SUMIFS('Source 2026'!$P:$P,'Source 2026'!$B:$B,$A90,'Source 2026'!$A:$A,"Quantity (units)")</f>
        <v>0</v>
      </c>
      <c r="E90" s="8" t="n">
        <f aca="false">D90-C90</f>
        <v>1</v>
      </c>
      <c r="F90" s="9" t="n">
        <f aca="false">IF(AND(C90=0,D90=0),0,IF(C90=0,"New",(D90-C90)/C90))</f>
        <v>-1</v>
      </c>
      <c r="G90" s="10" t="n">
        <f aca="false">SUMIFS('Source 2025'!$P:$P,'Source 2025'!$B:$B,$A90,'Source 2025'!$A:$A,"Amount (NIS)")</f>
        <v>-118.6</v>
      </c>
      <c r="H90" s="10" t="n">
        <f aca="false">SUMIFS('Source 2026'!$P:$P,'Source 2026'!$B:$B,$A90,'Source 2026'!$A:$A,"Amount (NIS)")</f>
        <v>0</v>
      </c>
      <c r="I90" s="10" t="n">
        <f aca="false">H90-G90</f>
        <v>118.6</v>
      </c>
      <c r="J90" s="9" t="n">
        <f aca="false">IF(AND(G90=0,H90=0),0,IF(G90=0,"New",(H90-G90)/G90))</f>
        <v>-1</v>
      </c>
    </row>
    <row r="91" customFormat="false" ht="15" hidden="false" customHeight="false" outlineLevel="0" collapsed="false">
      <c r="A91" s="7" t="s">
        <v>247</v>
      </c>
      <c r="B91" s="7" t="str">
        <f aca="false">IFERROR(INDEX('Source 2026'!$C:$C,MATCH($A91,'Source 2026'!$B:$B,0)),IFERROR(INDEX('Source 2025'!$C:$C,MATCH($A91,'Source 2025'!$B:$B,0)),""))</f>
        <v>ריפוד סיליק.לעקב תחתון</v>
      </c>
      <c r="C91" s="8" t="n">
        <f aca="false">SUMIFS('Source 2025'!$P:$P,'Source 2025'!$B:$B,$A91,'Source 2025'!$A:$A,"Quantity (units)")</f>
        <v>-11</v>
      </c>
      <c r="D91" s="8" t="n">
        <f aca="false">SUMIFS('Source 2026'!$P:$P,'Source 2026'!$B:$B,$A91,'Source 2026'!$A:$A,"Quantity (units)")</f>
        <v>-6</v>
      </c>
      <c r="E91" s="8" t="n">
        <f aca="false">D91-C91</f>
        <v>5</v>
      </c>
      <c r="F91" s="9" t="n">
        <f aca="false">IF(AND(C91=0,D91=0),0,IF(C91=0,"New",(D91-C91)/C91))</f>
        <v>-0.454545454545455</v>
      </c>
      <c r="G91" s="10" t="n">
        <f aca="false">SUMIFS('Source 2025'!$P:$P,'Source 2025'!$B:$B,$A91,'Source 2025'!$A:$A,"Amount (NIS)")</f>
        <v>-265.7</v>
      </c>
      <c r="H91" s="10" t="n">
        <f aca="false">SUMIFS('Source 2026'!$P:$P,'Source 2026'!$B:$B,$A91,'Source 2026'!$A:$A,"Amount (NIS)")</f>
        <v>-150.9</v>
      </c>
      <c r="I91" s="10" t="n">
        <f aca="false">H91-G91</f>
        <v>114.8</v>
      </c>
      <c r="J91" s="9" t="n">
        <f aca="false">IF(AND(G91=0,H91=0),0,IF(G91=0,"New",(H91-G91)/G91))</f>
        <v>-0.432066240120437</v>
      </c>
    </row>
    <row r="92" customFormat="false" ht="15" hidden="false" customHeight="false" outlineLevel="0" collapsed="false">
      <c r="A92" s="7" t="s">
        <v>267</v>
      </c>
      <c r="B92" s="7" t="str">
        <f aca="false">IFERROR(INDEX('Source 2026'!$C:$C,MATCH($A92,'Source 2026'!$B:$B,0)),IFERROR(INDEX('Source 2025'!$C:$C,MATCH($A92,'Source 2025'!$B:$B,0)),""))</f>
        <v>L מגן ברך שחור</v>
      </c>
      <c r="C92" s="8" t="n">
        <f aca="false">SUMIFS('Source 2025'!$P:$P,'Source 2025'!$B:$B,$A92,'Source 2025'!$A:$A,"Quantity (units)")</f>
        <v>-4</v>
      </c>
      <c r="D92" s="8" t="n">
        <f aca="false">SUMIFS('Source 2026'!$P:$P,'Source 2026'!$B:$B,$A92,'Source 2026'!$A:$A,"Quantity (units)")</f>
        <v>0</v>
      </c>
      <c r="E92" s="8" t="n">
        <f aca="false">D92-C92</f>
        <v>4</v>
      </c>
      <c r="F92" s="9" t="n">
        <f aca="false">IF(AND(C92=0,D92=0),0,IF(C92=0,"New",(D92-C92)/C92))</f>
        <v>-1</v>
      </c>
      <c r="G92" s="10" t="n">
        <f aca="false">SUMIFS('Source 2025'!$P:$P,'Source 2025'!$B:$B,$A92,'Source 2025'!$A:$A,"Amount (NIS)")</f>
        <v>-111.1</v>
      </c>
      <c r="H92" s="10" t="n">
        <f aca="false">SUMIFS('Source 2026'!$P:$P,'Source 2026'!$B:$B,$A92,'Source 2026'!$A:$A,"Amount (NIS)")</f>
        <v>0</v>
      </c>
      <c r="I92" s="10" t="n">
        <f aca="false">H92-G92</f>
        <v>111.1</v>
      </c>
      <c r="J92" s="9" t="n">
        <f aca="false">IF(AND(G92=0,H92=0),0,IF(G92=0,"New",(H92-G92)/G92))</f>
        <v>-1</v>
      </c>
    </row>
    <row r="93" customFormat="false" ht="15" hidden="false" customHeight="false" outlineLevel="0" collapsed="false">
      <c r="A93" s="7" t="s">
        <v>184</v>
      </c>
      <c r="B93" s="7" t="str">
        <f aca="false">IFERROR(INDEX('Source 2026'!$C:$C,MATCH($A93,'Source 2026'!$B:$B,0)),IFERROR(INDEX('Source 2025'!$C:$C,MATCH($A93,'Source 2025'!$B:$B,0)),""))</f>
        <v>37-38 מדרסי סיליק.לח.סכרת</v>
      </c>
      <c r="C93" s="8" t="n">
        <f aca="false">SUMIFS('Source 2025'!$P:$P,'Source 2025'!$B:$B,$A93,'Source 2025'!$A:$A,"Quantity (units)")</f>
        <v>-1</v>
      </c>
      <c r="D93" s="8" t="n">
        <f aca="false">SUMIFS('Source 2026'!$P:$P,'Source 2026'!$B:$B,$A93,'Source 2026'!$A:$A,"Quantity (units)")</f>
        <v>0</v>
      </c>
      <c r="E93" s="8" t="n">
        <f aca="false">D93-C93</f>
        <v>1</v>
      </c>
      <c r="F93" s="9" t="n">
        <f aca="false">IF(AND(C93=0,D93=0),0,IF(C93=0,"New",(D93-C93)/C93))</f>
        <v>-1</v>
      </c>
      <c r="G93" s="10" t="n">
        <f aca="false">SUMIFS('Source 2025'!$P:$P,'Source 2025'!$B:$B,$A93,'Source 2025'!$A:$A,"Amount (NIS)")</f>
        <v>-110.5</v>
      </c>
      <c r="H93" s="10" t="n">
        <f aca="false">SUMIFS('Source 2026'!$P:$P,'Source 2026'!$B:$B,$A93,'Source 2026'!$A:$A,"Amount (NIS)")</f>
        <v>0</v>
      </c>
      <c r="I93" s="10" t="n">
        <f aca="false">H93-G93</f>
        <v>110.5</v>
      </c>
      <c r="J93" s="9" t="n">
        <f aca="false">IF(AND(G93=0,H93=0),0,IF(G93=0,"New",(H93-G93)/G93))</f>
        <v>-1</v>
      </c>
    </row>
    <row r="94" customFormat="false" ht="15" hidden="false" customHeight="false" outlineLevel="0" collapsed="false">
      <c r="A94" s="7" t="s">
        <v>149</v>
      </c>
      <c r="B94" s="7" t="str">
        <f aca="false">IFERROR(INDEX('Source 2026'!$C:$C,MATCH($A94,'Source 2026'!$B:$B,0)),IFERROR(INDEX('Source 2025'!$C:$C,MATCH($A94,'Source 2025'!$B:$B,0)),""))</f>
        <v>סד לאגודל</v>
      </c>
      <c r="C94" s="8" t="n">
        <f aca="false">SUMIFS('Source 2025'!$P:$P,'Source 2025'!$B:$B,$A94,'Source 2025'!$A:$A,"Quantity (units)")</f>
        <v>-2</v>
      </c>
      <c r="D94" s="8" t="n">
        <f aca="false">SUMIFS('Source 2026'!$P:$P,'Source 2026'!$B:$B,$A94,'Source 2026'!$A:$A,"Quantity (units)")</f>
        <v>-1</v>
      </c>
      <c r="E94" s="8" t="n">
        <f aca="false">D94-C94</f>
        <v>1</v>
      </c>
      <c r="F94" s="9" t="n">
        <f aca="false">IF(AND(C94=0,D94=0),0,IF(C94=0,"New",(D94-C94)/C94))</f>
        <v>-0.5</v>
      </c>
      <c r="G94" s="10" t="n">
        <f aca="false">SUMIFS('Source 2025'!$P:$P,'Source 2025'!$B:$B,$A94,'Source 2025'!$A:$A,"Amount (NIS)")</f>
        <v>-220.5</v>
      </c>
      <c r="H94" s="10" t="n">
        <f aca="false">SUMIFS('Source 2026'!$P:$P,'Source 2026'!$B:$B,$A94,'Source 2026'!$A:$A,"Amount (NIS)")</f>
        <v>-110.3</v>
      </c>
      <c r="I94" s="10" t="n">
        <f aca="false">H94-G94</f>
        <v>110.2</v>
      </c>
      <c r="J94" s="9" t="n">
        <f aca="false">IF(AND(G94=0,H94=0),0,IF(G94=0,"New",(H94-G94)/G94))</f>
        <v>-0.499773242630386</v>
      </c>
    </row>
    <row r="95" customFormat="false" ht="15" hidden="false" customHeight="false" outlineLevel="0" collapsed="false">
      <c r="A95" s="7" t="s">
        <v>177</v>
      </c>
      <c r="B95" s="7" t="str">
        <f aca="false">IFERROR(INDEX('Source 2026'!$C:$C,MATCH($A95,'Source 2026'!$B:$B,0)),IFERROR(INDEX('Source 2025'!$C:$C,MATCH($A95,'Source 2025'!$B:$B,0)),""))</f>
        <v>35-38 גרב.כסף לסכרתים לבן</v>
      </c>
      <c r="C95" s="8" t="n">
        <f aca="false">SUMIFS('Source 2025'!$P:$P,'Source 2025'!$B:$B,$A95,'Source 2025'!$A:$A,"Quantity (units)")</f>
        <v>-7</v>
      </c>
      <c r="D95" s="8" t="n">
        <f aca="false">SUMIFS('Source 2026'!$P:$P,'Source 2026'!$B:$B,$A95,'Source 2026'!$A:$A,"Quantity (units)")</f>
        <v>-3</v>
      </c>
      <c r="E95" s="8" t="n">
        <f aca="false">D95-C95</f>
        <v>4</v>
      </c>
      <c r="F95" s="9" t="n">
        <f aca="false">IF(AND(C95=0,D95=0),0,IF(C95=0,"New",(D95-C95)/C95))</f>
        <v>-0.571428571428571</v>
      </c>
      <c r="G95" s="10" t="n">
        <f aca="false">SUMIFS('Source 2025'!$P:$P,'Source 2025'!$B:$B,$A95,'Source 2025'!$A:$A,"Amount (NIS)")</f>
        <v>-195.1</v>
      </c>
      <c r="H95" s="10" t="n">
        <f aca="false">SUMIFS('Source 2026'!$P:$P,'Source 2026'!$B:$B,$A95,'Source 2026'!$A:$A,"Amount (NIS)")</f>
        <v>-85.5</v>
      </c>
      <c r="I95" s="10" t="n">
        <f aca="false">H95-G95</f>
        <v>109.6</v>
      </c>
      <c r="J95" s="9" t="n">
        <f aca="false">IF(AND(G95=0,H95=0),0,IF(G95=0,"New",(H95-G95)/G95))</f>
        <v>-0.561763198359816</v>
      </c>
    </row>
    <row r="96" customFormat="false" ht="15" hidden="false" customHeight="false" outlineLevel="0" collapsed="false">
      <c r="A96" s="7" t="s">
        <v>234</v>
      </c>
      <c r="B96" s="7" t="str">
        <f aca="false">IFERROR(INDEX('Source 2026'!$C:$C,MATCH($A96,'Source 2026'!$B:$B,0)),IFERROR(INDEX('Source 2025'!$C:$C,MATCH($A96,'Source 2025'!$B:$B,0)),""))</f>
        <v>להסרת עור קשה</v>
      </c>
      <c r="C96" s="8" t="n">
        <f aca="false">SUMIFS('Source 2025'!$P:$P,'Source 2025'!$B:$B,$A96,'Source 2025'!$A:$A,"Quantity (units)")</f>
        <v>0</v>
      </c>
      <c r="D96" s="8" t="n">
        <f aca="false">SUMIFS('Source 2026'!$P:$P,'Source 2026'!$B:$B,$A96,'Source 2026'!$A:$A,"Quantity (units)")</f>
        <v>-5</v>
      </c>
      <c r="E96" s="8" t="n">
        <f aca="false">D96-C96</f>
        <v>-5</v>
      </c>
      <c r="F96" s="9" t="str">
        <f aca="false">IF(AND(C96=0,D96=0),0,IF(C96=0,"New",(D96-C96)/C96))</f>
        <v>New</v>
      </c>
      <c r="G96" s="10" t="n">
        <f aca="false">SUMIFS('Source 2025'!$P:$P,'Source 2025'!$B:$B,$A96,'Source 2025'!$A:$A,"Amount (NIS)")</f>
        <v>0</v>
      </c>
      <c r="H96" s="10" t="n">
        <f aca="false">SUMIFS('Source 2026'!$P:$P,'Source 2026'!$B:$B,$A96,'Source 2026'!$A:$A,"Amount (NIS)")</f>
        <v>-109.4</v>
      </c>
      <c r="I96" s="10" t="n">
        <f aca="false">H96-G96</f>
        <v>-109.4</v>
      </c>
      <c r="J96" s="9" t="str">
        <f aca="false">IF(AND(G96=0,H96=0),0,IF(G96=0,"New",(H96-G96)/G96))</f>
        <v>New</v>
      </c>
    </row>
    <row r="97" customFormat="false" ht="15" hidden="false" customHeight="false" outlineLevel="0" collapsed="false">
      <c r="A97" s="7" t="s">
        <v>277</v>
      </c>
      <c r="B97" s="7" t="str">
        <f aca="false">IFERROR(INDEX('Source 2026'!$C:$C,MATCH($A97,'Source 2026'!$B:$B,0)),IFERROR(INDEX('Source 2025'!$C:$C,MATCH($A97,'Source 2025'!$B:$B,0)),""))</f>
        <v>רפידת אנטי ריח -זוג</v>
      </c>
      <c r="C97" s="8" t="n">
        <f aca="false">SUMIFS('Source 2025'!$P:$P,'Source 2025'!$B:$B,$A97,'Source 2025'!$A:$A,"Quantity (units)")</f>
        <v>-10</v>
      </c>
      <c r="D97" s="8" t="n">
        <f aca="false">SUMIFS('Source 2026'!$P:$P,'Source 2026'!$B:$B,$A97,'Source 2026'!$A:$A,"Quantity (units)")</f>
        <v>-2</v>
      </c>
      <c r="E97" s="8" t="n">
        <f aca="false">D97-C97</f>
        <v>8</v>
      </c>
      <c r="F97" s="9" t="n">
        <f aca="false">IF(AND(C97=0,D97=0),0,IF(C97=0,"New",(D97-C97)/C97))</f>
        <v>-0.8</v>
      </c>
      <c r="G97" s="10" t="n">
        <f aca="false">SUMIFS('Source 2025'!$P:$P,'Source 2025'!$B:$B,$A97,'Source 2025'!$A:$A,"Amount (NIS)")</f>
        <v>-135.6</v>
      </c>
      <c r="H97" s="10" t="n">
        <f aca="false">SUMIFS('Source 2026'!$P:$P,'Source 2026'!$B:$B,$A97,'Source 2026'!$A:$A,"Amount (NIS)")</f>
        <v>-27.1</v>
      </c>
      <c r="I97" s="10" t="n">
        <f aca="false">H97-G97</f>
        <v>108.5</v>
      </c>
      <c r="J97" s="9" t="n">
        <f aca="false">IF(AND(G97=0,H97=0),0,IF(G97=0,"New",(H97-G97)/G97))</f>
        <v>-0.800147492625369</v>
      </c>
    </row>
    <row r="98" customFormat="false" ht="15" hidden="false" customHeight="false" outlineLevel="0" collapsed="false">
      <c r="A98" s="7" t="s">
        <v>80</v>
      </c>
      <c r="B98" s="7" t="str">
        <f aca="false">IFERROR(INDEX('Source 2026'!$C:$C,MATCH($A98,'Source 2026'!$B:$B,0)),IFERROR(INDEX('Source 2025'!$C:$C,MATCH($A98,'Source 2025'!$B:$B,0)),""))</f>
        <v>45 M מגן ברך רגיל</v>
      </c>
      <c r="C98" s="8" t="n">
        <f aca="false">SUMIFS('Source 2025'!$P:$P,'Source 2025'!$B:$B,$A98,'Source 2025'!$A:$A,"Quantity (units)")</f>
        <v>-1</v>
      </c>
      <c r="D98" s="8" t="n">
        <f aca="false">SUMIFS('Source 2026'!$P:$P,'Source 2026'!$B:$B,$A98,'Source 2026'!$A:$A,"Quantity (units)")</f>
        <v>0</v>
      </c>
      <c r="E98" s="8" t="n">
        <f aca="false">D98-C98</f>
        <v>1</v>
      </c>
      <c r="F98" s="9" t="n">
        <f aca="false">IF(AND(C98=0,D98=0),0,IF(C98=0,"New",(D98-C98)/C98))</f>
        <v>-1</v>
      </c>
      <c r="G98" s="10" t="n">
        <f aca="false">SUMIFS('Source 2025'!$P:$P,'Source 2025'!$B:$B,$A98,'Source 2025'!$A:$A,"Amount (NIS)")</f>
        <v>-97</v>
      </c>
      <c r="H98" s="10" t="n">
        <f aca="false">SUMIFS('Source 2026'!$P:$P,'Source 2026'!$B:$B,$A98,'Source 2026'!$A:$A,"Amount (NIS)")</f>
        <v>0</v>
      </c>
      <c r="I98" s="10" t="n">
        <f aca="false">H98-G98</f>
        <v>97</v>
      </c>
      <c r="J98" s="9" t="n">
        <f aca="false">IF(AND(G98=0,H98=0),0,IF(G98=0,"New",(H98-G98)/G98))</f>
        <v>-1</v>
      </c>
    </row>
    <row r="99" customFormat="false" ht="15" hidden="false" customHeight="false" outlineLevel="0" collapsed="false">
      <c r="A99" s="7" t="s">
        <v>340</v>
      </c>
      <c r="B99" s="7" t="str">
        <f aca="false">IFERROR(INDEX('Source 2026'!$C:$C,MATCH($A99,'Source 2026'!$B:$B,0)),IFERROR(INDEX('Source 2025'!$C:$C,MATCH($A99,'Source 2025'!$B:$B,0)),""))</f>
        <v>ריפוד סיליקון לעקב אחורי</v>
      </c>
      <c r="C99" s="8" t="n">
        <f aca="false">SUMIFS('Source 2025'!$P:$P,'Source 2025'!$B:$B,$A99,'Source 2025'!$A:$A,"Quantity (units)")</f>
        <v>-8</v>
      </c>
      <c r="D99" s="8" t="n">
        <f aca="false">SUMIFS('Source 2026'!$P:$P,'Source 2026'!$B:$B,$A99,'Source 2026'!$A:$A,"Quantity (units)")</f>
        <v>-4</v>
      </c>
      <c r="E99" s="8" t="n">
        <f aca="false">D99-C99</f>
        <v>4</v>
      </c>
      <c r="F99" s="9" t="n">
        <f aca="false">IF(AND(C99=0,D99=0),0,IF(C99=0,"New",(D99-C99)/C99))</f>
        <v>-0.5</v>
      </c>
      <c r="G99" s="10" t="n">
        <f aca="false">SUMIFS('Source 2025'!$P:$P,'Source 2025'!$B:$B,$A99,'Source 2025'!$A:$A,"Amount (NIS)")</f>
        <v>-203.5</v>
      </c>
      <c r="H99" s="10" t="n">
        <f aca="false">SUMIFS('Source 2026'!$P:$P,'Source 2026'!$B:$B,$A99,'Source 2026'!$A:$A,"Amount (NIS)")</f>
        <v>-107.3</v>
      </c>
      <c r="I99" s="10" t="n">
        <f aca="false">H99-G99</f>
        <v>96.2</v>
      </c>
      <c r="J99" s="9" t="n">
        <f aca="false">IF(AND(G99=0,H99=0),0,IF(G99=0,"New",(H99-G99)/G99))</f>
        <v>-0.472727272727273</v>
      </c>
    </row>
    <row r="100" customFormat="false" ht="15" hidden="false" customHeight="false" outlineLevel="0" collapsed="false">
      <c r="A100" s="7" t="s">
        <v>284</v>
      </c>
      <c r="B100" s="7" t="str">
        <f aca="false">IFERROR(INDEX('Source 2026'!$C:$C,MATCH($A100,'Source 2026'!$B:$B,0)),IFERROR(INDEX('Source 2025'!$C:$C,MATCH($A100,'Source 2025'!$B:$B,0)),""))</f>
        <v>לחץ מיבלת2יח</v>
      </c>
      <c r="C100" s="8" t="n">
        <f aca="false">SUMIFS('Source 2025'!$P:$P,'Source 2025'!$B:$B,$A100,'Source 2025'!$A:$A,"Quantity (units)")</f>
        <v>-7</v>
      </c>
      <c r="D100" s="8" t="n">
        <f aca="false">SUMIFS('Source 2026'!$P:$P,'Source 2026'!$B:$B,$A100,'Source 2026'!$A:$A,"Quantity (units)")</f>
        <v>0</v>
      </c>
      <c r="E100" s="8" t="n">
        <f aca="false">D100-C100</f>
        <v>7</v>
      </c>
      <c r="F100" s="9" t="n">
        <f aca="false">IF(AND(C100=0,D100=0),0,IF(C100=0,"New",(D100-C100)/C100))</f>
        <v>-1</v>
      </c>
      <c r="G100" s="10" t="n">
        <f aca="false">SUMIFS('Source 2025'!$P:$P,'Source 2025'!$B:$B,$A100,'Source 2025'!$A:$A,"Amount (NIS)")</f>
        <v>-95.3</v>
      </c>
      <c r="H100" s="10" t="n">
        <f aca="false">SUMIFS('Source 2026'!$P:$P,'Source 2026'!$B:$B,$A100,'Source 2026'!$A:$A,"Amount (NIS)")</f>
        <v>0</v>
      </c>
      <c r="I100" s="10" t="n">
        <f aca="false">H100-G100</f>
        <v>95.3</v>
      </c>
      <c r="J100" s="9" t="n">
        <f aca="false">IF(AND(G100=0,H100=0),0,IF(G100=0,"New",(H100-G100)/G100))</f>
        <v>-1</v>
      </c>
    </row>
    <row r="101" customFormat="false" ht="15" hidden="false" customHeight="false" outlineLevel="0" collapsed="false">
      <c r="A101" s="7" t="s">
        <v>192</v>
      </c>
      <c r="B101" s="7" t="str">
        <f aca="false">IFERROR(INDEX('Source 2026'!$C:$C,MATCH($A101,'Source 2026'!$B:$B,0)),IFERROR(INDEX('Source 2025'!$C:$C,MATCH($A101,'Source 2025'!$B:$B,0)),""))</f>
        <v>להסרת עור קשה</v>
      </c>
      <c r="C101" s="8" t="n">
        <f aca="false">SUMIFS('Source 2025'!$P:$P,'Source 2025'!$B:$B,$A101,'Source 2025'!$A:$A,"Quantity (units)")</f>
        <v>0</v>
      </c>
      <c r="D101" s="8" t="n">
        <f aca="false">SUMIFS('Source 2026'!$P:$P,'Source 2026'!$B:$B,$A101,'Source 2026'!$A:$A,"Quantity (units)")</f>
        <v>-3</v>
      </c>
      <c r="E101" s="8" t="n">
        <f aca="false">D101-C101</f>
        <v>-3</v>
      </c>
      <c r="F101" s="9" t="str">
        <f aca="false">IF(AND(C101=0,D101=0),0,IF(C101=0,"New",(D101-C101)/C101))</f>
        <v>New</v>
      </c>
      <c r="G101" s="10" t="n">
        <f aca="false">SUMIFS('Source 2025'!$P:$P,'Source 2025'!$B:$B,$A101,'Source 2025'!$A:$A,"Amount (NIS)")</f>
        <v>0</v>
      </c>
      <c r="H101" s="10" t="n">
        <f aca="false">SUMIFS('Source 2026'!$P:$P,'Source 2026'!$B:$B,$A101,'Source 2026'!$A:$A,"Amount (NIS)")</f>
        <v>-80</v>
      </c>
      <c r="I101" s="10" t="n">
        <f aca="false">H101-G101</f>
        <v>-80</v>
      </c>
      <c r="J101" s="9" t="str">
        <f aca="false">IF(AND(G101=0,H101=0),0,IF(G101=0,"New",(H101-G101)/G101))</f>
        <v>New</v>
      </c>
    </row>
    <row r="102" customFormat="false" ht="15" hidden="false" customHeight="false" outlineLevel="0" collapsed="false">
      <c r="A102" s="7" t="s">
        <v>60</v>
      </c>
      <c r="B102" s="7" t="str">
        <f aca="false">IFERROR(INDEX('Source 2026'!$C:$C,MATCH($A102,'Source 2026'!$B:$B,0)),IFERROR(INDEX('Source 2025'!$C:$C,MATCH($A102,'Source 2025'!$B:$B,0)),""))</f>
        <v>יד אגודלי</v>
      </c>
      <c r="C102" s="8" t="n">
        <f aca="false">SUMIFS('Source 2025'!$P:$P,'Source 2025'!$B:$B,$A102,'Source 2025'!$A:$A,"Quantity (units)")</f>
        <v>-7</v>
      </c>
      <c r="D102" s="8" t="n">
        <f aca="false">SUMIFS('Source 2026'!$P:$P,'Source 2026'!$B:$B,$A102,'Source 2026'!$A:$A,"Quantity (units)")</f>
        <v>-5</v>
      </c>
      <c r="E102" s="8" t="n">
        <f aca="false">D102-C102</f>
        <v>2</v>
      </c>
      <c r="F102" s="9" t="n">
        <f aca="false">IF(AND(C102=0,D102=0),0,IF(C102=0,"New",(D102-C102)/C102))</f>
        <v>-0.285714285714286</v>
      </c>
      <c r="G102" s="10" t="n">
        <f aca="false">SUMIFS('Source 2025'!$P:$P,'Source 2025'!$B:$B,$A102,'Source 2025'!$A:$A,"Amount (NIS)")</f>
        <v>-277.6</v>
      </c>
      <c r="H102" s="10" t="n">
        <f aca="false">SUMIFS('Source 2026'!$P:$P,'Source 2026'!$B:$B,$A102,'Source 2026'!$A:$A,"Amount (NIS)")</f>
        <v>-198.3</v>
      </c>
      <c r="I102" s="10" t="n">
        <f aca="false">H102-G102</f>
        <v>79.3</v>
      </c>
      <c r="J102" s="9" t="n">
        <f aca="false">IF(AND(G102=0,H102=0),0,IF(G102=0,"New",(H102-G102)/G102))</f>
        <v>-0.285662824207493</v>
      </c>
    </row>
    <row r="103" customFormat="false" ht="15" hidden="false" customHeight="false" outlineLevel="0" collapsed="false">
      <c r="A103" s="7" t="s">
        <v>183</v>
      </c>
      <c r="B103" s="7" t="str">
        <f aca="false">IFERROR(INDEX('Source 2026'!$C:$C,MATCH($A103,'Source 2026'!$B:$B,0)),IFERROR(INDEX('Source 2025'!$C:$C,MATCH($A103,'Source 2025'!$B:$B,0)),""))</f>
        <v>גרבי כסף לסכרת מידה</v>
      </c>
      <c r="C103" s="8" t="n">
        <f aca="false">SUMIFS('Source 2025'!$P:$P,'Source 2025'!$B:$B,$A103,'Source 2025'!$A:$A,"Quantity (units)")</f>
        <v>-2</v>
      </c>
      <c r="D103" s="8" t="n">
        <f aca="false">SUMIFS('Source 2026'!$P:$P,'Source 2026'!$B:$B,$A103,'Source 2026'!$A:$A,"Quantity (units)")</f>
        <v>0</v>
      </c>
      <c r="E103" s="8" t="n">
        <f aca="false">D103-C103</f>
        <v>2</v>
      </c>
      <c r="F103" s="9" t="n">
        <f aca="false">IF(AND(C103=0,D103=0),0,IF(C103=0,"New",(D103-C103)/C103))</f>
        <v>-1</v>
      </c>
      <c r="G103" s="10" t="n">
        <f aca="false">SUMIFS('Source 2025'!$P:$P,'Source 2025'!$B:$B,$A103,'Source 2025'!$A:$A,"Amount (NIS)")</f>
        <v>-78.3</v>
      </c>
      <c r="H103" s="10" t="n">
        <f aca="false">SUMIFS('Source 2026'!$P:$P,'Source 2026'!$B:$B,$A103,'Source 2026'!$A:$A,"Amount (NIS)")</f>
        <v>0</v>
      </c>
      <c r="I103" s="10" t="n">
        <f aca="false">H103-G103</f>
        <v>78.3</v>
      </c>
      <c r="J103" s="9" t="n">
        <f aca="false">IF(AND(G103=0,H103=0),0,IF(G103=0,"New",(H103-G103)/G103))</f>
        <v>-1</v>
      </c>
    </row>
    <row r="104" customFormat="false" ht="15" hidden="false" customHeight="false" outlineLevel="0" collapsed="false">
      <c r="A104" s="7" t="s">
        <v>275</v>
      </c>
      <c r="B104" s="7" t="str">
        <f aca="false">IFERROR(INDEX('Source 2026'!$C:$C,MATCH($A104,'Source 2026'!$B:$B,0)),IFERROR(INDEX('Source 2025'!$C:$C,MATCH($A104,'Source 2025'!$B:$B,0)),""))</f>
        <v>חגורת בטן קלה</v>
      </c>
      <c r="C104" s="8" t="n">
        <f aca="false">SUMIFS('Source 2025'!$P:$P,'Source 2025'!$B:$B,$A104,'Source 2025'!$A:$A,"Quantity (units)")</f>
        <v>-1</v>
      </c>
      <c r="D104" s="8" t="n">
        <f aca="false">SUMIFS('Source 2026'!$P:$P,'Source 2026'!$B:$B,$A104,'Source 2026'!$A:$A,"Quantity (units)")</f>
        <v>0</v>
      </c>
      <c r="E104" s="8" t="n">
        <f aca="false">D104-C104</f>
        <v>1</v>
      </c>
      <c r="F104" s="9" t="n">
        <f aca="false">IF(AND(C104=0,D104=0),0,IF(C104=0,"New",(D104-C104)/C104))</f>
        <v>-1</v>
      </c>
      <c r="G104" s="10" t="n">
        <f aca="false">SUMIFS('Source 2025'!$P:$P,'Source 2025'!$B:$B,$A104,'Source 2025'!$A:$A,"Amount (NIS)")</f>
        <v>-75.3</v>
      </c>
      <c r="H104" s="10" t="n">
        <f aca="false">SUMIFS('Source 2026'!$P:$P,'Source 2026'!$B:$B,$A104,'Source 2026'!$A:$A,"Amount (NIS)")</f>
        <v>0</v>
      </c>
      <c r="I104" s="10" t="n">
        <f aca="false">H104-G104</f>
        <v>75.3</v>
      </c>
      <c r="J104" s="9" t="n">
        <f aca="false">IF(AND(G104=0,H104=0),0,IF(G104=0,"New",(H104-G104)/G104))</f>
        <v>-1</v>
      </c>
    </row>
    <row r="105" customFormat="false" ht="15" hidden="false" customHeight="false" outlineLevel="0" collapsed="false">
      <c r="A105" s="7" t="s">
        <v>242</v>
      </c>
      <c r="B105" s="7" t="str">
        <f aca="false">IFERROR(INDEX('Source 2026'!$C:$C,MATCH($A105,'Source 2026'!$B:$B,0)),IFERROR(INDEX('Source 2025'!$C:$C,MATCH($A105,'Source 2025'!$B:$B,0)),""))</f>
        <v>Lמפר.אצבע סיליק. ליבל.זוג</v>
      </c>
      <c r="C105" s="8" t="n">
        <f aca="false">SUMIFS('Source 2025'!$P:$P,'Source 2025'!$B:$B,$A105,'Source 2025'!$A:$A,"Quantity (units)")</f>
        <v>-9</v>
      </c>
      <c r="D105" s="8" t="n">
        <f aca="false">SUMIFS('Source 2026'!$P:$P,'Source 2026'!$B:$B,$A105,'Source 2026'!$A:$A,"Quantity (units)")</f>
        <v>-4</v>
      </c>
      <c r="E105" s="8" t="n">
        <f aca="false">D105-C105</f>
        <v>5</v>
      </c>
      <c r="F105" s="9" t="n">
        <f aca="false">IF(AND(C105=0,D105=0),0,IF(C105=0,"New",(D105-C105)/C105))</f>
        <v>-0.555555555555556</v>
      </c>
      <c r="G105" s="10" t="n">
        <f aca="false">SUMIFS('Source 2025'!$P:$P,'Source 2025'!$B:$B,$A105,'Source 2025'!$A:$A,"Amount (NIS)")</f>
        <v>-123.1</v>
      </c>
      <c r="H105" s="10" t="n">
        <f aca="false">SUMIFS('Source 2026'!$P:$P,'Source 2026'!$B:$B,$A105,'Source 2026'!$A:$A,"Amount (NIS)")</f>
        <v>-54.1</v>
      </c>
      <c r="I105" s="10" t="n">
        <f aca="false">H105-G105</f>
        <v>69</v>
      </c>
      <c r="J105" s="9" t="n">
        <f aca="false">IF(AND(G105=0,H105=0),0,IF(G105=0,"New",(H105-G105)/G105))</f>
        <v>-0.560519902518278</v>
      </c>
    </row>
    <row r="106" customFormat="false" ht="15" hidden="false" customHeight="false" outlineLevel="0" collapsed="false">
      <c r="A106" s="7" t="s">
        <v>72</v>
      </c>
      <c r="B106" s="7" t="str">
        <f aca="false">IFERROR(INDEX('Source 2026'!$C:$C,MATCH($A106,'Source 2026'!$B:$B,0)),IFERROR(INDEX('Source 2025'!$C:$C,MATCH($A106,'Source 2025'!$B:$B,0)),""))</f>
        <v>טייפ קינזיולוגי</v>
      </c>
      <c r="C106" s="8" t="n">
        <f aca="false">SUMIFS('Source 2025'!$P:$P,'Source 2025'!$B:$B,$A106,'Source 2025'!$A:$A,"Quantity (units)")</f>
        <v>-1</v>
      </c>
      <c r="D106" s="8" t="n">
        <f aca="false">SUMIFS('Source 2026'!$P:$P,'Source 2026'!$B:$B,$A106,'Source 2026'!$A:$A,"Quantity (units)")</f>
        <v>0</v>
      </c>
      <c r="E106" s="8" t="n">
        <f aca="false">D106-C106</f>
        <v>1</v>
      </c>
      <c r="F106" s="9" t="n">
        <f aca="false">IF(AND(C106=0,D106=0),0,IF(C106=0,"New",(D106-C106)/C106))</f>
        <v>-1</v>
      </c>
      <c r="G106" s="10" t="n">
        <f aca="false">SUMIFS('Source 2025'!$P:$P,'Source 2025'!$B:$B,$A106,'Source 2025'!$A:$A,"Amount (NIS)")</f>
        <v>-63.1</v>
      </c>
      <c r="H106" s="10" t="n">
        <f aca="false">SUMIFS('Source 2026'!$P:$P,'Source 2026'!$B:$B,$A106,'Source 2026'!$A:$A,"Amount (NIS)")</f>
        <v>0</v>
      </c>
      <c r="I106" s="10" t="n">
        <f aca="false">H106-G106</f>
        <v>63.1</v>
      </c>
      <c r="J106" s="9" t="n">
        <f aca="false">IF(AND(G106=0,H106=0),0,IF(G106=0,"New",(H106-G106)/G106))</f>
        <v>-1</v>
      </c>
    </row>
    <row r="107" customFormat="false" ht="15" hidden="false" customHeight="false" outlineLevel="0" collapsed="false">
      <c r="A107" s="7" t="s">
        <v>141</v>
      </c>
      <c r="B107" s="7" t="str">
        <f aca="false">IFERROR(INDEX('Source 2026'!$C:$C,MATCH($A107,'Source 2026'!$B:$B,0)),IFERROR(INDEX('Source 2025'!$C:$C,MATCH($A107,'Source 2025'!$B:$B,0)),""))</f>
        <v>ג.כסף לסכרתיים אפור35-38</v>
      </c>
      <c r="C107" s="8" t="n">
        <f aca="false">SUMIFS('Source 2025'!$P:$P,'Source 2025'!$B:$B,$A107,'Source 2025'!$A:$A,"Quantity (units)")</f>
        <v>-2</v>
      </c>
      <c r="D107" s="8" t="n">
        <f aca="false">SUMIFS('Source 2026'!$P:$P,'Source 2026'!$B:$B,$A107,'Source 2026'!$A:$A,"Quantity (units)")</f>
        <v>0</v>
      </c>
      <c r="E107" s="8" t="n">
        <f aca="false">D107-C107</f>
        <v>2</v>
      </c>
      <c r="F107" s="9" t="n">
        <f aca="false">IF(AND(C107=0,D107=0),0,IF(C107=0,"New",(D107-C107)/C107))</f>
        <v>-1</v>
      </c>
      <c r="G107" s="10" t="n">
        <f aca="false">SUMIFS('Source 2025'!$P:$P,'Source 2025'!$B:$B,$A107,'Source 2025'!$A:$A,"Amount (NIS)")</f>
        <v>-62.9</v>
      </c>
      <c r="H107" s="10" t="n">
        <f aca="false">SUMIFS('Source 2026'!$P:$P,'Source 2026'!$B:$B,$A107,'Source 2026'!$A:$A,"Amount (NIS)")</f>
        <v>0</v>
      </c>
      <c r="I107" s="10" t="n">
        <f aca="false">H107-G107</f>
        <v>62.9</v>
      </c>
      <c r="J107" s="9" t="n">
        <f aca="false">IF(AND(G107=0,H107=0),0,IF(G107=0,"New",(H107-G107)/G107))</f>
        <v>-1</v>
      </c>
    </row>
    <row r="108" customFormat="false" ht="15" hidden="false" customHeight="false" outlineLevel="0" collapsed="false">
      <c r="A108" s="7" t="s">
        <v>114</v>
      </c>
      <c r="B108" s="7" t="str">
        <f aca="false">IFERROR(INDEX('Source 2026'!$C:$C,MATCH($A108,'Source 2026'!$B:$B,0)),IFERROR(INDEX('Source 2025'!$C:$C,MATCH($A108,'Source 2025'!$B:$B,0)),""))</f>
        <v>מדבקה לשחרור לחץ 2 יח</v>
      </c>
      <c r="C108" s="8" t="n">
        <f aca="false">SUMIFS('Source 2025'!$P:$P,'Source 2025'!$B:$B,$A108,'Source 2025'!$A:$A,"Quantity (units)")</f>
        <v>-4</v>
      </c>
      <c r="D108" s="8" t="n">
        <f aca="false">SUMIFS('Source 2026'!$P:$P,'Source 2026'!$B:$B,$A108,'Source 2026'!$A:$A,"Quantity (units)")</f>
        <v>-2</v>
      </c>
      <c r="E108" s="8" t="n">
        <f aca="false">D108-C108</f>
        <v>2</v>
      </c>
      <c r="F108" s="9" t="n">
        <f aca="false">IF(AND(C108=0,D108=0),0,IF(C108=0,"New",(D108-C108)/C108))</f>
        <v>-0.5</v>
      </c>
      <c r="G108" s="10" t="n">
        <f aca="false">SUMIFS('Source 2025'!$P:$P,'Source 2025'!$B:$B,$A108,'Source 2025'!$A:$A,"Amount (NIS)")</f>
        <v>-115.5</v>
      </c>
      <c r="H108" s="10" t="n">
        <f aca="false">SUMIFS('Source 2026'!$P:$P,'Source 2026'!$B:$B,$A108,'Source 2026'!$A:$A,"Amount (NIS)")</f>
        <v>-57.7</v>
      </c>
      <c r="I108" s="10" t="n">
        <f aca="false">H108-G108</f>
        <v>57.8</v>
      </c>
      <c r="J108" s="9" t="n">
        <f aca="false">IF(AND(G108=0,H108=0),0,IF(G108=0,"New",(H108-G108)/G108))</f>
        <v>-0.500432900432901</v>
      </c>
    </row>
    <row r="109" customFormat="false" ht="15" hidden="false" customHeight="false" outlineLevel="0" collapsed="false">
      <c r="A109" s="7" t="s">
        <v>194</v>
      </c>
      <c r="B109" s="7" t="str">
        <f aca="false">IFERROR(INDEX('Source 2026'!$C:$C,MATCH($A109,'Source 2026'!$B:$B,0)),IFERROR(INDEX('Source 2025'!$C:$C,MATCH($A109,'Source 2025'!$B:$B,0)),""))</f>
        <v>סכינים למקצוע</v>
      </c>
      <c r="C109" s="8" t="n">
        <f aca="false">SUMIFS('Source 2025'!$P:$P,'Source 2025'!$B:$B,$A109,'Source 2025'!$A:$A,"Quantity (units)")</f>
        <v>0</v>
      </c>
      <c r="D109" s="8" t="n">
        <f aca="false">SUMIFS('Source 2026'!$P:$P,'Source 2026'!$B:$B,$A109,'Source 2026'!$A:$A,"Quantity (units)")</f>
        <v>-7</v>
      </c>
      <c r="E109" s="8" t="n">
        <f aca="false">D109-C109</f>
        <v>-7</v>
      </c>
      <c r="F109" s="9" t="str">
        <f aca="false">IF(AND(C109=0,D109=0),0,IF(C109=0,"New",(D109-C109)/C109))</f>
        <v>New</v>
      </c>
      <c r="G109" s="10" t="n">
        <f aca="false">SUMIFS('Source 2025'!$P:$P,'Source 2025'!$B:$B,$A109,'Source 2025'!$A:$A,"Amount (NIS)")</f>
        <v>0</v>
      </c>
      <c r="H109" s="10" t="n">
        <f aca="false">SUMIFS('Source 2026'!$P:$P,'Source 2026'!$B:$B,$A109,'Source 2026'!$A:$A,"Amount (NIS)")</f>
        <v>-57.3</v>
      </c>
      <c r="I109" s="10" t="n">
        <f aca="false">H109-G109</f>
        <v>-57.3</v>
      </c>
      <c r="J109" s="9" t="str">
        <f aca="false">IF(AND(G109=0,H109=0),0,IF(G109=0,"New",(H109-G109)/G109))</f>
        <v>New</v>
      </c>
    </row>
    <row r="110" customFormat="false" ht="15" hidden="false" customHeight="false" outlineLevel="0" collapsed="false">
      <c r="A110" s="7" t="s">
        <v>286</v>
      </c>
      <c r="B110" s="7" t="str">
        <f aca="false">IFERROR(INDEX('Source 2026'!$C:$C,MATCH($A110,'Source 2026'!$B:$B,0)),IFERROR(INDEX('Source 2025'!$C:$C,MATCH($A110,'Source 2025'!$B:$B,0)),""))</f>
        <v>רפידת נוחות-זוג</v>
      </c>
      <c r="C110" s="8" t="n">
        <f aca="false">SUMIFS('Source 2025'!$P:$P,'Source 2025'!$B:$B,$A110,'Source 2025'!$A:$A,"Quantity (units)")</f>
        <v>-9</v>
      </c>
      <c r="D110" s="8" t="n">
        <f aca="false">SUMIFS('Source 2026'!$P:$P,'Source 2026'!$B:$B,$A110,'Source 2026'!$A:$A,"Quantity (units)")</f>
        <v>-4</v>
      </c>
      <c r="E110" s="8" t="n">
        <f aca="false">D110-C110</f>
        <v>5</v>
      </c>
      <c r="F110" s="9" t="n">
        <f aca="false">IF(AND(C110=0,D110=0),0,IF(C110=0,"New",(D110-C110)/C110))</f>
        <v>-0.555555555555556</v>
      </c>
      <c r="G110" s="10" t="n">
        <f aca="false">SUMIFS('Source 2025'!$P:$P,'Source 2025'!$B:$B,$A110,'Source 2025'!$A:$A,"Amount (NIS)")</f>
        <v>-96.1</v>
      </c>
      <c r="H110" s="10" t="n">
        <f aca="false">SUMIFS('Source 2026'!$P:$P,'Source 2026'!$B:$B,$A110,'Source 2026'!$A:$A,"Amount (NIS)")</f>
        <v>-42.7</v>
      </c>
      <c r="I110" s="10" t="n">
        <f aca="false">H110-G110</f>
        <v>53.4</v>
      </c>
      <c r="J110" s="9" t="n">
        <f aca="false">IF(AND(G110=0,H110=0),0,IF(G110=0,"New",(H110-G110)/G110))</f>
        <v>-0.555671175858481</v>
      </c>
    </row>
    <row r="111" customFormat="false" ht="15" hidden="false" customHeight="false" outlineLevel="0" collapsed="false">
      <c r="A111" s="7" t="s">
        <v>246</v>
      </c>
      <c r="B111" s="7" t="str">
        <f aca="false">IFERROR(INDEX('Source 2026'!$C:$C,MATCH($A111,'Source 2026'!$B:$B,0)),IFERROR(INDEX('Source 2025'!$C:$C,MATCH($A111,'Source 2025'!$B:$B,0)),""))</f>
        <v>ציפורניים</v>
      </c>
      <c r="C111" s="8" t="n">
        <f aca="false">SUMIFS('Source 2025'!$P:$P,'Source 2025'!$B:$B,$A111,'Source 2025'!$A:$A,"Quantity (units)")</f>
        <v>0</v>
      </c>
      <c r="D111" s="8" t="n">
        <f aca="false">SUMIFS('Source 2026'!$P:$P,'Source 2026'!$B:$B,$A111,'Source 2026'!$A:$A,"Quantity (units)")</f>
        <v>-4</v>
      </c>
      <c r="E111" s="8" t="n">
        <f aca="false">D111-C111</f>
        <v>-4</v>
      </c>
      <c r="F111" s="9" t="str">
        <f aca="false">IF(AND(C111=0,D111=0),0,IF(C111=0,"New",(D111-C111)/C111))</f>
        <v>New</v>
      </c>
      <c r="G111" s="10" t="n">
        <f aca="false">SUMIFS('Source 2025'!$P:$P,'Source 2025'!$B:$B,$A111,'Source 2025'!$A:$A,"Amount (NIS)")</f>
        <v>0</v>
      </c>
      <c r="H111" s="10" t="n">
        <f aca="false">SUMIFS('Source 2026'!$P:$P,'Source 2026'!$B:$B,$A111,'Source 2026'!$A:$A,"Amount (NIS)")</f>
        <v>-52.6</v>
      </c>
      <c r="I111" s="10" t="n">
        <f aca="false">H111-G111</f>
        <v>-52.6</v>
      </c>
      <c r="J111" s="9" t="str">
        <f aca="false">IF(AND(G111=0,H111=0),0,IF(G111=0,"New",(H111-G111)/G111))</f>
        <v>New</v>
      </c>
    </row>
    <row r="112" customFormat="false" ht="15" hidden="false" customHeight="false" outlineLevel="0" collapsed="false">
      <c r="A112" s="7" t="s">
        <v>136</v>
      </c>
      <c r="B112" s="7" t="str">
        <f aca="false">IFERROR(INDEX('Source 2026'!$C:$C,MATCH($A112,'Source 2026'!$B:$B,0)),IFERROR(INDEX('Source 2025'!$C:$C,MATCH($A112,'Source 2025'!$B:$B,0)),""))</f>
        <v>תחבושת אלסטית מקררת</v>
      </c>
      <c r="C112" s="8" t="n">
        <f aca="false">SUMIFS('Source 2025'!$P:$P,'Source 2025'!$B:$B,$A112,'Source 2025'!$A:$A,"Quantity (units)")</f>
        <v>-3</v>
      </c>
      <c r="D112" s="8" t="n">
        <f aca="false">SUMIFS('Source 2026'!$P:$P,'Source 2026'!$B:$B,$A112,'Source 2026'!$A:$A,"Quantity (units)")</f>
        <v>0</v>
      </c>
      <c r="E112" s="8" t="n">
        <f aca="false">D112-C112</f>
        <v>3</v>
      </c>
      <c r="F112" s="9" t="n">
        <f aca="false">IF(AND(C112=0,D112=0),0,IF(C112=0,"New",(D112-C112)/C112))</f>
        <v>-1</v>
      </c>
      <c r="G112" s="10" t="n">
        <f aca="false">SUMIFS('Source 2025'!$P:$P,'Source 2025'!$B:$B,$A112,'Source 2025'!$A:$A,"Amount (NIS)")</f>
        <v>-52.4</v>
      </c>
      <c r="H112" s="10" t="n">
        <f aca="false">SUMIFS('Source 2026'!$P:$P,'Source 2026'!$B:$B,$A112,'Source 2026'!$A:$A,"Amount (NIS)")</f>
        <v>0</v>
      </c>
      <c r="I112" s="10" t="n">
        <f aca="false">H112-G112</f>
        <v>52.4</v>
      </c>
      <c r="J112" s="9" t="n">
        <f aca="false">IF(AND(G112=0,H112=0),0,IF(G112=0,"New",(H112-G112)/G112))</f>
        <v>-1</v>
      </c>
    </row>
    <row r="113" customFormat="false" ht="15" hidden="false" customHeight="false" outlineLevel="0" collapsed="false">
      <c r="A113" s="7" t="s">
        <v>243</v>
      </c>
      <c r="B113" s="7" t="str">
        <f aca="false">IFERROR(INDEX('Source 2026'!$C:$C,MATCH($A113,'Source 2026'!$B:$B,0)),IFERROR(INDEX('Source 2025'!$C:$C,MATCH($A113,'Source 2025'!$B:$B,0)),""))</f>
        <v>בקט.לנעל120</v>
      </c>
      <c r="C113" s="8" t="n">
        <f aca="false">SUMIFS('Source 2025'!$P:$P,'Source 2025'!$B:$B,$A113,'Source 2025'!$A:$A,"Quantity (units)")</f>
        <v>-2</v>
      </c>
      <c r="D113" s="8" t="n">
        <f aca="false">SUMIFS('Source 2026'!$P:$P,'Source 2026'!$B:$B,$A113,'Source 2026'!$A:$A,"Quantity (units)")</f>
        <v>0</v>
      </c>
      <c r="E113" s="8" t="n">
        <f aca="false">D113-C113</f>
        <v>2</v>
      </c>
      <c r="F113" s="9" t="n">
        <f aca="false">IF(AND(C113=0,D113=0),0,IF(C113=0,"New",(D113-C113)/C113))</f>
        <v>-1</v>
      </c>
      <c r="G113" s="10" t="n">
        <f aca="false">SUMIFS('Source 2025'!$P:$P,'Source 2025'!$B:$B,$A113,'Source 2025'!$A:$A,"Amount (NIS)")</f>
        <v>-50.8</v>
      </c>
      <c r="H113" s="10" t="n">
        <f aca="false">SUMIFS('Source 2026'!$P:$P,'Source 2026'!$B:$B,$A113,'Source 2026'!$A:$A,"Amount (NIS)")</f>
        <v>0</v>
      </c>
      <c r="I113" s="10" t="n">
        <f aca="false">H113-G113</f>
        <v>50.8</v>
      </c>
      <c r="J113" s="9" t="n">
        <f aca="false">IF(AND(G113=0,H113=0),0,IF(G113=0,"New",(H113-G113)/G113))</f>
        <v>-1</v>
      </c>
    </row>
    <row r="114" customFormat="false" ht="15" hidden="false" customHeight="false" outlineLevel="0" collapsed="false">
      <c r="A114" s="7" t="s">
        <v>18</v>
      </c>
      <c r="B114" s="7" t="str">
        <f aca="false">IFERROR(INDEX('Source 2026'!$C:$C,MATCH($A114,'Source 2026'!$B:$B,0)),IFERROR(INDEX('Source 2025'!$C:$C,MATCH($A114,'Source 2025'!$B:$B,0)),""))</f>
        <v>CARE  תחבושת אלסטית 5 ס""מ</v>
      </c>
      <c r="C114" s="8" t="n">
        <f aca="false">SUMIFS('Source 2025'!$P:$P,'Source 2025'!$B:$B,$A114,'Source 2025'!$A:$A,"Quantity (units)")</f>
        <v>-9</v>
      </c>
      <c r="D114" s="8" t="n">
        <f aca="false">SUMIFS('Source 2026'!$P:$P,'Source 2026'!$B:$B,$A114,'Source 2026'!$A:$A,"Quantity (units)")</f>
        <v>0</v>
      </c>
      <c r="E114" s="8" t="n">
        <f aca="false">D114-C114</f>
        <v>9</v>
      </c>
      <c r="F114" s="9" t="n">
        <f aca="false">IF(AND(C114=0,D114=0),0,IF(C114=0,"New",(D114-C114)/C114))</f>
        <v>-1</v>
      </c>
      <c r="G114" s="10" t="n">
        <f aca="false">SUMIFS('Source 2025'!$P:$P,'Source 2025'!$B:$B,$A114,'Source 2025'!$A:$A,"Amount (NIS)")</f>
        <v>-50.4</v>
      </c>
      <c r="H114" s="10" t="n">
        <f aca="false">SUMIFS('Source 2026'!$P:$P,'Source 2026'!$B:$B,$A114,'Source 2026'!$A:$A,"Amount (NIS)")</f>
        <v>0</v>
      </c>
      <c r="I114" s="10" t="n">
        <f aca="false">H114-G114</f>
        <v>50.4</v>
      </c>
      <c r="J114" s="9" t="n">
        <f aca="false">IF(AND(G114=0,H114=0),0,IF(G114=0,"New",(H114-G114)/G114))</f>
        <v>-1</v>
      </c>
    </row>
    <row r="115" customFormat="false" ht="15" hidden="false" customHeight="false" outlineLevel="0" collapsed="false">
      <c r="A115" s="7" t="s">
        <v>270</v>
      </c>
      <c r="B115" s="7" t="str">
        <f aca="false">IFERROR(INDEX('Source 2026'!$C:$C,MATCH($A115,'Source 2026'!$B:$B,0)),IFERROR(INDEX('Source 2025'!$C:$C,MATCH($A115,'Source 2025'!$B:$B,0)),""))</f>
        <v>חבק לשורש כף היד</v>
      </c>
      <c r="C115" s="8" t="n">
        <f aca="false">SUMIFS('Source 2025'!$P:$P,'Source 2025'!$B:$B,$A115,'Source 2025'!$A:$A,"Quantity (units)")</f>
        <v>-2</v>
      </c>
      <c r="D115" s="8" t="n">
        <f aca="false">SUMIFS('Source 2026'!$P:$P,'Source 2026'!$B:$B,$A115,'Source 2026'!$A:$A,"Quantity (units)")</f>
        <v>0</v>
      </c>
      <c r="E115" s="8" t="n">
        <f aca="false">D115-C115</f>
        <v>2</v>
      </c>
      <c r="F115" s="9" t="n">
        <f aca="false">IF(AND(C115=0,D115=0),0,IF(C115=0,"New",(D115-C115)/C115))</f>
        <v>-1</v>
      </c>
      <c r="G115" s="10" t="n">
        <f aca="false">SUMIFS('Source 2025'!$P:$P,'Source 2025'!$B:$B,$A115,'Source 2025'!$A:$A,"Amount (NIS)")</f>
        <v>-49.9</v>
      </c>
      <c r="H115" s="10" t="n">
        <f aca="false">SUMIFS('Source 2026'!$P:$P,'Source 2026'!$B:$B,$A115,'Source 2026'!$A:$A,"Amount (NIS)")</f>
        <v>0</v>
      </c>
      <c r="I115" s="10" t="n">
        <f aca="false">H115-G115</f>
        <v>49.9</v>
      </c>
      <c r="J115" s="9" t="n">
        <f aca="false">IF(AND(G115=0,H115=0),0,IF(G115=0,"New",(H115-G115)/G115))</f>
        <v>-1</v>
      </c>
    </row>
    <row r="116" customFormat="false" ht="15" hidden="false" customHeight="false" outlineLevel="0" collapsed="false">
      <c r="A116" s="7" t="s">
        <v>125</v>
      </c>
      <c r="B116" s="7" t="str">
        <f aca="false">IFERROR(INDEX('Source 2026'!$C:$C,MATCH($A116,'Source 2026'!$B:$B,0)),IFERROR(INDEX('Source 2025'!$C:$C,MATCH($A116,'Source 2025'!$B:$B,0)),""))</f>
        <v>S מגן ירך</v>
      </c>
      <c r="C116" s="8" t="n">
        <f aca="false">SUMIFS('Source 2025'!$P:$P,'Source 2025'!$B:$B,$A116,'Source 2025'!$A:$A,"Quantity (units)")</f>
        <v>-7</v>
      </c>
      <c r="D116" s="8" t="n">
        <f aca="false">SUMIFS('Source 2026'!$P:$P,'Source 2026'!$B:$B,$A116,'Source 2026'!$A:$A,"Quantity (units)")</f>
        <v>-4</v>
      </c>
      <c r="E116" s="8" t="n">
        <f aca="false">D116-C116</f>
        <v>3</v>
      </c>
      <c r="F116" s="9" t="n">
        <f aca="false">IF(AND(C116=0,D116=0),0,IF(C116=0,"New",(D116-C116)/C116))</f>
        <v>-0.428571428571429</v>
      </c>
      <c r="G116" s="10" t="n">
        <f aca="false">SUMIFS('Source 2025'!$P:$P,'Source 2025'!$B:$B,$A116,'Source 2025'!$A:$A,"Amount (NIS)")</f>
        <v>-218.5</v>
      </c>
      <c r="H116" s="10" t="n">
        <f aca="false">SUMIFS('Source 2026'!$P:$P,'Source 2026'!$B:$B,$A116,'Source 2026'!$A:$A,"Amount (NIS)")</f>
        <v>-170.9</v>
      </c>
      <c r="I116" s="10" t="n">
        <f aca="false">H116-G116</f>
        <v>47.6</v>
      </c>
      <c r="J116" s="9" t="n">
        <f aca="false">IF(AND(G116=0,H116=0),0,IF(G116=0,"New",(H116-G116)/G116))</f>
        <v>-0.217848970251716</v>
      </c>
    </row>
    <row r="117" customFormat="false" ht="15" hidden="false" customHeight="false" outlineLevel="0" collapsed="false">
      <c r="A117" s="7" t="s">
        <v>143</v>
      </c>
      <c r="B117" s="7" t="str">
        <f aca="false">IFERROR(INDEX('Source 2026'!$C:$C,MATCH($A117,'Source 2026'!$B:$B,0)),IFERROR(INDEX('Source 2025'!$C:$C,MATCH($A117,'Source 2025'!$B:$B,0)),""))</f>
        <v>בננה לתמיכת אצבעות ז.כרית</v>
      </c>
      <c r="C117" s="8" t="n">
        <f aca="false">SUMIFS('Source 2025'!$P:$P,'Source 2025'!$B:$B,$A117,'Source 2025'!$A:$A,"Quantity (units)")</f>
        <v>-4</v>
      </c>
      <c r="D117" s="8" t="n">
        <f aca="false">SUMIFS('Source 2026'!$P:$P,'Source 2026'!$B:$B,$A117,'Source 2026'!$A:$A,"Quantity (units)")</f>
        <v>-2</v>
      </c>
      <c r="E117" s="8" t="n">
        <f aca="false">D117-C117</f>
        <v>2</v>
      </c>
      <c r="F117" s="9" t="n">
        <f aca="false">IF(AND(C117=0,D117=0),0,IF(C117=0,"New",(D117-C117)/C117))</f>
        <v>-0.5</v>
      </c>
      <c r="G117" s="10" t="n">
        <f aca="false">SUMIFS('Source 2025'!$P:$P,'Source 2025'!$B:$B,$A117,'Source 2025'!$A:$A,"Amount (NIS)")</f>
        <v>-94.3</v>
      </c>
      <c r="H117" s="10" t="n">
        <f aca="false">SUMIFS('Source 2026'!$P:$P,'Source 2026'!$B:$B,$A117,'Source 2026'!$A:$A,"Amount (NIS)")</f>
        <v>-47.2</v>
      </c>
      <c r="I117" s="10" t="n">
        <f aca="false">H117-G117</f>
        <v>47.1</v>
      </c>
      <c r="J117" s="9" t="n">
        <f aca="false">IF(AND(G117=0,H117=0),0,IF(G117=0,"New",(H117-G117)/G117))</f>
        <v>-0.499469777306469</v>
      </c>
    </row>
    <row r="118" customFormat="false" ht="15" hidden="false" customHeight="false" outlineLevel="0" collapsed="false">
      <c r="A118" s="7" t="s">
        <v>160</v>
      </c>
      <c r="B118" s="7" t="str">
        <f aca="false">IFERROR(INDEX('Source 2026'!$C:$C,MATCH($A118,'Source 2026'!$B:$B,0)),IFERROR(INDEX('Source 2025'!$C:$C,MATCH($A118,'Source 2025'!$B:$B,0)),""))</f>
        <v>סד ליישור אצבע</v>
      </c>
      <c r="C118" s="8" t="n">
        <f aca="false">SUMIFS('Source 2025'!$P:$P,'Source 2025'!$B:$B,$A118,'Source 2025'!$A:$A,"Quantity (units)")</f>
        <v>-2</v>
      </c>
      <c r="D118" s="8" t="n">
        <f aca="false">SUMIFS('Source 2026'!$P:$P,'Source 2026'!$B:$B,$A118,'Source 2026'!$A:$A,"Quantity (units)")</f>
        <v>-5</v>
      </c>
      <c r="E118" s="8" t="n">
        <f aca="false">D118-C118</f>
        <v>-3</v>
      </c>
      <c r="F118" s="9" t="n">
        <f aca="false">IF(AND(C118=0,D118=0),0,IF(C118=0,"New",(D118-C118)/C118))</f>
        <v>1.5</v>
      </c>
      <c r="G118" s="10" t="n">
        <f aca="false">SUMIFS('Source 2025'!$P:$P,'Source 2025'!$B:$B,$A118,'Source 2025'!$A:$A,"Amount (NIS)")</f>
        <v>-30.8</v>
      </c>
      <c r="H118" s="10" t="n">
        <f aca="false">SUMIFS('Source 2026'!$P:$P,'Source 2026'!$B:$B,$A118,'Source 2026'!$A:$A,"Amount (NIS)")</f>
        <v>-77</v>
      </c>
      <c r="I118" s="10" t="n">
        <f aca="false">H118-G118</f>
        <v>-46.2</v>
      </c>
      <c r="J118" s="9" t="n">
        <f aca="false">IF(AND(G118=0,H118=0),0,IF(G118=0,"New",(H118-G118)/G118))</f>
        <v>1.5</v>
      </c>
    </row>
    <row r="119" customFormat="false" ht="15" hidden="false" customHeight="false" outlineLevel="0" collapsed="false">
      <c r="A119" s="7" t="s">
        <v>76</v>
      </c>
      <c r="B119" s="7" t="str">
        <f aca="false">IFERROR(INDEX('Source 2026'!$C:$C,MATCH($A119,'Source 2026'!$B:$B,0)),IFERROR(INDEX('Source 2025'!$C:$C,MATCH($A119,'Source 2025'!$B:$B,0)),""))</f>
        <v>טייפ קינזיולוגי</v>
      </c>
      <c r="C119" s="8" t="n">
        <f aca="false">SUMIFS('Source 2025'!$P:$P,'Source 2025'!$B:$B,$A119,'Source 2025'!$A:$A,"Quantity (units)")</f>
        <v>0</v>
      </c>
      <c r="D119" s="8" t="n">
        <f aca="false">SUMIFS('Source 2026'!$P:$P,'Source 2026'!$B:$B,$A119,'Source 2026'!$A:$A,"Quantity (units)")</f>
        <v>-1</v>
      </c>
      <c r="E119" s="8" t="n">
        <f aca="false">D119-C119</f>
        <v>-1</v>
      </c>
      <c r="F119" s="9" t="str">
        <f aca="false">IF(AND(C119=0,D119=0),0,IF(C119=0,"New",(D119-C119)/C119))</f>
        <v>New</v>
      </c>
      <c r="G119" s="10" t="n">
        <f aca="false">SUMIFS('Source 2025'!$P:$P,'Source 2025'!$B:$B,$A119,'Source 2025'!$A:$A,"Amount (NIS)")</f>
        <v>0</v>
      </c>
      <c r="H119" s="10" t="n">
        <f aca="false">SUMIFS('Source 2026'!$P:$P,'Source 2026'!$B:$B,$A119,'Source 2026'!$A:$A,"Amount (NIS)")</f>
        <v>-44.1</v>
      </c>
      <c r="I119" s="10" t="n">
        <f aca="false">H119-G119</f>
        <v>-44.1</v>
      </c>
      <c r="J119" s="9" t="str">
        <f aca="false">IF(AND(G119=0,H119=0),0,IF(G119=0,"New",(H119-G119)/G119))</f>
        <v>New</v>
      </c>
    </row>
    <row r="120" customFormat="false" ht="15" hidden="false" customHeight="false" outlineLevel="0" collapsed="false">
      <c r="A120" s="7" t="s">
        <v>92</v>
      </c>
      <c r="B120" s="7" t="str">
        <f aca="false">IFERROR(INDEX('Source 2026'!$C:$C,MATCH($A120,'Source 2026'!$B:$B,0)),IFERROR(INDEX('Source 2025'!$C:$C,MATCH($A120,'Source 2025'!$B:$B,0)),""))</f>
        <v>תחבושת א.נצמ</v>
      </c>
      <c r="C120" s="8" t="n">
        <f aca="false">SUMIFS('Source 2025'!$P:$P,'Source 2025'!$B:$B,$A120,'Source 2025'!$A:$A,"Quantity (units)")</f>
        <v>-4</v>
      </c>
      <c r="D120" s="8" t="n">
        <f aca="false">SUMIFS('Source 2026'!$P:$P,'Source 2026'!$B:$B,$A120,'Source 2026'!$A:$A,"Quantity (units)")</f>
        <v>0</v>
      </c>
      <c r="E120" s="8" t="n">
        <f aca="false">D120-C120</f>
        <v>4</v>
      </c>
      <c r="F120" s="9" t="n">
        <f aca="false">IF(AND(C120=0,D120=0),0,IF(C120=0,"New",(D120-C120)/C120))</f>
        <v>-1</v>
      </c>
      <c r="G120" s="10" t="n">
        <f aca="false">SUMIFS('Source 2025'!$P:$P,'Source 2025'!$B:$B,$A120,'Source 2025'!$A:$A,"Amount (NIS)")</f>
        <v>-43.9</v>
      </c>
      <c r="H120" s="10" t="n">
        <f aca="false">SUMIFS('Source 2026'!$P:$P,'Source 2026'!$B:$B,$A120,'Source 2026'!$A:$A,"Amount (NIS)")</f>
        <v>0</v>
      </c>
      <c r="I120" s="10" t="n">
        <f aca="false">H120-G120</f>
        <v>43.9</v>
      </c>
      <c r="J120" s="9" t="n">
        <f aca="false">IF(AND(G120=0,H120=0),0,IF(G120=0,"New",(H120-G120)/G120))</f>
        <v>-1</v>
      </c>
    </row>
    <row r="121" customFormat="false" ht="15" hidden="false" customHeight="false" outlineLevel="0" collapsed="false">
      <c r="A121" s="7" t="s">
        <v>158</v>
      </c>
      <c r="B121" s="7" t="str">
        <f aca="false">IFERROR(INDEX('Source 2026'!$C:$C,MATCH($A121,'Source 2026'!$B:$B,0)),IFERROR(INDEX('Source 2025'!$C:$C,MATCH($A121,'Source 2025'!$B:$B,0)),""))</f>
        <v>קיבוע לאצבע הדק</v>
      </c>
      <c r="C121" s="8" t="n">
        <f aca="false">SUMIFS('Source 2025'!$P:$P,'Source 2025'!$B:$B,$A121,'Source 2025'!$A:$A,"Quantity (units)")</f>
        <v>-1</v>
      </c>
      <c r="D121" s="8" t="n">
        <f aca="false">SUMIFS('Source 2026'!$P:$P,'Source 2026'!$B:$B,$A121,'Source 2026'!$A:$A,"Quantity (units)")</f>
        <v>0</v>
      </c>
      <c r="E121" s="8" t="n">
        <f aca="false">D121-C121</f>
        <v>1</v>
      </c>
      <c r="F121" s="9" t="n">
        <f aca="false">IF(AND(C121=0,D121=0),0,IF(C121=0,"New",(D121-C121)/C121))</f>
        <v>-1</v>
      </c>
      <c r="G121" s="10" t="n">
        <f aca="false">SUMIFS('Source 2025'!$P:$P,'Source 2025'!$B:$B,$A121,'Source 2025'!$A:$A,"Amount (NIS)")</f>
        <v>-40.6</v>
      </c>
      <c r="H121" s="10" t="n">
        <f aca="false">SUMIFS('Source 2026'!$P:$P,'Source 2026'!$B:$B,$A121,'Source 2026'!$A:$A,"Amount (NIS)")</f>
        <v>0</v>
      </c>
      <c r="I121" s="10" t="n">
        <f aca="false">H121-G121</f>
        <v>40.6</v>
      </c>
      <c r="J121" s="9" t="n">
        <f aca="false">IF(AND(G121=0,H121=0),0,IF(G121=0,"New",(H121-G121)/G121))</f>
        <v>-1</v>
      </c>
    </row>
    <row r="122" customFormat="false" ht="15" hidden="false" customHeight="false" outlineLevel="0" collapsed="false">
      <c r="A122" s="7" t="s">
        <v>88</v>
      </c>
      <c r="B122" s="7" t="str">
        <f aca="false">IFERROR(INDEX('Source 2026'!$C:$C,MATCH($A122,'Source 2026'!$B:$B,0)),IFERROR(INDEX('Source 2025'!$C:$C,MATCH($A122,'Source 2025'!$B:$B,0)),""))</f>
        <v>למניעת שפשוף 5 יח</v>
      </c>
      <c r="C122" s="8" t="n">
        <f aca="false">SUMIFS('Source 2025'!$P:$P,'Source 2025'!$B:$B,$A122,'Source 2025'!$A:$A,"Quantity (units)")</f>
        <v>-6</v>
      </c>
      <c r="D122" s="8" t="n">
        <f aca="false">SUMIFS('Source 2026'!$P:$P,'Source 2026'!$B:$B,$A122,'Source 2026'!$A:$A,"Quantity (units)")</f>
        <v>-3</v>
      </c>
      <c r="E122" s="8" t="n">
        <f aca="false">D122-C122</f>
        <v>3</v>
      </c>
      <c r="F122" s="9" t="n">
        <f aca="false">IF(AND(C122=0,D122=0),0,IF(C122=0,"New",(D122-C122)/C122))</f>
        <v>-0.5</v>
      </c>
      <c r="G122" s="10" t="n">
        <f aca="false">SUMIFS('Source 2025'!$P:$P,'Source 2025'!$B:$B,$A122,'Source 2025'!$A:$A,"Amount (NIS)")</f>
        <v>-80</v>
      </c>
      <c r="H122" s="10" t="n">
        <f aca="false">SUMIFS('Source 2026'!$P:$P,'Source 2026'!$B:$B,$A122,'Source 2026'!$A:$A,"Amount (NIS)")</f>
        <v>-40</v>
      </c>
      <c r="I122" s="10" t="n">
        <f aca="false">H122-G122</f>
        <v>40</v>
      </c>
      <c r="J122" s="9" t="n">
        <f aca="false">IF(AND(G122=0,H122=0),0,IF(G122=0,"New",(H122-G122)/G122))</f>
        <v>-0.5</v>
      </c>
    </row>
    <row r="123" customFormat="false" ht="15" hidden="false" customHeight="false" outlineLevel="0" collapsed="false">
      <c r="A123" s="7" t="s">
        <v>91</v>
      </c>
      <c r="B123" s="7" t="str">
        <f aca="false">IFERROR(INDEX('Source 2026'!$C:$C,MATCH($A123,'Source 2026'!$B:$B,0)),IFERROR(INDEX('Source 2025'!$C:$C,MATCH($A123,'Source 2025'!$B:$B,0)),""))</f>
        <v>בליסטר פלסטר</v>
      </c>
      <c r="C123" s="8" t="n">
        <f aca="false">SUMIFS('Source 2025'!$P:$P,'Source 2025'!$B:$B,$A123,'Source 2025'!$A:$A,"Quantity (units)")</f>
        <v>-5</v>
      </c>
      <c r="D123" s="8" t="n">
        <f aca="false">SUMIFS('Source 2026'!$P:$P,'Source 2026'!$B:$B,$A123,'Source 2026'!$A:$A,"Quantity (units)")</f>
        <v>-3</v>
      </c>
      <c r="E123" s="8" t="n">
        <f aca="false">D123-C123</f>
        <v>2</v>
      </c>
      <c r="F123" s="9" t="n">
        <f aca="false">IF(AND(C123=0,D123=0),0,IF(C123=0,"New",(D123-C123)/C123))</f>
        <v>-0.4</v>
      </c>
      <c r="G123" s="10" t="n">
        <f aca="false">SUMIFS('Source 2025'!$P:$P,'Source 2025'!$B:$B,$A123,'Source 2025'!$A:$A,"Amount (NIS)")</f>
        <v>-95.9</v>
      </c>
      <c r="H123" s="10" t="n">
        <f aca="false">SUMIFS('Source 2026'!$P:$P,'Source 2026'!$B:$B,$A123,'Source 2026'!$A:$A,"Amount (NIS)")</f>
        <v>-57.5</v>
      </c>
      <c r="I123" s="10" t="n">
        <f aca="false">H123-G123</f>
        <v>38.4</v>
      </c>
      <c r="J123" s="9" t="n">
        <f aca="false">IF(AND(G123=0,H123=0),0,IF(G123=0,"New",(H123-G123)/G123))</f>
        <v>-0.400417101147028</v>
      </c>
    </row>
    <row r="124" customFormat="false" ht="15" hidden="false" customHeight="false" outlineLevel="0" collapsed="false">
      <c r="A124" s="7" t="s">
        <v>81</v>
      </c>
      <c r="B124" s="7" t="str">
        <f aca="false">IFERROR(INDEX('Source 2026'!$C:$C,MATCH($A124,'Source 2026'!$B:$B,0)),IFERROR(INDEX('Source 2025'!$C:$C,MATCH($A124,'Source 2025'!$B:$B,0)),""))</f>
        <v>0 מ.בוניון+מפריד אצבע</v>
      </c>
      <c r="C124" s="8" t="n">
        <f aca="false">SUMIFS('Source 2025'!$P:$P,'Source 2025'!$B:$B,$A124,'Source 2025'!$A:$A,"Quantity (units)")</f>
        <v>-3</v>
      </c>
      <c r="D124" s="8" t="n">
        <f aca="false">SUMIFS('Source 2026'!$P:$P,'Source 2026'!$B:$B,$A124,'Source 2026'!$A:$A,"Quantity (units)")</f>
        <v>-2</v>
      </c>
      <c r="E124" s="8" t="n">
        <f aca="false">D124-C124</f>
        <v>1</v>
      </c>
      <c r="F124" s="9" t="n">
        <f aca="false">IF(AND(C124=0,D124=0),0,IF(C124=0,"New",(D124-C124)/C124))</f>
        <v>-0.333333333333333</v>
      </c>
      <c r="G124" s="10" t="n">
        <f aca="false">SUMIFS('Source 2025'!$P:$P,'Source 2025'!$B:$B,$A124,'Source 2025'!$A:$A,"Amount (NIS)")</f>
        <v>-112.2</v>
      </c>
      <c r="H124" s="10" t="n">
        <f aca="false">SUMIFS('Source 2026'!$P:$P,'Source 2026'!$B:$B,$A124,'Source 2026'!$A:$A,"Amount (NIS)")</f>
        <v>-74.8</v>
      </c>
      <c r="I124" s="10" t="n">
        <f aca="false">H124-G124</f>
        <v>37.4</v>
      </c>
      <c r="J124" s="9" t="n">
        <f aca="false">IF(AND(G124=0,H124=0),0,IF(G124=0,"New",(H124-G124)/G124))</f>
        <v>-0.333333333333333</v>
      </c>
    </row>
    <row r="125" customFormat="false" ht="15" hidden="false" customHeight="false" outlineLevel="0" collapsed="false">
      <c r="A125" s="7" t="s">
        <v>112</v>
      </c>
      <c r="B125" s="7" t="str">
        <f aca="false">IFERROR(INDEX('Source 2026'!$C:$C,MATCH($A125,'Source 2026'!$B:$B,0)),IFERROR(INDEX('Source 2025'!$C:$C,MATCH($A125,'Source 2025'!$B:$B,0)),""))</f>
        <v>אמבט לכף הרגל</v>
      </c>
      <c r="C125" s="8" t="n">
        <f aca="false">SUMIFS('Source 2025'!$P:$P,'Source 2025'!$B:$B,$A125,'Source 2025'!$A:$A,"Quantity (units)")</f>
        <v>-2</v>
      </c>
      <c r="D125" s="8" t="n">
        <f aca="false">SUMIFS('Source 2026'!$P:$P,'Source 2026'!$B:$B,$A125,'Source 2026'!$A:$A,"Quantity (units)")</f>
        <v>0</v>
      </c>
      <c r="E125" s="8" t="n">
        <f aca="false">D125-C125</f>
        <v>2</v>
      </c>
      <c r="F125" s="9" t="n">
        <f aca="false">IF(AND(C125=0,D125=0),0,IF(C125=0,"New",(D125-C125)/C125))</f>
        <v>-1</v>
      </c>
      <c r="G125" s="10" t="n">
        <f aca="false">SUMIFS('Source 2025'!$P:$P,'Source 2025'!$B:$B,$A125,'Source 2025'!$A:$A,"Amount (NIS)")</f>
        <v>-37.4</v>
      </c>
      <c r="H125" s="10" t="n">
        <f aca="false">SUMIFS('Source 2026'!$P:$P,'Source 2026'!$B:$B,$A125,'Source 2026'!$A:$A,"Amount (NIS)")</f>
        <v>0</v>
      </c>
      <c r="I125" s="10" t="n">
        <f aca="false">H125-G125</f>
        <v>37.4</v>
      </c>
      <c r="J125" s="9" t="n">
        <f aca="false">IF(AND(G125=0,H125=0),0,IF(G125=0,"New",(H125-G125)/G125))</f>
        <v>-1</v>
      </c>
    </row>
    <row r="126" customFormat="false" ht="15" hidden="false" customHeight="false" outlineLevel="0" collapsed="false">
      <c r="A126" s="7" t="s">
        <v>273</v>
      </c>
      <c r="B126" s="7" t="str">
        <f aca="false">IFERROR(INDEX('Source 2026'!$C:$C,MATCH($A126,'Source 2026'!$B:$B,0)),IFERROR(INDEX('Source 2025'!$C:$C,MATCH($A126,'Source 2025'!$B:$B,0)),""))</f>
        <v>סד לש.כף יד ימין</v>
      </c>
      <c r="C126" s="8" t="n">
        <f aca="false">SUMIFS('Source 2025'!$P:$P,'Source 2025'!$B:$B,$A126,'Source 2025'!$A:$A,"Quantity (units)")</f>
        <v>-1</v>
      </c>
      <c r="D126" s="8" t="n">
        <f aca="false">SUMIFS('Source 2026'!$P:$P,'Source 2026'!$B:$B,$A126,'Source 2026'!$A:$A,"Quantity (units)")</f>
        <v>0</v>
      </c>
      <c r="E126" s="8" t="n">
        <f aca="false">D126-C126</f>
        <v>1</v>
      </c>
      <c r="F126" s="9" t="n">
        <f aca="false">IF(AND(C126=0,D126=0),0,IF(C126=0,"New",(D126-C126)/C126))</f>
        <v>-1</v>
      </c>
      <c r="G126" s="10" t="n">
        <f aca="false">SUMIFS('Source 2025'!$P:$P,'Source 2025'!$B:$B,$A126,'Source 2025'!$A:$A,"Amount (NIS)")</f>
        <v>-34.3</v>
      </c>
      <c r="H126" s="10" t="n">
        <f aca="false">SUMIFS('Source 2026'!$P:$P,'Source 2026'!$B:$B,$A126,'Source 2026'!$A:$A,"Amount (NIS)")</f>
        <v>0</v>
      </c>
      <c r="I126" s="10" t="n">
        <f aca="false">H126-G126</f>
        <v>34.3</v>
      </c>
      <c r="J126" s="9" t="n">
        <f aca="false">IF(AND(G126=0,H126=0),0,IF(G126=0,"New",(H126-G126)/G126))</f>
        <v>-1</v>
      </c>
    </row>
    <row r="127" customFormat="false" ht="15" hidden="false" customHeight="false" outlineLevel="0" collapsed="false">
      <c r="A127" s="7" t="s">
        <v>272</v>
      </c>
      <c r="B127" s="7" t="str">
        <f aca="false">IFERROR(INDEX('Source 2026'!$C:$C,MATCH($A127,'Source 2026'!$B:$B,0)),IFERROR(INDEX('Source 2025'!$C:$C,MATCH($A127,'Source 2025'!$B:$B,0)),""))</f>
        <v>סד לש.כף יד שמאל</v>
      </c>
      <c r="C127" s="8" t="n">
        <f aca="false">SUMIFS('Source 2025'!$P:$P,'Source 2025'!$B:$B,$A127,'Source 2025'!$A:$A,"Quantity (units)")</f>
        <v>-1</v>
      </c>
      <c r="D127" s="8" t="n">
        <f aca="false">SUMIFS('Source 2026'!$P:$P,'Source 2026'!$B:$B,$A127,'Source 2026'!$A:$A,"Quantity (units)")</f>
        <v>-2</v>
      </c>
      <c r="E127" s="8" t="n">
        <f aca="false">D127-C127</f>
        <v>-1</v>
      </c>
      <c r="F127" s="9" t="n">
        <f aca="false">IF(AND(C127=0,D127=0),0,IF(C127=0,"New",(D127-C127)/C127))</f>
        <v>1</v>
      </c>
      <c r="G127" s="10" t="n">
        <f aca="false">SUMIFS('Source 2025'!$P:$P,'Source 2025'!$B:$B,$A127,'Source 2025'!$A:$A,"Amount (NIS)")</f>
        <v>-34.3</v>
      </c>
      <c r="H127" s="10" t="n">
        <f aca="false">SUMIFS('Source 2026'!$P:$P,'Source 2026'!$B:$B,$A127,'Source 2026'!$A:$A,"Amount (NIS)")</f>
        <v>-68.5</v>
      </c>
      <c r="I127" s="10" t="n">
        <f aca="false">H127-G127</f>
        <v>-34.2</v>
      </c>
      <c r="J127" s="9" t="n">
        <f aca="false">IF(AND(G127=0,H127=0),0,IF(G127=0,"New",(H127-G127)/G127))</f>
        <v>0.997084548104956</v>
      </c>
    </row>
    <row r="128" customFormat="false" ht="15" hidden="false" customHeight="false" outlineLevel="0" collapsed="false">
      <c r="A128" s="7" t="s">
        <v>269</v>
      </c>
      <c r="B128" s="7" t="str">
        <f aca="false">IFERROR(INDEX('Source 2026'!$C:$C,MATCH($A128,'Source 2026'!$B:$B,0)),IFERROR(INDEX('Source 2025'!$C:$C,MATCH($A128,'Source 2025'!$B:$B,0)),""))</f>
        <v>שרוול מסיליקון לאצבע</v>
      </c>
      <c r="C128" s="8" t="n">
        <f aca="false">SUMIFS('Source 2025'!$P:$P,'Source 2025'!$B:$B,$A128,'Source 2025'!$A:$A,"Quantity (units)")</f>
        <v>-1</v>
      </c>
      <c r="D128" s="8" t="n">
        <f aca="false">SUMIFS('Source 2026'!$P:$P,'Source 2026'!$B:$B,$A128,'Source 2026'!$A:$A,"Quantity (units)")</f>
        <v>-3</v>
      </c>
      <c r="E128" s="8" t="n">
        <f aca="false">D128-C128</f>
        <v>-2</v>
      </c>
      <c r="F128" s="9" t="n">
        <f aca="false">IF(AND(C128=0,D128=0),0,IF(C128=0,"New",(D128-C128)/C128))</f>
        <v>2</v>
      </c>
      <c r="G128" s="10" t="n">
        <f aca="false">SUMIFS('Source 2025'!$P:$P,'Source 2025'!$B:$B,$A128,'Source 2025'!$A:$A,"Amount (NIS)")</f>
        <v>-16.6</v>
      </c>
      <c r="H128" s="10" t="n">
        <f aca="false">SUMIFS('Source 2026'!$P:$P,'Source 2026'!$B:$B,$A128,'Source 2026'!$A:$A,"Amount (NIS)")</f>
        <v>-49.7</v>
      </c>
      <c r="I128" s="10" t="n">
        <f aca="false">H128-G128</f>
        <v>-33.1</v>
      </c>
      <c r="J128" s="9" t="n">
        <f aca="false">IF(AND(G128=0,H128=0),0,IF(G128=0,"New",(H128-G128)/G128))</f>
        <v>1.99397590361446</v>
      </c>
    </row>
    <row r="129" customFormat="false" ht="15" hidden="false" customHeight="false" outlineLevel="0" collapsed="false">
      <c r="A129" s="7" t="s">
        <v>129</v>
      </c>
      <c r="B129" s="7" t="str">
        <f aca="false">IFERROR(INDEX('Source 2026'!$C:$C,MATCH($A129,'Source 2026'!$B:$B,0)),IFERROR(INDEX('Source 2025'!$C:$C,MATCH($A129,'Source 2025'!$B:$B,0)),""))</f>
        <v>תחבושת א.נצמ</v>
      </c>
      <c r="C129" s="8" t="n">
        <f aca="false">SUMIFS('Source 2025'!$P:$P,'Source 2025'!$B:$B,$A129,'Source 2025'!$A:$A,"Quantity (units)")</f>
        <v>0</v>
      </c>
      <c r="D129" s="8" t="n">
        <f aca="false">SUMIFS('Source 2026'!$P:$P,'Source 2026'!$B:$B,$A129,'Source 2026'!$A:$A,"Quantity (units)")</f>
        <v>-3</v>
      </c>
      <c r="E129" s="8" t="n">
        <f aca="false">D129-C129</f>
        <v>-3</v>
      </c>
      <c r="F129" s="9" t="str">
        <f aca="false">IF(AND(C129=0,D129=0),0,IF(C129=0,"New",(D129-C129)/C129))</f>
        <v>New</v>
      </c>
      <c r="G129" s="10" t="n">
        <f aca="false">SUMIFS('Source 2025'!$P:$P,'Source 2025'!$B:$B,$A129,'Source 2025'!$A:$A,"Amount (NIS)")</f>
        <v>0</v>
      </c>
      <c r="H129" s="10" t="n">
        <f aca="false">SUMIFS('Source 2026'!$P:$P,'Source 2026'!$B:$B,$A129,'Source 2026'!$A:$A,"Amount (NIS)")</f>
        <v>-32.9</v>
      </c>
      <c r="I129" s="10" t="n">
        <f aca="false">H129-G129</f>
        <v>-32.9</v>
      </c>
      <c r="J129" s="9" t="str">
        <f aca="false">IF(AND(G129=0,H129=0),0,IF(G129=0,"New",(H129-G129)/G129))</f>
        <v>New</v>
      </c>
    </row>
    <row r="130" customFormat="false" ht="15" hidden="false" customHeight="false" outlineLevel="0" collapsed="false">
      <c r="A130" s="7" t="s">
        <v>119</v>
      </c>
      <c r="B130" s="7" t="str">
        <f aca="false">IFERROR(INDEX('Source 2026'!$C:$C,MATCH($A130,'Source 2026'!$B:$B,0)),IFERROR(INDEX('Source 2025'!$C:$C,MATCH($A130,'Source 2025'!$B:$B,0)),""))</f>
        <v>גרב.כסף לסכרתים שחור35-38</v>
      </c>
      <c r="C130" s="8" t="n">
        <f aca="false">SUMIFS('Source 2025'!$P:$P,'Source 2025'!$B:$B,$A130,'Source 2025'!$A:$A,"Quantity (units)")</f>
        <v>-5</v>
      </c>
      <c r="D130" s="8" t="n">
        <f aca="false">SUMIFS('Source 2026'!$P:$P,'Source 2026'!$B:$B,$A130,'Source 2026'!$A:$A,"Quantity (units)")</f>
        <v>-4</v>
      </c>
      <c r="E130" s="8" t="n">
        <f aca="false">D130-C130</f>
        <v>1</v>
      </c>
      <c r="F130" s="9" t="n">
        <f aca="false">IF(AND(C130=0,D130=0),0,IF(C130=0,"New",(D130-C130)/C130))</f>
        <v>-0.2</v>
      </c>
      <c r="G130" s="10" t="n">
        <f aca="false">SUMIFS('Source 2025'!$P:$P,'Source 2025'!$B:$B,$A130,'Source 2025'!$A:$A,"Amount (NIS)")</f>
        <v>-157.3</v>
      </c>
      <c r="H130" s="10" t="n">
        <f aca="false">SUMIFS('Source 2026'!$P:$P,'Source 2026'!$B:$B,$A130,'Source 2026'!$A:$A,"Amount (NIS)")</f>
        <v>-125.9</v>
      </c>
      <c r="I130" s="10" t="n">
        <f aca="false">H130-G130</f>
        <v>31.4</v>
      </c>
      <c r="J130" s="9" t="n">
        <f aca="false">IF(AND(G130=0,H130=0),0,IF(G130=0,"New",(H130-G130)/G130))</f>
        <v>-0.199618563254927</v>
      </c>
    </row>
    <row r="131" customFormat="false" ht="15" hidden="false" customHeight="false" outlineLevel="0" collapsed="false">
      <c r="A131" s="7" t="s">
        <v>115</v>
      </c>
      <c r="B131" s="7" t="str">
        <f aca="false">IFERROR(INDEX('Source 2026'!$C:$C,MATCH($A131,'Source 2026'!$B:$B,0)),IFERROR(INDEX('Source 2025'!$C:$C,MATCH($A131,'Source 2025'!$B:$B,0)),""))</f>
        <v>סד ליישור אצבע</v>
      </c>
      <c r="C131" s="8" t="n">
        <f aca="false">SUMIFS('Source 2025'!$P:$P,'Source 2025'!$B:$B,$A131,'Source 2025'!$A:$A,"Quantity (units)")</f>
        <v>-1</v>
      </c>
      <c r="D131" s="8" t="n">
        <f aca="false">SUMIFS('Source 2026'!$P:$P,'Source 2026'!$B:$B,$A131,'Source 2026'!$A:$A,"Quantity (units)")</f>
        <v>-3</v>
      </c>
      <c r="E131" s="8" t="n">
        <f aca="false">D131-C131</f>
        <v>-2</v>
      </c>
      <c r="F131" s="9" t="n">
        <f aca="false">IF(AND(C131=0,D131=0),0,IF(C131=0,"New",(D131-C131)/C131))</f>
        <v>2</v>
      </c>
      <c r="G131" s="10" t="n">
        <f aca="false">SUMIFS('Source 2025'!$P:$P,'Source 2025'!$B:$B,$A131,'Source 2025'!$A:$A,"Amount (NIS)")</f>
        <v>-15.4</v>
      </c>
      <c r="H131" s="10" t="n">
        <f aca="false">SUMIFS('Source 2026'!$P:$P,'Source 2026'!$B:$B,$A131,'Source 2026'!$A:$A,"Amount (NIS)")</f>
        <v>-46.2</v>
      </c>
      <c r="I131" s="10" t="n">
        <f aca="false">H131-G131</f>
        <v>-30.8</v>
      </c>
      <c r="J131" s="9" t="n">
        <f aca="false">IF(AND(G131=0,H131=0),0,IF(G131=0,"New",(H131-G131)/G131))</f>
        <v>2</v>
      </c>
    </row>
    <row r="132" customFormat="false" ht="15" hidden="false" customHeight="false" outlineLevel="0" collapsed="false">
      <c r="A132" s="7" t="s">
        <v>306</v>
      </c>
      <c r="B132" s="7" t="str">
        <f aca="false">IFERROR(INDEX('Source 2026'!$C:$C,MATCH($A132,'Source 2026'!$B:$B,0)),IFERROR(INDEX('Source 2025'!$C:$C,MATCH($A132,'Source 2025'!$B:$B,0)),""))</f>
        <v>טייפ חבישה לספורט</v>
      </c>
      <c r="C132" s="8" t="n">
        <f aca="false">SUMIFS('Source 2025'!$P:$P,'Source 2025'!$B:$B,$A132,'Source 2025'!$A:$A,"Quantity (units)")</f>
        <v>-2</v>
      </c>
      <c r="D132" s="8" t="n">
        <f aca="false">SUMIFS('Source 2026'!$P:$P,'Source 2026'!$B:$B,$A132,'Source 2026'!$A:$A,"Quantity (units)")</f>
        <v>0</v>
      </c>
      <c r="E132" s="8" t="n">
        <f aca="false">D132-C132</f>
        <v>2</v>
      </c>
      <c r="F132" s="9" t="n">
        <f aca="false">IF(AND(C132=0,D132=0),0,IF(C132=0,"New",(D132-C132)/C132))</f>
        <v>-1</v>
      </c>
      <c r="G132" s="10" t="n">
        <f aca="false">SUMIFS('Source 2025'!$P:$P,'Source 2025'!$B:$B,$A132,'Source 2025'!$A:$A,"Amount (NIS)")</f>
        <v>-30.8</v>
      </c>
      <c r="H132" s="10" t="n">
        <f aca="false">SUMIFS('Source 2026'!$P:$P,'Source 2026'!$B:$B,$A132,'Source 2026'!$A:$A,"Amount (NIS)")</f>
        <v>0</v>
      </c>
      <c r="I132" s="10" t="n">
        <f aca="false">H132-G132</f>
        <v>30.8</v>
      </c>
      <c r="J132" s="9" t="n">
        <f aca="false">IF(AND(G132=0,H132=0),0,IF(G132=0,"New",(H132-G132)/G132))</f>
        <v>-1</v>
      </c>
    </row>
    <row r="133" customFormat="false" ht="15" hidden="false" customHeight="false" outlineLevel="0" collapsed="false">
      <c r="A133" s="7" t="s">
        <v>283</v>
      </c>
      <c r="B133" s="7" t="str">
        <f aca="false">IFERROR(INDEX('Source 2026'!$C:$C,MATCH($A133,'Source 2026'!$B:$B,0)),IFERROR(INDEX('Source 2025'!$C:$C,MATCH($A133,'Source 2025'!$B:$B,0)),""))</f>
        <v>לחץ א.הבוניון</v>
      </c>
      <c r="C133" s="8" t="n">
        <f aca="false">SUMIFS('Source 2025'!$P:$P,'Source 2025'!$B:$B,$A133,'Source 2025'!$A:$A,"Quantity (units)")</f>
        <v>-7</v>
      </c>
      <c r="D133" s="8" t="n">
        <f aca="false">SUMIFS('Source 2026'!$P:$P,'Source 2026'!$B:$B,$A133,'Source 2026'!$A:$A,"Quantity (units)")</f>
        <v>-4</v>
      </c>
      <c r="E133" s="8" t="n">
        <f aca="false">D133-C133</f>
        <v>3</v>
      </c>
      <c r="F133" s="9" t="n">
        <f aca="false">IF(AND(C133=0,D133=0),0,IF(C133=0,"New",(D133-C133)/C133))</f>
        <v>-0.428571428571429</v>
      </c>
      <c r="G133" s="10" t="n">
        <f aca="false">SUMIFS('Source 2025'!$P:$P,'Source 2025'!$B:$B,$A133,'Source 2025'!$A:$A,"Amount (NIS)")</f>
        <v>-131.6</v>
      </c>
      <c r="H133" s="10" t="n">
        <f aca="false">SUMIFS('Source 2026'!$P:$P,'Source 2026'!$B:$B,$A133,'Source 2026'!$A:$A,"Amount (NIS)")</f>
        <v>-101.1</v>
      </c>
      <c r="I133" s="10" t="n">
        <f aca="false">H133-G133</f>
        <v>30.5</v>
      </c>
      <c r="J133" s="9" t="n">
        <f aca="false">IF(AND(G133=0,H133=0),0,IF(G133=0,"New",(H133-G133)/G133))</f>
        <v>-0.231762917933131</v>
      </c>
    </row>
    <row r="134" customFormat="false" ht="15" hidden="false" customHeight="false" outlineLevel="0" collapsed="false">
      <c r="A134" s="7" t="s">
        <v>110</v>
      </c>
      <c r="B134" s="7" t="str">
        <f aca="false">IFERROR(INDEX('Source 2026'!$C:$C,MATCH($A134,'Source 2026'!$B:$B,0)),IFERROR(INDEX('Source 2025'!$C:$C,MATCH($A134,'Source 2025'!$B:$B,0)),""))</f>
        <v>חבק טניס</v>
      </c>
      <c r="C134" s="8" t="n">
        <f aca="false">SUMIFS('Source 2025'!$P:$P,'Source 2025'!$B:$B,$A134,'Source 2025'!$A:$A,"Quantity (units)")</f>
        <v>-1</v>
      </c>
      <c r="D134" s="8" t="n">
        <f aca="false">SUMIFS('Source 2026'!$P:$P,'Source 2026'!$B:$B,$A134,'Source 2026'!$A:$A,"Quantity (units)")</f>
        <v>0</v>
      </c>
      <c r="E134" s="8" t="n">
        <f aca="false">D134-C134</f>
        <v>1</v>
      </c>
      <c r="F134" s="9" t="n">
        <f aca="false">IF(AND(C134=0,D134=0),0,IF(C134=0,"New",(D134-C134)/C134))</f>
        <v>-1</v>
      </c>
      <c r="G134" s="10" t="n">
        <f aca="false">SUMIFS('Source 2025'!$P:$P,'Source 2025'!$B:$B,$A134,'Source 2025'!$A:$A,"Amount (NIS)")</f>
        <v>-25.3</v>
      </c>
      <c r="H134" s="10" t="n">
        <f aca="false">SUMIFS('Source 2026'!$P:$P,'Source 2026'!$B:$B,$A134,'Source 2026'!$A:$A,"Amount (NIS)")</f>
        <v>0</v>
      </c>
      <c r="I134" s="10" t="n">
        <f aca="false">H134-G134</f>
        <v>25.3</v>
      </c>
      <c r="J134" s="9" t="n">
        <f aca="false">IF(AND(G134=0,H134=0),0,IF(G134=0,"New",(H134-G134)/G134))</f>
        <v>-1</v>
      </c>
    </row>
    <row r="135" customFormat="false" ht="15" hidden="false" customHeight="false" outlineLevel="0" collapsed="false">
      <c r="A135" s="7" t="s">
        <v>176</v>
      </c>
      <c r="B135" s="7" t="str">
        <f aca="false">IFERROR(INDEX('Source 2026'!$C:$C,MATCH($A135,'Source 2026'!$B:$B,0)),IFERROR(INDEX('Source 2025'!$C:$C,MATCH($A135,'Source 2025'!$B:$B,0)),""))</f>
        <v>סד לאגודל</v>
      </c>
      <c r="C135" s="8" t="n">
        <f aca="false">SUMIFS('Source 2025'!$P:$P,'Source 2025'!$B:$B,$A135,'Source 2025'!$A:$A,"Quantity (units)")</f>
        <v>-1</v>
      </c>
      <c r="D135" s="8" t="n">
        <f aca="false">SUMIFS('Source 2026'!$P:$P,'Source 2026'!$B:$B,$A135,'Source 2026'!$A:$A,"Quantity (units)")</f>
        <v>0</v>
      </c>
      <c r="E135" s="8" t="n">
        <f aca="false">D135-C135</f>
        <v>1</v>
      </c>
      <c r="F135" s="9" t="n">
        <f aca="false">IF(AND(C135=0,D135=0),0,IF(C135=0,"New",(D135-C135)/C135))</f>
        <v>-1</v>
      </c>
      <c r="G135" s="10" t="n">
        <f aca="false">SUMIFS('Source 2025'!$P:$P,'Source 2025'!$B:$B,$A135,'Source 2025'!$A:$A,"Amount (NIS)")</f>
        <v>-24.1</v>
      </c>
      <c r="H135" s="10" t="n">
        <f aca="false">SUMIFS('Source 2026'!$P:$P,'Source 2026'!$B:$B,$A135,'Source 2026'!$A:$A,"Amount (NIS)")</f>
        <v>0</v>
      </c>
      <c r="I135" s="10" t="n">
        <f aca="false">H135-G135</f>
        <v>24.1</v>
      </c>
      <c r="J135" s="9" t="n">
        <f aca="false">IF(AND(G135=0,H135=0),0,IF(G135=0,"New",(H135-G135)/G135))</f>
        <v>-1</v>
      </c>
    </row>
    <row r="136" customFormat="false" ht="15" hidden="false" customHeight="false" outlineLevel="0" collapsed="false">
      <c r="A136" s="7" t="s">
        <v>93</v>
      </c>
      <c r="B136" s="7" t="str">
        <f aca="false">IFERROR(INDEX('Source 2026'!$C:$C,MATCH($A136,'Source 2026'!$B:$B,0)),IFERROR(INDEX('Source 2025'!$C:$C,MATCH($A136,'Source 2025'!$B:$B,0)),""))</f>
        <v>תחבושת א.נצמ</v>
      </c>
      <c r="C136" s="8" t="n">
        <f aca="false">SUMIFS('Source 2025'!$P:$P,'Source 2025'!$B:$B,$A136,'Source 2025'!$A:$A,"Quantity (units)")</f>
        <v>-4</v>
      </c>
      <c r="D136" s="8" t="n">
        <f aca="false">SUMIFS('Source 2026'!$P:$P,'Source 2026'!$B:$B,$A136,'Source 2026'!$A:$A,"Quantity (units)")</f>
        <v>-6</v>
      </c>
      <c r="E136" s="8" t="n">
        <f aca="false">D136-C136</f>
        <v>-2</v>
      </c>
      <c r="F136" s="9" t="n">
        <f aca="false">IF(AND(C136=0,D136=0),0,IF(C136=0,"New",(D136-C136)/C136))</f>
        <v>0.5</v>
      </c>
      <c r="G136" s="10" t="n">
        <f aca="false">SUMIFS('Source 2025'!$P:$P,'Source 2025'!$B:$B,$A136,'Source 2025'!$A:$A,"Amount (NIS)")</f>
        <v>-43.9</v>
      </c>
      <c r="H136" s="10" t="n">
        <f aca="false">SUMIFS('Source 2026'!$P:$P,'Source 2026'!$B:$B,$A136,'Source 2026'!$A:$A,"Amount (NIS)")</f>
        <v>-65.9</v>
      </c>
      <c r="I136" s="10" t="n">
        <f aca="false">H136-G136</f>
        <v>-22</v>
      </c>
      <c r="J136" s="9" t="n">
        <f aca="false">IF(AND(G136=0,H136=0),0,IF(G136=0,"New",(H136-G136)/G136))</f>
        <v>0.501138952164009</v>
      </c>
    </row>
    <row r="137" customFormat="false" ht="15" hidden="false" customHeight="false" outlineLevel="0" collapsed="false">
      <c r="A137" s="7" t="s">
        <v>181</v>
      </c>
      <c r="B137" s="7" t="str">
        <f aca="false">IFERROR(INDEX('Source 2026'!$C:$C,MATCH($A137,'Source 2026'!$B:$B,0)),IFERROR(INDEX('Source 2025'!$C:$C,MATCH($A137,'Source 2025'!$B:$B,0)),""))</f>
        <v>מדרס מטטרזלי לנעלי עקב</v>
      </c>
      <c r="C137" s="8" t="n">
        <f aca="false">SUMIFS('Source 2025'!$P:$P,'Source 2025'!$B:$B,$A137,'Source 2025'!$A:$A,"Quantity (units)")</f>
        <v>0</v>
      </c>
      <c r="D137" s="8" t="n">
        <f aca="false">SUMIFS('Source 2026'!$P:$P,'Source 2026'!$B:$B,$A137,'Source 2026'!$A:$A,"Quantity (units)")</f>
        <v>-1</v>
      </c>
      <c r="E137" s="8" t="n">
        <f aca="false">D137-C137</f>
        <v>-1</v>
      </c>
      <c r="F137" s="9" t="str">
        <f aca="false">IF(AND(C137=0,D137=0),0,IF(C137=0,"New",(D137-C137)/C137))</f>
        <v>New</v>
      </c>
      <c r="G137" s="10" t="n">
        <f aca="false">SUMIFS('Source 2025'!$P:$P,'Source 2025'!$B:$B,$A137,'Source 2025'!$A:$A,"Amount (NIS)")</f>
        <v>0</v>
      </c>
      <c r="H137" s="10" t="n">
        <f aca="false">SUMIFS('Source 2026'!$P:$P,'Source 2026'!$B:$B,$A137,'Source 2026'!$A:$A,"Amount (NIS)")</f>
        <v>-21.8</v>
      </c>
      <c r="I137" s="10" t="n">
        <f aca="false">H137-G137</f>
        <v>-21.8</v>
      </c>
      <c r="J137" s="9" t="str">
        <f aca="false">IF(AND(G137=0,H137=0),0,IF(G137=0,"New",(H137-G137)/G137))</f>
        <v>New</v>
      </c>
    </row>
    <row r="138" customFormat="false" ht="15" hidden="false" customHeight="false" outlineLevel="0" collapsed="false">
      <c r="A138" s="7" t="s">
        <v>354</v>
      </c>
      <c r="B138" s="7" t="str">
        <f aca="false">IFERROR(INDEX('Source 2026'!$C:$C,MATCH($A138,'Source 2026'!$B:$B,0)),IFERROR(INDEX('Source 2025'!$C:$C,MATCH($A138,'Source 2025'!$B:$B,0)),""))</f>
        <v>נוזלי</v>
      </c>
      <c r="C138" s="8" t="n">
        <f aca="false">SUMIFS('Source 2025'!$P:$P,'Source 2025'!$B:$B,$A138,'Source 2025'!$A:$A,"Quantity (units)")</f>
        <v>-1</v>
      </c>
      <c r="D138" s="8" t="n">
        <f aca="false">SUMIFS('Source 2026'!$P:$P,'Source 2026'!$B:$B,$A138,'Source 2026'!$A:$A,"Quantity (units)")</f>
        <v>0</v>
      </c>
      <c r="E138" s="8" t="n">
        <f aca="false">D138-C138</f>
        <v>1</v>
      </c>
      <c r="F138" s="9" t="n">
        <f aca="false">IF(AND(C138=0,D138=0),0,IF(C138=0,"New",(D138-C138)/C138))</f>
        <v>-1</v>
      </c>
      <c r="G138" s="10" t="n">
        <f aca="false">SUMIFS('Source 2025'!$P:$P,'Source 2025'!$B:$B,$A138,'Source 2025'!$A:$A,"Amount (NIS)")</f>
        <v>-20.8</v>
      </c>
      <c r="H138" s="10" t="n">
        <f aca="false">SUMIFS('Source 2026'!$P:$P,'Source 2026'!$B:$B,$A138,'Source 2026'!$A:$A,"Amount (NIS)")</f>
        <v>0</v>
      </c>
      <c r="I138" s="10" t="n">
        <f aca="false">H138-G138</f>
        <v>20.8</v>
      </c>
      <c r="J138" s="9" t="n">
        <f aca="false">IF(AND(G138=0,H138=0),0,IF(G138=0,"New",(H138-G138)/G138))</f>
        <v>-1</v>
      </c>
    </row>
    <row r="139" customFormat="false" ht="15" hidden="false" customHeight="false" outlineLevel="0" collapsed="false">
      <c r="A139" s="7" t="s">
        <v>300</v>
      </c>
      <c r="B139" s="7" t="str">
        <f aca="false">IFERROR(INDEX('Source 2026'!$C:$C,MATCH($A139,'Source 2026'!$B:$B,0)),IFERROR(INDEX('Source 2025'!$C:$C,MATCH($A139,'Source 2025'!$B:$B,0)),""))</f>
        <v>סיליק.לכרית כף הרגל373</v>
      </c>
      <c r="C139" s="8" t="n">
        <f aca="false">SUMIFS('Source 2025'!$P:$P,'Source 2025'!$B:$B,$A139,'Source 2025'!$A:$A,"Quantity (units)")</f>
        <v>-3</v>
      </c>
      <c r="D139" s="8" t="n">
        <f aca="false">SUMIFS('Source 2026'!$P:$P,'Source 2026'!$B:$B,$A139,'Source 2026'!$A:$A,"Quantity (units)")</f>
        <v>-2</v>
      </c>
      <c r="E139" s="8" t="n">
        <f aca="false">D139-C139</f>
        <v>1</v>
      </c>
      <c r="F139" s="9" t="n">
        <f aca="false">IF(AND(C139=0,D139=0),0,IF(C139=0,"New",(D139-C139)/C139))</f>
        <v>-0.333333333333333</v>
      </c>
      <c r="G139" s="10" t="n">
        <f aca="false">SUMIFS('Source 2025'!$P:$P,'Source 2025'!$B:$B,$A139,'Source 2025'!$A:$A,"Amount (NIS)")</f>
        <v>-67.6</v>
      </c>
      <c r="H139" s="10" t="n">
        <f aca="false">SUMIFS('Source 2026'!$P:$P,'Source 2026'!$B:$B,$A139,'Source 2026'!$A:$A,"Amount (NIS)")</f>
        <v>-48.3</v>
      </c>
      <c r="I139" s="10" t="n">
        <f aca="false">H139-G139</f>
        <v>19.3</v>
      </c>
      <c r="J139" s="9" t="n">
        <f aca="false">IF(AND(G139=0,H139=0),0,IF(G139=0,"New",(H139-G139)/G139))</f>
        <v>-0.285502958579882</v>
      </c>
    </row>
    <row r="140" customFormat="false" ht="15" hidden="false" customHeight="false" outlineLevel="0" collapsed="false">
      <c r="A140" s="7" t="s">
        <v>297</v>
      </c>
      <c r="B140" s="7" t="str">
        <f aca="false">IFERROR(INDEX('Source 2026'!$C:$C,MATCH($A140,'Source 2026'!$B:$B,0)),IFERROR(INDEX('Source 2025'!$C:$C,MATCH($A140,'Source 2025'!$B:$B,0)),""))</f>
        <v>טייפ חבישה לספורט</v>
      </c>
      <c r="C140" s="8" t="n">
        <f aca="false">SUMIFS('Source 2025'!$P:$P,'Source 2025'!$B:$B,$A140,'Source 2025'!$A:$A,"Quantity (units)")</f>
        <v>-2</v>
      </c>
      <c r="D140" s="8" t="n">
        <f aca="false">SUMIFS('Source 2026'!$P:$P,'Source 2026'!$B:$B,$A140,'Source 2026'!$A:$A,"Quantity (units)")</f>
        <v>-1</v>
      </c>
      <c r="E140" s="8" t="n">
        <f aca="false">D140-C140</f>
        <v>1</v>
      </c>
      <c r="F140" s="9" t="n">
        <f aca="false">IF(AND(C140=0,D140=0),0,IF(C140=0,"New",(D140-C140)/C140))</f>
        <v>-0.5</v>
      </c>
      <c r="G140" s="10" t="n">
        <f aca="false">SUMIFS('Source 2025'!$P:$P,'Source 2025'!$B:$B,$A140,'Source 2025'!$A:$A,"Amount (NIS)")</f>
        <v>-30.8</v>
      </c>
      <c r="H140" s="10" t="n">
        <f aca="false">SUMIFS('Source 2026'!$P:$P,'Source 2026'!$B:$B,$A140,'Source 2026'!$A:$A,"Amount (NIS)")</f>
        <v>-15.4</v>
      </c>
      <c r="I140" s="10" t="n">
        <f aca="false">H140-G140</f>
        <v>15.4</v>
      </c>
      <c r="J140" s="9" t="n">
        <f aca="false">IF(AND(G140=0,H140=0),0,IF(G140=0,"New",(H140-G140)/G140))</f>
        <v>-0.5</v>
      </c>
    </row>
    <row r="141" customFormat="false" ht="15" hidden="false" customHeight="false" outlineLevel="0" collapsed="false">
      <c r="A141" s="7" t="s">
        <v>174</v>
      </c>
      <c r="B141" s="7" t="str">
        <f aca="false">IFERROR(INDEX('Source 2026'!$C:$C,MATCH($A141,'Source 2026'!$B:$B,0)),IFERROR(INDEX('Source 2025'!$C:$C,MATCH($A141,'Source 2025'!$B:$B,0)),""))</f>
        <v>סד ליישור אצבע</v>
      </c>
      <c r="C141" s="8" t="n">
        <f aca="false">SUMIFS('Source 2025'!$P:$P,'Source 2025'!$B:$B,$A141,'Source 2025'!$A:$A,"Quantity (units)")</f>
        <v>-4</v>
      </c>
      <c r="D141" s="8" t="n">
        <f aca="false">SUMIFS('Source 2026'!$P:$P,'Source 2026'!$B:$B,$A141,'Source 2026'!$A:$A,"Quantity (units)")</f>
        <v>-3</v>
      </c>
      <c r="E141" s="8" t="n">
        <f aca="false">D141-C141</f>
        <v>1</v>
      </c>
      <c r="F141" s="9" t="n">
        <f aca="false">IF(AND(C141=0,D141=0),0,IF(C141=0,"New",(D141-C141)/C141))</f>
        <v>-0.25</v>
      </c>
      <c r="G141" s="10" t="n">
        <f aca="false">SUMIFS('Source 2025'!$P:$P,'Source 2025'!$B:$B,$A141,'Source 2025'!$A:$A,"Amount (NIS)")</f>
        <v>-61.6</v>
      </c>
      <c r="H141" s="10" t="n">
        <f aca="false">SUMIFS('Source 2026'!$P:$P,'Source 2026'!$B:$B,$A141,'Source 2026'!$A:$A,"Amount (NIS)")</f>
        <v>-46.2</v>
      </c>
      <c r="I141" s="10" t="n">
        <f aca="false">H141-G141</f>
        <v>15.4</v>
      </c>
      <c r="J141" s="9" t="n">
        <f aca="false">IF(AND(G141=0,H141=0),0,IF(G141=0,"New",(H141-G141)/G141))</f>
        <v>-0.25</v>
      </c>
    </row>
    <row r="142" customFormat="false" ht="15" hidden="false" customHeight="false" outlineLevel="0" collapsed="false">
      <c r="A142" s="7" t="s">
        <v>175</v>
      </c>
      <c r="B142" s="7" t="str">
        <f aca="false">IFERROR(INDEX('Source 2026'!$C:$C,MATCH($A142,'Source 2026'!$B:$B,0)),IFERROR(INDEX('Source 2025'!$C:$C,MATCH($A142,'Source 2025'!$B:$B,0)),""))</f>
        <v>סד ליישור אצבע</v>
      </c>
      <c r="C142" s="8" t="n">
        <f aca="false">SUMIFS('Source 2025'!$P:$P,'Source 2025'!$B:$B,$A142,'Source 2025'!$A:$A,"Quantity (units)")</f>
        <v>-4</v>
      </c>
      <c r="D142" s="8" t="n">
        <f aca="false">SUMIFS('Source 2026'!$P:$P,'Source 2026'!$B:$B,$A142,'Source 2026'!$A:$A,"Quantity (units)")</f>
        <v>-5</v>
      </c>
      <c r="E142" s="8" t="n">
        <f aca="false">D142-C142</f>
        <v>-1</v>
      </c>
      <c r="F142" s="9" t="n">
        <f aca="false">IF(AND(C142=0,D142=0),0,IF(C142=0,"New",(D142-C142)/C142))</f>
        <v>0.25</v>
      </c>
      <c r="G142" s="10" t="n">
        <f aca="false">SUMIFS('Source 2025'!$P:$P,'Source 2025'!$B:$B,$A142,'Source 2025'!$A:$A,"Amount (NIS)")</f>
        <v>-61.6</v>
      </c>
      <c r="H142" s="10" t="n">
        <f aca="false">SUMIFS('Source 2026'!$P:$P,'Source 2026'!$B:$B,$A142,'Source 2026'!$A:$A,"Amount (NIS)")</f>
        <v>-77</v>
      </c>
      <c r="I142" s="10" t="n">
        <f aca="false">H142-G142</f>
        <v>-15.4</v>
      </c>
      <c r="J142" s="9" t="n">
        <f aca="false">IF(AND(G142=0,H142=0),0,IF(G142=0,"New",(H142-G142)/G142))</f>
        <v>0.25</v>
      </c>
    </row>
    <row r="143" customFormat="false" ht="15" hidden="false" customHeight="false" outlineLevel="0" collapsed="false">
      <c r="A143" s="7" t="s">
        <v>65</v>
      </c>
      <c r="B143" s="7" t="str">
        <f aca="false">IFERROR(INDEX('Source 2026'!$C:$C,MATCH($A143,'Source 2026'!$B:$B,0)),IFERROR(INDEX('Source 2025'!$C:$C,MATCH($A143,'Source 2025'!$B:$B,0)),""))</f>
        <v>M 'מגן מרפק בז</v>
      </c>
      <c r="C143" s="8" t="n">
        <f aca="false">SUMIFS('Source 2025'!$P:$P,'Source 2025'!$B:$B,$A143,'Source 2025'!$A:$A,"Quantity (units)")</f>
        <v>-33</v>
      </c>
      <c r="D143" s="8" t="n">
        <f aca="false">SUMIFS('Source 2026'!$P:$P,'Source 2026'!$B:$B,$A143,'Source 2026'!$A:$A,"Quantity (units)")</f>
        <v>-34</v>
      </c>
      <c r="E143" s="8" t="n">
        <f aca="false">D143-C143</f>
        <v>-1</v>
      </c>
      <c r="F143" s="9" t="n">
        <f aca="false">IF(AND(C143=0,D143=0),0,IF(C143=0,"New",(D143-C143)/C143))</f>
        <v>0.0303030303030303</v>
      </c>
      <c r="G143" s="10" t="n">
        <f aca="false">SUMIFS('Source 2025'!$P:$P,'Source 2025'!$B:$B,$A143,'Source 2025'!$A:$A,"Amount (NIS)")</f>
        <v>-929.9</v>
      </c>
      <c r="H143" s="10" t="n">
        <f aca="false">SUMIFS('Source 2026'!$P:$P,'Source 2026'!$B:$B,$A143,'Source 2026'!$A:$A,"Amount (NIS)")</f>
        <v>-943.7</v>
      </c>
      <c r="I143" s="10" t="n">
        <f aca="false">H143-G143</f>
        <v>-13.8000000000001</v>
      </c>
      <c r="J143" s="9" t="n">
        <f aca="false">IF(AND(G143=0,H143=0),0,IF(G143=0,"New",(H143-G143)/G143))</f>
        <v>0.0148403054091839</v>
      </c>
    </row>
    <row r="144" customFormat="false" ht="15" hidden="false" customHeight="false" outlineLevel="0" collapsed="false">
      <c r="A144" s="7" t="s">
        <v>287</v>
      </c>
      <c r="B144" s="7" t="str">
        <f aca="false">IFERROR(INDEX('Source 2026'!$C:$C,MATCH($A144,'Source 2026'!$B:$B,0)),IFERROR(INDEX('Source 2025'!$C:$C,MATCH($A144,'Source 2025'!$B:$B,0)),""))</f>
        <v>רפידת בולמת זעזועים -זוג</v>
      </c>
      <c r="C144" s="8" t="n">
        <f aca="false">SUMIFS('Source 2025'!$P:$P,'Source 2025'!$B:$B,$A144,'Source 2025'!$A:$A,"Quantity (units)")</f>
        <v>-3</v>
      </c>
      <c r="D144" s="8" t="n">
        <f aca="false">SUMIFS('Source 2026'!$P:$P,'Source 2026'!$B:$B,$A144,'Source 2026'!$A:$A,"Quantity (units)")</f>
        <v>-4</v>
      </c>
      <c r="E144" s="8" t="n">
        <f aca="false">D144-C144</f>
        <v>-1</v>
      </c>
      <c r="F144" s="9" t="n">
        <f aca="false">IF(AND(C144=0,D144=0),0,IF(C144=0,"New",(D144-C144)/C144))</f>
        <v>0.333333333333333</v>
      </c>
      <c r="G144" s="10" t="n">
        <f aca="false">SUMIFS('Source 2025'!$P:$P,'Source 2025'!$B:$B,$A144,'Source 2025'!$A:$A,"Amount (NIS)")</f>
        <v>-40</v>
      </c>
      <c r="H144" s="10" t="n">
        <f aca="false">SUMIFS('Source 2026'!$P:$P,'Source 2026'!$B:$B,$A144,'Source 2026'!$A:$A,"Amount (NIS)")</f>
        <v>-53.4</v>
      </c>
      <c r="I144" s="10" t="n">
        <f aca="false">H144-G144</f>
        <v>-13.4</v>
      </c>
      <c r="J144" s="9" t="n">
        <f aca="false">IF(AND(G144=0,H144=0),0,IF(G144=0,"New",(H144-G144)/G144))</f>
        <v>0.335</v>
      </c>
    </row>
    <row r="145" customFormat="false" ht="15" hidden="false" customHeight="false" outlineLevel="0" collapsed="false">
      <c r="A145" s="7" t="s">
        <v>169</v>
      </c>
      <c r="B145" s="7" t="str">
        <f aca="false">IFERROR(INDEX('Source 2026'!$C:$C,MATCH($A145,'Source 2026'!$B:$B,0)),IFERROR(INDEX('Source 2025'!$C:$C,MATCH($A145,'Source 2025'!$B:$B,0)),""))</f>
        <v>S-Lטבעת אלסטית מסיליקון</v>
      </c>
      <c r="C145" s="8" t="n">
        <f aca="false">SUMIFS('Source 2025'!$P:$P,'Source 2025'!$B:$B,$A145,'Source 2025'!$A:$A,"Quantity (units)")</f>
        <v>0</v>
      </c>
      <c r="D145" s="8" t="n">
        <f aca="false">SUMIFS('Source 2026'!$P:$P,'Source 2026'!$B:$B,$A145,'Source 2026'!$A:$A,"Quantity (units)")</f>
        <v>-1</v>
      </c>
      <c r="E145" s="8" t="n">
        <f aca="false">D145-C145</f>
        <v>-1</v>
      </c>
      <c r="F145" s="9" t="str">
        <f aca="false">IF(AND(C145=0,D145=0),0,IF(C145=0,"New",(D145-C145)/C145))</f>
        <v>New</v>
      </c>
      <c r="G145" s="10" t="n">
        <f aca="false">SUMIFS('Source 2025'!$P:$P,'Source 2025'!$B:$B,$A145,'Source 2025'!$A:$A,"Amount (NIS)")</f>
        <v>0</v>
      </c>
      <c r="H145" s="10" t="n">
        <f aca="false">SUMIFS('Source 2026'!$P:$P,'Source 2026'!$B:$B,$A145,'Source 2026'!$A:$A,"Amount (NIS)")</f>
        <v>-13.1</v>
      </c>
      <c r="I145" s="10" t="n">
        <f aca="false">H145-G145</f>
        <v>-13.1</v>
      </c>
      <c r="J145" s="9" t="str">
        <f aca="false">IF(AND(G145=0,H145=0),0,IF(G145=0,"New",(H145-G145)/G145))</f>
        <v>New</v>
      </c>
    </row>
    <row r="146" customFormat="false" ht="15" hidden="false" customHeight="false" outlineLevel="0" collapsed="false">
      <c r="A146" s="7" t="s">
        <v>245</v>
      </c>
      <c r="B146" s="7" t="str">
        <f aca="false">IFERROR(INDEX('Source 2026'!$C:$C,MATCH($A146,'Source 2026'!$B:$B,0)),IFERROR(INDEX('Source 2025'!$C:$C,MATCH($A146,'Source 2025'!$B:$B,0)),""))</f>
        <v>XLמפריד אצבע סיליקון ליבלת</v>
      </c>
      <c r="C146" s="8" t="n">
        <f aca="false">SUMIFS('Source 2025'!$P:$P,'Source 2025'!$B:$B,$A146,'Source 2025'!$A:$A,"Quantity (units)")</f>
        <v>-5</v>
      </c>
      <c r="D146" s="8" t="n">
        <f aca="false">SUMIFS('Source 2026'!$P:$P,'Source 2026'!$B:$B,$A146,'Source 2026'!$A:$A,"Quantity (units)")</f>
        <v>-6</v>
      </c>
      <c r="E146" s="8" t="n">
        <f aca="false">D146-C146</f>
        <v>-1</v>
      </c>
      <c r="F146" s="9" t="n">
        <f aca="false">IF(AND(C146=0,D146=0),0,IF(C146=0,"New",(D146-C146)/C146))</f>
        <v>0.2</v>
      </c>
      <c r="G146" s="10" t="n">
        <f aca="false">SUMIFS('Source 2025'!$P:$P,'Source 2025'!$B:$B,$A146,'Source 2025'!$A:$A,"Amount (NIS)")</f>
        <v>-69</v>
      </c>
      <c r="H146" s="10" t="n">
        <f aca="false">SUMIFS('Source 2026'!$P:$P,'Source 2026'!$B:$B,$A146,'Source 2026'!$A:$A,"Amount (NIS)")</f>
        <v>-81.1</v>
      </c>
      <c r="I146" s="10" t="n">
        <f aca="false">H146-G146</f>
        <v>-12.1</v>
      </c>
      <c r="J146" s="9" t="n">
        <f aca="false">IF(AND(G146=0,H146=0),0,IF(G146=0,"New",(H146-G146)/G146))</f>
        <v>0.17536231884058</v>
      </c>
    </row>
    <row r="147" customFormat="false" ht="15" hidden="false" customHeight="false" outlineLevel="0" collapsed="false">
      <c r="A147" s="7" t="s">
        <v>70</v>
      </c>
      <c r="B147" s="7" t="str">
        <f aca="false">IFERROR(INDEX('Source 2026'!$C:$C,MATCH($A147,'Source 2026'!$B:$B,0)),IFERROR(INDEX('Source 2025'!$C:$C,MATCH($A147,'Source 2025'!$B:$B,0)),""))</f>
        <v>תחבושת א.נצמ</v>
      </c>
      <c r="C147" s="8" t="n">
        <f aca="false">SUMIFS('Source 2025'!$P:$P,'Source 2025'!$B:$B,$A147,'Source 2025'!$A:$A,"Quantity (units)")</f>
        <v>-1</v>
      </c>
      <c r="D147" s="8" t="n">
        <f aca="false">SUMIFS('Source 2026'!$P:$P,'Source 2026'!$B:$B,$A147,'Source 2026'!$A:$A,"Quantity (units)")</f>
        <v>0</v>
      </c>
      <c r="E147" s="8" t="n">
        <f aca="false">D147-C147</f>
        <v>1</v>
      </c>
      <c r="F147" s="9" t="n">
        <f aca="false">IF(AND(C147=0,D147=0),0,IF(C147=0,"New",(D147-C147)/C147))</f>
        <v>-1</v>
      </c>
      <c r="G147" s="10" t="n">
        <f aca="false">SUMIFS('Source 2025'!$P:$P,'Source 2025'!$B:$B,$A147,'Source 2025'!$A:$A,"Amount (NIS)")</f>
        <v>-11.8</v>
      </c>
      <c r="H147" s="10" t="n">
        <f aca="false">SUMIFS('Source 2026'!$P:$P,'Source 2026'!$B:$B,$A147,'Source 2026'!$A:$A,"Amount (NIS)")</f>
        <v>0</v>
      </c>
      <c r="I147" s="10" t="n">
        <f aca="false">H147-G147</f>
        <v>11.8</v>
      </c>
      <c r="J147" s="9" t="n">
        <f aca="false">IF(AND(G147=0,H147=0),0,IF(G147=0,"New",(H147-G147)/G147))</f>
        <v>-1</v>
      </c>
    </row>
    <row r="148" customFormat="false" ht="15" hidden="false" customHeight="false" outlineLevel="0" collapsed="false">
      <c r="A148" s="7" t="s">
        <v>142</v>
      </c>
      <c r="B148" s="7" t="str">
        <f aca="false">IFERROR(INDEX('Source 2026'!$C:$C,MATCH($A148,'Source 2026'!$B:$B,0)),IFERROR(INDEX('Source 2025'!$C:$C,MATCH($A148,'Source 2025'!$B:$B,0)),""))</f>
        <v>9 מ""ס להתאמהX5 מדבקה גדולה</v>
      </c>
      <c r="C148" s="8" t="n">
        <f aca="false">SUMIFS('Source 2025'!$P:$P,'Source 2025'!$B:$B,$A148,'Source 2025'!$A:$A,"Quantity (units)")</f>
        <v>-3</v>
      </c>
      <c r="D148" s="8" t="n">
        <f aca="false">SUMIFS('Source 2026'!$P:$P,'Source 2026'!$B:$B,$A148,'Source 2026'!$A:$A,"Quantity (units)")</f>
        <v>-2</v>
      </c>
      <c r="E148" s="8" t="n">
        <f aca="false">D148-C148</f>
        <v>1</v>
      </c>
      <c r="F148" s="9" t="n">
        <f aca="false">IF(AND(C148=0,D148=0),0,IF(C148=0,"New",(D148-C148)/C148))</f>
        <v>-0.333333333333333</v>
      </c>
      <c r="G148" s="10" t="n">
        <f aca="false">SUMIFS('Source 2025'!$P:$P,'Source 2025'!$B:$B,$A148,'Source 2025'!$A:$A,"Amount (NIS)")</f>
        <v>-64</v>
      </c>
      <c r="H148" s="10" t="n">
        <f aca="false">SUMIFS('Source 2026'!$P:$P,'Source 2026'!$B:$B,$A148,'Source 2026'!$A:$A,"Amount (NIS)")</f>
        <v>-58.6</v>
      </c>
      <c r="I148" s="10" t="n">
        <f aca="false">H148-G148</f>
        <v>5.4</v>
      </c>
      <c r="J148" s="9" t="n">
        <f aca="false">IF(AND(G148=0,H148=0),0,IF(G148=0,"New",(H148-G148)/G148))</f>
        <v>-0.084375</v>
      </c>
    </row>
    <row r="149" customFormat="false" ht="15" hidden="false" customHeight="false" outlineLevel="0" collapsed="false">
      <c r="A149" s="7" t="s">
        <v>293</v>
      </c>
      <c r="B149" s="7" t="str">
        <f aca="false">IFERROR(INDEX('Source 2026'!$C:$C,MATCH($A149,'Source 2026'!$B:$B,0)),IFERROR(INDEX('Source 2025'!$C:$C,MATCH($A149,'Source 2025'!$B:$B,0)),""))</f>
        <v>344-אבן טבעית להסרת עור קשה</v>
      </c>
      <c r="C149" s="8" t="n">
        <f aca="false">SUMIFS('Source 2025'!$P:$P,'Source 2025'!$B:$B,$A149,'Source 2025'!$A:$A,"Quantity (units)")</f>
        <v>-2</v>
      </c>
      <c r="D149" s="8" t="n">
        <f aca="false">SUMIFS('Source 2026'!$P:$P,'Source 2026'!$B:$B,$A149,'Source 2026'!$A:$A,"Quantity (units)")</f>
        <v>-2</v>
      </c>
      <c r="E149" s="8" t="n">
        <f aca="false">D149-C149</f>
        <v>0</v>
      </c>
      <c r="F149" s="9" t="n">
        <f aca="false">IF(AND(C149=0,D149=0),0,IF(C149=0,"New",(D149-C149)/C149))</f>
        <v>-0</v>
      </c>
      <c r="G149" s="10" t="n">
        <f aca="false">SUMIFS('Source 2025'!$P:$P,'Source 2025'!$B:$B,$A149,'Source 2025'!$A:$A,"Amount (NIS)")</f>
        <v>-14.4</v>
      </c>
      <c r="H149" s="10" t="n">
        <f aca="false">SUMIFS('Source 2026'!$P:$P,'Source 2026'!$B:$B,$A149,'Source 2026'!$A:$A,"Amount (NIS)")</f>
        <v>-14.4</v>
      </c>
      <c r="I149" s="10" t="n">
        <f aca="false">H149-G149</f>
        <v>0</v>
      </c>
      <c r="J149" s="9" t="n">
        <f aca="false">IF(AND(G149=0,H149=0),0,IF(G149=0,"New",(H149-G149)/G149))</f>
        <v>-0</v>
      </c>
    </row>
    <row r="150" customFormat="false" ht="15" hidden="false" customHeight="false" outlineLevel="0" collapsed="false">
      <c r="A150" s="7" t="s">
        <v>102</v>
      </c>
      <c r="B150" s="7" t="str">
        <f aca="false">IFERROR(INDEX('Source 2026'!$C:$C,MATCH($A150,'Source 2026'!$B:$B,0)),IFERROR(INDEX('Source 2025'!$C:$C,MATCH($A150,'Source 2025'!$B:$B,0)),""))</f>
        <v>3667 מגן בוניון</v>
      </c>
      <c r="C150" s="8" t="n">
        <f aca="false">SUMIFS('Source 2025'!$P:$P,'Source 2025'!$B:$B,$A150,'Source 2025'!$A:$A,"Quantity (units)")</f>
        <v>-7</v>
      </c>
      <c r="D150" s="8" t="n">
        <f aca="false">SUMIFS('Source 2026'!$P:$P,'Source 2026'!$B:$B,$A150,'Source 2026'!$A:$A,"Quantity (units)")</f>
        <v>-7</v>
      </c>
      <c r="E150" s="8" t="n">
        <f aca="false">D150-C150</f>
        <v>0</v>
      </c>
      <c r="F150" s="9" t="n">
        <f aca="false">IF(AND(C150=0,D150=0),0,IF(C150=0,"New",(D150-C150)/C150))</f>
        <v>-0</v>
      </c>
      <c r="G150" s="10" t="n">
        <f aca="false">SUMIFS('Source 2025'!$P:$P,'Source 2025'!$B:$B,$A150,'Source 2025'!$A:$A,"Amount (NIS)")</f>
        <v>-201.8</v>
      </c>
      <c r="H150" s="10" t="n">
        <f aca="false">SUMIFS('Source 2026'!$P:$P,'Source 2026'!$B:$B,$A150,'Source 2026'!$A:$A,"Amount (NIS)")</f>
        <v>-201.8</v>
      </c>
      <c r="I150" s="10" t="n">
        <f aca="false">H150-G150</f>
        <v>0</v>
      </c>
      <c r="J150" s="9" t="n">
        <f aca="false">IF(AND(G150=0,H150=0),0,IF(G150=0,"New",(H150-G150)/G150))</f>
        <v>-0</v>
      </c>
    </row>
    <row r="151" customFormat="false" ht="15" hidden="false" customHeight="false" outlineLevel="0" collapsed="false">
      <c r="A151" s="7" t="s">
        <v>281</v>
      </c>
      <c r="B151" s="7" t="str">
        <f aca="false">IFERROR(INDEX('Source 2026'!$C:$C,MATCH($A151,'Source 2026'!$B:$B,0)),IFERROR(INDEX('Source 2025'!$C:$C,MATCH($A151,'Source 2025'!$B:$B,0)),""))</f>
        <v>M מדרס ג'ל ספורט לגבר</v>
      </c>
      <c r="C151" s="8" t="n">
        <f aca="false">SUMIFS('Source 2025'!$P:$P,'Source 2025'!$B:$B,$A151,'Source 2025'!$A:$A,"Quantity (units)")</f>
        <v>-2</v>
      </c>
      <c r="D151" s="8" t="n">
        <f aca="false">SUMIFS('Source 2026'!$P:$P,'Source 2026'!$B:$B,$A151,'Source 2026'!$A:$A,"Quantity (units)")</f>
        <v>-2</v>
      </c>
      <c r="E151" s="8" t="n">
        <f aca="false">D151-C151</f>
        <v>0</v>
      </c>
      <c r="F151" s="9" t="n">
        <f aca="false">IF(AND(C151=0,D151=0),0,IF(C151=0,"New",(D151-C151)/C151))</f>
        <v>-0</v>
      </c>
      <c r="G151" s="10" t="n">
        <f aca="false">SUMIFS('Source 2025'!$P:$P,'Source 2025'!$B:$B,$A151,'Source 2025'!$A:$A,"Amount (NIS)")</f>
        <v>-131.2</v>
      </c>
      <c r="H151" s="10" t="n">
        <f aca="false">SUMIFS('Source 2026'!$P:$P,'Source 2026'!$B:$B,$A151,'Source 2026'!$A:$A,"Amount (NIS)")</f>
        <v>-131.2</v>
      </c>
      <c r="I151" s="10" t="n">
        <f aca="false">H151-G151</f>
        <v>0</v>
      </c>
      <c r="J151" s="9" t="n">
        <f aca="false">IF(AND(G151=0,H151=0),0,IF(G151=0,"New",(H151-G151)/G151))</f>
        <v>-0</v>
      </c>
    </row>
    <row r="152" customFormat="false" ht="15" hidden="false" customHeight="false" outlineLevel="0" collapsed="false">
      <c r="A152" s="7" t="s">
        <v>151</v>
      </c>
      <c r="B152" s="7" t="str">
        <f aca="false">IFERROR(INDEX('Source 2026'!$C:$C,MATCH($A152,'Source 2026'!$B:$B,0)),IFERROR(INDEX('Source 2025'!$C:$C,MATCH($A152,'Source 2025'!$B:$B,0)),""))</f>
        <v>L-XL חגורת הריון</v>
      </c>
      <c r="C152" s="8" t="n">
        <f aca="false">SUMIFS('Source 2025'!$P:$P,'Source 2025'!$B:$B,$A152,'Source 2025'!$A:$A,"Quantity (units)")</f>
        <v>-1</v>
      </c>
      <c r="D152" s="8" t="n">
        <f aca="false">SUMIFS('Source 2026'!$P:$P,'Source 2026'!$B:$B,$A152,'Source 2026'!$A:$A,"Quantity (units)")</f>
        <v>-1</v>
      </c>
      <c r="E152" s="8" t="n">
        <f aca="false">D152-C152</f>
        <v>0</v>
      </c>
      <c r="F152" s="9" t="n">
        <f aca="false">IF(AND(C152=0,D152=0),0,IF(C152=0,"New",(D152-C152)/C152))</f>
        <v>-0</v>
      </c>
      <c r="G152" s="10" t="n">
        <f aca="false">SUMIFS('Source 2025'!$P:$P,'Source 2025'!$B:$B,$A152,'Source 2025'!$A:$A,"Amount (NIS)")</f>
        <v>-108.9</v>
      </c>
      <c r="H152" s="10" t="n">
        <f aca="false">SUMIFS('Source 2026'!$P:$P,'Source 2026'!$B:$B,$A152,'Source 2026'!$A:$A,"Amount (NIS)")</f>
        <v>-108.9</v>
      </c>
      <c r="I152" s="10" t="n">
        <f aca="false">H152-G152</f>
        <v>0</v>
      </c>
      <c r="J152" s="9" t="n">
        <f aca="false">IF(AND(G152=0,H152=0),0,IF(G152=0,"New",(H152-G152)/G152))</f>
        <v>-0</v>
      </c>
    </row>
    <row r="153" customFormat="false" ht="15" hidden="false" customHeight="false" outlineLevel="0" collapsed="false">
      <c r="A153" s="7" t="s">
        <v>78</v>
      </c>
      <c r="B153" s="7" t="str">
        <f aca="false">IFERROR(INDEX('Source 2026'!$C:$C,MATCH($A153,'Source 2026'!$B:$B,0)),IFERROR(INDEX('Source 2025'!$C:$C,MATCH($A153,'Source 2025'!$B:$B,0)),""))</f>
        <v>טייפ קינזיולוגי</v>
      </c>
      <c r="C153" s="8" t="n">
        <f aca="false">SUMIFS('Source 2025'!$P:$P,'Source 2025'!$B:$B,$A153,'Source 2025'!$A:$A,"Quantity (units)")</f>
        <v>-2</v>
      </c>
      <c r="D153" s="8" t="n">
        <f aca="false">SUMIFS('Source 2026'!$P:$P,'Source 2026'!$B:$B,$A153,'Source 2026'!$A:$A,"Quantity (units)")</f>
        <v>-2</v>
      </c>
      <c r="E153" s="8" t="n">
        <f aca="false">D153-C153</f>
        <v>0</v>
      </c>
      <c r="F153" s="9" t="n">
        <f aca="false">IF(AND(C153=0,D153=0),0,IF(C153=0,"New",(D153-C153)/C153))</f>
        <v>-0</v>
      </c>
      <c r="G153" s="10" t="n">
        <f aca="false">SUMIFS('Source 2025'!$P:$P,'Source 2025'!$B:$B,$A153,'Source 2025'!$A:$A,"Amount (NIS)")</f>
        <v>-88.2</v>
      </c>
      <c r="H153" s="10" t="n">
        <f aca="false">SUMIFS('Source 2026'!$P:$P,'Source 2026'!$B:$B,$A153,'Source 2026'!$A:$A,"Amount (NIS)")</f>
        <v>-88.2</v>
      </c>
      <c r="I153" s="10" t="n">
        <f aca="false">H153-G153</f>
        <v>0</v>
      </c>
      <c r="J153" s="9" t="n">
        <f aca="false">IF(AND(G153=0,H153=0),0,IF(G153=0,"New",(H153-G153)/G153))</f>
        <v>-0</v>
      </c>
    </row>
    <row r="154" customFormat="false" ht="15" hidden="false" customHeight="false" outlineLevel="0" collapsed="false">
      <c r="A154" s="7" t="s">
        <v>67</v>
      </c>
      <c r="B154" s="7" t="str">
        <f aca="false">IFERROR(INDEX('Source 2026'!$C:$C,MATCH($A154,'Source 2026'!$B:$B,0)),IFERROR(INDEX('Source 2025'!$C:$C,MATCH($A154,'Source 2025'!$B:$B,0)),""))</f>
        <v>שרוול מטטרזלי מסיליקון</v>
      </c>
      <c r="C154" s="8" t="n">
        <f aca="false">SUMIFS('Source 2025'!$P:$P,'Source 2025'!$B:$B,$A154,'Source 2025'!$A:$A,"Quantity (units)")</f>
        <v>-2</v>
      </c>
      <c r="D154" s="8" t="n">
        <f aca="false">SUMIFS('Source 2026'!$P:$P,'Source 2026'!$B:$B,$A154,'Source 2026'!$A:$A,"Quantity (units)")</f>
        <v>-2</v>
      </c>
      <c r="E154" s="8" t="n">
        <f aca="false">D154-C154</f>
        <v>0</v>
      </c>
      <c r="F154" s="9" t="n">
        <f aca="false">IF(AND(C154=0,D154=0),0,IF(C154=0,"New",(D154-C154)/C154))</f>
        <v>-0</v>
      </c>
      <c r="G154" s="10" t="n">
        <f aca="false">SUMIFS('Source 2025'!$P:$P,'Source 2025'!$B:$B,$A154,'Source 2025'!$A:$A,"Amount (NIS)")</f>
        <v>-112</v>
      </c>
      <c r="H154" s="10" t="n">
        <f aca="false">SUMIFS('Source 2026'!$P:$P,'Source 2026'!$B:$B,$A154,'Source 2026'!$A:$A,"Amount (NIS)")</f>
        <v>-112</v>
      </c>
      <c r="I154" s="10" t="n">
        <f aca="false">H154-G154</f>
        <v>0</v>
      </c>
      <c r="J154" s="9" t="n">
        <f aca="false">IF(AND(G154=0,H154=0),0,IF(G154=0,"New",(H154-G154)/G154))</f>
        <v>-0</v>
      </c>
    </row>
    <row r="155" customFormat="false" ht="15" hidden="false" customHeight="false" outlineLevel="0" collapsed="false">
      <c r="A155" s="7" t="s">
        <v>118</v>
      </c>
      <c r="B155" s="7" t="str">
        <f aca="false">IFERROR(INDEX('Source 2026'!$C:$C,MATCH($A155,'Source 2026'!$B:$B,0)),IFERROR(INDEX('Source 2025'!$C:$C,MATCH($A155,'Source 2025'!$B:$B,0)),""))</f>
        <v>S-M חבק יד עם צמדן</v>
      </c>
      <c r="C155" s="8" t="n">
        <f aca="false">SUMIFS('Source 2025'!$P:$P,'Source 2025'!$B:$B,$A155,'Source 2025'!$A:$A,"Quantity (units)")</f>
        <v>-2</v>
      </c>
      <c r="D155" s="8" t="n">
        <f aca="false">SUMIFS('Source 2026'!$P:$P,'Source 2026'!$B:$B,$A155,'Source 2026'!$A:$A,"Quantity (units)")</f>
        <v>-2</v>
      </c>
      <c r="E155" s="8" t="n">
        <f aca="false">D155-C155</f>
        <v>0</v>
      </c>
      <c r="F155" s="9" t="n">
        <f aca="false">IF(AND(C155=0,D155=0),0,IF(C155=0,"New",(D155-C155)/C155))</f>
        <v>-0</v>
      </c>
      <c r="G155" s="10" t="n">
        <f aca="false">SUMIFS('Source 2025'!$P:$P,'Source 2025'!$B:$B,$A155,'Source 2025'!$A:$A,"Amount (NIS)")</f>
        <v>-68.8</v>
      </c>
      <c r="H155" s="10" t="n">
        <f aca="false">SUMIFS('Source 2026'!$P:$P,'Source 2026'!$B:$B,$A155,'Source 2026'!$A:$A,"Amount (NIS)")</f>
        <v>-68.8</v>
      </c>
      <c r="I155" s="10" t="n">
        <f aca="false">H155-G155</f>
        <v>0</v>
      </c>
      <c r="J155" s="9" t="n">
        <f aca="false">IF(AND(G155=0,H155=0),0,IF(G155=0,"New",(H155-G155)/G155))</f>
        <v>-0</v>
      </c>
    </row>
    <row r="157" customFormat="false" ht="15" hidden="false" customHeight="false" outlineLevel="0" collapsed="false">
      <c r="A157" s="11"/>
      <c r="B157" s="12" t="s">
        <v>257</v>
      </c>
      <c r="C157" s="13" t="n">
        <f aca="false">SUM(C6:C155)</f>
        <v>-1274</v>
      </c>
      <c r="D157" s="13" t="n">
        <f aca="false">SUM(D6:D155)</f>
        <v>-660</v>
      </c>
      <c r="E157" s="13" t="n">
        <f aca="false">SUM(E6:E155)</f>
        <v>614</v>
      </c>
      <c r="F157" s="14" t="n">
        <f aca="false">IF(C157=0,"N/A",E157/C157)</f>
        <v>-0.481946624803768</v>
      </c>
      <c r="G157" s="15" t="n">
        <f aca="false">SUM(G6:G155)</f>
        <v>-78358.9</v>
      </c>
      <c r="H157" s="15" t="n">
        <f aca="false">SUM(H6:H155)</f>
        <v>-35015.9</v>
      </c>
      <c r="I157" s="15" t="n">
        <f aca="false">SUM(I6:I155)</f>
        <v>43343</v>
      </c>
      <c r="J157" s="14" t="n">
        <f aca="false">IF(G157=0,"N/A",I157/G157)</f>
        <v>-0.553134359976978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370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46</v>
      </c>
      <c r="B6" s="7" t="str">
        <f aca="false">IFERROR(INDEX('Source 2026'!$C:$C,MATCH($A6,'Source 2026'!$B:$B,0)),IFERROR(INDEX('Source 2025'!$C:$C,MATCH($A6,'Source 2025'!$B:$B,0)),""))</f>
        <v>35-38 גרבי טיסה מידה</v>
      </c>
      <c r="C6" s="8" t="n">
        <f aca="false">SUMIFS('Source 2025'!$R:$R,'Source 2025'!$B:$B,$A6,'Source 2025'!$A:$A,"Quantity (units)")</f>
        <v>535</v>
      </c>
      <c r="D6" s="8" t="n">
        <f aca="false">SUMIFS('Source 2026'!$R:$R,'Source 2026'!$B:$B,$A6,'Source 2026'!$A:$A,"Quantity (units)")</f>
        <v>8</v>
      </c>
      <c r="E6" s="8" t="n">
        <f aca="false">D6-C6</f>
        <v>-527</v>
      </c>
      <c r="F6" s="9" t="n">
        <f aca="false">IF(AND(C6=0,D6=0),0,IF(C6=0,"New",(D6-C6)/C6))</f>
        <v>-0.985046728971963</v>
      </c>
      <c r="G6" s="10" t="n">
        <f aca="false">SUMIFS('Source 2025'!$R:$R,'Source 2025'!$B:$B,$A6,'Source 2025'!$A:$A,"Amount (NIS)")</f>
        <v>30404</v>
      </c>
      <c r="H6" s="10" t="n">
        <f aca="false">SUMIFS('Source 2026'!$R:$R,'Source 2026'!$B:$B,$A6,'Source 2026'!$A:$A,"Amount (NIS)")</f>
        <v>454.6</v>
      </c>
      <c r="I6" s="10" t="n">
        <f aca="false">H6-G6</f>
        <v>-29949.4</v>
      </c>
      <c r="J6" s="9" t="n">
        <f aca="false">IF(AND(G6=0,H6=0),0,IF(G6=0,"New",(H6-G6)/G6))</f>
        <v>-0.985048019997369</v>
      </c>
    </row>
    <row r="7" customFormat="false" ht="15" hidden="false" customHeight="false" outlineLevel="0" collapsed="false">
      <c r="A7" s="7" t="s">
        <v>62</v>
      </c>
      <c r="B7" s="7" t="str">
        <f aca="false">IFERROR(INDEX('Source 2026'!$C:$C,MATCH($A7,'Source 2026'!$B:$B,0)),IFERROR(INDEX('Source 2025'!$C:$C,MATCH($A7,'Source 2025'!$B:$B,0)),""))</f>
        <v>L (מתלה ליד )כיס</v>
      </c>
      <c r="C7" s="8" t="n">
        <f aca="false">SUMIFS('Source 2025'!$R:$R,'Source 2025'!$B:$B,$A7,'Source 2025'!$A:$A,"Quantity (units)")</f>
        <v>792</v>
      </c>
      <c r="D7" s="8" t="n">
        <f aca="false">SUMIFS('Source 2026'!$R:$R,'Source 2026'!$B:$B,$A7,'Source 2026'!$A:$A,"Quantity (units)")</f>
        <v>515</v>
      </c>
      <c r="E7" s="8" t="n">
        <f aca="false">D7-C7</f>
        <v>-277</v>
      </c>
      <c r="F7" s="9" t="n">
        <f aca="false">IF(AND(C7=0,D7=0),0,IF(C7=0,"New",(D7-C7)/C7))</f>
        <v>-0.349747474747475</v>
      </c>
      <c r="G7" s="10" t="n">
        <f aca="false">SUMIFS('Source 2025'!$R:$R,'Source 2025'!$B:$B,$A7,'Source 2025'!$A:$A,"Amount (NIS)")</f>
        <v>41592.7</v>
      </c>
      <c r="H7" s="10" t="n">
        <f aca="false">SUMIFS('Source 2026'!$R:$R,'Source 2026'!$B:$B,$A7,'Source 2026'!$A:$A,"Amount (NIS)")</f>
        <v>27024.9</v>
      </c>
      <c r="I7" s="10" t="n">
        <f aca="false">H7-G7</f>
        <v>-14567.8</v>
      </c>
      <c r="J7" s="9" t="n">
        <f aca="false">IF(AND(G7=0,H7=0),0,IF(G7=0,"New",(H7-G7)/G7))</f>
        <v>-0.350248961957266</v>
      </c>
    </row>
    <row r="8" customFormat="false" ht="15" hidden="false" customHeight="false" outlineLevel="0" collapsed="false">
      <c r="A8" s="7" t="s">
        <v>47</v>
      </c>
      <c r="B8" s="7" t="str">
        <f aca="false">IFERROR(INDEX('Source 2026'!$C:$C,MATCH($A8,'Source 2026'!$B:$B,0)),IFERROR(INDEX('Source 2025'!$C:$C,MATCH($A8,'Source 2025'!$B:$B,0)),""))</f>
        <v>M מגן קרסול עקב סגור</v>
      </c>
      <c r="C8" s="8" t="n">
        <f aca="false">SUMIFS('Source 2025'!$R:$R,'Source 2025'!$B:$B,$A8,'Source 2025'!$A:$A,"Quantity (units)")</f>
        <v>668</v>
      </c>
      <c r="D8" s="8" t="n">
        <f aca="false">SUMIFS('Source 2026'!$R:$R,'Source 2026'!$B:$B,$A8,'Source 2026'!$A:$A,"Quantity (units)")</f>
        <v>388</v>
      </c>
      <c r="E8" s="8" t="n">
        <f aca="false">D8-C8</f>
        <v>-280</v>
      </c>
      <c r="F8" s="9" t="n">
        <f aca="false">IF(AND(C8=0,D8=0),0,IF(C8=0,"New",(D8-C8)/C8))</f>
        <v>-0.419161676646707</v>
      </c>
      <c r="G8" s="10" t="n">
        <f aca="false">SUMIFS('Source 2025'!$R:$R,'Source 2025'!$B:$B,$A8,'Source 2025'!$A:$A,"Amount (NIS)")</f>
        <v>27056.9</v>
      </c>
      <c r="H8" s="10" t="n">
        <f aca="false">SUMIFS('Source 2026'!$R:$R,'Source 2026'!$B:$B,$A8,'Source 2026'!$A:$A,"Amount (NIS)")</f>
        <v>15719.8</v>
      </c>
      <c r="I8" s="10" t="n">
        <f aca="false">H8-G8</f>
        <v>-11337.1</v>
      </c>
      <c r="J8" s="9" t="n">
        <f aca="false">IF(AND(G8=0,H8=0),0,IF(G8=0,"New",(H8-G8)/G8))</f>
        <v>-0.41900956872369</v>
      </c>
    </row>
    <row r="9" customFormat="false" ht="15" hidden="false" customHeight="false" outlineLevel="0" collapsed="false">
      <c r="A9" s="7" t="s">
        <v>87</v>
      </c>
      <c r="B9" s="7" t="str">
        <f aca="false">IFERROR(INDEX('Source 2026'!$C:$C,MATCH($A9,'Source 2026'!$B:$B,0)),IFERROR(INDEX('Source 2025'!$C:$C,MATCH($A9,'Source 2025'!$B:$B,0)),""))</f>
        <v>טלק מעושר באלוורה</v>
      </c>
      <c r="C9" s="8" t="n">
        <f aca="false">SUMIFS('Source 2025'!$R:$R,'Source 2025'!$B:$B,$A9,'Source 2025'!$A:$A,"Quantity (units)")</f>
        <v>1240</v>
      </c>
      <c r="D9" s="8" t="n">
        <f aca="false">SUMIFS('Source 2026'!$R:$R,'Source 2026'!$B:$B,$A9,'Source 2026'!$A:$A,"Quantity (units)")</f>
        <v>642</v>
      </c>
      <c r="E9" s="8" t="n">
        <f aca="false">D9-C9</f>
        <v>-598</v>
      </c>
      <c r="F9" s="9" t="n">
        <f aca="false">IF(AND(C9=0,D9=0),0,IF(C9=0,"New",(D9-C9)/C9))</f>
        <v>-0.482258064516129</v>
      </c>
      <c r="G9" s="10" t="n">
        <f aca="false">SUMIFS('Source 2025'!$R:$R,'Source 2025'!$B:$B,$A9,'Source 2025'!$A:$A,"Amount (NIS)")</f>
        <v>21698.8</v>
      </c>
      <c r="H9" s="10" t="n">
        <f aca="false">SUMIFS('Source 2026'!$R:$R,'Source 2026'!$B:$B,$A9,'Source 2026'!$A:$A,"Amount (NIS)")</f>
        <v>11235</v>
      </c>
      <c r="I9" s="10" t="n">
        <f aca="false">H9-G9</f>
        <v>-10463.8</v>
      </c>
      <c r="J9" s="9" t="n">
        <f aca="false">IF(AND(G9=0,H9=0),0,IF(G9=0,"New",(H9-G9)/G9))</f>
        <v>-0.482229432042325</v>
      </c>
    </row>
    <row r="10" customFormat="false" ht="15" hidden="false" customHeight="false" outlineLevel="0" collapsed="false">
      <c r="A10" s="7" t="s">
        <v>49</v>
      </c>
      <c r="B10" s="7" t="str">
        <f aca="false">IFERROR(INDEX('Source 2026'!$C:$C,MATCH($A10,'Source 2026'!$B:$B,0)),IFERROR(INDEX('Source 2025'!$C:$C,MATCH($A10,'Source 2025'!$B:$B,0)),""))</f>
        <v>S מגן ברך חום</v>
      </c>
      <c r="C10" s="8" t="n">
        <f aca="false">SUMIFS('Source 2025'!$R:$R,'Source 2025'!$B:$B,$A10,'Source 2025'!$A:$A,"Quantity (units)")</f>
        <v>942</v>
      </c>
      <c r="D10" s="8" t="n">
        <f aca="false">SUMIFS('Source 2026'!$R:$R,'Source 2026'!$B:$B,$A10,'Source 2026'!$A:$A,"Quantity (units)")</f>
        <v>616</v>
      </c>
      <c r="E10" s="8" t="n">
        <f aca="false">D10-C10</f>
        <v>-326</v>
      </c>
      <c r="F10" s="9" t="n">
        <f aca="false">IF(AND(C10=0,D10=0),0,IF(C10=0,"New",(D10-C10)/C10))</f>
        <v>-0.346072186836518</v>
      </c>
      <c r="G10" s="10" t="n">
        <f aca="false">SUMIFS('Source 2025'!$R:$R,'Source 2025'!$B:$B,$A10,'Source 2025'!$A:$A,"Amount (NIS)")</f>
        <v>26165.7</v>
      </c>
      <c r="H10" s="10" t="n">
        <f aca="false">SUMIFS('Source 2026'!$R:$R,'Source 2026'!$B:$B,$A10,'Source 2026'!$A:$A,"Amount (NIS)")</f>
        <v>17106.2</v>
      </c>
      <c r="I10" s="10" t="n">
        <f aca="false">H10-G10</f>
        <v>-9059.5</v>
      </c>
      <c r="J10" s="9" t="n">
        <f aca="false">IF(AND(G10=0,H10=0),0,IF(G10=0,"New",(H10-G10)/G10))</f>
        <v>-0.346235720810068</v>
      </c>
    </row>
    <row r="11" customFormat="false" ht="15" hidden="false" customHeight="false" outlineLevel="0" collapsed="false">
      <c r="A11" s="7" t="s">
        <v>58</v>
      </c>
      <c r="B11" s="7" t="str">
        <f aca="false">IFERROR(INDEX('Source 2026'!$C:$C,MATCH($A11,'Source 2026'!$B:$B,0)),IFERROR(INDEX('Source 2025'!$C:$C,MATCH($A11,'Source 2025'!$B:$B,0)),""))</f>
        <v>L מגן ברך לבן</v>
      </c>
      <c r="C11" s="8" t="n">
        <f aca="false">SUMIFS('Source 2025'!$R:$R,'Source 2025'!$B:$B,$A11,'Source 2025'!$A:$A,"Quantity (units)")</f>
        <v>787</v>
      </c>
      <c r="D11" s="8" t="n">
        <f aca="false">SUMIFS('Source 2026'!$R:$R,'Source 2026'!$B:$B,$A11,'Source 2026'!$A:$A,"Quantity (units)")</f>
        <v>496</v>
      </c>
      <c r="E11" s="8" t="n">
        <f aca="false">D11-C11</f>
        <v>-291</v>
      </c>
      <c r="F11" s="9" t="n">
        <f aca="false">IF(AND(C11=0,D11=0),0,IF(C11=0,"New",(D11-C11)/C11))</f>
        <v>-0.369758576874206</v>
      </c>
      <c r="G11" s="10" t="n">
        <f aca="false">SUMIFS('Source 2025'!$R:$R,'Source 2025'!$B:$B,$A11,'Source 2025'!$A:$A,"Amount (NIS)")</f>
        <v>21858.9</v>
      </c>
      <c r="H11" s="10" t="n">
        <f aca="false">SUMIFS('Source 2026'!$R:$R,'Source 2026'!$B:$B,$A11,'Source 2026'!$A:$A,"Amount (NIS)")</f>
        <v>13784.7</v>
      </c>
      <c r="I11" s="10" t="n">
        <f aca="false">H11-G11</f>
        <v>-8074.2</v>
      </c>
      <c r="J11" s="9" t="n">
        <f aca="false">IF(AND(G11=0,H11=0),0,IF(G11=0,"New",(H11-G11)/G11))</f>
        <v>-0.369378148031237</v>
      </c>
    </row>
    <row r="12" customFormat="false" ht="15" hidden="false" customHeight="false" outlineLevel="0" collapsed="false">
      <c r="A12" s="7" t="s">
        <v>56</v>
      </c>
      <c r="B12" s="7" t="str">
        <f aca="false">IFERROR(INDEX('Source 2026'!$C:$C,MATCH($A12,'Source 2026'!$B:$B,0)),IFERROR(INDEX('Source 2025'!$C:$C,MATCH($A12,'Source 2025'!$B:$B,0)),""))</f>
        <v>S מגן קרסול לבן</v>
      </c>
      <c r="C12" s="8" t="n">
        <f aca="false">SUMIFS('Source 2025'!$R:$R,'Source 2025'!$B:$B,$A12,'Source 2025'!$A:$A,"Quantity (units)")</f>
        <v>854</v>
      </c>
      <c r="D12" s="8" t="n">
        <f aca="false">SUMIFS('Source 2026'!$R:$R,'Source 2026'!$B:$B,$A12,'Source 2026'!$A:$A,"Quantity (units)")</f>
        <v>582</v>
      </c>
      <c r="E12" s="8" t="n">
        <f aca="false">D12-C12</f>
        <v>-272</v>
      </c>
      <c r="F12" s="9" t="n">
        <f aca="false">IF(AND(C12=0,D12=0),0,IF(C12=0,"New",(D12-C12)/C12))</f>
        <v>-0.318501170960187</v>
      </c>
      <c r="G12" s="10" t="n">
        <f aca="false">SUMIFS('Source 2025'!$R:$R,'Source 2025'!$B:$B,$A12,'Source 2025'!$A:$A,"Amount (NIS)")</f>
        <v>23716.9</v>
      </c>
      <c r="H12" s="10" t="n">
        <f aca="false">SUMIFS('Source 2026'!$R:$R,'Source 2026'!$B:$B,$A12,'Source 2026'!$A:$A,"Amount (NIS)")</f>
        <v>16156.2</v>
      </c>
      <c r="I12" s="10" t="n">
        <f aca="false">H12-G12</f>
        <v>-7560.7</v>
      </c>
      <c r="J12" s="9" t="n">
        <f aca="false">IF(AND(G12=0,H12=0),0,IF(G12=0,"New",(H12-G12)/G12))</f>
        <v>-0.318789555127356</v>
      </c>
    </row>
    <row r="13" customFormat="false" ht="15" hidden="false" customHeight="false" outlineLevel="0" collapsed="false">
      <c r="A13" s="7" t="s">
        <v>44</v>
      </c>
      <c r="B13" s="7" t="str">
        <f aca="false">IFERROR(INDEX('Source 2026'!$C:$C,MATCH($A13,'Source 2026'!$B:$B,0)),IFERROR(INDEX('Source 2025'!$C:$C,MATCH($A13,'Source 2025'!$B:$B,0)),""))</f>
        <v>S  חבק יד ארוך</v>
      </c>
      <c r="C13" s="8" t="n">
        <f aca="false">SUMIFS('Source 2025'!$R:$R,'Source 2025'!$B:$B,$A13,'Source 2025'!$A:$A,"Quantity (units)")</f>
        <v>724</v>
      </c>
      <c r="D13" s="8" t="n">
        <f aca="false">SUMIFS('Source 2026'!$R:$R,'Source 2026'!$B:$B,$A13,'Source 2026'!$A:$A,"Quantity (units)")</f>
        <v>510</v>
      </c>
      <c r="E13" s="8" t="n">
        <f aca="false">D13-C13</f>
        <v>-214</v>
      </c>
      <c r="F13" s="9" t="n">
        <f aca="false">IF(AND(C13=0,D13=0),0,IF(C13=0,"New",(D13-C13)/C13))</f>
        <v>-0.295580110497238</v>
      </c>
      <c r="G13" s="10" t="n">
        <f aca="false">SUMIFS('Source 2025'!$R:$R,'Source 2025'!$B:$B,$A13,'Source 2025'!$A:$A,"Amount (NIS)")</f>
        <v>25528.6</v>
      </c>
      <c r="H13" s="10" t="n">
        <f aca="false">SUMIFS('Source 2026'!$R:$R,'Source 2026'!$B:$B,$A13,'Source 2026'!$A:$A,"Amount (NIS)")</f>
        <v>17977.7</v>
      </c>
      <c r="I13" s="10" t="n">
        <f aca="false">H13-G13</f>
        <v>-7550.9</v>
      </c>
      <c r="J13" s="9" t="n">
        <f aca="false">IF(AND(G13=0,H13=0),0,IF(G13=0,"New",(H13-G13)/G13))</f>
        <v>-0.295781985694476</v>
      </c>
    </row>
    <row r="14" customFormat="false" ht="15" hidden="false" customHeight="false" outlineLevel="0" collapsed="false">
      <c r="A14" s="7" t="s">
        <v>51</v>
      </c>
      <c r="B14" s="7" t="str">
        <f aca="false">IFERROR(INDEX('Source 2026'!$C:$C,MATCH($A14,'Source 2026'!$B:$B,0)),IFERROR(INDEX('Source 2025'!$C:$C,MATCH($A14,'Source 2025'!$B:$B,0)),""))</f>
        <v>Sמגן ברך ארוך לבן</v>
      </c>
      <c r="C14" s="8" t="n">
        <f aca="false">SUMIFS('Source 2025'!$R:$R,'Source 2025'!$B:$B,$A14,'Source 2025'!$A:$A,"Quantity (units)")</f>
        <v>828</v>
      </c>
      <c r="D14" s="8" t="n">
        <f aca="false">SUMIFS('Source 2026'!$R:$R,'Source 2026'!$B:$B,$A14,'Source 2026'!$A:$A,"Quantity (units)")</f>
        <v>629</v>
      </c>
      <c r="E14" s="8" t="n">
        <f aca="false">D14-C14</f>
        <v>-199</v>
      </c>
      <c r="F14" s="9" t="n">
        <f aca="false">IF(AND(C14=0,D14=0),0,IF(C14=0,"New",(D14-C14)/C14))</f>
        <v>-0.240338164251208</v>
      </c>
      <c r="G14" s="10" t="n">
        <f aca="false">SUMIFS('Source 2025'!$R:$R,'Source 2025'!$B:$B,$A14,'Source 2025'!$A:$A,"Amount (NIS)")</f>
        <v>27739.4</v>
      </c>
      <c r="H14" s="10" t="n">
        <f aca="false">SUMIFS('Source 2026'!$R:$R,'Source 2026'!$B:$B,$A14,'Source 2026'!$A:$A,"Amount (NIS)")</f>
        <v>21069.9</v>
      </c>
      <c r="I14" s="10" t="n">
        <f aca="false">H14-G14</f>
        <v>-6669.5</v>
      </c>
      <c r="J14" s="9" t="n">
        <f aca="false">IF(AND(G14=0,H14=0),0,IF(G14=0,"New",(H14-G14)/G14))</f>
        <v>-0.240434183868433</v>
      </c>
    </row>
    <row r="15" customFormat="false" ht="15" hidden="false" customHeight="false" outlineLevel="0" collapsed="false">
      <c r="A15" s="7" t="s">
        <v>70</v>
      </c>
      <c r="B15" s="7" t="str">
        <f aca="false">IFERROR(INDEX('Source 2026'!$C:$C,MATCH($A15,'Source 2026'!$B:$B,0)),IFERROR(INDEX('Source 2025'!$C:$C,MATCH($A15,'Source 2025'!$B:$B,0)),""))</f>
        <v>תחבושת א.נצמ</v>
      </c>
      <c r="C15" s="8" t="n">
        <f aca="false">SUMIFS('Source 2025'!$R:$R,'Source 2025'!$B:$B,$A15,'Source 2025'!$A:$A,"Quantity (units)")</f>
        <v>781</v>
      </c>
      <c r="D15" s="8" t="n">
        <f aca="false">SUMIFS('Source 2026'!$R:$R,'Source 2026'!$B:$B,$A15,'Source 2026'!$A:$A,"Quantity (units)")</f>
        <v>259</v>
      </c>
      <c r="E15" s="8" t="n">
        <f aca="false">D15-C15</f>
        <v>-522</v>
      </c>
      <c r="F15" s="9" t="n">
        <f aca="false">IF(AND(C15=0,D15=0),0,IF(C15=0,"New",(D15-C15)/C15))</f>
        <v>-0.668373879641485</v>
      </c>
      <c r="G15" s="10" t="n">
        <f aca="false">SUMIFS('Source 2025'!$R:$R,'Source 2025'!$B:$B,$A15,'Source 2025'!$A:$A,"Amount (NIS)")</f>
        <v>8575.4</v>
      </c>
      <c r="H15" s="10" t="n">
        <f aca="false">SUMIFS('Source 2026'!$R:$R,'Source 2026'!$B:$B,$A15,'Source 2026'!$A:$A,"Amount (NIS)")</f>
        <v>2843.8</v>
      </c>
      <c r="I15" s="10" t="n">
        <f aca="false">H15-G15</f>
        <v>-5731.6</v>
      </c>
      <c r="J15" s="9" t="n">
        <f aca="false">IF(AND(G15=0,H15=0),0,IF(G15=0,"New",(H15-G15)/G15))</f>
        <v>-0.66837698533013</v>
      </c>
    </row>
    <row r="16" customFormat="false" ht="15" hidden="false" customHeight="false" outlineLevel="0" collapsed="false">
      <c r="A16" s="7" t="s">
        <v>265</v>
      </c>
      <c r="B16" s="7" t="str">
        <f aca="false">IFERROR(INDEX('Source 2026'!$C:$C,MATCH($A16,'Source 2026'!$B:$B,0)),IFERROR(INDEX('Source 2025'!$C:$C,MATCH($A16,'Source 2025'!$B:$B,0)),""))</f>
        <v>מדרס ג'ל לגבר</v>
      </c>
      <c r="C16" s="8" t="n">
        <f aca="false">SUMIFS('Source 2025'!$R:$R,'Source 2025'!$B:$B,$A16,'Source 2025'!$A:$A,"Quantity (units)")</f>
        <v>296</v>
      </c>
      <c r="D16" s="8" t="n">
        <f aca="false">SUMIFS('Source 2026'!$R:$R,'Source 2026'!$B:$B,$A16,'Source 2026'!$A:$A,"Quantity (units)")</f>
        <v>211</v>
      </c>
      <c r="E16" s="8" t="n">
        <f aca="false">D16-C16</f>
        <v>-85</v>
      </c>
      <c r="F16" s="9" t="n">
        <f aca="false">IF(AND(C16=0,D16=0),0,IF(C16=0,"New",(D16-C16)/C16))</f>
        <v>-0.287162162162162</v>
      </c>
      <c r="G16" s="10" t="n">
        <f aca="false">SUMIFS('Source 2025'!$R:$R,'Source 2025'!$B:$B,$A16,'Source 2025'!$A:$A,"Amount (NIS)")</f>
        <v>19426.5</v>
      </c>
      <c r="H16" s="10" t="n">
        <f aca="false">SUMIFS('Source 2026'!$R:$R,'Source 2026'!$B:$B,$A16,'Source 2026'!$A:$A,"Amount (NIS)")</f>
        <v>13848</v>
      </c>
      <c r="I16" s="10" t="n">
        <f aca="false">H16-G16</f>
        <v>-5578.5</v>
      </c>
      <c r="J16" s="9" t="n">
        <f aca="false">IF(AND(G16=0,H16=0),0,IF(G16=0,"New",(H16-G16)/G16))</f>
        <v>-0.287159292718709</v>
      </c>
    </row>
    <row r="17" customFormat="false" ht="15" hidden="false" customHeight="false" outlineLevel="0" collapsed="false">
      <c r="A17" s="7" t="s">
        <v>43</v>
      </c>
      <c r="B17" s="7" t="str">
        <f aca="false">IFERROR(INDEX('Source 2026'!$C:$C,MATCH($A17,'Source 2026'!$B:$B,0)),IFERROR(INDEX('Source 2025'!$C:$C,MATCH($A17,'Source 2025'!$B:$B,0)),""))</f>
        <v>S מגן קרסול חום</v>
      </c>
      <c r="C17" s="8" t="n">
        <f aca="false">SUMIFS('Source 2025'!$R:$R,'Source 2025'!$B:$B,$A17,'Source 2025'!$A:$A,"Quantity (units)")</f>
        <v>880</v>
      </c>
      <c r="D17" s="8" t="n">
        <f aca="false">SUMIFS('Source 2026'!$R:$R,'Source 2026'!$B:$B,$A17,'Source 2026'!$A:$A,"Quantity (units)")</f>
        <v>697</v>
      </c>
      <c r="E17" s="8" t="n">
        <f aca="false">D17-C17</f>
        <v>-183</v>
      </c>
      <c r="F17" s="9" t="n">
        <f aca="false">IF(AND(C17=0,D17=0),0,IF(C17=0,"New",(D17-C17)/C17))</f>
        <v>-0.207954545454545</v>
      </c>
      <c r="G17" s="10" t="n">
        <f aca="false">SUMIFS('Source 2025'!$R:$R,'Source 2025'!$B:$B,$A17,'Source 2025'!$A:$A,"Amount (NIS)")</f>
        <v>24448.5</v>
      </c>
      <c r="H17" s="10" t="n">
        <f aca="false">SUMIFS('Source 2026'!$R:$R,'Source 2026'!$B:$B,$A17,'Source 2026'!$A:$A,"Amount (NIS)")</f>
        <v>19354.8</v>
      </c>
      <c r="I17" s="10" t="n">
        <f aca="false">H17-G17</f>
        <v>-5093.7</v>
      </c>
      <c r="J17" s="9" t="n">
        <f aca="false">IF(AND(G17=0,H17=0),0,IF(G17=0,"New",(H17-G17)/G17))</f>
        <v>-0.208344070188355</v>
      </c>
    </row>
    <row r="18" customFormat="false" ht="15" hidden="false" customHeight="false" outlineLevel="0" collapsed="false">
      <c r="A18" s="7" t="s">
        <v>57</v>
      </c>
      <c r="B18" s="7" t="str">
        <f aca="false">IFERROR(INDEX('Source 2026'!$C:$C,MATCH($A18,'Source 2026'!$B:$B,0)),IFERROR(INDEX('Source 2025'!$C:$C,MATCH($A18,'Source 2025'!$B:$B,0)),""))</f>
        <v>S""חגורת בטן""אורירית</v>
      </c>
      <c r="C18" s="8" t="n">
        <f aca="false">SUMIFS('Source 2025'!$R:$R,'Source 2025'!$B:$B,$A18,'Source 2025'!$A:$A,"Quantity (units)")</f>
        <v>259</v>
      </c>
      <c r="D18" s="8" t="n">
        <f aca="false">SUMIFS('Source 2026'!$R:$R,'Source 2026'!$B:$B,$A18,'Source 2026'!$A:$A,"Quantity (units)")</f>
        <v>207</v>
      </c>
      <c r="E18" s="8" t="n">
        <f aca="false">D18-C18</f>
        <v>-52</v>
      </c>
      <c r="F18" s="9" t="n">
        <f aca="false">IF(AND(C18=0,D18=0),0,IF(C18=0,"New",(D18-C18)/C18))</f>
        <v>-0.200772200772201</v>
      </c>
      <c r="G18" s="10" t="n">
        <f aca="false">SUMIFS('Source 2025'!$R:$R,'Source 2025'!$B:$B,$A18,'Source 2025'!$A:$A,"Amount (NIS)")</f>
        <v>25144.6</v>
      </c>
      <c r="H18" s="10" t="n">
        <f aca="false">SUMIFS('Source 2026'!$R:$R,'Source 2026'!$B:$B,$A18,'Source 2026'!$A:$A,"Amount (NIS)")</f>
        <v>20085.3</v>
      </c>
      <c r="I18" s="10" t="n">
        <f aca="false">H18-G18</f>
        <v>-5059.3</v>
      </c>
      <c r="J18" s="9" t="n">
        <f aca="false">IF(AND(G18=0,H18=0),0,IF(G18=0,"New",(H18-G18)/G18))</f>
        <v>-0.201208211703507</v>
      </c>
    </row>
    <row r="19" customFormat="false" ht="15" hidden="false" customHeight="false" outlineLevel="0" collapsed="false">
      <c r="A19" s="7" t="s">
        <v>60</v>
      </c>
      <c r="B19" s="7" t="str">
        <f aca="false">IFERROR(INDEX('Source 2026'!$C:$C,MATCH($A19,'Source 2026'!$B:$B,0)),IFERROR(INDEX('Source 2025'!$C:$C,MATCH($A19,'Source 2025'!$B:$B,0)),""))</f>
        <v>יד אגודלי</v>
      </c>
      <c r="C19" s="8" t="n">
        <f aca="false">SUMIFS('Source 2025'!$R:$R,'Source 2025'!$B:$B,$A19,'Source 2025'!$A:$A,"Quantity (units)")</f>
        <v>370</v>
      </c>
      <c r="D19" s="8" t="n">
        <f aca="false">SUMIFS('Source 2026'!$R:$R,'Source 2026'!$B:$B,$A19,'Source 2026'!$A:$A,"Quantity (units)")</f>
        <v>243</v>
      </c>
      <c r="E19" s="8" t="n">
        <f aca="false">D19-C19</f>
        <v>-127</v>
      </c>
      <c r="F19" s="9" t="n">
        <f aca="false">IF(AND(C19=0,D19=0),0,IF(C19=0,"New",(D19-C19)/C19))</f>
        <v>-0.343243243243243</v>
      </c>
      <c r="G19" s="10" t="n">
        <f aca="false">SUMIFS('Source 2025'!$R:$R,'Source 2025'!$B:$B,$A19,'Source 2025'!$A:$A,"Amount (NIS)")</f>
        <v>14679.9</v>
      </c>
      <c r="H19" s="10" t="n">
        <f aca="false">SUMIFS('Source 2026'!$R:$R,'Source 2026'!$B:$B,$A19,'Source 2026'!$A:$A,"Amount (NIS)")</f>
        <v>9643.1</v>
      </c>
      <c r="I19" s="10" t="n">
        <f aca="false">H19-G19</f>
        <v>-5036.8</v>
      </c>
      <c r="J19" s="9" t="n">
        <f aca="false">IF(AND(G19=0,H19=0),0,IF(G19=0,"New",(H19-G19)/G19))</f>
        <v>-0.343108604282046</v>
      </c>
    </row>
    <row r="20" customFormat="false" ht="15" hidden="false" customHeight="false" outlineLevel="0" collapsed="false">
      <c r="A20" s="7" t="s">
        <v>269</v>
      </c>
      <c r="B20" s="7" t="str">
        <f aca="false">IFERROR(INDEX('Source 2026'!$C:$C,MATCH($A20,'Source 2026'!$B:$B,0)),IFERROR(INDEX('Source 2025'!$C:$C,MATCH($A20,'Source 2025'!$B:$B,0)),""))</f>
        <v>שרוול מסיליקון לאצבע</v>
      </c>
      <c r="C20" s="8" t="n">
        <f aca="false">SUMIFS('Source 2025'!$R:$R,'Source 2025'!$B:$B,$A20,'Source 2025'!$A:$A,"Quantity (units)")</f>
        <v>816</v>
      </c>
      <c r="D20" s="8" t="n">
        <f aca="false">SUMIFS('Source 2026'!$R:$R,'Source 2026'!$B:$B,$A20,'Source 2026'!$A:$A,"Quantity (units)")</f>
        <v>576</v>
      </c>
      <c r="E20" s="8" t="n">
        <f aca="false">D20-C20</f>
        <v>-240</v>
      </c>
      <c r="F20" s="9" t="n">
        <f aca="false">IF(AND(C20=0,D20=0),0,IF(C20=0,"New",(D20-C20)/C20))</f>
        <v>-0.294117647058824</v>
      </c>
      <c r="G20" s="10" t="n">
        <f aca="false">SUMIFS('Source 2025'!$R:$R,'Source 2025'!$B:$B,$A20,'Source 2025'!$A:$A,"Amount (NIS)")</f>
        <v>13604.9</v>
      </c>
      <c r="H20" s="10" t="n">
        <f aca="false">SUMIFS('Source 2026'!$R:$R,'Source 2026'!$B:$B,$A20,'Source 2026'!$A:$A,"Amount (NIS)")</f>
        <v>9578.4</v>
      </c>
      <c r="I20" s="10" t="n">
        <f aca="false">H20-G20</f>
        <v>-4026.5</v>
      </c>
      <c r="J20" s="9" t="n">
        <f aca="false">IF(AND(G20=0,H20=0),0,IF(G20=0,"New",(H20-G20)/G20))</f>
        <v>-0.295959543987828</v>
      </c>
    </row>
    <row r="21" customFormat="false" ht="15" hidden="false" customHeight="false" outlineLevel="0" collapsed="false">
      <c r="A21" s="7" t="s">
        <v>73</v>
      </c>
      <c r="B21" s="7" t="str">
        <f aca="false">IFERROR(INDEX('Source 2026'!$C:$C,MATCH($A21,'Source 2026'!$B:$B,0)),IFERROR(INDEX('Source 2025'!$C:$C,MATCH($A21,'Source 2025'!$B:$B,0)),""))</f>
        <v>L צוארון ספוגי</v>
      </c>
      <c r="C21" s="8" t="n">
        <f aca="false">SUMIFS('Source 2025'!$R:$R,'Source 2025'!$B:$B,$A21,'Source 2025'!$A:$A,"Quantity (units)")</f>
        <v>379</v>
      </c>
      <c r="D21" s="8" t="n">
        <f aca="false">SUMIFS('Source 2026'!$R:$R,'Source 2026'!$B:$B,$A21,'Source 2026'!$A:$A,"Quantity (units)")</f>
        <v>260</v>
      </c>
      <c r="E21" s="8" t="n">
        <f aca="false">D21-C21</f>
        <v>-119</v>
      </c>
      <c r="F21" s="9" t="n">
        <f aca="false">IF(AND(C21=0,D21=0),0,IF(C21=0,"New",(D21-C21)/C21))</f>
        <v>-0.313984168865435</v>
      </c>
      <c r="G21" s="10" t="n">
        <f aca="false">SUMIFS('Source 2025'!$R:$R,'Source 2025'!$B:$B,$A21,'Source 2025'!$A:$A,"Amount (NIS)")</f>
        <v>12252.4</v>
      </c>
      <c r="H21" s="10" t="n">
        <f aca="false">SUMIFS('Source 2026'!$R:$R,'Source 2026'!$B:$B,$A21,'Source 2026'!$A:$A,"Amount (NIS)")</f>
        <v>8400.6</v>
      </c>
      <c r="I21" s="10" t="n">
        <f aca="false">H21-G21</f>
        <v>-3851.8</v>
      </c>
      <c r="J21" s="9" t="n">
        <f aca="false">IF(AND(G21=0,H21=0),0,IF(G21=0,"New",(H21-G21)/G21))</f>
        <v>-0.314371061996017</v>
      </c>
    </row>
    <row r="22" customFormat="false" ht="15" hidden="false" customHeight="false" outlineLevel="0" collapsed="false">
      <c r="A22" s="7" t="s">
        <v>116</v>
      </c>
      <c r="B22" s="7" t="str">
        <f aca="false">IFERROR(INDEX('Source 2026'!$C:$C,MATCH($A22,'Source 2026'!$B:$B,0)),IFERROR(INDEX('Source 2025'!$C:$C,MATCH($A22,'Source 2025'!$B:$B,0)),""))</f>
        <v>S חגורה למנותחי בית החזה</v>
      </c>
      <c r="C22" s="8" t="n">
        <f aca="false">SUMIFS('Source 2025'!$R:$R,'Source 2025'!$B:$B,$A22,'Source 2025'!$A:$A,"Quantity (units)")</f>
        <v>211</v>
      </c>
      <c r="D22" s="8" t="n">
        <f aca="false">SUMIFS('Source 2026'!$R:$R,'Source 2026'!$B:$B,$A22,'Source 2026'!$A:$A,"Quantity (units)")</f>
        <v>237</v>
      </c>
      <c r="E22" s="8" t="n">
        <f aca="false">D22-C22</f>
        <v>26</v>
      </c>
      <c r="F22" s="9" t="n">
        <f aca="false">IF(AND(C22=0,D22=0),0,IF(C22=0,"New",(D22-C22)/C22))</f>
        <v>0.123222748815166</v>
      </c>
      <c r="G22" s="10" t="n">
        <f aca="false">SUMIFS('Source 2025'!$R:$R,'Source 2025'!$B:$B,$A22,'Source 2025'!$A:$A,"Amount (NIS)")</f>
        <v>30713.1</v>
      </c>
      <c r="H22" s="10" t="n">
        <f aca="false">SUMIFS('Source 2026'!$R:$R,'Source 2026'!$B:$B,$A22,'Source 2026'!$A:$A,"Amount (NIS)")</f>
        <v>34497.8</v>
      </c>
      <c r="I22" s="10" t="n">
        <f aca="false">H22-G22</f>
        <v>3784.7</v>
      </c>
      <c r="J22" s="9" t="n">
        <f aca="false">IF(AND(G22=0,H22=0),0,IF(G22=0,"New",(H22-G22)/G22))</f>
        <v>0.123227547854173</v>
      </c>
    </row>
    <row r="23" customFormat="false" ht="15" hidden="false" customHeight="false" outlineLevel="0" collapsed="false">
      <c r="A23" s="7" t="s">
        <v>101</v>
      </c>
      <c r="B23" s="7" t="str">
        <f aca="false">IFERROR(INDEX('Source 2026'!$C:$C,MATCH($A23,'Source 2026'!$B:$B,0)),IFERROR(INDEX('Source 2025'!$C:$C,MATCH($A23,'Source 2025'!$B:$B,0)),""))</f>
        <v>S מגן קרסול מתכוון עם סקוטש</v>
      </c>
      <c r="C23" s="8" t="n">
        <f aca="false">SUMIFS('Source 2025'!$R:$R,'Source 2025'!$B:$B,$A23,'Source 2025'!$A:$A,"Quantity (units)")</f>
        <v>61</v>
      </c>
      <c r="D23" s="8" t="n">
        <f aca="false">SUMIFS('Source 2026'!$R:$R,'Source 2026'!$B:$B,$A23,'Source 2026'!$A:$A,"Quantity (units)")</f>
        <v>0</v>
      </c>
      <c r="E23" s="8" t="n">
        <f aca="false">D23-C23</f>
        <v>-61</v>
      </c>
      <c r="F23" s="9" t="n">
        <f aca="false">IF(AND(C23=0,D23=0),0,IF(C23=0,"New",(D23-C23)/C23))</f>
        <v>-1</v>
      </c>
      <c r="G23" s="10" t="n">
        <f aca="false">SUMIFS('Source 2025'!$R:$R,'Source 2025'!$B:$B,$A23,'Source 2025'!$A:$A,"Amount (NIS)")</f>
        <v>3765.6</v>
      </c>
      <c r="H23" s="10" t="n">
        <f aca="false">SUMIFS('Source 2026'!$R:$R,'Source 2026'!$B:$B,$A23,'Source 2026'!$A:$A,"Amount (NIS)")</f>
        <v>0</v>
      </c>
      <c r="I23" s="10" t="n">
        <f aca="false">H23-G23</f>
        <v>-3765.6</v>
      </c>
      <c r="J23" s="9" t="n">
        <f aca="false">IF(AND(G23=0,H23=0),0,IF(G23=0,"New",(H23-G23)/G23))</f>
        <v>-1</v>
      </c>
    </row>
    <row r="24" customFormat="false" ht="15" hidden="false" customHeight="false" outlineLevel="0" collapsed="false">
      <c r="A24" s="7" t="s">
        <v>173</v>
      </c>
      <c r="B24" s="7" t="str">
        <f aca="false">IFERROR(INDEX('Source 2026'!$C:$C,MATCH($A24,'Source 2026'!$B:$B,0)),IFERROR(INDEX('Source 2025'!$C:$C,MATCH($A24,'Source 2025'!$B:$B,0)),""))</f>
        <v>S ח.גב סג. כפולה שחור+אדום</v>
      </c>
      <c r="C24" s="8" t="n">
        <f aca="false">SUMIFS('Source 2025'!$R:$R,'Source 2025'!$B:$B,$A24,'Source 2025'!$A:$A,"Quantity (units)")</f>
        <v>37</v>
      </c>
      <c r="D24" s="8" t="n">
        <f aca="false">SUMIFS('Source 2026'!$R:$R,'Source 2026'!$B:$B,$A24,'Source 2026'!$A:$A,"Quantity (units)")</f>
        <v>0</v>
      </c>
      <c r="E24" s="8" t="n">
        <f aca="false">D24-C24</f>
        <v>-37</v>
      </c>
      <c r="F24" s="9" t="n">
        <f aca="false">IF(AND(C24=0,D24=0),0,IF(C24=0,"New",(D24-C24)/C24))</f>
        <v>-1</v>
      </c>
      <c r="G24" s="10" t="n">
        <f aca="false">SUMIFS('Source 2025'!$R:$R,'Source 2025'!$B:$B,$A24,'Source 2025'!$A:$A,"Amount (NIS)")</f>
        <v>3671.5</v>
      </c>
      <c r="H24" s="10" t="n">
        <f aca="false">SUMIFS('Source 2026'!$R:$R,'Source 2026'!$B:$B,$A24,'Source 2026'!$A:$A,"Amount (NIS)")</f>
        <v>0</v>
      </c>
      <c r="I24" s="10" t="n">
        <f aca="false">H24-G24</f>
        <v>-3671.5</v>
      </c>
      <c r="J24" s="9" t="n">
        <f aca="false">IF(AND(G24=0,H24=0),0,IF(G24=0,"New",(H24-G24)/G24))</f>
        <v>-1</v>
      </c>
    </row>
    <row r="25" customFormat="false" ht="15" hidden="false" customHeight="false" outlineLevel="0" collapsed="false">
      <c r="A25" s="7" t="s">
        <v>78</v>
      </c>
      <c r="B25" s="7" t="str">
        <f aca="false">IFERROR(INDEX('Source 2026'!$C:$C,MATCH($A25,'Source 2026'!$B:$B,0)),IFERROR(INDEX('Source 2025'!$C:$C,MATCH($A25,'Source 2025'!$B:$B,0)),""))</f>
        <v>טייפ קינזיולוגי</v>
      </c>
      <c r="C25" s="8" t="n">
        <f aca="false">SUMIFS('Source 2025'!$R:$R,'Source 2025'!$B:$B,$A25,'Source 2025'!$A:$A,"Quantity (units)")</f>
        <v>234</v>
      </c>
      <c r="D25" s="8" t="n">
        <f aca="false">SUMIFS('Source 2026'!$R:$R,'Source 2026'!$B:$B,$A25,'Source 2026'!$A:$A,"Quantity (units)")</f>
        <v>158</v>
      </c>
      <c r="E25" s="8" t="n">
        <f aca="false">D25-C25</f>
        <v>-76</v>
      </c>
      <c r="F25" s="9" t="n">
        <f aca="false">IF(AND(C25=0,D25=0),0,IF(C25=0,"New",(D25-C25)/C25))</f>
        <v>-0.324786324786325</v>
      </c>
      <c r="G25" s="10" t="n">
        <f aca="false">SUMIFS('Source 2025'!$R:$R,'Source 2025'!$B:$B,$A25,'Source 2025'!$A:$A,"Amount (NIS)")</f>
        <v>10314.7</v>
      </c>
      <c r="H25" s="10" t="n">
        <f aca="false">SUMIFS('Source 2026'!$R:$R,'Source 2026'!$B:$B,$A25,'Source 2026'!$A:$A,"Amount (NIS)")</f>
        <v>6964.6</v>
      </c>
      <c r="I25" s="10" t="n">
        <f aca="false">H25-G25</f>
        <v>-3350.1</v>
      </c>
      <c r="J25" s="9" t="n">
        <f aca="false">IF(AND(G25=0,H25=0),0,IF(G25=0,"New",(H25-G25)/G25))</f>
        <v>-0.324788893520897</v>
      </c>
    </row>
    <row r="26" customFormat="false" ht="15" hidden="false" customHeight="false" outlineLevel="0" collapsed="false">
      <c r="A26" s="7" t="s">
        <v>82</v>
      </c>
      <c r="B26" s="7" t="str">
        <f aca="false">IFERROR(INDEX('Source 2026'!$C:$C,MATCH($A26,'Source 2026'!$B:$B,0)),IFERROR(INDEX('Source 2025'!$C:$C,MATCH($A26,'Source 2025'!$B:$B,0)),""))</f>
        <v>S-L אצבעון מסיליקון יחידה</v>
      </c>
      <c r="C26" s="8" t="n">
        <f aca="false">SUMIFS('Source 2025'!$R:$R,'Source 2025'!$B:$B,$A26,'Source 2025'!$A:$A,"Quantity (units)")</f>
        <v>303</v>
      </c>
      <c r="D26" s="8" t="n">
        <f aca="false">SUMIFS('Source 2026'!$R:$R,'Source 2026'!$B:$B,$A26,'Source 2026'!$A:$A,"Quantity (units)")</f>
        <v>161</v>
      </c>
      <c r="E26" s="8" t="n">
        <f aca="false">D26-C26</f>
        <v>-142</v>
      </c>
      <c r="F26" s="9" t="n">
        <f aca="false">IF(AND(C26=0,D26=0),0,IF(C26=0,"New",(D26-C26)/C26))</f>
        <v>-0.468646864686469</v>
      </c>
      <c r="G26" s="10" t="n">
        <f aca="false">SUMIFS('Source 2025'!$R:$R,'Source 2025'!$B:$B,$A26,'Source 2025'!$A:$A,"Amount (NIS)")</f>
        <v>6441.5</v>
      </c>
      <c r="H26" s="10" t="n">
        <f aca="false">SUMIFS('Source 2026'!$R:$R,'Source 2026'!$B:$B,$A26,'Source 2026'!$A:$A,"Amount (NIS)")</f>
        <v>3387.8</v>
      </c>
      <c r="I26" s="10" t="n">
        <f aca="false">H26-G26</f>
        <v>-3053.7</v>
      </c>
      <c r="J26" s="9" t="n">
        <f aca="false">IF(AND(G26=0,H26=0),0,IF(G26=0,"New",(H26-G26)/G26))</f>
        <v>-0.474066599394551</v>
      </c>
    </row>
    <row r="27" customFormat="false" ht="15" hidden="false" customHeight="false" outlineLevel="0" collapsed="false">
      <c r="A27" s="7" t="s">
        <v>89</v>
      </c>
      <c r="B27" s="7" t="str">
        <f aca="false">IFERROR(INDEX('Source 2026'!$C:$C,MATCH($A27,'Source 2026'!$B:$B,0)),IFERROR(INDEX('Source 2025'!$C:$C,MATCH($A27,'Source 2025'!$B:$B,0)),""))</f>
        <v>מדרס אורטופ.מתכוון35-36</v>
      </c>
      <c r="C27" s="8" t="n">
        <f aca="false">SUMIFS('Source 2025'!$R:$R,'Source 2025'!$B:$B,$A27,'Source 2025'!$A:$A,"Quantity (units)")</f>
        <v>85</v>
      </c>
      <c r="D27" s="8" t="n">
        <f aca="false">SUMIFS('Source 2026'!$R:$R,'Source 2026'!$B:$B,$A27,'Source 2026'!$A:$A,"Quantity (units)")</f>
        <v>41</v>
      </c>
      <c r="E27" s="8" t="n">
        <f aca="false">D27-C27</f>
        <v>-44</v>
      </c>
      <c r="F27" s="9" t="n">
        <f aca="false">IF(AND(C27=0,D27=0),0,IF(C27=0,"New",(D27-C27)/C27))</f>
        <v>-0.51764705882353</v>
      </c>
      <c r="G27" s="10" t="n">
        <f aca="false">SUMIFS('Source 2025'!$R:$R,'Source 2025'!$B:$B,$A27,'Source 2025'!$A:$A,"Amount (NIS)")</f>
        <v>5890.8</v>
      </c>
      <c r="H27" s="10" t="n">
        <f aca="false">SUMIFS('Source 2026'!$R:$R,'Source 2026'!$B:$B,$A27,'Source 2026'!$A:$A,"Amount (NIS)")</f>
        <v>2868.1</v>
      </c>
      <c r="I27" s="10" t="n">
        <f aca="false">H27-G27</f>
        <v>-3022.7</v>
      </c>
      <c r="J27" s="9" t="n">
        <f aca="false">IF(AND(G27=0,H27=0),0,IF(G27=0,"New",(H27-G27)/G27))</f>
        <v>-0.513122156583147</v>
      </c>
    </row>
    <row r="28" customFormat="false" ht="15" hidden="false" customHeight="false" outlineLevel="0" collapsed="false">
      <c r="A28" s="7" t="s">
        <v>53</v>
      </c>
      <c r="B28" s="7" t="str">
        <f aca="false">IFERROR(INDEX('Source 2026'!$C:$C,MATCH($A28,'Source 2026'!$B:$B,0)),IFERROR(INDEX('Source 2025'!$C:$C,MATCH($A28,'Source 2025'!$B:$B,0)),""))</f>
        <v>סד ליד דו צדדי</v>
      </c>
      <c r="C28" s="8" t="n">
        <f aca="false">SUMIFS('Source 2025'!$R:$R,'Source 2025'!$B:$B,$A28,'Source 2025'!$A:$A,"Quantity (units)")</f>
        <v>362</v>
      </c>
      <c r="D28" s="8" t="n">
        <f aca="false">SUMIFS('Source 2026'!$R:$R,'Source 2026'!$B:$B,$A28,'Source 2026'!$A:$A,"Quantity (units)")</f>
        <v>321</v>
      </c>
      <c r="E28" s="8" t="n">
        <f aca="false">D28-C28</f>
        <v>-41</v>
      </c>
      <c r="F28" s="9" t="n">
        <f aca="false">IF(AND(C28=0,D28=0),0,IF(C28=0,"New",(D28-C28)/C28))</f>
        <v>-0.113259668508287</v>
      </c>
      <c r="G28" s="10" t="n">
        <f aca="false">SUMIFS('Source 2025'!$R:$R,'Source 2025'!$B:$B,$A28,'Source 2025'!$A:$A,"Amount (NIS)")</f>
        <v>26339.1</v>
      </c>
      <c r="H28" s="10" t="n">
        <f aca="false">SUMIFS('Source 2026'!$R:$R,'Source 2026'!$B:$B,$A28,'Source 2026'!$A:$A,"Amount (NIS)")</f>
        <v>23356</v>
      </c>
      <c r="I28" s="10" t="n">
        <f aca="false">H28-G28</f>
        <v>-2983.1</v>
      </c>
      <c r="J28" s="9" t="n">
        <f aca="false">IF(AND(G28=0,H28=0),0,IF(G28=0,"New",(H28-G28)/G28))</f>
        <v>-0.113257476527292</v>
      </c>
    </row>
    <row r="29" customFormat="false" ht="15" hidden="false" customHeight="false" outlineLevel="0" collapsed="false">
      <c r="A29" s="7" t="s">
        <v>81</v>
      </c>
      <c r="B29" s="7" t="str">
        <f aca="false">IFERROR(INDEX('Source 2026'!$C:$C,MATCH($A29,'Source 2026'!$B:$B,0)),IFERROR(INDEX('Source 2025'!$C:$C,MATCH($A29,'Source 2025'!$B:$B,0)),""))</f>
        <v>0 מ.בוניון+מפריד אצבע</v>
      </c>
      <c r="C29" s="8" t="n">
        <f aca="false">SUMIFS('Source 2025'!$R:$R,'Source 2025'!$B:$B,$A29,'Source 2025'!$A:$A,"Quantity (units)")</f>
        <v>129</v>
      </c>
      <c r="D29" s="8" t="n">
        <f aca="false">SUMIFS('Source 2026'!$R:$R,'Source 2026'!$B:$B,$A29,'Source 2026'!$A:$A,"Quantity (units)")</f>
        <v>50</v>
      </c>
      <c r="E29" s="8" t="n">
        <f aca="false">D29-C29</f>
        <v>-79</v>
      </c>
      <c r="F29" s="9" t="n">
        <f aca="false">IF(AND(C29=0,D29=0),0,IF(C29=0,"New",(D29-C29)/C29))</f>
        <v>-0.612403100775194</v>
      </c>
      <c r="G29" s="10" t="n">
        <f aca="false">SUMIFS('Source 2025'!$R:$R,'Source 2025'!$B:$B,$A29,'Source 2025'!$A:$A,"Amount (NIS)")</f>
        <v>4829.9</v>
      </c>
      <c r="H29" s="10" t="n">
        <f aca="false">SUMIFS('Source 2026'!$R:$R,'Source 2026'!$B:$B,$A29,'Source 2026'!$A:$A,"Amount (NIS)")</f>
        <v>1870</v>
      </c>
      <c r="I29" s="10" t="n">
        <f aca="false">H29-G29</f>
        <v>-2959.9</v>
      </c>
      <c r="J29" s="9" t="n">
        <f aca="false">IF(AND(G29=0,H29=0),0,IF(G29=0,"New",(H29-G29)/G29))</f>
        <v>-0.612828422948715</v>
      </c>
    </row>
    <row r="30" customFormat="false" ht="15" hidden="false" customHeight="false" outlineLevel="0" collapsed="false">
      <c r="A30" s="7" t="s">
        <v>75</v>
      </c>
      <c r="B30" s="7" t="str">
        <f aca="false">IFERROR(INDEX('Source 2026'!$C:$C,MATCH($A30,'Source 2026'!$B:$B,0)),IFERROR(INDEX('Source 2025'!$C:$C,MATCH($A30,'Source 2025'!$B:$B,0)),""))</f>
        <v>חבק ""טניס אלבו רצועה</v>
      </c>
      <c r="C30" s="8" t="n">
        <f aca="false">SUMIFS('Source 2025'!$R:$R,'Source 2025'!$B:$B,$A30,'Source 2025'!$A:$A,"Quantity (units)")</f>
        <v>34</v>
      </c>
      <c r="D30" s="8" t="n">
        <f aca="false">SUMIFS('Source 2026'!$R:$R,'Source 2026'!$B:$B,$A30,'Source 2026'!$A:$A,"Quantity (units)")</f>
        <v>0</v>
      </c>
      <c r="E30" s="8" t="n">
        <f aca="false">D30-C30</f>
        <v>-34</v>
      </c>
      <c r="F30" s="9" t="n">
        <f aca="false">IF(AND(C30=0,D30=0),0,IF(C30=0,"New",(D30-C30)/C30))</f>
        <v>-1</v>
      </c>
      <c r="G30" s="10" t="n">
        <f aca="false">SUMIFS('Source 2025'!$R:$R,'Source 2025'!$B:$B,$A30,'Source 2025'!$A:$A,"Amount (NIS)")</f>
        <v>2548.6</v>
      </c>
      <c r="H30" s="10" t="n">
        <f aca="false">SUMIFS('Source 2026'!$R:$R,'Source 2026'!$B:$B,$A30,'Source 2026'!$A:$A,"Amount (NIS)")</f>
        <v>0</v>
      </c>
      <c r="I30" s="10" t="n">
        <f aca="false">H30-G30</f>
        <v>-2548.6</v>
      </c>
      <c r="J30" s="9" t="n">
        <f aca="false">IF(AND(G30=0,H30=0),0,IF(G30=0,"New",(H30-G30)/G30))</f>
        <v>-1</v>
      </c>
    </row>
    <row r="31" customFormat="false" ht="15" hidden="false" customHeight="false" outlineLevel="0" collapsed="false">
      <c r="A31" s="7" t="s">
        <v>188</v>
      </c>
      <c r="B31" s="7" t="str">
        <f aca="false">IFERROR(INDEX('Source 2026'!$C:$C,MATCH($A31,'Source 2026'!$B:$B,0)),IFERROR(INDEX('Source 2025'!$C:$C,MATCH($A31,'Source 2025'!$B:$B,0)),""))</f>
        <v>Sחגורה למנותחי בטן</v>
      </c>
      <c r="C31" s="8" t="n">
        <f aca="false">SUMIFS('Source 2025'!$R:$R,'Source 2025'!$B:$B,$A31,'Source 2025'!$A:$A,"Quantity (units)")</f>
        <v>24</v>
      </c>
      <c r="D31" s="8" t="n">
        <f aca="false">SUMIFS('Source 2026'!$R:$R,'Source 2026'!$B:$B,$A31,'Source 2026'!$A:$A,"Quantity (units)")</f>
        <v>3</v>
      </c>
      <c r="E31" s="8" t="n">
        <f aca="false">D31-C31</f>
        <v>-21</v>
      </c>
      <c r="F31" s="9" t="n">
        <f aca="false">IF(AND(C31=0,D31=0),0,IF(C31=0,"New",(D31-C31)/C31))</f>
        <v>-0.875</v>
      </c>
      <c r="G31" s="10" t="n">
        <f aca="false">SUMIFS('Source 2025'!$R:$R,'Source 2025'!$B:$B,$A31,'Source 2025'!$A:$A,"Amount (NIS)")</f>
        <v>2847.3</v>
      </c>
      <c r="H31" s="10" t="n">
        <f aca="false">SUMIFS('Source 2026'!$R:$R,'Source 2026'!$B:$B,$A31,'Source 2026'!$A:$A,"Amount (NIS)")</f>
        <v>355.9</v>
      </c>
      <c r="I31" s="10" t="n">
        <f aca="false">H31-G31</f>
        <v>-2491.4</v>
      </c>
      <c r="J31" s="9" t="n">
        <f aca="false">IF(AND(G31=0,H31=0),0,IF(G31=0,"New",(H31-G31)/G31))</f>
        <v>-0.875004390123977</v>
      </c>
    </row>
    <row r="32" customFormat="false" ht="15" hidden="false" customHeight="false" outlineLevel="0" collapsed="false">
      <c r="A32" s="7" t="s">
        <v>52</v>
      </c>
      <c r="B32" s="7" t="str">
        <f aca="false">IFERROR(INDEX('Source 2026'!$C:$C,MATCH($A32,'Source 2026'!$B:$B,0)),IFERROR(INDEX('Source 2025'!$C:$C,MATCH($A32,'Source 2025'!$B:$B,0)),""))</f>
        <v>L סד לאגודל לאחר שבר</v>
      </c>
      <c r="C32" s="8" t="n">
        <f aca="false">SUMIFS('Source 2025'!$R:$R,'Source 2025'!$B:$B,$A32,'Source 2025'!$A:$A,"Quantity (units)")</f>
        <v>229</v>
      </c>
      <c r="D32" s="8" t="n">
        <f aca="false">SUMIFS('Source 2026'!$R:$R,'Source 2026'!$B:$B,$A32,'Source 2026'!$A:$A,"Quantity (units)")</f>
        <v>201</v>
      </c>
      <c r="E32" s="8" t="n">
        <f aca="false">D32-C32</f>
        <v>-28</v>
      </c>
      <c r="F32" s="9" t="n">
        <f aca="false">IF(AND(C32=0,D32=0),0,IF(C32=0,"New",(D32-C32)/C32))</f>
        <v>-0.122270742358079</v>
      </c>
      <c r="G32" s="10" t="n">
        <f aca="false">SUMIFS('Source 2025'!$R:$R,'Source 2025'!$B:$B,$A32,'Source 2025'!$A:$A,"Amount (NIS)")</f>
        <v>20197.8</v>
      </c>
      <c r="H32" s="10" t="n">
        <f aca="false">SUMIFS('Source 2026'!$R:$R,'Source 2026'!$B:$B,$A32,'Source 2026'!$A:$A,"Amount (NIS)")</f>
        <v>17728.2</v>
      </c>
      <c r="I32" s="10" t="n">
        <f aca="false">H32-G32</f>
        <v>-2469.6</v>
      </c>
      <c r="J32" s="9" t="n">
        <f aca="false">IF(AND(G32=0,H32=0),0,IF(G32=0,"New",(H32-G32)/G32))</f>
        <v>-0.122270742358079</v>
      </c>
    </row>
    <row r="33" customFormat="false" ht="15" hidden="false" customHeight="false" outlineLevel="0" collapsed="false">
      <c r="A33" s="7" t="s">
        <v>88</v>
      </c>
      <c r="B33" s="7" t="str">
        <f aca="false">IFERROR(INDEX('Source 2026'!$C:$C,MATCH($A33,'Source 2026'!$B:$B,0)),IFERROR(INDEX('Source 2025'!$C:$C,MATCH($A33,'Source 2025'!$B:$B,0)),""))</f>
        <v>למניעת שפשוף 5 יח</v>
      </c>
      <c r="C33" s="8" t="n">
        <f aca="false">SUMIFS('Source 2025'!$R:$R,'Source 2025'!$B:$B,$A33,'Source 2025'!$A:$A,"Quantity (units)")</f>
        <v>531</v>
      </c>
      <c r="D33" s="8" t="n">
        <f aca="false">SUMIFS('Source 2026'!$R:$R,'Source 2026'!$B:$B,$A33,'Source 2026'!$A:$A,"Quantity (units)")</f>
        <v>350</v>
      </c>
      <c r="E33" s="8" t="n">
        <f aca="false">D33-C33</f>
        <v>-181</v>
      </c>
      <c r="F33" s="9" t="n">
        <f aca="false">IF(AND(C33=0,D33=0),0,IF(C33=0,"New",(D33-C33)/C33))</f>
        <v>-0.340866290018832</v>
      </c>
      <c r="G33" s="10" t="n">
        <f aca="false">SUMIFS('Source 2025'!$R:$R,'Source 2025'!$B:$B,$A33,'Source 2025'!$A:$A,"Amount (NIS)")</f>
        <v>7083.7</v>
      </c>
      <c r="H33" s="10" t="n">
        <f aca="false">SUMIFS('Source 2026'!$R:$R,'Source 2026'!$B:$B,$A33,'Source 2026'!$A:$A,"Amount (NIS)")</f>
        <v>4669.1</v>
      </c>
      <c r="I33" s="10" t="n">
        <f aca="false">H33-G33</f>
        <v>-2414.6</v>
      </c>
      <c r="J33" s="9" t="n">
        <f aca="false">IF(AND(G33=0,H33=0),0,IF(G33=0,"New",(H33-G33)/G33))</f>
        <v>-0.340867060999195</v>
      </c>
    </row>
    <row r="34" customFormat="false" ht="15" hidden="false" customHeight="false" outlineLevel="0" collapsed="false">
      <c r="A34" s="7" t="s">
        <v>59</v>
      </c>
      <c r="B34" s="7" t="str">
        <f aca="false">IFERROR(INDEX('Source 2026'!$C:$C,MATCH($A34,'Source 2026'!$B:$B,0)),IFERROR(INDEX('Source 2025'!$C:$C,MATCH($A34,'Source 2025'!$B:$B,0)),""))</f>
        <v>יד אגודלי</v>
      </c>
      <c r="C34" s="8" t="n">
        <f aca="false">SUMIFS('Source 2025'!$R:$R,'Source 2025'!$B:$B,$A34,'Source 2025'!$A:$A,"Quantity (units)")</f>
        <v>318</v>
      </c>
      <c r="D34" s="8" t="n">
        <f aca="false">SUMIFS('Source 2026'!$R:$R,'Source 2026'!$B:$B,$A34,'Source 2026'!$A:$A,"Quantity (units)")</f>
        <v>258</v>
      </c>
      <c r="E34" s="8" t="n">
        <f aca="false">D34-C34</f>
        <v>-60</v>
      </c>
      <c r="F34" s="9" t="n">
        <f aca="false">IF(AND(C34=0,D34=0),0,IF(C34=0,"New",(D34-C34)/C34))</f>
        <v>-0.188679245283019</v>
      </c>
      <c r="G34" s="10" t="n">
        <f aca="false">SUMIFS('Source 2025'!$R:$R,'Source 2025'!$B:$B,$A34,'Source 2025'!$A:$A,"Amount (NIS)")</f>
        <v>12611.9</v>
      </c>
      <c r="H34" s="10" t="n">
        <f aca="false">SUMIFS('Source 2026'!$R:$R,'Source 2026'!$B:$B,$A34,'Source 2026'!$A:$A,"Amount (NIS)")</f>
        <v>10238</v>
      </c>
      <c r="I34" s="10" t="n">
        <f aca="false">H34-G34</f>
        <v>-2373.9</v>
      </c>
      <c r="J34" s="9" t="n">
        <f aca="false">IF(AND(G34=0,H34=0),0,IF(G34=0,"New",(H34-G34)/G34))</f>
        <v>-0.188226991967903</v>
      </c>
    </row>
    <row r="35" customFormat="false" ht="15" hidden="false" customHeight="false" outlineLevel="0" collapsed="false">
      <c r="A35" s="7" t="s">
        <v>167</v>
      </c>
      <c r="B35" s="7" t="str">
        <f aca="false">IFERROR(INDEX('Source 2026'!$C:$C,MATCH($A35,'Source 2026'!$B:$B,0)),IFERROR(INDEX('Source 2025'!$C:$C,MATCH($A35,'Source 2025'!$B:$B,0)),""))</f>
        <v>S מגן ברך מחמם</v>
      </c>
      <c r="C35" s="8" t="n">
        <f aca="false">SUMIFS('Source 2025'!$R:$R,'Source 2025'!$B:$B,$A35,'Source 2025'!$A:$A,"Quantity (units)")</f>
        <v>42</v>
      </c>
      <c r="D35" s="8" t="n">
        <f aca="false">SUMIFS('Source 2026'!$R:$R,'Source 2026'!$B:$B,$A35,'Source 2026'!$A:$A,"Quantity (units)")</f>
        <v>0</v>
      </c>
      <c r="E35" s="8" t="n">
        <f aca="false">D35-C35</f>
        <v>-42</v>
      </c>
      <c r="F35" s="9" t="n">
        <f aca="false">IF(AND(C35=0,D35=0),0,IF(C35=0,"New",(D35-C35)/C35))</f>
        <v>-1</v>
      </c>
      <c r="G35" s="10" t="n">
        <f aca="false">SUMIFS('Source 2025'!$R:$R,'Source 2025'!$B:$B,$A35,'Source 2025'!$A:$A,"Amount (NIS)")</f>
        <v>2199.1</v>
      </c>
      <c r="H35" s="10" t="n">
        <f aca="false">SUMIFS('Source 2026'!$R:$R,'Source 2026'!$B:$B,$A35,'Source 2026'!$A:$A,"Amount (NIS)")</f>
        <v>0</v>
      </c>
      <c r="I35" s="10" t="n">
        <f aca="false">H35-G35</f>
        <v>-2199.1</v>
      </c>
      <c r="J35" s="9" t="n">
        <f aca="false">IF(AND(G35=0,H35=0),0,IF(G35=0,"New",(H35-G35)/G35))</f>
        <v>-1</v>
      </c>
    </row>
    <row r="36" customFormat="false" ht="15" hidden="false" customHeight="false" outlineLevel="0" collapsed="false">
      <c r="A36" s="7" t="s">
        <v>246</v>
      </c>
      <c r="B36" s="7" t="str">
        <f aca="false">IFERROR(INDEX('Source 2026'!$C:$C,MATCH($A36,'Source 2026'!$B:$B,0)),IFERROR(INDEX('Source 2025'!$C:$C,MATCH($A36,'Source 2025'!$B:$B,0)),""))</f>
        <v>ציפורניים</v>
      </c>
      <c r="C36" s="8" t="n">
        <f aca="false">SUMIFS('Source 2025'!$R:$R,'Source 2025'!$B:$B,$A36,'Source 2025'!$A:$A,"Quantity (units)")</f>
        <v>541</v>
      </c>
      <c r="D36" s="8" t="n">
        <f aca="false">SUMIFS('Source 2026'!$R:$R,'Source 2026'!$B:$B,$A36,'Source 2026'!$A:$A,"Quantity (units)")</f>
        <v>376</v>
      </c>
      <c r="E36" s="8" t="n">
        <f aca="false">D36-C36</f>
        <v>-165</v>
      </c>
      <c r="F36" s="9" t="n">
        <f aca="false">IF(AND(C36=0,D36=0),0,IF(C36=0,"New",(D36-C36)/C36))</f>
        <v>-0.304990757855823</v>
      </c>
      <c r="G36" s="10" t="n">
        <f aca="false">SUMIFS('Source 2025'!$R:$R,'Source 2025'!$B:$B,$A36,'Source 2025'!$A:$A,"Amount (NIS)")</f>
        <v>7115.1</v>
      </c>
      <c r="H36" s="10" t="n">
        <f aca="false">SUMIFS('Source 2026'!$R:$R,'Source 2026'!$B:$B,$A36,'Source 2026'!$A:$A,"Amount (NIS)")</f>
        <v>4945.1</v>
      </c>
      <c r="I36" s="10" t="n">
        <f aca="false">H36-G36</f>
        <v>-2170</v>
      </c>
      <c r="J36" s="9" t="n">
        <f aca="false">IF(AND(G36=0,H36=0),0,IF(G36=0,"New",(H36-G36)/G36))</f>
        <v>-0.304985172379868</v>
      </c>
    </row>
    <row r="37" customFormat="false" ht="15" hidden="false" customHeight="false" outlineLevel="0" collapsed="false">
      <c r="A37" s="7" t="s">
        <v>229</v>
      </c>
      <c r="B37" s="7" t="str">
        <f aca="false">IFERROR(INDEX('Source 2026'!$C:$C,MATCH($A37,'Source 2026'!$B:$B,0)),IFERROR(INDEX('Source 2025'!$C:$C,MATCH($A37,'Source 2025'!$B:$B,0)),""))</f>
        <v>Lעקבים סיליקון כחול לדורבן</v>
      </c>
      <c r="C37" s="8" t="n">
        <f aca="false">SUMIFS('Source 2025'!$R:$R,'Source 2025'!$B:$B,$A37,'Source 2025'!$A:$A,"Quantity (units)")</f>
        <v>219</v>
      </c>
      <c r="D37" s="8" t="n">
        <f aca="false">SUMIFS('Source 2026'!$R:$R,'Source 2026'!$B:$B,$A37,'Source 2026'!$A:$A,"Quantity (units)")</f>
        <v>180</v>
      </c>
      <c r="E37" s="8" t="n">
        <f aca="false">D37-C37</f>
        <v>-39</v>
      </c>
      <c r="F37" s="9" t="n">
        <f aca="false">IF(AND(C37=0,D37=0),0,IF(C37=0,"New",(D37-C37)/C37))</f>
        <v>-0.178082191780822</v>
      </c>
      <c r="G37" s="10" t="n">
        <f aca="false">SUMIFS('Source 2025'!$R:$R,'Source 2025'!$B:$B,$A37,'Source 2025'!$A:$A,"Amount (NIS)")</f>
        <v>11963.3</v>
      </c>
      <c r="H37" s="10" t="n">
        <f aca="false">SUMIFS('Source 2026'!$R:$R,'Source 2026'!$B:$B,$A37,'Source 2026'!$A:$A,"Amount (NIS)")</f>
        <v>9813.6</v>
      </c>
      <c r="I37" s="10" t="n">
        <f aca="false">H37-G37</f>
        <v>-2149.7</v>
      </c>
      <c r="J37" s="9" t="n">
        <f aca="false">IF(AND(G37=0,H37=0),0,IF(G37=0,"New",(H37-G37)/G37))</f>
        <v>-0.1796912223216</v>
      </c>
    </row>
    <row r="38" customFormat="false" ht="15" hidden="false" customHeight="false" outlineLevel="0" collapsed="false">
      <c r="A38" s="7" t="s">
        <v>279</v>
      </c>
      <c r="B38" s="7" t="str">
        <f aca="false">IFERROR(INDEX('Source 2026'!$C:$C,MATCH($A38,'Source 2026'!$B:$B,0)),IFERROR(INDEX('Source 2025'!$C:$C,MATCH($A38,'Source 2025'!$B:$B,0)),""))</f>
        <v>בוהן סיליקון קשיח</v>
      </c>
      <c r="C38" s="8" t="n">
        <f aca="false">SUMIFS('Source 2025'!$R:$R,'Source 2025'!$B:$B,$A38,'Source 2025'!$A:$A,"Quantity (units)")</f>
        <v>126</v>
      </c>
      <c r="D38" s="8" t="n">
        <f aca="false">SUMIFS('Source 2026'!$R:$R,'Source 2026'!$B:$B,$A38,'Source 2026'!$A:$A,"Quantity (units)")</f>
        <v>20</v>
      </c>
      <c r="E38" s="8" t="n">
        <f aca="false">D38-C38</f>
        <v>-106</v>
      </c>
      <c r="F38" s="9" t="n">
        <f aca="false">IF(AND(C38=0,D38=0),0,IF(C38=0,"New",(D38-C38)/C38))</f>
        <v>-0.841269841269841</v>
      </c>
      <c r="G38" s="10" t="n">
        <f aca="false">SUMIFS('Source 2025'!$R:$R,'Source 2025'!$B:$B,$A38,'Source 2025'!$A:$A,"Amount (NIS)")</f>
        <v>2496.2</v>
      </c>
      <c r="H38" s="10" t="n">
        <f aca="false">SUMIFS('Source 2026'!$R:$R,'Source 2026'!$B:$B,$A38,'Source 2026'!$A:$A,"Amount (NIS)")</f>
        <v>394.9</v>
      </c>
      <c r="I38" s="10" t="n">
        <f aca="false">H38-G38</f>
        <v>-2101.3</v>
      </c>
      <c r="J38" s="9" t="n">
        <f aca="false">IF(AND(G38=0,H38=0),0,IF(G38=0,"New",(H38-G38)/G38))</f>
        <v>-0.841799535293646</v>
      </c>
    </row>
    <row r="39" customFormat="false" ht="15" hidden="false" customHeight="false" outlineLevel="0" collapsed="false">
      <c r="A39" s="7" t="s">
        <v>174</v>
      </c>
      <c r="B39" s="7" t="str">
        <f aca="false">IFERROR(INDEX('Source 2026'!$C:$C,MATCH($A39,'Source 2026'!$B:$B,0)),IFERROR(INDEX('Source 2025'!$C:$C,MATCH($A39,'Source 2025'!$B:$B,0)),""))</f>
        <v>סד ליישור אצבע</v>
      </c>
      <c r="C39" s="8" t="n">
        <f aca="false">SUMIFS('Source 2025'!$R:$R,'Source 2025'!$B:$B,$A39,'Source 2025'!$A:$A,"Quantity (units)")</f>
        <v>578</v>
      </c>
      <c r="D39" s="8" t="n">
        <f aca="false">SUMIFS('Source 2026'!$R:$R,'Source 2026'!$B:$B,$A39,'Source 2026'!$A:$A,"Quantity (units)")</f>
        <v>442</v>
      </c>
      <c r="E39" s="8" t="n">
        <f aca="false">D39-C39</f>
        <v>-136</v>
      </c>
      <c r="F39" s="9" t="n">
        <f aca="false">IF(AND(C39=0,D39=0),0,IF(C39=0,"New",(D39-C39)/C39))</f>
        <v>-0.235294117647059</v>
      </c>
      <c r="G39" s="10" t="n">
        <f aca="false">SUMIFS('Source 2025'!$R:$R,'Source 2025'!$B:$B,$A39,'Source 2025'!$A:$A,"Amount (NIS)")</f>
        <v>8901.2</v>
      </c>
      <c r="H39" s="10" t="n">
        <f aca="false">SUMIFS('Source 2026'!$R:$R,'Source 2026'!$B:$B,$A39,'Source 2026'!$A:$A,"Amount (NIS)")</f>
        <v>6806.8</v>
      </c>
      <c r="I39" s="10" t="n">
        <f aca="false">H39-G39</f>
        <v>-2094.4</v>
      </c>
      <c r="J39" s="9" t="n">
        <f aca="false">IF(AND(G39=0,H39=0),0,IF(G39=0,"New",(H39-G39)/G39))</f>
        <v>-0.235294117647059</v>
      </c>
    </row>
    <row r="40" customFormat="false" ht="15" hidden="false" customHeight="false" outlineLevel="0" collapsed="false">
      <c r="A40" s="7" t="s">
        <v>61</v>
      </c>
      <c r="B40" s="7" t="str">
        <f aca="false">IFERROR(INDEX('Source 2026'!$C:$C,MATCH($A40,'Source 2026'!$B:$B,0)),IFERROR(INDEX('Source 2025'!$C:$C,MATCH($A40,'Source 2025'!$B:$B,0)),""))</f>
        <v>חגורת גב אפורה</v>
      </c>
      <c r="C40" s="8" t="n">
        <f aca="false">SUMIFS('Source 2025'!$R:$R,'Source 2025'!$B:$B,$A40,'Source 2025'!$A:$A,"Quantity (units)")</f>
        <v>83</v>
      </c>
      <c r="D40" s="8" t="n">
        <f aca="false">SUMIFS('Source 2026'!$R:$R,'Source 2026'!$B:$B,$A40,'Source 2026'!$A:$A,"Quantity (units)")</f>
        <v>62</v>
      </c>
      <c r="E40" s="8" t="n">
        <f aca="false">D40-C40</f>
        <v>-21</v>
      </c>
      <c r="F40" s="9" t="n">
        <f aca="false">IF(AND(C40=0,D40=0),0,IF(C40=0,"New",(D40-C40)/C40))</f>
        <v>-0.253012048192771</v>
      </c>
      <c r="G40" s="10" t="n">
        <f aca="false">SUMIFS('Source 2025'!$R:$R,'Source 2025'!$B:$B,$A40,'Source 2025'!$A:$A,"Amount (NIS)")</f>
        <v>8236.1</v>
      </c>
      <c r="H40" s="10" t="n">
        <f aca="false">SUMIFS('Source 2026'!$R:$R,'Source 2026'!$B:$B,$A40,'Source 2026'!$A:$A,"Amount (NIS)")</f>
        <v>6152.3</v>
      </c>
      <c r="I40" s="10" t="n">
        <f aca="false">H40-G40</f>
        <v>-2083.8</v>
      </c>
      <c r="J40" s="9" t="n">
        <f aca="false">IF(AND(G40=0,H40=0),0,IF(G40=0,"New",(H40-G40)/G40))</f>
        <v>-0.253008098493219</v>
      </c>
    </row>
    <row r="41" customFormat="false" ht="15" hidden="false" customHeight="false" outlineLevel="0" collapsed="false">
      <c r="A41" s="7" t="s">
        <v>42</v>
      </c>
      <c r="B41" s="7" t="str">
        <f aca="false">IFERROR(INDEX('Source 2026'!$C:$C,MATCH($A41,'Source 2026'!$B:$B,0)),IFERROR(INDEX('Source 2025'!$C:$C,MATCH($A41,'Source 2025'!$B:$B,0)),""))</f>
        <v>L סד ליד דו צדדי לאחר שבר</v>
      </c>
      <c r="C41" s="8" t="n">
        <f aca="false">SUMIFS('Source 2025'!$R:$R,'Source 2025'!$B:$B,$A41,'Source 2025'!$A:$A,"Quantity (units)")</f>
        <v>213</v>
      </c>
      <c r="D41" s="8" t="n">
        <f aca="false">SUMIFS('Source 2026'!$R:$R,'Source 2026'!$B:$B,$A41,'Source 2026'!$A:$A,"Quantity (units)")</f>
        <v>190</v>
      </c>
      <c r="E41" s="8" t="n">
        <f aca="false">D41-C41</f>
        <v>-23</v>
      </c>
      <c r="F41" s="9" t="n">
        <f aca="false">IF(AND(C41=0,D41=0),0,IF(C41=0,"New",(D41-C41)/C41))</f>
        <v>-0.107981220657277</v>
      </c>
      <c r="G41" s="10" t="n">
        <f aca="false">SUMIFS('Source 2025'!$R:$R,'Source 2025'!$B:$B,$A41,'Source 2025'!$A:$A,"Amount (NIS)")</f>
        <v>18786.6</v>
      </c>
      <c r="H41" s="10" t="n">
        <f aca="false">SUMIFS('Source 2026'!$R:$R,'Source 2026'!$B:$B,$A41,'Source 2026'!$A:$A,"Amount (NIS)")</f>
        <v>16758</v>
      </c>
      <c r="I41" s="10" t="n">
        <f aca="false">H41-G41</f>
        <v>-2028.6</v>
      </c>
      <c r="J41" s="9" t="n">
        <f aca="false">IF(AND(G41=0,H41=0),0,IF(G41=0,"New",(H41-G41)/G41))</f>
        <v>-0.107981220657277</v>
      </c>
    </row>
    <row r="42" customFormat="false" ht="15" hidden="false" customHeight="false" outlineLevel="0" collapsed="false">
      <c r="A42" s="7" t="s">
        <v>74</v>
      </c>
      <c r="B42" s="7" t="str">
        <f aca="false">IFERROR(INDEX('Source 2026'!$C:$C,MATCH($A42,'Source 2026'!$B:$B,0)),IFERROR(INDEX('Source 2025'!$C:$C,MATCH($A42,'Source 2025'!$B:$B,0)),""))</f>
        <v>L מגן מרפק רגיל לבן</v>
      </c>
      <c r="C42" s="8" t="n">
        <f aca="false">SUMIFS('Source 2025'!$R:$R,'Source 2025'!$B:$B,$A42,'Source 2025'!$A:$A,"Quantity (units)")</f>
        <v>335</v>
      </c>
      <c r="D42" s="8" t="n">
        <f aca="false">SUMIFS('Source 2026'!$R:$R,'Source 2026'!$B:$B,$A42,'Source 2026'!$A:$A,"Quantity (units)")</f>
        <v>262</v>
      </c>
      <c r="E42" s="8" t="n">
        <f aca="false">D42-C42</f>
        <v>-73</v>
      </c>
      <c r="F42" s="9" t="n">
        <f aca="false">IF(AND(C42=0,D42=0),0,IF(C42=0,"New",(D42-C42)/C42))</f>
        <v>-0.217910447761194</v>
      </c>
      <c r="G42" s="10" t="n">
        <f aca="false">SUMIFS('Source 2025'!$R:$R,'Source 2025'!$B:$B,$A42,'Source 2025'!$A:$A,"Amount (NIS)")</f>
        <v>9301.6</v>
      </c>
      <c r="H42" s="10" t="n">
        <f aca="false">SUMIFS('Source 2026'!$R:$R,'Source 2026'!$B:$B,$A42,'Source 2026'!$A:$A,"Amount (NIS)")</f>
        <v>7273.2</v>
      </c>
      <c r="I42" s="10" t="n">
        <f aca="false">H42-G42</f>
        <v>-2028.4</v>
      </c>
      <c r="J42" s="9" t="n">
        <f aca="false">IF(AND(G42=0,H42=0),0,IF(G42=0,"New",(H42-G42)/G42))</f>
        <v>-0.218070009460738</v>
      </c>
    </row>
    <row r="43" customFormat="false" ht="15" hidden="false" customHeight="false" outlineLevel="0" collapsed="false">
      <c r="A43" s="7" t="s">
        <v>108</v>
      </c>
      <c r="B43" s="7" t="str">
        <f aca="false">IFERROR(INDEX('Source 2026'!$C:$C,MATCH($A43,'Source 2026'!$B:$B,0)),IFERROR(INDEX('Source 2025'!$C:$C,MATCH($A43,'Source 2025'!$B:$B,0)),""))</f>
        <v>גב אפורה</v>
      </c>
      <c r="C43" s="8" t="n">
        <f aca="false">SUMIFS('Source 2025'!$R:$R,'Source 2025'!$B:$B,$A43,'Source 2025'!$A:$A,"Quantity (units)")</f>
        <v>66</v>
      </c>
      <c r="D43" s="8" t="n">
        <f aca="false">SUMIFS('Source 2026'!$R:$R,'Source 2026'!$B:$B,$A43,'Source 2026'!$A:$A,"Quantity (units)")</f>
        <v>46</v>
      </c>
      <c r="E43" s="8" t="n">
        <f aca="false">D43-C43</f>
        <v>-20</v>
      </c>
      <c r="F43" s="9" t="n">
        <f aca="false">IF(AND(C43=0,D43=0),0,IF(C43=0,"New",(D43-C43)/C43))</f>
        <v>-0.303030303030303</v>
      </c>
      <c r="G43" s="10" t="n">
        <f aca="false">SUMIFS('Source 2025'!$R:$R,'Source 2025'!$B:$B,$A43,'Source 2025'!$A:$A,"Amount (NIS)")</f>
        <v>6549.2</v>
      </c>
      <c r="H43" s="10" t="n">
        <f aca="false">SUMIFS('Source 2026'!$R:$R,'Source 2026'!$B:$B,$A43,'Source 2026'!$A:$A,"Amount (NIS)")</f>
        <v>4564.6</v>
      </c>
      <c r="I43" s="10" t="n">
        <f aca="false">H43-G43</f>
        <v>-1984.6</v>
      </c>
      <c r="J43" s="9" t="n">
        <f aca="false">IF(AND(G43=0,H43=0),0,IF(G43=0,"New",(H43-G43)/G43))</f>
        <v>-0.303029377633909</v>
      </c>
    </row>
    <row r="44" customFormat="false" ht="15" hidden="false" customHeight="false" outlineLevel="0" collapsed="false">
      <c r="A44" s="7" t="s">
        <v>169</v>
      </c>
      <c r="B44" s="7" t="str">
        <f aca="false">IFERROR(INDEX('Source 2026'!$C:$C,MATCH($A44,'Source 2026'!$B:$B,0)),IFERROR(INDEX('Source 2025'!$C:$C,MATCH($A44,'Source 2025'!$B:$B,0)),""))</f>
        <v>S-Lטבעת אלסטית מסיליקון</v>
      </c>
      <c r="C44" s="8" t="n">
        <f aca="false">SUMIFS('Source 2025'!$R:$R,'Source 2025'!$B:$B,$A44,'Source 2025'!$A:$A,"Quantity (units)")</f>
        <v>298</v>
      </c>
      <c r="D44" s="8" t="n">
        <f aca="false">SUMIFS('Source 2026'!$R:$R,'Source 2026'!$B:$B,$A44,'Source 2026'!$A:$A,"Quantity (units)")</f>
        <v>144</v>
      </c>
      <c r="E44" s="8" t="n">
        <f aca="false">D44-C44</f>
        <v>-154</v>
      </c>
      <c r="F44" s="9" t="n">
        <f aca="false">IF(AND(C44=0,D44=0),0,IF(C44=0,"New",(D44-C44)/C44))</f>
        <v>-0.516778523489933</v>
      </c>
      <c r="G44" s="10" t="n">
        <f aca="false">SUMIFS('Source 2025'!$R:$R,'Source 2025'!$B:$B,$A44,'Source 2025'!$A:$A,"Amount (NIS)")</f>
        <v>3724.6</v>
      </c>
      <c r="H44" s="10" t="n">
        <f aca="false">SUMIFS('Source 2026'!$R:$R,'Source 2026'!$B:$B,$A44,'Source 2026'!$A:$A,"Amount (NIS)")</f>
        <v>1763.2</v>
      </c>
      <c r="I44" s="10" t="n">
        <f aca="false">H44-G44</f>
        <v>-1961.4</v>
      </c>
      <c r="J44" s="9" t="n">
        <f aca="false">IF(AND(G44=0,H44=0),0,IF(G44=0,"New",(H44-G44)/G44))</f>
        <v>-0.526606883960694</v>
      </c>
    </row>
    <row r="45" customFormat="false" ht="15" hidden="false" customHeight="false" outlineLevel="0" collapsed="false">
      <c r="A45" s="7" t="s">
        <v>100</v>
      </c>
      <c r="B45" s="7" t="str">
        <f aca="false">IFERROR(INDEX('Source 2026'!$C:$C,MATCH($A45,'Source 2026'!$B:$B,0)),IFERROR(INDEX('Source 2025'!$C:$C,MATCH($A45,'Source 2025'!$B:$B,0)),""))</f>
        <v>L חבק יד מתכוון עם צמדן</v>
      </c>
      <c r="C45" s="8" t="n">
        <f aca="false">SUMIFS('Source 2025'!$R:$R,'Source 2025'!$B:$B,$A45,'Source 2025'!$A:$A,"Quantity (units)")</f>
        <v>345</v>
      </c>
      <c r="D45" s="8" t="n">
        <f aca="false">SUMIFS('Source 2026'!$R:$R,'Source 2026'!$B:$B,$A45,'Source 2026'!$A:$A,"Quantity (units)")</f>
        <v>273</v>
      </c>
      <c r="E45" s="8" t="n">
        <f aca="false">D45-C45</f>
        <v>-72</v>
      </c>
      <c r="F45" s="9" t="n">
        <f aca="false">IF(AND(C45=0,D45=0),0,IF(C45=0,"New",(D45-C45)/C45))</f>
        <v>-0.208695652173913</v>
      </c>
      <c r="G45" s="10" t="n">
        <f aca="false">SUMIFS('Source 2025'!$R:$R,'Source 2025'!$B:$B,$A45,'Source 2025'!$A:$A,"Amount (NIS)")</f>
        <v>9361.8</v>
      </c>
      <c r="H45" s="10" t="n">
        <f aca="false">SUMIFS('Source 2026'!$R:$R,'Source 2026'!$B:$B,$A45,'Source 2026'!$A:$A,"Amount (NIS)")</f>
        <v>7410.4</v>
      </c>
      <c r="I45" s="10" t="n">
        <f aca="false">H45-G45</f>
        <v>-1951.4</v>
      </c>
      <c r="J45" s="9" t="n">
        <f aca="false">IF(AND(G45=0,H45=0),0,IF(G45=0,"New",(H45-G45)/G45))</f>
        <v>-0.208442820825055</v>
      </c>
    </row>
    <row r="46" customFormat="false" ht="15" hidden="false" customHeight="false" outlineLevel="0" collapsed="false">
      <c r="A46" s="7" t="s">
        <v>91</v>
      </c>
      <c r="B46" s="7" t="str">
        <f aca="false">IFERROR(INDEX('Source 2026'!$C:$C,MATCH($A46,'Source 2026'!$B:$B,0)),IFERROR(INDEX('Source 2025'!$C:$C,MATCH($A46,'Source 2025'!$B:$B,0)),""))</f>
        <v>בליסטר פלסטר</v>
      </c>
      <c r="C46" s="8" t="n">
        <f aca="false">SUMIFS('Source 2025'!$R:$R,'Source 2025'!$B:$B,$A46,'Source 2025'!$A:$A,"Quantity (units)")</f>
        <v>134</v>
      </c>
      <c r="D46" s="8" t="n">
        <f aca="false">SUMIFS('Source 2026'!$R:$R,'Source 2026'!$B:$B,$A46,'Source 2026'!$A:$A,"Quantity (units)")</f>
        <v>33</v>
      </c>
      <c r="E46" s="8" t="n">
        <f aca="false">D46-C46</f>
        <v>-101</v>
      </c>
      <c r="F46" s="9" t="n">
        <f aca="false">IF(AND(C46=0,D46=0),0,IF(C46=0,"New",(D46-C46)/C46))</f>
        <v>-0.753731343283582</v>
      </c>
      <c r="G46" s="10" t="n">
        <f aca="false">SUMIFS('Source 2025'!$R:$R,'Source 2025'!$B:$B,$A46,'Source 2025'!$A:$A,"Amount (NIS)")</f>
        <v>2568.9</v>
      </c>
      <c r="H46" s="10" t="n">
        <f aca="false">SUMIFS('Source 2026'!$R:$R,'Source 2026'!$B:$B,$A46,'Source 2026'!$A:$A,"Amount (NIS)")</f>
        <v>632.6</v>
      </c>
      <c r="I46" s="10" t="n">
        <f aca="false">H46-G46</f>
        <v>-1936.3</v>
      </c>
      <c r="J46" s="9" t="n">
        <f aca="false">IF(AND(G46=0,H46=0),0,IF(G46=0,"New",(H46-G46)/G46))</f>
        <v>-0.753746739849741</v>
      </c>
    </row>
    <row r="47" customFormat="false" ht="15" hidden="false" customHeight="false" outlineLevel="0" collapsed="false">
      <c r="A47" s="7" t="s">
        <v>149</v>
      </c>
      <c r="B47" s="7" t="str">
        <f aca="false">IFERROR(INDEX('Source 2026'!$C:$C,MATCH($A47,'Source 2026'!$B:$B,0)),IFERROR(INDEX('Source 2025'!$C:$C,MATCH($A47,'Source 2025'!$B:$B,0)),""))</f>
        <v>סד לאגודל</v>
      </c>
      <c r="C47" s="8" t="n">
        <f aca="false">SUMIFS('Source 2025'!$R:$R,'Source 2025'!$B:$B,$A47,'Source 2025'!$A:$A,"Quantity (units)")</f>
        <v>45</v>
      </c>
      <c r="D47" s="8" t="n">
        <f aca="false">SUMIFS('Source 2026'!$R:$R,'Source 2026'!$B:$B,$A47,'Source 2026'!$A:$A,"Quantity (units)")</f>
        <v>28</v>
      </c>
      <c r="E47" s="8" t="n">
        <f aca="false">D47-C47</f>
        <v>-17</v>
      </c>
      <c r="F47" s="9" t="n">
        <f aca="false">IF(AND(C47=0,D47=0),0,IF(C47=0,"New",(D47-C47)/C47))</f>
        <v>-0.377777777777778</v>
      </c>
      <c r="G47" s="10" t="n">
        <f aca="false">SUMIFS('Source 2025'!$R:$R,'Source 2025'!$B:$B,$A47,'Source 2025'!$A:$A,"Amount (NIS)")</f>
        <v>4961.4</v>
      </c>
      <c r="H47" s="10" t="n">
        <f aca="false">SUMIFS('Source 2026'!$R:$R,'Source 2026'!$B:$B,$A47,'Source 2026'!$A:$A,"Amount (NIS)")</f>
        <v>3087.1</v>
      </c>
      <c r="I47" s="10" t="n">
        <f aca="false">H47-G47</f>
        <v>-1874.3</v>
      </c>
      <c r="J47" s="9" t="n">
        <f aca="false">IF(AND(G47=0,H47=0),0,IF(G47=0,"New",(H47-G47)/G47))</f>
        <v>-0.377776434071028</v>
      </c>
    </row>
    <row r="48" customFormat="false" ht="15" hidden="false" customHeight="false" outlineLevel="0" collapsed="false">
      <c r="A48" s="7" t="s">
        <v>113</v>
      </c>
      <c r="B48" s="7" t="str">
        <f aca="false">IFERROR(INDEX('Source 2026'!$C:$C,MATCH($A48,'Source 2026'!$B:$B,0)),IFERROR(INDEX('Source 2025'!$C:$C,MATCH($A48,'Source 2025'!$B:$B,0)),""))</f>
        <v>S מגן קרסול עקב סגור+רצוע</v>
      </c>
      <c r="C48" s="8" t="n">
        <f aca="false">SUMIFS('Source 2025'!$R:$R,'Source 2025'!$B:$B,$A48,'Source 2025'!$A:$A,"Quantity (units)")</f>
        <v>291</v>
      </c>
      <c r="D48" s="8" t="n">
        <f aca="false">SUMIFS('Source 2026'!$R:$R,'Source 2026'!$B:$B,$A48,'Source 2026'!$A:$A,"Quantity (units)")</f>
        <v>260</v>
      </c>
      <c r="E48" s="8" t="n">
        <f aca="false">D48-C48</f>
        <v>-31</v>
      </c>
      <c r="F48" s="9" t="n">
        <f aca="false">IF(AND(C48=0,D48=0),0,IF(C48=0,"New",(D48-C48)/C48))</f>
        <v>-0.106529209621993</v>
      </c>
      <c r="G48" s="10" t="n">
        <f aca="false">SUMIFS('Source 2025'!$R:$R,'Source 2025'!$B:$B,$A48,'Source 2025'!$A:$A,"Amount (NIS)")</f>
        <v>16677.2</v>
      </c>
      <c r="H48" s="10" t="n">
        <f aca="false">SUMIFS('Source 2026'!$R:$R,'Source 2026'!$B:$B,$A48,'Source 2026'!$A:$A,"Amount (NIS)")</f>
        <v>14900.6</v>
      </c>
      <c r="I48" s="10" t="n">
        <f aca="false">H48-G48</f>
        <v>-1776.6</v>
      </c>
      <c r="J48" s="9" t="n">
        <f aca="false">IF(AND(G48=0,H48=0),0,IF(G48=0,"New",(H48-G48)/G48))</f>
        <v>-0.106528673878109</v>
      </c>
    </row>
    <row r="49" customFormat="false" ht="15" hidden="false" customHeight="false" outlineLevel="0" collapsed="false">
      <c r="A49" s="7" t="s">
        <v>242</v>
      </c>
      <c r="B49" s="7" t="str">
        <f aca="false">IFERROR(INDEX('Source 2026'!$C:$C,MATCH($A49,'Source 2026'!$B:$B,0)),IFERROR(INDEX('Source 2025'!$C:$C,MATCH($A49,'Source 2025'!$B:$B,0)),""))</f>
        <v>Lמפר.אצבע סיליק. ליבל.זוג</v>
      </c>
      <c r="C49" s="8" t="n">
        <f aca="false">SUMIFS('Source 2025'!$R:$R,'Source 2025'!$B:$B,$A49,'Source 2025'!$A:$A,"Quantity (units)")</f>
        <v>604</v>
      </c>
      <c r="D49" s="8" t="n">
        <f aca="false">SUMIFS('Source 2026'!$R:$R,'Source 2026'!$B:$B,$A49,'Source 2026'!$A:$A,"Quantity (units)")</f>
        <v>477</v>
      </c>
      <c r="E49" s="8" t="n">
        <f aca="false">D49-C49</f>
        <v>-127</v>
      </c>
      <c r="F49" s="9" t="n">
        <f aca="false">IF(AND(C49=0,D49=0),0,IF(C49=0,"New",(D49-C49)/C49))</f>
        <v>-0.210264900662252</v>
      </c>
      <c r="G49" s="10" t="n">
        <f aca="false">SUMIFS('Source 2025'!$R:$R,'Source 2025'!$B:$B,$A49,'Source 2025'!$A:$A,"Amount (NIS)")</f>
        <v>8174.6</v>
      </c>
      <c r="H49" s="10" t="n">
        <f aca="false">SUMIFS('Source 2026'!$R:$R,'Source 2026'!$B:$B,$A49,'Source 2026'!$A:$A,"Amount (NIS)")</f>
        <v>6449</v>
      </c>
      <c r="I49" s="10" t="n">
        <f aca="false">H49-G49</f>
        <v>-1725.6</v>
      </c>
      <c r="J49" s="9" t="n">
        <f aca="false">IF(AND(G49=0,H49=0),0,IF(G49=0,"New",(H49-G49)/G49))</f>
        <v>-0.211092897511805</v>
      </c>
    </row>
    <row r="50" customFormat="false" ht="15" hidden="false" customHeight="false" outlineLevel="0" collapsed="false">
      <c r="A50" s="7" t="s">
        <v>92</v>
      </c>
      <c r="B50" s="7" t="str">
        <f aca="false">IFERROR(INDEX('Source 2026'!$C:$C,MATCH($A50,'Source 2026'!$B:$B,0)),IFERROR(INDEX('Source 2025'!$C:$C,MATCH($A50,'Source 2025'!$B:$B,0)),""))</f>
        <v>תחבושת א.נצמ</v>
      </c>
      <c r="C50" s="8" t="n">
        <f aca="false">SUMIFS('Source 2025'!$R:$R,'Source 2025'!$B:$B,$A50,'Source 2025'!$A:$A,"Quantity (units)")</f>
        <v>274</v>
      </c>
      <c r="D50" s="8" t="n">
        <f aca="false">SUMIFS('Source 2026'!$R:$R,'Source 2026'!$B:$B,$A50,'Source 2026'!$A:$A,"Quantity (units)")</f>
        <v>126</v>
      </c>
      <c r="E50" s="8" t="n">
        <f aca="false">D50-C50</f>
        <v>-148</v>
      </c>
      <c r="F50" s="9" t="n">
        <f aca="false">IF(AND(C50=0,D50=0),0,IF(C50=0,"New",(D50-C50)/C50))</f>
        <v>-0.54014598540146</v>
      </c>
      <c r="G50" s="10" t="n">
        <f aca="false">SUMIFS('Source 2025'!$R:$R,'Source 2025'!$B:$B,$A50,'Source 2025'!$A:$A,"Amount (NIS)")</f>
        <v>3008.5</v>
      </c>
      <c r="H50" s="10" t="n">
        <f aca="false">SUMIFS('Source 2026'!$R:$R,'Source 2026'!$B:$B,$A50,'Source 2026'!$A:$A,"Amount (NIS)")</f>
        <v>1383.5</v>
      </c>
      <c r="I50" s="10" t="n">
        <f aca="false">H50-G50</f>
        <v>-1625</v>
      </c>
      <c r="J50" s="9" t="n">
        <f aca="false">IF(AND(G50=0,H50=0),0,IF(G50=0,"New",(H50-G50)/G50))</f>
        <v>-0.540136280538474</v>
      </c>
    </row>
    <row r="51" customFormat="false" ht="15" hidden="false" customHeight="false" outlineLevel="0" collapsed="false">
      <c r="A51" s="7" t="s">
        <v>276</v>
      </c>
      <c r="B51" s="7" t="str">
        <f aca="false">IFERROR(INDEX('Source 2026'!$C:$C,MATCH($A51,'Source 2026'!$B:$B,0)),IFERROR(INDEX('Source 2025'!$C:$C,MATCH($A51,'Source 2025'!$B:$B,0)),""))</f>
        <v>מגן ברך + צירים</v>
      </c>
      <c r="C51" s="8" t="n">
        <f aca="false">SUMIFS('Source 2025'!$R:$R,'Source 2025'!$B:$B,$A51,'Source 2025'!$A:$A,"Quantity (units)")</f>
        <v>2</v>
      </c>
      <c r="D51" s="8" t="n">
        <f aca="false">SUMIFS('Source 2026'!$R:$R,'Source 2026'!$B:$B,$A51,'Source 2026'!$A:$A,"Quantity (units)")</f>
        <v>20</v>
      </c>
      <c r="E51" s="8" t="n">
        <f aca="false">D51-C51</f>
        <v>18</v>
      </c>
      <c r="F51" s="9" t="n">
        <f aca="false">IF(AND(C51=0,D51=0),0,IF(C51=0,"New",(D51-C51)/C51))</f>
        <v>9</v>
      </c>
      <c r="G51" s="10" t="n">
        <f aca="false">SUMIFS('Source 2025'!$R:$R,'Source 2025'!$B:$B,$A51,'Source 2025'!$A:$A,"Amount (NIS)")</f>
        <v>180.2</v>
      </c>
      <c r="H51" s="10" t="n">
        <f aca="false">SUMIFS('Source 2026'!$R:$R,'Source 2026'!$B:$B,$A51,'Source 2026'!$A:$A,"Amount (NIS)")</f>
        <v>1802.4</v>
      </c>
      <c r="I51" s="10" t="n">
        <f aca="false">H51-G51</f>
        <v>1622.2</v>
      </c>
      <c r="J51" s="9" t="n">
        <f aca="false">IF(AND(G51=0,H51=0),0,IF(G51=0,"New",(H51-G51)/G51))</f>
        <v>9.00221975582686</v>
      </c>
    </row>
    <row r="52" customFormat="false" ht="15" hidden="false" customHeight="false" outlineLevel="0" collapsed="false">
      <c r="A52" s="7" t="s">
        <v>96</v>
      </c>
      <c r="B52" s="7" t="str">
        <f aca="false">IFERROR(INDEX('Source 2026'!$C:$C,MATCH($A52,'Source 2026'!$B:$B,0)),IFERROR(INDEX('Source 2025'!$C:$C,MATCH($A52,'Source 2025'!$B:$B,0)),""))</f>
        <v>שרוול מגן לבוניון</v>
      </c>
      <c r="C52" s="8" t="n">
        <f aca="false">SUMIFS('Source 2025'!$R:$R,'Source 2025'!$B:$B,$A52,'Source 2025'!$A:$A,"Quantity (units)")</f>
        <v>75</v>
      </c>
      <c r="D52" s="8" t="n">
        <f aca="false">SUMIFS('Source 2026'!$R:$R,'Source 2026'!$B:$B,$A52,'Source 2026'!$A:$A,"Quantity (units)")</f>
        <v>25</v>
      </c>
      <c r="E52" s="8" t="n">
        <f aca="false">D52-C52</f>
        <v>-50</v>
      </c>
      <c r="F52" s="9" t="n">
        <f aca="false">IF(AND(C52=0,D52=0),0,IF(C52=0,"New",(D52-C52)/C52))</f>
        <v>-0.666666666666667</v>
      </c>
      <c r="G52" s="10" t="n">
        <f aca="false">SUMIFS('Source 2025'!$R:$R,'Source 2025'!$B:$B,$A52,'Source 2025'!$A:$A,"Amount (NIS)")</f>
        <v>2334</v>
      </c>
      <c r="H52" s="10" t="n">
        <f aca="false">SUMIFS('Source 2026'!$R:$R,'Source 2026'!$B:$B,$A52,'Source 2026'!$A:$A,"Amount (NIS)")</f>
        <v>778</v>
      </c>
      <c r="I52" s="10" t="n">
        <f aca="false">H52-G52</f>
        <v>-1556</v>
      </c>
      <c r="J52" s="9" t="n">
        <f aca="false">IF(AND(G52=0,H52=0),0,IF(G52=0,"New",(H52-G52)/G52))</f>
        <v>-0.666666666666667</v>
      </c>
    </row>
    <row r="53" customFormat="false" ht="15" hidden="false" customHeight="false" outlineLevel="0" collapsed="false">
      <c r="A53" s="7" t="s">
        <v>184</v>
      </c>
      <c r="B53" s="7" t="str">
        <f aca="false">IFERROR(INDEX('Source 2026'!$C:$C,MATCH($A53,'Source 2026'!$B:$B,0)),IFERROR(INDEX('Source 2025'!$C:$C,MATCH($A53,'Source 2025'!$B:$B,0)),""))</f>
        <v>37-38 מדרסי סיליק.לח.סכרת</v>
      </c>
      <c r="C53" s="8" t="n">
        <f aca="false">SUMIFS('Source 2025'!$R:$R,'Source 2025'!$B:$B,$A53,'Source 2025'!$A:$A,"Quantity (units)")</f>
        <v>15</v>
      </c>
      <c r="D53" s="8" t="n">
        <f aca="false">SUMIFS('Source 2026'!$R:$R,'Source 2026'!$B:$B,$A53,'Source 2026'!$A:$A,"Quantity (units)")</f>
        <v>1</v>
      </c>
      <c r="E53" s="8" t="n">
        <f aca="false">D53-C53</f>
        <v>-14</v>
      </c>
      <c r="F53" s="9" t="n">
        <f aca="false">IF(AND(C53=0,D53=0),0,IF(C53=0,"New",(D53-C53)/C53))</f>
        <v>-0.933333333333333</v>
      </c>
      <c r="G53" s="10" t="n">
        <f aca="false">SUMIFS('Source 2025'!$R:$R,'Source 2025'!$B:$B,$A53,'Source 2025'!$A:$A,"Amount (NIS)")</f>
        <v>1657.3</v>
      </c>
      <c r="H53" s="10" t="n">
        <f aca="false">SUMIFS('Source 2026'!$R:$R,'Source 2026'!$B:$B,$A53,'Source 2026'!$A:$A,"Amount (NIS)")</f>
        <v>110.5</v>
      </c>
      <c r="I53" s="10" t="n">
        <f aca="false">H53-G53</f>
        <v>-1546.8</v>
      </c>
      <c r="J53" s="9" t="n">
        <f aca="false">IF(AND(G53=0,H53=0),0,IF(G53=0,"New",(H53-G53)/G53))</f>
        <v>-0.93332528811923</v>
      </c>
    </row>
    <row r="54" customFormat="false" ht="15" hidden="false" customHeight="false" outlineLevel="0" collapsed="false">
      <c r="A54" s="7" t="s">
        <v>159</v>
      </c>
      <c r="B54" s="7" t="str">
        <f aca="false">IFERROR(INDEX('Source 2026'!$C:$C,MATCH($A54,'Source 2026'!$B:$B,0)),IFERROR(INDEX('Source 2025'!$C:$C,MATCH($A54,'Source 2025'!$B:$B,0)),""))</f>
        <v>S מגן שוק</v>
      </c>
      <c r="C54" s="8" t="n">
        <f aca="false">SUMIFS('Source 2025'!$R:$R,'Source 2025'!$B:$B,$A54,'Source 2025'!$A:$A,"Quantity (units)")</f>
        <v>28</v>
      </c>
      <c r="D54" s="8" t="n">
        <f aca="false">SUMIFS('Source 2026'!$R:$R,'Source 2026'!$B:$B,$A54,'Source 2026'!$A:$A,"Quantity (units)")</f>
        <v>16</v>
      </c>
      <c r="E54" s="8" t="n">
        <f aca="false">D54-C54</f>
        <v>-12</v>
      </c>
      <c r="F54" s="9" t="n">
        <f aca="false">IF(AND(C54=0,D54=0),0,IF(C54=0,"New",(D54-C54)/C54))</f>
        <v>-0.428571428571429</v>
      </c>
      <c r="G54" s="10" t="n">
        <f aca="false">SUMIFS('Source 2025'!$R:$R,'Source 2025'!$B:$B,$A54,'Source 2025'!$A:$A,"Amount (NIS)")</f>
        <v>3717</v>
      </c>
      <c r="H54" s="10" t="n">
        <f aca="false">SUMIFS('Source 2026'!$R:$R,'Source 2026'!$B:$B,$A54,'Source 2026'!$A:$A,"Amount (NIS)")</f>
        <v>2172.1</v>
      </c>
      <c r="I54" s="10" t="n">
        <f aca="false">H54-G54</f>
        <v>-1544.9</v>
      </c>
      <c r="J54" s="9" t="n">
        <f aca="false">IF(AND(G54=0,H54=0),0,IF(G54=0,"New",(H54-G54)/G54))</f>
        <v>-0.415630885122411</v>
      </c>
    </row>
    <row r="55" customFormat="false" ht="15" hidden="false" customHeight="false" outlineLevel="0" collapsed="false">
      <c r="A55" s="7" t="s">
        <v>90</v>
      </c>
      <c r="B55" s="7" t="str">
        <f aca="false">IFERROR(INDEX('Source 2026'!$C:$C,MATCH($A55,'Source 2026'!$B:$B,0)),IFERROR(INDEX('Source 2025'!$C:$C,MATCH($A55,'Source 2025'!$B:$B,0)),""))</f>
        <v>מטטרזלי סיליקון362</v>
      </c>
      <c r="C55" s="8" t="n">
        <f aca="false">SUMIFS('Source 2025'!$R:$R,'Source 2025'!$B:$B,$A55,'Source 2025'!$A:$A,"Quantity (units)")</f>
        <v>148</v>
      </c>
      <c r="D55" s="8" t="n">
        <f aca="false">SUMIFS('Source 2026'!$R:$R,'Source 2026'!$B:$B,$A55,'Source 2026'!$A:$A,"Quantity (units)")</f>
        <v>87</v>
      </c>
      <c r="E55" s="8" t="n">
        <f aca="false">D55-C55</f>
        <v>-61</v>
      </c>
      <c r="F55" s="9" t="n">
        <f aca="false">IF(AND(C55=0,D55=0),0,IF(C55=0,"New",(D55-C55)/C55))</f>
        <v>-0.412162162162162</v>
      </c>
      <c r="G55" s="10" t="n">
        <f aca="false">SUMIFS('Source 2025'!$R:$R,'Source 2025'!$B:$B,$A55,'Source 2025'!$A:$A,"Amount (NIS)")</f>
        <v>3704.4</v>
      </c>
      <c r="H55" s="10" t="n">
        <f aca="false">SUMIFS('Source 2026'!$R:$R,'Source 2026'!$B:$B,$A55,'Source 2026'!$A:$A,"Amount (NIS)")</f>
        <v>2177.6</v>
      </c>
      <c r="I55" s="10" t="n">
        <f aca="false">H55-G55</f>
        <v>-1526.8</v>
      </c>
      <c r="J55" s="9" t="n">
        <f aca="false">IF(AND(G55=0,H55=0),0,IF(G55=0,"New",(H55-G55)/G55))</f>
        <v>-0.412158514199331</v>
      </c>
    </row>
    <row r="56" customFormat="false" ht="15" hidden="false" customHeight="false" outlineLevel="0" collapsed="false">
      <c r="A56" s="7" t="s">
        <v>151</v>
      </c>
      <c r="B56" s="7" t="str">
        <f aca="false">IFERROR(INDEX('Source 2026'!$C:$C,MATCH($A56,'Source 2026'!$B:$B,0)),IFERROR(INDEX('Source 2025'!$C:$C,MATCH($A56,'Source 2025'!$B:$B,0)),""))</f>
        <v>L-XL חגורת הריון</v>
      </c>
      <c r="C56" s="8" t="n">
        <f aca="false">SUMIFS('Source 2025'!$R:$R,'Source 2025'!$B:$B,$A56,'Source 2025'!$A:$A,"Quantity (units)")</f>
        <v>7</v>
      </c>
      <c r="D56" s="8" t="n">
        <f aca="false">SUMIFS('Source 2026'!$R:$R,'Source 2026'!$B:$B,$A56,'Source 2026'!$A:$A,"Quantity (units)")</f>
        <v>21</v>
      </c>
      <c r="E56" s="8" t="n">
        <f aca="false">D56-C56</f>
        <v>14</v>
      </c>
      <c r="F56" s="9" t="n">
        <f aca="false">IF(AND(C56=0,D56=0),0,IF(C56=0,"New",(D56-C56)/C56))</f>
        <v>2</v>
      </c>
      <c r="G56" s="10" t="n">
        <f aca="false">SUMIFS('Source 2025'!$R:$R,'Source 2025'!$B:$B,$A56,'Source 2025'!$A:$A,"Amount (NIS)")</f>
        <v>762.5</v>
      </c>
      <c r="H56" s="10" t="n">
        <f aca="false">SUMIFS('Source 2026'!$R:$R,'Source 2026'!$B:$B,$A56,'Source 2026'!$A:$A,"Amount (NIS)")</f>
        <v>2287.5</v>
      </c>
      <c r="I56" s="10" t="n">
        <f aca="false">H56-G56</f>
        <v>1525</v>
      </c>
      <c r="J56" s="9" t="n">
        <f aca="false">IF(AND(G56=0,H56=0),0,IF(G56=0,"New",(H56-G56)/G56))</f>
        <v>2</v>
      </c>
    </row>
    <row r="57" customFormat="false" ht="15" hidden="false" customHeight="false" outlineLevel="0" collapsed="false">
      <c r="A57" s="7" t="s">
        <v>306</v>
      </c>
      <c r="B57" s="7" t="str">
        <f aca="false">IFERROR(INDEX('Source 2026'!$C:$C,MATCH($A57,'Source 2026'!$B:$B,0)),IFERROR(INDEX('Source 2025'!$C:$C,MATCH($A57,'Source 2025'!$B:$B,0)),""))</f>
        <v>טייפ חבישה לספורט</v>
      </c>
      <c r="C57" s="8" t="n">
        <f aca="false">SUMIFS('Source 2025'!$R:$R,'Source 2025'!$B:$B,$A57,'Source 2025'!$A:$A,"Quantity (units)")</f>
        <v>248</v>
      </c>
      <c r="D57" s="8" t="n">
        <f aca="false">SUMIFS('Source 2026'!$R:$R,'Source 2026'!$B:$B,$A57,'Source 2026'!$A:$A,"Quantity (units)")</f>
        <v>150</v>
      </c>
      <c r="E57" s="8" t="n">
        <f aca="false">D57-C57</f>
        <v>-98</v>
      </c>
      <c r="F57" s="9" t="n">
        <f aca="false">IF(AND(C57=0,D57=0),0,IF(C57=0,"New",(D57-C57)/C57))</f>
        <v>-0.395161290322581</v>
      </c>
      <c r="G57" s="10" t="n">
        <f aca="false">SUMIFS('Source 2025'!$R:$R,'Source 2025'!$B:$B,$A57,'Source 2025'!$A:$A,"Amount (NIS)")</f>
        <v>3819.2</v>
      </c>
      <c r="H57" s="10" t="n">
        <f aca="false">SUMIFS('Source 2026'!$R:$R,'Source 2026'!$B:$B,$A57,'Source 2026'!$A:$A,"Amount (NIS)")</f>
        <v>2310</v>
      </c>
      <c r="I57" s="10" t="n">
        <f aca="false">H57-G57</f>
        <v>-1509.2</v>
      </c>
      <c r="J57" s="9" t="n">
        <f aca="false">IF(AND(G57=0,H57=0),0,IF(G57=0,"New",(H57-G57)/G57))</f>
        <v>-0.395161290322581</v>
      </c>
    </row>
    <row r="58" customFormat="false" ht="15" hidden="false" customHeight="false" outlineLevel="0" collapsed="false">
      <c r="A58" s="7" t="s">
        <v>192</v>
      </c>
      <c r="B58" s="7" t="str">
        <f aca="false">IFERROR(INDEX('Source 2026'!$C:$C,MATCH($A58,'Source 2026'!$B:$B,0)),IFERROR(INDEX('Source 2025'!$C:$C,MATCH($A58,'Source 2025'!$B:$B,0)),""))</f>
        <v>להסרת עור קשה</v>
      </c>
      <c r="C58" s="8" t="n">
        <f aca="false">SUMIFS('Source 2025'!$R:$R,'Source 2025'!$B:$B,$A58,'Source 2025'!$A:$A,"Quantity (units)")</f>
        <v>100</v>
      </c>
      <c r="D58" s="8" t="n">
        <f aca="false">SUMIFS('Source 2026'!$R:$R,'Source 2026'!$B:$B,$A58,'Source 2026'!$A:$A,"Quantity (units)")</f>
        <v>44</v>
      </c>
      <c r="E58" s="8" t="n">
        <f aca="false">D58-C58</f>
        <v>-56</v>
      </c>
      <c r="F58" s="9" t="n">
        <f aca="false">IF(AND(C58=0,D58=0),0,IF(C58=0,"New",(D58-C58)/C58))</f>
        <v>-0.56</v>
      </c>
      <c r="G58" s="10" t="n">
        <f aca="false">SUMIFS('Source 2025'!$R:$R,'Source 2025'!$B:$B,$A58,'Source 2025'!$A:$A,"Amount (NIS)")</f>
        <v>2668.2</v>
      </c>
      <c r="H58" s="10" t="n">
        <f aca="false">SUMIFS('Source 2026'!$R:$R,'Source 2026'!$B:$B,$A58,'Source 2026'!$A:$A,"Amount (NIS)")</f>
        <v>1174</v>
      </c>
      <c r="I58" s="10" t="n">
        <f aca="false">H58-G58</f>
        <v>-1494.2</v>
      </c>
      <c r="J58" s="9" t="n">
        <f aca="false">IF(AND(G58=0,H58=0),0,IF(G58=0,"New",(H58-G58)/G58))</f>
        <v>-0.560002998275991</v>
      </c>
    </row>
    <row r="59" customFormat="false" ht="15" hidden="false" customHeight="false" outlineLevel="0" collapsed="false">
      <c r="A59" s="7" t="s">
        <v>180</v>
      </c>
      <c r="B59" s="7" t="str">
        <f aca="false">IFERROR(INDEX('Source 2026'!$C:$C,MATCH($A59,'Source 2026'!$B:$B,0)),IFERROR(INDEX('Source 2025'!$C:$C,MATCH($A59,'Source 2025'!$B:$B,0)),""))</f>
        <v>S מגן ברך</v>
      </c>
      <c r="C59" s="8" t="n">
        <f aca="false">SUMIFS('Source 2025'!$R:$R,'Source 2025'!$B:$B,$A59,'Source 2025'!$A:$A,"Quantity (units)")</f>
        <v>26</v>
      </c>
      <c r="D59" s="8" t="n">
        <f aca="false">SUMIFS('Source 2026'!$R:$R,'Source 2026'!$B:$B,$A59,'Source 2026'!$A:$A,"Quantity (units)")</f>
        <v>37</v>
      </c>
      <c r="E59" s="8" t="n">
        <f aca="false">D59-C59</f>
        <v>11</v>
      </c>
      <c r="F59" s="9" t="n">
        <f aca="false">IF(AND(C59=0,D59=0),0,IF(C59=0,"New",(D59-C59)/C59))</f>
        <v>0.423076923076923</v>
      </c>
      <c r="G59" s="10" t="n">
        <f aca="false">SUMIFS('Source 2025'!$R:$R,'Source 2025'!$B:$B,$A59,'Source 2025'!$A:$A,"Amount (NIS)")</f>
        <v>3529.7</v>
      </c>
      <c r="H59" s="10" t="n">
        <f aca="false">SUMIFS('Source 2026'!$R:$R,'Source 2026'!$B:$B,$A59,'Source 2026'!$A:$A,"Amount (NIS)")</f>
        <v>5023.2</v>
      </c>
      <c r="I59" s="10" t="n">
        <f aca="false">H59-G59</f>
        <v>1493.5</v>
      </c>
      <c r="J59" s="9" t="n">
        <f aca="false">IF(AND(G59=0,H59=0),0,IF(G59=0,"New",(H59-G59)/G59))</f>
        <v>0.423123778224778</v>
      </c>
    </row>
    <row r="60" customFormat="false" ht="15" hidden="false" customHeight="false" outlineLevel="0" collapsed="false">
      <c r="A60" s="7" t="s">
        <v>277</v>
      </c>
      <c r="B60" s="7" t="str">
        <f aca="false">IFERROR(INDEX('Source 2026'!$C:$C,MATCH($A60,'Source 2026'!$B:$B,0)),IFERROR(INDEX('Source 2025'!$C:$C,MATCH($A60,'Source 2025'!$B:$B,0)),""))</f>
        <v>רפידת אנטי ריח -זוג</v>
      </c>
      <c r="C60" s="8" t="n">
        <f aca="false">SUMIFS('Source 2025'!$R:$R,'Source 2025'!$B:$B,$A60,'Source 2025'!$A:$A,"Quantity (units)")</f>
        <v>222</v>
      </c>
      <c r="D60" s="8" t="n">
        <f aca="false">SUMIFS('Source 2026'!$R:$R,'Source 2026'!$B:$B,$A60,'Source 2026'!$A:$A,"Quantity (units)")</f>
        <v>112</v>
      </c>
      <c r="E60" s="8" t="n">
        <f aca="false">D60-C60</f>
        <v>-110</v>
      </c>
      <c r="F60" s="9" t="n">
        <f aca="false">IF(AND(C60=0,D60=0),0,IF(C60=0,"New",(D60-C60)/C60))</f>
        <v>-0.495495495495496</v>
      </c>
      <c r="G60" s="10" t="n">
        <f aca="false">SUMIFS('Source 2025'!$R:$R,'Source 2025'!$B:$B,$A60,'Source 2025'!$A:$A,"Amount (NIS)")</f>
        <v>3010.3</v>
      </c>
      <c r="H60" s="10" t="n">
        <f aca="false">SUMIFS('Source 2026'!$R:$R,'Source 2026'!$B:$B,$A60,'Source 2026'!$A:$A,"Amount (NIS)")</f>
        <v>1518.7</v>
      </c>
      <c r="I60" s="10" t="n">
        <f aca="false">H60-G60</f>
        <v>-1491.6</v>
      </c>
      <c r="J60" s="9" t="n">
        <f aca="false">IF(AND(G60=0,H60=0),0,IF(G60=0,"New",(H60-G60)/G60))</f>
        <v>-0.495498787496263</v>
      </c>
    </row>
    <row r="61" customFormat="false" ht="15" hidden="false" customHeight="false" outlineLevel="0" collapsed="false">
      <c r="A61" s="7" t="s">
        <v>153</v>
      </c>
      <c r="B61" s="7" t="str">
        <f aca="false">IFERROR(INDEX('Source 2026'!$C:$C,MATCH($A61,'Source 2026'!$B:$B,0)),IFERROR(INDEX('Source 2025'!$C:$C,MATCH($A61,'Source 2025'!$B:$B,0)),""))</f>
        <v>S-M סד לאגודל</v>
      </c>
      <c r="C61" s="8" t="n">
        <f aca="false">SUMIFS('Source 2025'!$R:$R,'Source 2025'!$B:$B,$A61,'Source 2025'!$A:$A,"Quantity (units)")</f>
        <v>197</v>
      </c>
      <c r="D61" s="8" t="n">
        <f aca="false">SUMIFS('Source 2026'!$R:$R,'Source 2026'!$B:$B,$A61,'Source 2026'!$A:$A,"Quantity (units)")</f>
        <v>174</v>
      </c>
      <c r="E61" s="8" t="n">
        <f aca="false">D61-C61</f>
        <v>-23</v>
      </c>
      <c r="F61" s="9" t="n">
        <f aca="false">IF(AND(C61=0,D61=0),0,IF(C61=0,"New",(D61-C61)/C61))</f>
        <v>-0.116751269035533</v>
      </c>
      <c r="G61" s="10" t="n">
        <f aca="false">SUMIFS('Source 2025'!$R:$R,'Source 2025'!$B:$B,$A61,'Source 2025'!$A:$A,"Amount (NIS)")</f>
        <v>12434.4</v>
      </c>
      <c r="H61" s="10" t="n">
        <f aca="false">SUMIFS('Source 2026'!$R:$R,'Source 2026'!$B:$B,$A61,'Source 2026'!$A:$A,"Amount (NIS)")</f>
        <v>10970.8</v>
      </c>
      <c r="I61" s="10" t="n">
        <f aca="false">H61-G61</f>
        <v>-1463.6</v>
      </c>
      <c r="J61" s="9" t="n">
        <f aca="false">IF(AND(G61=0,H61=0),0,IF(G61=0,"New",(H61-G61)/G61))</f>
        <v>-0.117705719616548</v>
      </c>
    </row>
    <row r="62" customFormat="false" ht="15" hidden="false" customHeight="false" outlineLevel="0" collapsed="false">
      <c r="A62" s="7" t="s">
        <v>245</v>
      </c>
      <c r="B62" s="7" t="str">
        <f aca="false">IFERROR(INDEX('Source 2026'!$C:$C,MATCH($A62,'Source 2026'!$B:$B,0)),IFERROR(INDEX('Source 2025'!$C:$C,MATCH($A62,'Source 2025'!$B:$B,0)),""))</f>
        <v>XLמפריד אצבע סיליקון ליבלת</v>
      </c>
      <c r="C62" s="8" t="n">
        <f aca="false">SUMIFS('Source 2025'!$R:$R,'Source 2025'!$B:$B,$A62,'Source 2025'!$A:$A,"Quantity (units)")</f>
        <v>318</v>
      </c>
      <c r="D62" s="8" t="n">
        <f aca="false">SUMIFS('Source 2026'!$R:$R,'Source 2026'!$B:$B,$A62,'Source 2026'!$A:$A,"Quantity (units)")</f>
        <v>211</v>
      </c>
      <c r="E62" s="8" t="n">
        <f aca="false">D62-C62</f>
        <v>-107</v>
      </c>
      <c r="F62" s="9" t="n">
        <f aca="false">IF(AND(C62=0,D62=0),0,IF(C62=0,"New",(D62-C62)/C62))</f>
        <v>-0.336477987421384</v>
      </c>
      <c r="G62" s="10" t="n">
        <f aca="false">SUMIFS('Source 2025'!$R:$R,'Source 2025'!$B:$B,$A62,'Source 2025'!$A:$A,"Amount (NIS)")</f>
        <v>4302.2</v>
      </c>
      <c r="H62" s="10" t="n">
        <f aca="false">SUMIFS('Source 2026'!$R:$R,'Source 2026'!$B:$B,$A62,'Source 2026'!$A:$A,"Amount (NIS)")</f>
        <v>2852.7</v>
      </c>
      <c r="I62" s="10" t="n">
        <f aca="false">H62-G62</f>
        <v>-1449.5</v>
      </c>
      <c r="J62" s="9" t="n">
        <f aca="false">IF(AND(G62=0,H62=0),0,IF(G62=0,"New",(H62-G62)/G62))</f>
        <v>-0.336920645251267</v>
      </c>
    </row>
    <row r="63" customFormat="false" ht="15" hidden="false" customHeight="false" outlineLevel="0" collapsed="false">
      <c r="A63" s="7" t="s">
        <v>234</v>
      </c>
      <c r="B63" s="7" t="str">
        <f aca="false">IFERROR(INDEX('Source 2026'!$C:$C,MATCH($A63,'Source 2026'!$B:$B,0)),IFERROR(INDEX('Source 2025'!$C:$C,MATCH($A63,'Source 2025'!$B:$B,0)),""))</f>
        <v>להסרת עור קשה</v>
      </c>
      <c r="C63" s="8" t="n">
        <f aca="false">SUMIFS('Source 2025'!$R:$R,'Source 2025'!$B:$B,$A63,'Source 2025'!$A:$A,"Quantity (units)")</f>
        <v>162</v>
      </c>
      <c r="D63" s="8" t="n">
        <f aca="false">SUMIFS('Source 2026'!$R:$R,'Source 2026'!$B:$B,$A63,'Source 2026'!$A:$A,"Quantity (units)")</f>
        <v>102</v>
      </c>
      <c r="E63" s="8" t="n">
        <f aca="false">D63-C63</f>
        <v>-60</v>
      </c>
      <c r="F63" s="9" t="n">
        <f aca="false">IF(AND(C63=0,D63=0),0,IF(C63=0,"New",(D63-C63)/C63))</f>
        <v>-0.37037037037037</v>
      </c>
      <c r="G63" s="10" t="n">
        <f aca="false">SUMIFS('Source 2025'!$R:$R,'Source 2025'!$B:$B,$A63,'Source 2025'!$A:$A,"Amount (NIS)")</f>
        <v>3543.6</v>
      </c>
      <c r="H63" s="10" t="n">
        <f aca="false">SUMIFS('Source 2026'!$R:$R,'Source 2026'!$B:$B,$A63,'Source 2026'!$A:$A,"Amount (NIS)")</f>
        <v>2231.1</v>
      </c>
      <c r="I63" s="10" t="n">
        <f aca="false">H63-G63</f>
        <v>-1312.5</v>
      </c>
      <c r="J63" s="9" t="n">
        <f aca="false">IF(AND(G63=0,H63=0),0,IF(G63=0,"New",(H63-G63)/G63))</f>
        <v>-0.370386048086692</v>
      </c>
    </row>
    <row r="64" customFormat="false" ht="15" hidden="false" customHeight="false" outlineLevel="0" collapsed="false">
      <c r="A64" s="7" t="s">
        <v>80</v>
      </c>
      <c r="B64" s="7" t="str">
        <f aca="false">IFERROR(INDEX('Source 2026'!$C:$C,MATCH($A64,'Source 2026'!$B:$B,0)),IFERROR(INDEX('Source 2025'!$C:$C,MATCH($A64,'Source 2025'!$B:$B,0)),""))</f>
        <v>45 M מגן ברך רגיל</v>
      </c>
      <c r="C64" s="8" t="n">
        <f aca="false">SUMIFS('Source 2025'!$R:$R,'Source 2025'!$B:$B,$A64,'Source 2025'!$A:$A,"Quantity (units)")</f>
        <v>39</v>
      </c>
      <c r="D64" s="8" t="n">
        <f aca="false">SUMIFS('Source 2026'!$R:$R,'Source 2026'!$B:$B,$A64,'Source 2026'!$A:$A,"Quantity (units)")</f>
        <v>26</v>
      </c>
      <c r="E64" s="8" t="n">
        <f aca="false">D64-C64</f>
        <v>-13</v>
      </c>
      <c r="F64" s="9" t="n">
        <f aca="false">IF(AND(C64=0,D64=0),0,IF(C64=0,"New",(D64-C64)/C64))</f>
        <v>-0.333333333333333</v>
      </c>
      <c r="G64" s="10" t="n">
        <f aca="false">SUMIFS('Source 2025'!$R:$R,'Source 2025'!$B:$B,$A64,'Source 2025'!$A:$A,"Amount (NIS)")</f>
        <v>3784.2</v>
      </c>
      <c r="H64" s="10" t="n">
        <f aca="false">SUMIFS('Source 2026'!$R:$R,'Source 2026'!$B:$B,$A64,'Source 2026'!$A:$A,"Amount (NIS)")</f>
        <v>2522.8</v>
      </c>
      <c r="I64" s="10" t="n">
        <f aca="false">H64-G64</f>
        <v>-1261.4</v>
      </c>
      <c r="J64" s="9" t="n">
        <f aca="false">IF(AND(G64=0,H64=0),0,IF(G64=0,"New",(H64-G64)/G64))</f>
        <v>-0.333333333333333</v>
      </c>
    </row>
    <row r="65" customFormat="false" ht="15" hidden="false" customHeight="false" outlineLevel="0" collapsed="false">
      <c r="A65" s="7" t="s">
        <v>115</v>
      </c>
      <c r="B65" s="7" t="str">
        <f aca="false">IFERROR(INDEX('Source 2026'!$C:$C,MATCH($A65,'Source 2026'!$B:$B,0)),IFERROR(INDEX('Source 2025'!$C:$C,MATCH($A65,'Source 2025'!$B:$B,0)),""))</f>
        <v>סד ליישור אצבע</v>
      </c>
      <c r="C65" s="8" t="n">
        <f aca="false">SUMIFS('Source 2025'!$R:$R,'Source 2025'!$B:$B,$A65,'Source 2025'!$A:$A,"Quantity (units)")</f>
        <v>443</v>
      </c>
      <c r="D65" s="8" t="n">
        <f aca="false">SUMIFS('Source 2026'!$R:$R,'Source 2026'!$B:$B,$A65,'Source 2026'!$A:$A,"Quantity (units)")</f>
        <v>366</v>
      </c>
      <c r="E65" s="8" t="n">
        <f aca="false">D65-C65</f>
        <v>-77</v>
      </c>
      <c r="F65" s="9" t="n">
        <f aca="false">IF(AND(C65=0,D65=0),0,IF(C65=0,"New",(D65-C65)/C65))</f>
        <v>-0.173814898419865</v>
      </c>
      <c r="G65" s="10" t="n">
        <f aca="false">SUMIFS('Source 2025'!$R:$R,'Source 2025'!$B:$B,$A65,'Source 2025'!$A:$A,"Amount (NIS)")</f>
        <v>6822.2</v>
      </c>
      <c r="H65" s="10" t="n">
        <f aca="false">SUMIFS('Source 2026'!$R:$R,'Source 2026'!$B:$B,$A65,'Source 2026'!$A:$A,"Amount (NIS)")</f>
        <v>5636.4</v>
      </c>
      <c r="I65" s="10" t="n">
        <f aca="false">H65-G65</f>
        <v>-1185.8</v>
      </c>
      <c r="J65" s="9" t="n">
        <f aca="false">IF(AND(G65=0,H65=0),0,IF(G65=0,"New",(H65-G65)/G65))</f>
        <v>-0.173814898419865</v>
      </c>
    </row>
    <row r="66" customFormat="false" ht="15" hidden="false" customHeight="false" outlineLevel="0" collapsed="false">
      <c r="A66" s="7" t="s">
        <v>223</v>
      </c>
      <c r="B66" s="7" t="str">
        <f aca="false">IFERROR(INDEX('Source 2026'!$C:$C,MATCH($A66,'Source 2026'!$B:$B,0)),IFERROR(INDEX('Source 2025'!$C:$C,MATCH($A66,'Source 2025'!$B:$B,0)),""))</f>
        <v>L מגן ברך מוצלב+מוט</v>
      </c>
      <c r="C66" s="8" t="n">
        <f aca="false">SUMIFS('Source 2025'!$R:$R,'Source 2025'!$B:$B,$A66,'Source 2025'!$A:$A,"Quantity (units)")</f>
        <v>9</v>
      </c>
      <c r="D66" s="8" t="n">
        <f aca="false">SUMIFS('Source 2026'!$R:$R,'Source 2026'!$B:$B,$A66,'Source 2026'!$A:$A,"Quantity (units)")</f>
        <v>0</v>
      </c>
      <c r="E66" s="8" t="n">
        <f aca="false">D66-C66</f>
        <v>-9</v>
      </c>
      <c r="F66" s="9" t="n">
        <f aca="false">IF(AND(C66=0,D66=0),0,IF(C66=0,"New",(D66-C66)/C66))</f>
        <v>-1</v>
      </c>
      <c r="G66" s="10" t="n">
        <f aca="false">SUMIFS('Source 2025'!$R:$R,'Source 2025'!$B:$B,$A66,'Source 2025'!$A:$A,"Amount (NIS)")</f>
        <v>1131.3</v>
      </c>
      <c r="H66" s="10" t="n">
        <f aca="false">SUMIFS('Source 2026'!$R:$R,'Source 2026'!$B:$B,$A66,'Source 2026'!$A:$A,"Amount (NIS)")</f>
        <v>0</v>
      </c>
      <c r="I66" s="10" t="n">
        <f aca="false">H66-G66</f>
        <v>-1131.3</v>
      </c>
      <c r="J66" s="9" t="n">
        <f aca="false">IF(AND(G66=0,H66=0),0,IF(G66=0,"New",(H66-G66)/G66))</f>
        <v>-1</v>
      </c>
    </row>
    <row r="67" customFormat="false" ht="15" hidden="false" customHeight="false" outlineLevel="0" collapsed="false">
      <c r="A67" s="7" t="s">
        <v>114</v>
      </c>
      <c r="B67" s="7" t="str">
        <f aca="false">IFERROR(INDEX('Source 2026'!$C:$C,MATCH($A67,'Source 2026'!$B:$B,0)),IFERROR(INDEX('Source 2025'!$C:$C,MATCH($A67,'Source 2025'!$B:$B,0)),""))</f>
        <v>מדבקה לשחרור לחץ 2 יח</v>
      </c>
      <c r="C67" s="8" t="n">
        <f aca="false">SUMIFS('Source 2025'!$R:$R,'Source 2025'!$B:$B,$A67,'Source 2025'!$A:$A,"Quantity (units)")</f>
        <v>81</v>
      </c>
      <c r="D67" s="8" t="n">
        <f aca="false">SUMIFS('Source 2026'!$R:$R,'Source 2026'!$B:$B,$A67,'Source 2026'!$A:$A,"Quantity (units)")</f>
        <v>42</v>
      </c>
      <c r="E67" s="8" t="n">
        <f aca="false">D67-C67</f>
        <v>-39</v>
      </c>
      <c r="F67" s="9" t="n">
        <f aca="false">IF(AND(C67=0,D67=0),0,IF(C67=0,"New",(D67-C67)/C67))</f>
        <v>-0.481481481481481</v>
      </c>
      <c r="G67" s="10" t="n">
        <f aca="false">SUMIFS('Source 2025'!$R:$R,'Source 2025'!$B:$B,$A67,'Source 2025'!$A:$A,"Amount (NIS)")</f>
        <v>2338.7</v>
      </c>
      <c r="H67" s="10" t="n">
        <f aca="false">SUMIFS('Source 2026'!$R:$R,'Source 2026'!$B:$B,$A67,'Source 2026'!$A:$A,"Amount (NIS)")</f>
        <v>1212.7</v>
      </c>
      <c r="I67" s="10" t="n">
        <f aca="false">H67-G67</f>
        <v>-1126</v>
      </c>
      <c r="J67" s="9" t="n">
        <f aca="false">IF(AND(G67=0,H67=0),0,IF(G67=0,"New",(H67-G67)/G67))</f>
        <v>-0.481464061230598</v>
      </c>
    </row>
    <row r="68" customFormat="false" ht="15" hidden="false" customHeight="false" outlineLevel="0" collapsed="false">
      <c r="A68" s="7" t="s">
        <v>68</v>
      </c>
      <c r="B68" s="7" t="str">
        <f aca="false">IFERROR(INDEX('Source 2026'!$C:$C,MATCH($A68,'Source 2026'!$B:$B,0)),IFERROR(INDEX('Source 2025'!$C:$C,MATCH($A68,'Source 2025'!$B:$B,0)),""))</f>
        <v>פיקה לברך</v>
      </c>
      <c r="C68" s="8" t="n">
        <f aca="false">SUMIFS('Source 2025'!$R:$R,'Source 2025'!$B:$B,$A68,'Source 2025'!$A:$A,"Quantity (units)")</f>
        <v>54</v>
      </c>
      <c r="D68" s="8" t="n">
        <f aca="false">SUMIFS('Source 2026'!$R:$R,'Source 2026'!$B:$B,$A68,'Source 2026'!$A:$A,"Quantity (units)")</f>
        <v>31</v>
      </c>
      <c r="E68" s="8" t="n">
        <f aca="false">D68-C68</f>
        <v>-23</v>
      </c>
      <c r="F68" s="9" t="n">
        <f aca="false">IF(AND(C68=0,D68=0),0,IF(C68=0,"New",(D68-C68)/C68))</f>
        <v>-0.425925925925926</v>
      </c>
      <c r="G68" s="10" t="n">
        <f aca="false">SUMIFS('Source 2025'!$R:$R,'Source 2025'!$B:$B,$A68,'Source 2025'!$A:$A,"Amount (NIS)")</f>
        <v>2618.5</v>
      </c>
      <c r="H68" s="10" t="n">
        <f aca="false">SUMIFS('Source 2026'!$R:$R,'Source 2026'!$B:$B,$A68,'Source 2026'!$A:$A,"Amount (NIS)")</f>
        <v>1503.2</v>
      </c>
      <c r="I68" s="10" t="n">
        <f aca="false">H68-G68</f>
        <v>-1115.3</v>
      </c>
      <c r="J68" s="9" t="n">
        <f aca="false">IF(AND(G68=0,H68=0),0,IF(G68=0,"New",(H68-G68)/G68))</f>
        <v>-0.425930876455986</v>
      </c>
    </row>
    <row r="69" customFormat="false" ht="15" hidden="false" customHeight="false" outlineLevel="0" collapsed="false">
      <c r="A69" s="7" t="s">
        <v>166</v>
      </c>
      <c r="B69" s="7" t="str">
        <f aca="false">IFERROR(INDEX('Source 2026'!$C:$C,MATCH($A69,'Source 2026'!$B:$B,0)),IFERROR(INDEX('Source 2025'!$C:$C,MATCH($A69,'Source 2025'!$B:$B,0)),""))</f>
        <v>S מגן מרפק</v>
      </c>
      <c r="C69" s="8" t="n">
        <f aca="false">SUMIFS('Source 2025'!$R:$R,'Source 2025'!$B:$B,$A69,'Source 2025'!$A:$A,"Quantity (units)")</f>
        <v>19</v>
      </c>
      <c r="D69" s="8" t="n">
        <f aca="false">SUMIFS('Source 2026'!$R:$R,'Source 2026'!$B:$B,$A69,'Source 2026'!$A:$A,"Quantity (units)")</f>
        <v>4</v>
      </c>
      <c r="E69" s="8" t="n">
        <f aca="false">D69-C69</f>
        <v>-15</v>
      </c>
      <c r="F69" s="9" t="n">
        <f aca="false">IF(AND(C69=0,D69=0),0,IF(C69=0,"New",(D69-C69)/C69))</f>
        <v>-0.789473684210526</v>
      </c>
      <c r="G69" s="10" t="n">
        <f aca="false">SUMIFS('Source 2025'!$R:$R,'Source 2025'!$B:$B,$A69,'Source 2025'!$A:$A,"Amount (NIS)")</f>
        <v>1411.4</v>
      </c>
      <c r="H69" s="10" t="n">
        <f aca="false">SUMIFS('Source 2026'!$R:$R,'Source 2026'!$B:$B,$A69,'Source 2026'!$A:$A,"Amount (NIS)")</f>
        <v>298</v>
      </c>
      <c r="I69" s="10" t="n">
        <f aca="false">H69-G69</f>
        <v>-1113.4</v>
      </c>
      <c r="J69" s="9" t="n">
        <f aca="false">IF(AND(G69=0,H69=0),0,IF(G69=0,"New",(H69-G69)/G69))</f>
        <v>-0.788862122715035</v>
      </c>
    </row>
    <row r="70" customFormat="false" ht="15" hidden="false" customHeight="false" outlineLevel="0" collapsed="false">
      <c r="A70" s="7" t="s">
        <v>65</v>
      </c>
      <c r="B70" s="7" t="str">
        <f aca="false">IFERROR(INDEX('Source 2026'!$C:$C,MATCH($A70,'Source 2026'!$B:$B,0)),IFERROR(INDEX('Source 2025'!$C:$C,MATCH($A70,'Source 2025'!$B:$B,0)),""))</f>
        <v>M 'מגן מרפק בז</v>
      </c>
      <c r="C70" s="8" t="n">
        <f aca="false">SUMIFS('Source 2025'!$R:$R,'Source 2025'!$B:$B,$A70,'Source 2025'!$A:$A,"Quantity (units)")</f>
        <v>433</v>
      </c>
      <c r="D70" s="8" t="n">
        <f aca="false">SUMIFS('Source 2026'!$R:$R,'Source 2026'!$B:$B,$A70,'Source 2026'!$A:$A,"Quantity (units)")</f>
        <v>394</v>
      </c>
      <c r="E70" s="8" t="n">
        <f aca="false">D70-C70</f>
        <v>-39</v>
      </c>
      <c r="F70" s="9" t="n">
        <f aca="false">IF(AND(C70=0,D70=0),0,IF(C70=0,"New",(D70-C70)/C70))</f>
        <v>-0.0900692840646651</v>
      </c>
      <c r="G70" s="10" t="n">
        <f aca="false">SUMIFS('Source 2025'!$R:$R,'Source 2025'!$B:$B,$A70,'Source 2025'!$A:$A,"Amount (NIS)")</f>
        <v>12022.1</v>
      </c>
      <c r="H70" s="10" t="n">
        <f aca="false">SUMIFS('Source 2026'!$R:$R,'Source 2026'!$B:$B,$A70,'Source 2026'!$A:$A,"Amount (NIS)")</f>
        <v>10943.4</v>
      </c>
      <c r="I70" s="10" t="n">
        <f aca="false">H70-G70</f>
        <v>-1078.7</v>
      </c>
      <c r="J70" s="9" t="n">
        <f aca="false">IF(AND(G70=0,H70=0),0,IF(G70=0,"New",(H70-G70)/G70))</f>
        <v>-0.0897264205088962</v>
      </c>
    </row>
    <row r="71" customFormat="false" ht="15" hidden="false" customHeight="false" outlineLevel="0" collapsed="false">
      <c r="A71" s="7" t="s">
        <v>118</v>
      </c>
      <c r="B71" s="7" t="str">
        <f aca="false">IFERROR(INDEX('Source 2026'!$C:$C,MATCH($A71,'Source 2026'!$B:$B,0)),IFERROR(INDEX('Source 2025'!$C:$C,MATCH($A71,'Source 2025'!$B:$B,0)),""))</f>
        <v>S-M חבק יד עם צמדן</v>
      </c>
      <c r="C71" s="8" t="n">
        <f aca="false">SUMIFS('Source 2025'!$R:$R,'Source 2025'!$B:$B,$A71,'Source 2025'!$A:$A,"Quantity (units)")</f>
        <v>68</v>
      </c>
      <c r="D71" s="8" t="n">
        <f aca="false">SUMIFS('Source 2026'!$R:$R,'Source 2026'!$B:$B,$A71,'Source 2026'!$A:$A,"Quantity (units)")</f>
        <v>37</v>
      </c>
      <c r="E71" s="8" t="n">
        <f aca="false">D71-C71</f>
        <v>-31</v>
      </c>
      <c r="F71" s="9" t="n">
        <f aca="false">IF(AND(C71=0,D71=0),0,IF(C71=0,"New",(D71-C71)/C71))</f>
        <v>-0.455882352941176</v>
      </c>
      <c r="G71" s="10" t="n">
        <f aca="false">SUMIFS('Source 2025'!$R:$R,'Source 2025'!$B:$B,$A71,'Source 2025'!$A:$A,"Amount (NIS)")</f>
        <v>2337.2</v>
      </c>
      <c r="H71" s="10" t="n">
        <f aca="false">SUMIFS('Source 2026'!$R:$R,'Source 2026'!$B:$B,$A71,'Source 2026'!$A:$A,"Amount (NIS)")</f>
        <v>1271.7</v>
      </c>
      <c r="I71" s="10" t="n">
        <f aca="false">H71-G71</f>
        <v>-1065.5</v>
      </c>
      <c r="J71" s="9" t="n">
        <f aca="false">IF(AND(G71=0,H71=0),0,IF(G71=0,"New",(H71-G71)/G71))</f>
        <v>-0.455887386616464</v>
      </c>
    </row>
    <row r="72" customFormat="false" ht="15" hidden="false" customHeight="false" outlineLevel="0" collapsed="false">
      <c r="A72" s="7" t="s">
        <v>77</v>
      </c>
      <c r="B72" s="7" t="str">
        <f aca="false">IFERROR(INDEX('Source 2026'!$C:$C,MATCH($A72,'Source 2026'!$B:$B,0)),IFERROR(INDEX('Source 2025'!$C:$C,MATCH($A72,'Source 2025'!$B:$B,0)),""))</f>
        <v>S מקבע כתף ויד</v>
      </c>
      <c r="C72" s="8" t="n">
        <f aca="false">SUMIFS('Source 2025'!$R:$R,'Source 2025'!$B:$B,$A72,'Source 2025'!$A:$A,"Quantity (units)")</f>
        <v>35</v>
      </c>
      <c r="D72" s="8" t="n">
        <f aca="false">SUMIFS('Source 2026'!$R:$R,'Source 2026'!$B:$B,$A72,'Source 2026'!$A:$A,"Quantity (units)")</f>
        <v>29</v>
      </c>
      <c r="E72" s="8" t="n">
        <f aca="false">D72-C72</f>
        <v>-6</v>
      </c>
      <c r="F72" s="9" t="n">
        <f aca="false">IF(AND(C72=0,D72=0),0,IF(C72=0,"New",(D72-C72)/C72))</f>
        <v>-0.171428571428571</v>
      </c>
      <c r="G72" s="10" t="n">
        <f aca="false">SUMIFS('Source 2025'!$R:$R,'Source 2025'!$B:$B,$A72,'Source 2025'!$A:$A,"Amount (NIS)")</f>
        <v>6175.5</v>
      </c>
      <c r="H72" s="10" t="n">
        <f aca="false">SUMIFS('Source 2026'!$R:$R,'Source 2026'!$B:$B,$A72,'Source 2026'!$A:$A,"Amount (NIS)")</f>
        <v>5116.8</v>
      </c>
      <c r="I72" s="10" t="n">
        <f aca="false">H72-G72</f>
        <v>-1058.7</v>
      </c>
      <c r="J72" s="9" t="n">
        <f aca="false">IF(AND(G72=0,H72=0),0,IF(G72=0,"New",(H72-G72)/G72))</f>
        <v>-0.171435511294632</v>
      </c>
    </row>
    <row r="73" customFormat="false" ht="15" hidden="false" customHeight="false" outlineLevel="0" collapsed="false">
      <c r="A73" s="7" t="s">
        <v>286</v>
      </c>
      <c r="B73" s="7" t="str">
        <f aca="false">IFERROR(INDEX('Source 2026'!$C:$C,MATCH($A73,'Source 2026'!$B:$B,0)),IFERROR(INDEX('Source 2025'!$C:$C,MATCH($A73,'Source 2025'!$B:$B,0)),""))</f>
        <v>רפידת נוחות-זוג</v>
      </c>
      <c r="C73" s="8" t="n">
        <f aca="false">SUMIFS('Source 2025'!$R:$R,'Source 2025'!$B:$B,$A73,'Source 2025'!$A:$A,"Quantity (units)")</f>
        <v>261</v>
      </c>
      <c r="D73" s="8" t="n">
        <f aca="false">SUMIFS('Source 2026'!$R:$R,'Source 2026'!$B:$B,$A73,'Source 2026'!$A:$A,"Quantity (units)")</f>
        <v>162</v>
      </c>
      <c r="E73" s="8" t="n">
        <f aca="false">D73-C73</f>
        <v>-99</v>
      </c>
      <c r="F73" s="9" t="n">
        <f aca="false">IF(AND(C73=0,D73=0),0,IF(C73=0,"New",(D73-C73)/C73))</f>
        <v>-0.379310344827586</v>
      </c>
      <c r="G73" s="10" t="n">
        <f aca="false">SUMIFS('Source 2025'!$R:$R,'Source 2025'!$B:$B,$A73,'Source 2025'!$A:$A,"Amount (NIS)")</f>
        <v>2787.5</v>
      </c>
      <c r="H73" s="10" t="n">
        <f aca="false">SUMIFS('Source 2026'!$R:$R,'Source 2026'!$B:$B,$A73,'Source 2026'!$A:$A,"Amount (NIS)")</f>
        <v>1730.2</v>
      </c>
      <c r="I73" s="10" t="n">
        <f aca="false">H73-G73</f>
        <v>-1057.3</v>
      </c>
      <c r="J73" s="9" t="n">
        <f aca="false">IF(AND(G73=0,H73=0),0,IF(G73=0,"New",(H73-G73)/G73))</f>
        <v>-0.379300448430493</v>
      </c>
    </row>
    <row r="74" customFormat="false" ht="15" hidden="false" customHeight="false" outlineLevel="0" collapsed="false">
      <c r="A74" s="7" t="s">
        <v>193</v>
      </c>
      <c r="B74" s="7" t="str">
        <f aca="false">IFERROR(INDEX('Source 2026'!$C:$C,MATCH($A74,'Source 2026'!$B:$B,0)),IFERROR(INDEX('Source 2025'!$C:$C,MATCH($A74,'Source 2025'!$B:$B,0)),""))</f>
        <v>Sמ.ברך מוצלב+ספירלות בצדדים</v>
      </c>
      <c r="C74" s="8" t="n">
        <f aca="false">SUMIFS('Source 2025'!$R:$R,'Source 2025'!$B:$B,$A74,'Source 2025'!$A:$A,"Quantity (units)")</f>
        <v>19</v>
      </c>
      <c r="D74" s="8" t="n">
        <f aca="false">SUMIFS('Source 2026'!$R:$R,'Source 2026'!$B:$B,$A74,'Source 2026'!$A:$A,"Quantity (units)")</f>
        <v>10</v>
      </c>
      <c r="E74" s="8" t="n">
        <f aca="false">D74-C74</f>
        <v>-9</v>
      </c>
      <c r="F74" s="9" t="n">
        <f aca="false">IF(AND(C74=0,D74=0),0,IF(C74=0,"New",(D74-C74)/C74))</f>
        <v>-0.473684210526316</v>
      </c>
      <c r="G74" s="10" t="n">
        <f aca="false">SUMIFS('Source 2025'!$R:$R,'Source 2025'!$B:$B,$A74,'Source 2025'!$A:$A,"Amount (NIS)")</f>
        <v>2178.7</v>
      </c>
      <c r="H74" s="10" t="n">
        <f aca="false">SUMIFS('Source 2026'!$R:$R,'Source 2026'!$B:$B,$A74,'Source 2026'!$A:$A,"Amount (NIS)")</f>
        <v>1146.7</v>
      </c>
      <c r="I74" s="10" t="n">
        <f aca="false">H74-G74</f>
        <v>-1032</v>
      </c>
      <c r="J74" s="9" t="n">
        <f aca="false">IF(AND(G74=0,H74=0),0,IF(G74=0,"New",(H74-G74)/G74))</f>
        <v>-0.473676963326754</v>
      </c>
    </row>
    <row r="75" customFormat="false" ht="15" hidden="false" customHeight="false" outlineLevel="0" collapsed="false">
      <c r="A75" s="7" t="s">
        <v>69</v>
      </c>
      <c r="B75" s="7" t="str">
        <f aca="false">IFERROR(INDEX('Source 2026'!$C:$C,MATCH($A75,'Source 2026'!$B:$B,0)),IFERROR(INDEX('Source 2025'!$C:$C,MATCH($A75,'Source 2025'!$B:$B,0)),""))</f>
        <v>לציפורן חודרנית</v>
      </c>
      <c r="C75" s="8" t="n">
        <f aca="false">SUMIFS('Source 2025'!$R:$R,'Source 2025'!$B:$B,$A75,'Source 2025'!$A:$A,"Quantity (units)")</f>
        <v>191</v>
      </c>
      <c r="D75" s="8" t="n">
        <f aca="false">SUMIFS('Source 2026'!$R:$R,'Source 2026'!$B:$B,$A75,'Source 2026'!$A:$A,"Quantity (units)")</f>
        <v>161</v>
      </c>
      <c r="E75" s="8" t="n">
        <f aca="false">D75-C75</f>
        <v>-30</v>
      </c>
      <c r="F75" s="9" t="n">
        <f aca="false">IF(AND(C75=0,D75=0),0,IF(C75=0,"New",(D75-C75)/C75))</f>
        <v>-0.157068062827225</v>
      </c>
      <c r="G75" s="10" t="n">
        <f aca="false">SUMIFS('Source 2025'!$R:$R,'Source 2025'!$B:$B,$A75,'Source 2025'!$A:$A,"Amount (NIS)")</f>
        <v>6418.7</v>
      </c>
      <c r="H75" s="10" t="n">
        <f aca="false">SUMIFS('Source 2026'!$R:$R,'Source 2026'!$B:$B,$A75,'Source 2026'!$A:$A,"Amount (NIS)")</f>
        <v>5422.7</v>
      </c>
      <c r="I75" s="10" t="n">
        <f aca="false">H75-G75</f>
        <v>-996</v>
      </c>
      <c r="J75" s="9" t="n">
        <f aca="false">IF(AND(G75=0,H75=0),0,IF(G75=0,"New",(H75-G75)/G75))</f>
        <v>-0.155171607957998</v>
      </c>
    </row>
    <row r="76" customFormat="false" ht="15" hidden="false" customHeight="false" outlineLevel="0" collapsed="false">
      <c r="A76" s="7" t="s">
        <v>55</v>
      </c>
      <c r="B76" s="7" t="str">
        <f aca="false">IFERROR(INDEX('Source 2026'!$C:$C,MATCH($A76,'Source 2026'!$B:$B,0)),IFERROR(INDEX('Source 2025'!$C:$C,MATCH($A76,'Source 2025'!$B:$B,0)),""))</f>
        <v>חגורת גב אפורה</v>
      </c>
      <c r="C76" s="8" t="n">
        <f aca="false">SUMIFS('Source 2025'!$R:$R,'Source 2025'!$B:$B,$A76,'Source 2025'!$A:$A,"Quantity (units)")</f>
        <v>146</v>
      </c>
      <c r="D76" s="8" t="n">
        <f aca="false">SUMIFS('Source 2026'!$R:$R,'Source 2026'!$B:$B,$A76,'Source 2026'!$A:$A,"Quantity (units)")</f>
        <v>136</v>
      </c>
      <c r="E76" s="8" t="n">
        <f aca="false">D76-C76</f>
        <v>-10</v>
      </c>
      <c r="F76" s="9" t="n">
        <f aca="false">IF(AND(C76=0,D76=0),0,IF(C76=0,"New",(D76-C76)/C76))</f>
        <v>-0.0684931506849315</v>
      </c>
      <c r="G76" s="10" t="n">
        <f aca="false">SUMIFS('Source 2025'!$R:$R,'Source 2025'!$B:$B,$A76,'Source 2025'!$A:$A,"Amount (NIS)")</f>
        <v>14487.6</v>
      </c>
      <c r="H76" s="10" t="n">
        <f aca="false">SUMIFS('Source 2026'!$R:$R,'Source 2026'!$B:$B,$A76,'Source 2026'!$A:$A,"Amount (NIS)")</f>
        <v>13495.3</v>
      </c>
      <c r="I76" s="10" t="n">
        <f aca="false">H76-G76</f>
        <v>-992.300000000001</v>
      </c>
      <c r="J76" s="9" t="n">
        <f aca="false">IF(AND(G76=0,H76=0),0,IF(G76=0,"New",(H76-G76)/G76))</f>
        <v>-0.0684930561307602</v>
      </c>
    </row>
    <row r="77" customFormat="false" ht="15" hidden="false" customHeight="false" outlineLevel="0" collapsed="false">
      <c r="A77" s="7" t="s">
        <v>178</v>
      </c>
      <c r="B77" s="7" t="str">
        <f aca="false">IFERROR(INDEX('Source 2026'!$C:$C,MATCH($A77,'Source 2026'!$B:$B,0)),IFERROR(INDEX('Source 2025'!$C:$C,MATCH($A77,'Source 2025'!$B:$B,0)),""))</f>
        <v>XXL מגן ברך ארוך עם כרית</v>
      </c>
      <c r="C77" s="8" t="n">
        <f aca="false">SUMIFS('Source 2025'!$R:$R,'Source 2025'!$B:$B,$A77,'Source 2025'!$A:$A,"Quantity (units)")</f>
        <v>5</v>
      </c>
      <c r="D77" s="8" t="n">
        <f aca="false">SUMIFS('Source 2026'!$R:$R,'Source 2026'!$B:$B,$A77,'Source 2026'!$A:$A,"Quantity (units)")</f>
        <v>0</v>
      </c>
      <c r="E77" s="8" t="n">
        <f aca="false">D77-C77</f>
        <v>-5</v>
      </c>
      <c r="F77" s="9" t="n">
        <f aca="false">IF(AND(C77=0,D77=0),0,IF(C77=0,"New",(D77-C77)/C77))</f>
        <v>-1</v>
      </c>
      <c r="G77" s="10" t="n">
        <f aca="false">SUMIFS('Source 2025'!$R:$R,'Source 2025'!$B:$B,$A77,'Source 2025'!$A:$A,"Amount (NIS)")</f>
        <v>983.7</v>
      </c>
      <c r="H77" s="10" t="n">
        <f aca="false">SUMIFS('Source 2026'!$R:$R,'Source 2026'!$B:$B,$A77,'Source 2026'!$A:$A,"Amount (NIS)")</f>
        <v>0</v>
      </c>
      <c r="I77" s="10" t="n">
        <f aca="false">H77-G77</f>
        <v>-983.7</v>
      </c>
      <c r="J77" s="9" t="n">
        <f aca="false">IF(AND(G77=0,H77=0),0,IF(G77=0,"New",(H77-G77)/G77))</f>
        <v>-1</v>
      </c>
    </row>
    <row r="78" customFormat="false" ht="15" hidden="false" customHeight="false" outlineLevel="0" collapsed="false">
      <c r="A78" s="7" t="s">
        <v>249</v>
      </c>
      <c r="B78" s="7" t="str">
        <f aca="false">IFERROR(INDEX('Source 2026'!$C:$C,MATCH($A78,'Source 2026'!$B:$B,0)),IFERROR(INDEX('Source 2025'!$C:$C,MATCH($A78,'Source 2025'!$B:$B,0)),""))</f>
        <v>S ח.גב ""איטלקית"" אורירית</v>
      </c>
      <c r="C78" s="8" t="n">
        <f aca="false">SUMIFS('Source 2025'!$R:$R,'Source 2025'!$B:$B,$A78,'Source 2025'!$A:$A,"Quantity (units)")</f>
        <v>4</v>
      </c>
      <c r="D78" s="8" t="n">
        <f aca="false">SUMIFS('Source 2026'!$R:$R,'Source 2026'!$B:$B,$A78,'Source 2026'!$A:$A,"Quantity (units)")</f>
        <v>0</v>
      </c>
      <c r="E78" s="8" t="n">
        <f aca="false">D78-C78</f>
        <v>-4</v>
      </c>
      <c r="F78" s="9" t="n">
        <f aca="false">IF(AND(C78=0,D78=0),0,IF(C78=0,"New",(D78-C78)/C78))</f>
        <v>-1</v>
      </c>
      <c r="G78" s="10" t="n">
        <f aca="false">SUMIFS('Source 2025'!$R:$R,'Source 2025'!$B:$B,$A78,'Source 2025'!$A:$A,"Amount (NIS)")</f>
        <v>976.8</v>
      </c>
      <c r="H78" s="10" t="n">
        <f aca="false">SUMIFS('Source 2026'!$R:$R,'Source 2026'!$B:$B,$A78,'Source 2026'!$A:$A,"Amount (NIS)")</f>
        <v>0</v>
      </c>
      <c r="I78" s="10" t="n">
        <f aca="false">H78-G78</f>
        <v>-976.8</v>
      </c>
      <c r="J78" s="9" t="n">
        <f aca="false">IF(AND(G78=0,H78=0),0,IF(G78=0,"New",(H78-G78)/G78))</f>
        <v>-1</v>
      </c>
    </row>
    <row r="79" customFormat="false" ht="15" hidden="false" customHeight="false" outlineLevel="0" collapsed="false">
      <c r="A79" s="7" t="s">
        <v>287</v>
      </c>
      <c r="B79" s="7" t="str">
        <f aca="false">IFERROR(INDEX('Source 2026'!$C:$C,MATCH($A79,'Source 2026'!$B:$B,0)),IFERROR(INDEX('Source 2025'!$C:$C,MATCH($A79,'Source 2025'!$B:$B,0)),""))</f>
        <v>רפידת בולמת זעזועים -זוג</v>
      </c>
      <c r="C79" s="8" t="n">
        <f aca="false">SUMIFS('Source 2025'!$R:$R,'Source 2025'!$B:$B,$A79,'Source 2025'!$A:$A,"Quantity (units)")</f>
        <v>157</v>
      </c>
      <c r="D79" s="8" t="n">
        <f aca="false">SUMIFS('Source 2026'!$R:$R,'Source 2026'!$B:$B,$A79,'Source 2026'!$A:$A,"Quantity (units)")</f>
        <v>85</v>
      </c>
      <c r="E79" s="8" t="n">
        <f aca="false">D79-C79</f>
        <v>-72</v>
      </c>
      <c r="F79" s="9" t="n">
        <f aca="false">IF(AND(C79=0,D79=0),0,IF(C79=0,"New",(D79-C79)/C79))</f>
        <v>-0.45859872611465</v>
      </c>
      <c r="G79" s="10" t="n">
        <f aca="false">SUMIFS('Source 2025'!$R:$R,'Source 2025'!$B:$B,$A79,'Source 2025'!$A:$A,"Amount (NIS)")</f>
        <v>2100.1</v>
      </c>
      <c r="H79" s="10" t="n">
        <f aca="false">SUMIFS('Source 2026'!$R:$R,'Source 2026'!$B:$B,$A79,'Source 2026'!$A:$A,"Amount (NIS)")</f>
        <v>1133.9</v>
      </c>
      <c r="I79" s="10" t="n">
        <f aca="false">H79-G79</f>
        <v>-966.2</v>
      </c>
      <c r="J79" s="9" t="n">
        <f aca="false">IF(AND(G79=0,H79=0),0,IF(G79=0,"New",(H79-G79)/G79))</f>
        <v>-0.460073329841436</v>
      </c>
    </row>
    <row r="80" customFormat="false" ht="15" hidden="false" customHeight="false" outlineLevel="0" collapsed="false">
      <c r="A80" s="7" t="s">
        <v>63</v>
      </c>
      <c r="B80" s="7" t="str">
        <f aca="false">IFERROR(INDEX('Source 2026'!$C:$C,MATCH($A80,'Source 2026'!$B:$B,0)),IFERROR(INDEX('Source 2025'!$C:$C,MATCH($A80,'Source 2025'!$B:$B,0)),""))</f>
        <v>L עקבים לדורבן-זוג כריות</v>
      </c>
      <c r="C80" s="8" t="n">
        <f aca="false">SUMIFS('Source 2025'!$R:$R,'Source 2025'!$B:$B,$A80,'Source 2025'!$A:$A,"Quantity (units)")</f>
        <v>279</v>
      </c>
      <c r="D80" s="8" t="n">
        <f aca="false">SUMIFS('Source 2026'!$R:$R,'Source 2026'!$B:$B,$A80,'Source 2026'!$A:$A,"Quantity (units)")</f>
        <v>268</v>
      </c>
      <c r="E80" s="8" t="n">
        <f aca="false">D80-C80</f>
        <v>-11</v>
      </c>
      <c r="F80" s="9" t="n">
        <f aca="false">IF(AND(C80=0,D80=0),0,IF(C80=0,"New",(D80-C80)/C80))</f>
        <v>-0.039426523297491</v>
      </c>
      <c r="G80" s="10" t="n">
        <f aca="false">SUMIFS('Source 2025'!$R:$R,'Source 2025'!$B:$B,$A80,'Source 2025'!$A:$A,"Amount (NIS)")</f>
        <v>24398.7</v>
      </c>
      <c r="H80" s="10" t="n">
        <f aca="false">SUMIFS('Source 2026'!$R:$R,'Source 2026'!$B:$B,$A80,'Source 2026'!$A:$A,"Amount (NIS)")</f>
        <v>23436.7</v>
      </c>
      <c r="I80" s="10" t="n">
        <f aca="false">H80-G80</f>
        <v>-962</v>
      </c>
      <c r="J80" s="9" t="n">
        <f aca="false">IF(AND(G80=0,H80=0),0,IF(G80=0,"New",(H80-G80)/G80))</f>
        <v>-0.0394283301979204</v>
      </c>
    </row>
    <row r="81" customFormat="false" ht="15" hidden="false" customHeight="false" outlineLevel="0" collapsed="false">
      <c r="A81" s="7" t="s">
        <v>199</v>
      </c>
      <c r="B81" s="7" t="str">
        <f aca="false">IFERROR(INDEX('Source 2026'!$C:$C,MATCH($A81,'Source 2026'!$B:$B,0)),IFERROR(INDEX('Source 2025'!$C:$C,MATCH($A81,'Source 2025'!$B:$B,0)),""))</f>
        <v>רפ.אורטופדית ספורט זוג35</v>
      </c>
      <c r="C81" s="8" t="n">
        <f aca="false">SUMIFS('Source 2025'!$R:$R,'Source 2025'!$B:$B,$A81,'Source 2025'!$A:$A,"Quantity (units)")</f>
        <v>23</v>
      </c>
      <c r="D81" s="8" t="n">
        <f aca="false">SUMIFS('Source 2026'!$R:$R,'Source 2026'!$B:$B,$A81,'Source 2026'!$A:$A,"Quantity (units)")</f>
        <v>0</v>
      </c>
      <c r="E81" s="8" t="n">
        <f aca="false">D81-C81</f>
        <v>-23</v>
      </c>
      <c r="F81" s="9" t="n">
        <f aca="false">IF(AND(C81=0,D81=0),0,IF(C81=0,"New",(D81-C81)/C81))</f>
        <v>-1</v>
      </c>
      <c r="G81" s="10" t="n">
        <f aca="false">SUMIFS('Source 2025'!$R:$R,'Source 2025'!$B:$B,$A81,'Source 2025'!$A:$A,"Amount (NIS)")</f>
        <v>904.6</v>
      </c>
      <c r="H81" s="10" t="n">
        <f aca="false">SUMIFS('Source 2026'!$R:$R,'Source 2026'!$B:$B,$A81,'Source 2026'!$A:$A,"Amount (NIS)")</f>
        <v>0</v>
      </c>
      <c r="I81" s="10" t="n">
        <f aca="false">H81-G81</f>
        <v>-904.6</v>
      </c>
      <c r="J81" s="9" t="n">
        <f aca="false">IF(AND(G81=0,H81=0),0,IF(G81=0,"New",(H81-G81)/G81))</f>
        <v>-1</v>
      </c>
    </row>
    <row r="82" customFormat="false" ht="15" hidden="false" customHeight="false" outlineLevel="0" collapsed="false">
      <c r="A82" s="7" t="s">
        <v>54</v>
      </c>
      <c r="B82" s="7" t="str">
        <f aca="false">IFERROR(INDEX('Source 2026'!$C:$C,MATCH($A82,'Source 2026'!$B:$B,0)),IFERROR(INDEX('Source 2025'!$C:$C,MATCH($A82,'Source 2025'!$B:$B,0)),""))</f>
        <v>גב אפורה</v>
      </c>
      <c r="C82" s="8" t="n">
        <f aca="false">SUMIFS('Source 2025'!$R:$R,'Source 2025'!$B:$B,$A82,'Source 2025'!$A:$A,"Quantity (units)")</f>
        <v>101</v>
      </c>
      <c r="D82" s="8" t="n">
        <f aca="false">SUMIFS('Source 2026'!$R:$R,'Source 2026'!$B:$B,$A82,'Source 2026'!$A:$A,"Quantity (units)")</f>
        <v>110</v>
      </c>
      <c r="E82" s="8" t="n">
        <f aca="false">D82-C82</f>
        <v>9</v>
      </c>
      <c r="F82" s="9" t="n">
        <f aca="false">IF(AND(C82=0,D82=0),0,IF(C82=0,"New",(D82-C82)/C82))</f>
        <v>0.0891089108910891</v>
      </c>
      <c r="G82" s="10" t="n">
        <f aca="false">SUMIFS('Source 2025'!$R:$R,'Source 2025'!$B:$B,$A82,'Source 2025'!$A:$A,"Amount (NIS)")</f>
        <v>10022.2</v>
      </c>
      <c r="H82" s="10" t="n">
        <f aca="false">SUMIFS('Source 2026'!$R:$R,'Source 2026'!$B:$B,$A82,'Source 2026'!$A:$A,"Amount (NIS)")</f>
        <v>10915.3</v>
      </c>
      <c r="I82" s="10" t="n">
        <f aca="false">H82-G82</f>
        <v>893.099999999999</v>
      </c>
      <c r="J82" s="9" t="n">
        <f aca="false">IF(AND(G82=0,H82=0),0,IF(G82=0,"New",(H82-G82)/G82))</f>
        <v>0.0891121709804233</v>
      </c>
    </row>
    <row r="83" customFormat="false" ht="15" hidden="false" customHeight="false" outlineLevel="0" collapsed="false">
      <c r="A83" s="7" t="s">
        <v>48</v>
      </c>
      <c r="B83" s="7" t="str">
        <f aca="false">IFERROR(INDEX('Source 2026'!$C:$C,MATCH($A83,'Source 2026'!$B:$B,0)),IFERROR(INDEX('Source 2025'!$C:$C,MATCH($A83,'Source 2025'!$B:$B,0)),""))</f>
        <v>מישר כתפיים אקטיב</v>
      </c>
      <c r="C83" s="8" t="n">
        <f aca="false">SUMIFS('Source 2025'!$R:$R,'Source 2025'!$B:$B,$A83,'Source 2025'!$A:$A,"Quantity (units)")</f>
        <v>51</v>
      </c>
      <c r="D83" s="8" t="n">
        <f aca="false">SUMIFS('Source 2026'!$R:$R,'Source 2026'!$B:$B,$A83,'Source 2026'!$A:$A,"Quantity (units)")</f>
        <v>62</v>
      </c>
      <c r="E83" s="8" t="n">
        <f aca="false">D83-C83</f>
        <v>11</v>
      </c>
      <c r="F83" s="9" t="n">
        <f aca="false">IF(AND(C83=0,D83=0),0,IF(C83=0,"New",(D83-C83)/C83))</f>
        <v>0.215686274509804</v>
      </c>
      <c r="G83" s="10" t="n">
        <f aca="false">SUMIFS('Source 2025'!$R:$R,'Source 2025'!$B:$B,$A83,'Source 2025'!$A:$A,"Amount (NIS)")</f>
        <v>4054.5</v>
      </c>
      <c r="H83" s="10" t="n">
        <f aca="false">SUMIFS('Source 2026'!$R:$R,'Source 2026'!$B:$B,$A83,'Source 2026'!$A:$A,"Amount (NIS)")</f>
        <v>4929</v>
      </c>
      <c r="I83" s="10" t="n">
        <f aca="false">H83-G83</f>
        <v>874.5</v>
      </c>
      <c r="J83" s="9" t="n">
        <f aca="false">IF(AND(G83=0,H83=0),0,IF(G83=0,"New",(H83-G83)/G83))</f>
        <v>0.215686274509804</v>
      </c>
    </row>
    <row r="84" customFormat="false" ht="15" hidden="false" customHeight="false" outlineLevel="0" collapsed="false">
      <c r="A84" s="7" t="s">
        <v>84</v>
      </c>
      <c r="B84" s="7" t="str">
        <f aca="false">IFERROR(INDEX('Source 2026'!$C:$C,MATCH($A84,'Source 2026'!$B:$B,0)),IFERROR(INDEX('Source 2025'!$C:$C,MATCH($A84,'Source 2025'!$B:$B,0)),""))</f>
        <v>Sמיישר כתף יציב יישור גב צר</v>
      </c>
      <c r="C84" s="8" t="n">
        <f aca="false">SUMIFS('Source 2025'!$R:$R,'Source 2025'!$B:$B,$A84,'Source 2025'!$A:$A,"Quantity (units)")</f>
        <v>141</v>
      </c>
      <c r="D84" s="8" t="n">
        <f aca="false">SUMIFS('Source 2026'!$R:$R,'Source 2026'!$B:$B,$A84,'Source 2026'!$A:$A,"Quantity (units)")</f>
        <v>135</v>
      </c>
      <c r="E84" s="8" t="n">
        <f aca="false">D84-C84</f>
        <v>-6</v>
      </c>
      <c r="F84" s="9" t="n">
        <f aca="false">IF(AND(C84=0,D84=0),0,IF(C84=0,"New",(D84-C84)/C84))</f>
        <v>-0.0425531914893617</v>
      </c>
      <c r="G84" s="10" t="n">
        <f aca="false">SUMIFS('Source 2025'!$R:$R,'Source 2025'!$B:$B,$A84,'Source 2025'!$A:$A,"Amount (NIS)")</f>
        <v>19902.3</v>
      </c>
      <c r="H84" s="10" t="n">
        <f aca="false">SUMIFS('Source 2026'!$R:$R,'Source 2026'!$B:$B,$A84,'Source 2026'!$A:$A,"Amount (NIS)")</f>
        <v>19055.3</v>
      </c>
      <c r="I84" s="10" t="n">
        <f aca="false">H84-G84</f>
        <v>-847</v>
      </c>
      <c r="J84" s="9" t="n">
        <f aca="false">IF(AND(G84=0,H84=0),0,IF(G84=0,"New",(H84-G84)/G84))</f>
        <v>-0.0425578953186315</v>
      </c>
    </row>
    <row r="85" customFormat="false" ht="15" hidden="false" customHeight="false" outlineLevel="0" collapsed="false">
      <c r="A85" s="7" t="s">
        <v>79</v>
      </c>
      <c r="B85" s="7" t="str">
        <f aca="false">IFERROR(INDEX('Source 2026'!$C:$C,MATCH($A85,'Source 2026'!$B:$B,0)),IFERROR(INDEX('Source 2025'!$C:$C,MATCH($A85,'Source 2025'!$B:$B,0)),""))</f>
        <v>S ""חגורת גב ""לומבו</v>
      </c>
      <c r="C85" s="8" t="n">
        <f aca="false">SUMIFS('Source 2025'!$R:$R,'Source 2025'!$B:$B,$A85,'Source 2025'!$A:$A,"Quantity (units)")</f>
        <v>7</v>
      </c>
      <c r="D85" s="8" t="n">
        <f aca="false">SUMIFS('Source 2026'!$R:$R,'Source 2026'!$B:$B,$A85,'Source 2026'!$A:$A,"Quantity (units)")</f>
        <v>13</v>
      </c>
      <c r="E85" s="8" t="n">
        <f aca="false">D85-C85</f>
        <v>6</v>
      </c>
      <c r="F85" s="9" t="n">
        <f aca="false">IF(AND(C85=0,D85=0),0,IF(C85=0,"New",(D85-C85)/C85))</f>
        <v>0.857142857142857</v>
      </c>
      <c r="G85" s="10" t="n">
        <f aca="false">SUMIFS('Source 2025'!$R:$R,'Source 2025'!$B:$B,$A85,'Source 2025'!$A:$A,"Amount (NIS)")</f>
        <v>988.1</v>
      </c>
      <c r="H85" s="10" t="n">
        <f aca="false">SUMIFS('Source 2026'!$R:$R,'Source 2026'!$B:$B,$A85,'Source 2026'!$A:$A,"Amount (NIS)")</f>
        <v>1835</v>
      </c>
      <c r="I85" s="10" t="n">
        <f aca="false">H85-G85</f>
        <v>846.9</v>
      </c>
      <c r="J85" s="9" t="n">
        <f aca="false">IF(AND(G85=0,H85=0),0,IF(G85=0,"New",(H85-G85)/G85))</f>
        <v>0.857099483857909</v>
      </c>
    </row>
    <row r="86" customFormat="false" ht="15" hidden="false" customHeight="false" outlineLevel="0" collapsed="false">
      <c r="A86" s="7" t="s">
        <v>129</v>
      </c>
      <c r="B86" s="7" t="str">
        <f aca="false">IFERROR(INDEX('Source 2026'!$C:$C,MATCH($A86,'Source 2026'!$B:$B,0)),IFERROR(INDEX('Source 2025'!$C:$C,MATCH($A86,'Source 2025'!$B:$B,0)),""))</f>
        <v>תחבושת א.נצמ</v>
      </c>
      <c r="C86" s="8" t="n">
        <f aca="false">SUMIFS('Source 2025'!$R:$R,'Source 2025'!$B:$B,$A86,'Source 2025'!$A:$A,"Quantity (units)")</f>
        <v>352</v>
      </c>
      <c r="D86" s="8" t="n">
        <f aca="false">SUMIFS('Source 2026'!$R:$R,'Source 2026'!$B:$B,$A86,'Source 2026'!$A:$A,"Quantity (units)")</f>
        <v>277</v>
      </c>
      <c r="E86" s="8" t="n">
        <f aca="false">D86-C86</f>
        <v>-75</v>
      </c>
      <c r="F86" s="9" t="n">
        <f aca="false">IF(AND(C86=0,D86=0),0,IF(C86=0,"New",(D86-C86)/C86))</f>
        <v>-0.213068181818182</v>
      </c>
      <c r="G86" s="10" t="n">
        <f aca="false">SUMIFS('Source 2025'!$R:$R,'Source 2025'!$B:$B,$A86,'Source 2025'!$A:$A,"Amount (NIS)")</f>
        <v>3865</v>
      </c>
      <c r="H86" s="10" t="n">
        <f aca="false">SUMIFS('Source 2026'!$R:$R,'Source 2026'!$B:$B,$A86,'Source 2026'!$A:$A,"Amount (NIS)")</f>
        <v>3041.5</v>
      </c>
      <c r="I86" s="10" t="n">
        <f aca="false">H86-G86</f>
        <v>-823.5</v>
      </c>
      <c r="J86" s="9" t="n">
        <f aca="false">IF(AND(G86=0,H86=0),0,IF(G86=0,"New",(H86-G86)/G86))</f>
        <v>-0.213065976714101</v>
      </c>
    </row>
    <row r="87" customFormat="false" ht="15" hidden="false" customHeight="false" outlineLevel="0" collapsed="false">
      <c r="A87" s="7" t="s">
        <v>172</v>
      </c>
      <c r="B87" s="7" t="str">
        <f aca="false">IFERROR(INDEX('Source 2026'!$C:$C,MATCH($A87,'Source 2026'!$B:$B,0)),IFERROR(INDEX('Source 2025'!$C:$C,MATCH($A87,'Source 2025'!$B:$B,0)),""))</f>
        <v>Lמ.ברך+כרית סיל.סביב לפיקה</v>
      </c>
      <c r="C87" s="8" t="n">
        <f aca="false">SUMIFS('Source 2025'!$R:$R,'Source 2025'!$B:$B,$A87,'Source 2025'!$A:$A,"Quantity (units)")</f>
        <v>5</v>
      </c>
      <c r="D87" s="8" t="n">
        <f aca="false">SUMIFS('Source 2026'!$R:$R,'Source 2026'!$B:$B,$A87,'Source 2026'!$A:$A,"Quantity (units)")</f>
        <v>0</v>
      </c>
      <c r="E87" s="8" t="n">
        <f aca="false">D87-C87</f>
        <v>-5</v>
      </c>
      <c r="F87" s="9" t="n">
        <f aca="false">IF(AND(C87=0,D87=0),0,IF(C87=0,"New",(D87-C87)/C87))</f>
        <v>-1</v>
      </c>
      <c r="G87" s="10" t="n">
        <f aca="false">SUMIFS('Source 2025'!$R:$R,'Source 2025'!$B:$B,$A87,'Source 2025'!$A:$A,"Amount (NIS)")</f>
        <v>816</v>
      </c>
      <c r="H87" s="10" t="n">
        <f aca="false">SUMIFS('Source 2026'!$R:$R,'Source 2026'!$B:$B,$A87,'Source 2026'!$A:$A,"Amount (NIS)")</f>
        <v>0</v>
      </c>
      <c r="I87" s="10" t="n">
        <f aca="false">H87-G87</f>
        <v>-816</v>
      </c>
      <c r="J87" s="9" t="n">
        <f aca="false">IF(AND(G87=0,H87=0),0,IF(G87=0,"New",(H87-G87)/G87))</f>
        <v>-1</v>
      </c>
    </row>
    <row r="88" customFormat="false" ht="15" hidden="false" customHeight="false" outlineLevel="0" collapsed="false">
      <c r="A88" s="7" t="s">
        <v>197</v>
      </c>
      <c r="B88" s="7" t="str">
        <f aca="false">IFERROR(INDEX('Source 2026'!$C:$C,MATCH($A88,'Source 2026'!$B:$B,0)),IFERROR(INDEX('Source 2025'!$C:$C,MATCH($A88,'Source 2025'!$B:$B,0)),""))</f>
        <v>S ח.בטן לאחר ניתוח</v>
      </c>
      <c r="C88" s="8" t="n">
        <f aca="false">SUMIFS('Source 2025'!$R:$R,'Source 2025'!$B:$B,$A88,'Source 2025'!$A:$A,"Quantity (units)")</f>
        <v>84</v>
      </c>
      <c r="D88" s="8" t="n">
        <f aca="false">SUMIFS('Source 2026'!$R:$R,'Source 2026'!$B:$B,$A88,'Source 2026'!$A:$A,"Quantity (units)")</f>
        <v>92</v>
      </c>
      <c r="E88" s="8" t="n">
        <f aca="false">D88-C88</f>
        <v>8</v>
      </c>
      <c r="F88" s="9" t="n">
        <f aca="false">IF(AND(C88=0,D88=0),0,IF(C88=0,"New",(D88-C88)/C88))</f>
        <v>0.0952380952380952</v>
      </c>
      <c r="G88" s="10" t="n">
        <f aca="false">SUMIFS('Source 2025'!$R:$R,'Source 2025'!$B:$B,$A88,'Source 2025'!$A:$A,"Amount (NIS)")</f>
        <v>8078.4</v>
      </c>
      <c r="H88" s="10" t="n">
        <f aca="false">SUMIFS('Source 2026'!$R:$R,'Source 2026'!$B:$B,$A88,'Source 2026'!$A:$A,"Amount (NIS)")</f>
        <v>8857.8</v>
      </c>
      <c r="I88" s="10" t="n">
        <f aca="false">H88-G88</f>
        <v>779.4</v>
      </c>
      <c r="J88" s="9" t="n">
        <f aca="false">IF(AND(G88=0,H88=0),0,IF(G88=0,"New",(H88-G88)/G88))</f>
        <v>0.0964795008912656</v>
      </c>
    </row>
    <row r="89" customFormat="false" ht="15" hidden="false" customHeight="false" outlineLevel="0" collapsed="false">
      <c r="A89" s="7" t="s">
        <v>125</v>
      </c>
      <c r="B89" s="7" t="str">
        <f aca="false">IFERROR(INDEX('Source 2026'!$C:$C,MATCH($A89,'Source 2026'!$B:$B,0)),IFERROR(INDEX('Source 2025'!$C:$C,MATCH($A89,'Source 2025'!$B:$B,0)),""))</f>
        <v>S מגן ירך</v>
      </c>
      <c r="C89" s="8" t="n">
        <f aca="false">SUMIFS('Source 2025'!$R:$R,'Source 2025'!$B:$B,$A89,'Source 2025'!$A:$A,"Quantity (units)")</f>
        <v>68</v>
      </c>
      <c r="D89" s="8" t="n">
        <f aca="false">SUMIFS('Source 2026'!$R:$R,'Source 2026'!$B:$B,$A89,'Source 2026'!$A:$A,"Quantity (units)")</f>
        <v>44</v>
      </c>
      <c r="E89" s="8" t="n">
        <f aca="false">D89-C89</f>
        <v>-24</v>
      </c>
      <c r="F89" s="9" t="n">
        <f aca="false">IF(AND(C89=0,D89=0),0,IF(C89=0,"New",(D89-C89)/C89))</f>
        <v>-0.352941176470588</v>
      </c>
      <c r="G89" s="10" t="n">
        <f aca="false">SUMIFS('Source 2025'!$R:$R,'Source 2025'!$B:$B,$A89,'Source 2025'!$A:$A,"Amount (NIS)")</f>
        <v>2074</v>
      </c>
      <c r="H89" s="10" t="n">
        <f aca="false">SUMIFS('Source 2026'!$R:$R,'Source 2026'!$B:$B,$A89,'Source 2026'!$A:$A,"Amount (NIS)")</f>
        <v>1342</v>
      </c>
      <c r="I89" s="10" t="n">
        <f aca="false">H89-G89</f>
        <v>-732</v>
      </c>
      <c r="J89" s="9" t="n">
        <f aca="false">IF(AND(G89=0,H89=0),0,IF(G89=0,"New",(H89-G89)/G89))</f>
        <v>-0.352941176470588</v>
      </c>
    </row>
    <row r="90" customFormat="false" ht="15" hidden="false" customHeight="false" outlineLevel="0" collapsed="false">
      <c r="A90" s="7" t="s">
        <v>200</v>
      </c>
      <c r="B90" s="7" t="str">
        <f aca="false">IFERROR(INDEX('Source 2026'!$C:$C,MATCH($A90,'Source 2026'!$B:$B,0)),IFERROR(INDEX('Source 2025'!$C:$C,MATCH($A90,'Source 2025'!$B:$B,0)),""))</f>
        <v>S חגורת שבר לצד ימין</v>
      </c>
      <c r="C90" s="8" t="n">
        <f aca="false">SUMIFS('Source 2025'!$R:$R,'Source 2025'!$B:$B,$A90,'Source 2025'!$A:$A,"Quantity (units)")</f>
        <v>5</v>
      </c>
      <c r="D90" s="8" t="n">
        <f aca="false">SUMIFS('Source 2026'!$R:$R,'Source 2026'!$B:$B,$A90,'Source 2026'!$A:$A,"Quantity (units)")</f>
        <v>1</v>
      </c>
      <c r="E90" s="8" t="n">
        <f aca="false">D90-C90</f>
        <v>-4</v>
      </c>
      <c r="F90" s="9" t="n">
        <f aca="false">IF(AND(C90=0,D90=0),0,IF(C90=0,"New",(D90-C90)/C90))</f>
        <v>-0.8</v>
      </c>
      <c r="G90" s="10" t="n">
        <f aca="false">SUMIFS('Source 2025'!$R:$R,'Source 2025'!$B:$B,$A90,'Source 2025'!$A:$A,"Amount (NIS)")</f>
        <v>894.4</v>
      </c>
      <c r="H90" s="10" t="n">
        <f aca="false">SUMIFS('Source 2026'!$R:$R,'Source 2026'!$B:$B,$A90,'Source 2026'!$A:$A,"Amount (NIS)")</f>
        <v>178.9</v>
      </c>
      <c r="I90" s="10" t="n">
        <f aca="false">H90-G90</f>
        <v>-715.5</v>
      </c>
      <c r="J90" s="9" t="n">
        <f aca="false">IF(AND(G90=0,H90=0),0,IF(G90=0,"New",(H90-G90)/G90))</f>
        <v>-0.799977638640429</v>
      </c>
    </row>
    <row r="91" customFormat="false" ht="15" hidden="false" customHeight="false" outlineLevel="0" collapsed="false">
      <c r="A91" s="7" t="s">
        <v>160</v>
      </c>
      <c r="B91" s="7" t="str">
        <f aca="false">IFERROR(INDEX('Source 2026'!$C:$C,MATCH($A91,'Source 2026'!$B:$B,0)),IFERROR(INDEX('Source 2025'!$C:$C,MATCH($A91,'Source 2025'!$B:$B,0)),""))</f>
        <v>סד ליישור אצבע</v>
      </c>
      <c r="C91" s="8" t="n">
        <f aca="false">SUMIFS('Source 2025'!$R:$R,'Source 2025'!$B:$B,$A91,'Source 2025'!$A:$A,"Quantity (units)")</f>
        <v>554</v>
      </c>
      <c r="D91" s="8" t="n">
        <f aca="false">SUMIFS('Source 2026'!$R:$R,'Source 2026'!$B:$B,$A91,'Source 2026'!$A:$A,"Quantity (units)")</f>
        <v>508</v>
      </c>
      <c r="E91" s="8" t="n">
        <f aca="false">D91-C91</f>
        <v>-46</v>
      </c>
      <c r="F91" s="9" t="n">
        <f aca="false">IF(AND(C91=0,D91=0),0,IF(C91=0,"New",(D91-C91)/C91))</f>
        <v>-0.0830324909747292</v>
      </c>
      <c r="G91" s="10" t="n">
        <f aca="false">SUMIFS('Source 2025'!$R:$R,'Source 2025'!$B:$B,$A91,'Source 2025'!$A:$A,"Amount (NIS)")</f>
        <v>8531.6</v>
      </c>
      <c r="H91" s="10" t="n">
        <f aca="false">SUMIFS('Source 2026'!$R:$R,'Source 2026'!$B:$B,$A91,'Source 2026'!$A:$A,"Amount (NIS)")</f>
        <v>7823.2</v>
      </c>
      <c r="I91" s="10" t="n">
        <f aca="false">H91-G91</f>
        <v>-708.400000000001</v>
      </c>
      <c r="J91" s="9" t="n">
        <f aca="false">IF(AND(G91=0,H91=0),0,IF(G91=0,"New",(H91-G91)/G91))</f>
        <v>-0.0830324909747293</v>
      </c>
    </row>
    <row r="92" customFormat="false" ht="15" hidden="false" customHeight="false" outlineLevel="0" collapsed="false">
      <c r="A92" s="7" t="s">
        <v>267</v>
      </c>
      <c r="B92" s="7" t="str">
        <f aca="false">IFERROR(INDEX('Source 2026'!$C:$C,MATCH($A92,'Source 2026'!$B:$B,0)),IFERROR(INDEX('Source 2025'!$C:$C,MATCH($A92,'Source 2025'!$B:$B,0)),""))</f>
        <v>L מגן ברך שחור</v>
      </c>
      <c r="C92" s="8" t="n">
        <f aca="false">SUMIFS('Source 2025'!$R:$R,'Source 2025'!$B:$B,$A92,'Source 2025'!$A:$A,"Quantity (units)")</f>
        <v>57</v>
      </c>
      <c r="D92" s="8" t="n">
        <f aca="false">SUMIFS('Source 2026'!$R:$R,'Source 2026'!$B:$B,$A92,'Source 2026'!$A:$A,"Quantity (units)")</f>
        <v>82</v>
      </c>
      <c r="E92" s="8" t="n">
        <f aca="false">D92-C92</f>
        <v>25</v>
      </c>
      <c r="F92" s="9" t="n">
        <f aca="false">IF(AND(C92=0,D92=0),0,IF(C92=0,"New",(D92-C92)/C92))</f>
        <v>0.43859649122807</v>
      </c>
      <c r="G92" s="10" t="n">
        <f aca="false">SUMIFS('Source 2025'!$R:$R,'Source 2025'!$B:$B,$A92,'Source 2025'!$A:$A,"Amount (NIS)")</f>
        <v>1581.8</v>
      </c>
      <c r="H92" s="10" t="n">
        <f aca="false">SUMIFS('Source 2026'!$R:$R,'Source 2026'!$B:$B,$A92,'Source 2026'!$A:$A,"Amount (NIS)")</f>
        <v>2275.7</v>
      </c>
      <c r="I92" s="10" t="n">
        <f aca="false">H92-G92</f>
        <v>693.9</v>
      </c>
      <c r="J92" s="9" t="n">
        <f aca="false">IF(AND(G92=0,H92=0),0,IF(G92=0,"New",(H92-G92)/G92))</f>
        <v>0.438677456062713</v>
      </c>
    </row>
    <row r="93" customFormat="false" ht="15" hidden="false" customHeight="false" outlineLevel="0" collapsed="false">
      <c r="A93" s="7" t="s">
        <v>119</v>
      </c>
      <c r="B93" s="7" t="str">
        <f aca="false">IFERROR(INDEX('Source 2026'!$C:$C,MATCH($A93,'Source 2026'!$B:$B,0)),IFERROR(INDEX('Source 2025'!$C:$C,MATCH($A93,'Source 2025'!$B:$B,0)),""))</f>
        <v>גרב.כסף לסכרתים שחור35-38</v>
      </c>
      <c r="C93" s="8" t="n">
        <f aca="false">SUMIFS('Source 2025'!$R:$R,'Source 2025'!$B:$B,$A93,'Source 2025'!$A:$A,"Quantity (units)")</f>
        <v>32</v>
      </c>
      <c r="D93" s="8" t="n">
        <f aca="false">SUMIFS('Source 2026'!$R:$R,'Source 2026'!$B:$B,$A93,'Source 2026'!$A:$A,"Quantity (units)")</f>
        <v>12</v>
      </c>
      <c r="E93" s="8" t="n">
        <f aca="false">D93-C93</f>
        <v>-20</v>
      </c>
      <c r="F93" s="9" t="n">
        <f aca="false">IF(AND(C93=0,D93=0),0,IF(C93=0,"New",(D93-C93)/C93))</f>
        <v>-0.625</v>
      </c>
      <c r="G93" s="10" t="n">
        <f aca="false">SUMIFS('Source 2025'!$R:$R,'Source 2025'!$B:$B,$A93,'Source 2025'!$A:$A,"Amount (NIS)")</f>
        <v>1006.7</v>
      </c>
      <c r="H93" s="10" t="n">
        <f aca="false">SUMIFS('Source 2026'!$R:$R,'Source 2026'!$B:$B,$A93,'Source 2026'!$A:$A,"Amount (NIS)")</f>
        <v>377.5</v>
      </c>
      <c r="I93" s="10" t="n">
        <f aca="false">H93-G93</f>
        <v>-629.2</v>
      </c>
      <c r="J93" s="9" t="n">
        <f aca="false">IF(AND(G93=0,H93=0),0,IF(G93=0,"New",(H93-G93)/G93))</f>
        <v>-0.625012416807391</v>
      </c>
    </row>
    <row r="94" customFormat="false" ht="15" hidden="false" customHeight="false" outlineLevel="0" collapsed="false">
      <c r="A94" s="7" t="s">
        <v>143</v>
      </c>
      <c r="B94" s="7" t="str">
        <f aca="false">IFERROR(INDEX('Source 2026'!$C:$C,MATCH($A94,'Source 2026'!$B:$B,0)),IFERROR(INDEX('Source 2025'!$C:$C,MATCH($A94,'Source 2025'!$B:$B,0)),""))</f>
        <v>בננה לתמיכת אצבעות ז.כרית</v>
      </c>
      <c r="C94" s="8" t="n">
        <f aca="false">SUMIFS('Source 2025'!$R:$R,'Source 2025'!$B:$B,$A94,'Source 2025'!$A:$A,"Quantity (units)")</f>
        <v>50</v>
      </c>
      <c r="D94" s="8" t="n">
        <f aca="false">SUMIFS('Source 2026'!$R:$R,'Source 2026'!$B:$B,$A94,'Source 2026'!$A:$A,"Quantity (units)")</f>
        <v>24</v>
      </c>
      <c r="E94" s="8" t="n">
        <f aca="false">D94-C94</f>
        <v>-26</v>
      </c>
      <c r="F94" s="9" t="n">
        <f aca="false">IF(AND(C94=0,D94=0),0,IF(C94=0,"New",(D94-C94)/C94))</f>
        <v>-0.52</v>
      </c>
      <c r="G94" s="10" t="n">
        <f aca="false">SUMIFS('Source 2025'!$R:$R,'Source 2025'!$B:$B,$A94,'Source 2025'!$A:$A,"Amount (NIS)")</f>
        <v>1179</v>
      </c>
      <c r="H94" s="10" t="n">
        <f aca="false">SUMIFS('Source 2026'!$R:$R,'Source 2026'!$B:$B,$A94,'Source 2026'!$A:$A,"Amount (NIS)")</f>
        <v>565.9</v>
      </c>
      <c r="I94" s="10" t="n">
        <f aca="false">H94-G94</f>
        <v>-613.1</v>
      </c>
      <c r="J94" s="9" t="n">
        <f aca="false">IF(AND(G94=0,H94=0),0,IF(G94=0,"New",(H94-G94)/G94))</f>
        <v>-0.520016963528414</v>
      </c>
    </row>
    <row r="95" customFormat="false" ht="15" hidden="false" customHeight="false" outlineLevel="0" collapsed="false">
      <c r="A95" s="7" t="s">
        <v>300</v>
      </c>
      <c r="B95" s="7" t="str">
        <f aca="false">IFERROR(INDEX('Source 2026'!$C:$C,MATCH($A95,'Source 2026'!$B:$B,0)),IFERROR(INDEX('Source 2025'!$C:$C,MATCH($A95,'Source 2025'!$B:$B,0)),""))</f>
        <v>סיליק.לכרית כף הרגל373</v>
      </c>
      <c r="C95" s="8" t="n">
        <f aca="false">SUMIFS('Source 2025'!$R:$R,'Source 2025'!$B:$B,$A95,'Source 2025'!$A:$A,"Quantity (units)")</f>
        <v>51</v>
      </c>
      <c r="D95" s="8" t="n">
        <f aca="false">SUMIFS('Source 2026'!$R:$R,'Source 2026'!$B:$B,$A95,'Source 2026'!$A:$A,"Quantity (units)")</f>
        <v>20</v>
      </c>
      <c r="E95" s="8" t="n">
        <f aca="false">D95-C95</f>
        <v>-31</v>
      </c>
      <c r="F95" s="9" t="n">
        <f aca="false">IF(AND(C95=0,D95=0),0,IF(C95=0,"New",(D95-C95)/C95))</f>
        <v>-0.607843137254902</v>
      </c>
      <c r="G95" s="10" t="n">
        <f aca="false">SUMIFS('Source 2025'!$R:$R,'Source 2025'!$B:$B,$A95,'Source 2025'!$A:$A,"Amount (NIS)")</f>
        <v>1001.6</v>
      </c>
      <c r="H95" s="10" t="n">
        <f aca="false">SUMIFS('Source 2026'!$R:$R,'Source 2026'!$B:$B,$A95,'Source 2026'!$A:$A,"Amount (NIS)")</f>
        <v>392.8</v>
      </c>
      <c r="I95" s="10" t="n">
        <f aca="false">H95-G95</f>
        <v>-608.8</v>
      </c>
      <c r="J95" s="9" t="n">
        <f aca="false">IF(AND(G95=0,H95=0),0,IF(G95=0,"New",(H95-G95)/G95))</f>
        <v>-0.607827476038339</v>
      </c>
    </row>
    <row r="96" customFormat="false" ht="15" hidden="false" customHeight="false" outlineLevel="0" collapsed="false">
      <c r="A96" s="7" t="s">
        <v>110</v>
      </c>
      <c r="B96" s="7" t="str">
        <f aca="false">IFERROR(INDEX('Source 2026'!$C:$C,MATCH($A96,'Source 2026'!$B:$B,0)),IFERROR(INDEX('Source 2025'!$C:$C,MATCH($A96,'Source 2025'!$B:$B,0)),""))</f>
        <v>חבק טניס</v>
      </c>
      <c r="C96" s="8" t="n">
        <f aca="false">SUMIFS('Source 2025'!$R:$R,'Source 2025'!$B:$B,$A96,'Source 2025'!$A:$A,"Quantity (units)")</f>
        <v>114</v>
      </c>
      <c r="D96" s="8" t="n">
        <f aca="false">SUMIFS('Source 2026'!$R:$R,'Source 2026'!$B:$B,$A96,'Source 2026'!$A:$A,"Quantity (units)")</f>
        <v>93</v>
      </c>
      <c r="E96" s="8" t="n">
        <f aca="false">D96-C96</f>
        <v>-21</v>
      </c>
      <c r="F96" s="9" t="n">
        <f aca="false">IF(AND(C96=0,D96=0),0,IF(C96=0,"New",(D96-C96)/C96))</f>
        <v>-0.184210526315789</v>
      </c>
      <c r="G96" s="10" t="n">
        <f aca="false">SUMIFS('Source 2025'!$R:$R,'Source 2025'!$B:$B,$A96,'Source 2025'!$A:$A,"Amount (NIS)")</f>
        <v>3279.5</v>
      </c>
      <c r="H96" s="10" t="n">
        <f aca="false">SUMIFS('Source 2026'!$R:$R,'Source 2026'!$B:$B,$A96,'Source 2026'!$A:$A,"Amount (NIS)")</f>
        <v>2674.1</v>
      </c>
      <c r="I96" s="10" t="n">
        <f aca="false">H96-G96</f>
        <v>-605.4</v>
      </c>
      <c r="J96" s="9" t="n">
        <f aca="false">IF(AND(G96=0,H96=0),0,IF(G96=0,"New",(H96-G96)/G96))</f>
        <v>-0.184601311175484</v>
      </c>
    </row>
    <row r="97" customFormat="false" ht="15" hidden="false" customHeight="false" outlineLevel="0" collapsed="false">
      <c r="A97" s="7" t="s">
        <v>303</v>
      </c>
      <c r="B97" s="7" t="str">
        <f aca="false">IFERROR(INDEX('Source 2026'!$C:$C,MATCH($A97,'Source 2026'!$B:$B,0)),IFERROR(INDEX('Source 2025'!$C:$C,MATCH($A97,'Source 2025'!$B:$B,0)),""))</f>
        <v>S חגורת שבר דו צדדי</v>
      </c>
      <c r="C97" s="8" t="n">
        <f aca="false">SUMIFS('Source 2025'!$R:$R,'Source 2025'!$B:$B,$A97,'Source 2025'!$A:$A,"Quantity (units)")</f>
        <v>7</v>
      </c>
      <c r="D97" s="8" t="n">
        <f aca="false">SUMIFS('Source 2026'!$R:$R,'Source 2026'!$B:$B,$A97,'Source 2026'!$A:$A,"Quantity (units)")</f>
        <v>9</v>
      </c>
      <c r="E97" s="8" t="n">
        <f aca="false">D97-C97</f>
        <v>2</v>
      </c>
      <c r="F97" s="9" t="n">
        <f aca="false">IF(AND(C97=0,D97=0),0,IF(C97=0,"New",(D97-C97)/C97))</f>
        <v>0.285714285714286</v>
      </c>
      <c r="G97" s="10" t="n">
        <f aca="false">SUMIFS('Source 2025'!$R:$R,'Source 2025'!$B:$B,$A97,'Source 2025'!$A:$A,"Amount (NIS)")</f>
        <v>2111.9</v>
      </c>
      <c r="H97" s="10" t="n">
        <f aca="false">SUMIFS('Source 2026'!$R:$R,'Source 2026'!$B:$B,$A97,'Source 2026'!$A:$A,"Amount (NIS)")</f>
        <v>2715.4</v>
      </c>
      <c r="I97" s="10" t="n">
        <f aca="false">H97-G97</f>
        <v>603.5</v>
      </c>
      <c r="J97" s="9" t="n">
        <f aca="false">IF(AND(G97=0,H97=0),0,IF(G97=0,"New",(H97-G97)/G97))</f>
        <v>0.285761636441119</v>
      </c>
    </row>
    <row r="98" customFormat="false" ht="15" hidden="false" customHeight="false" outlineLevel="0" collapsed="false">
      <c r="A98" s="7" t="s">
        <v>162</v>
      </c>
      <c r="B98" s="7" t="str">
        <f aca="false">IFERROR(INDEX('Source 2026'!$C:$C,MATCH($A98,'Source 2026'!$B:$B,0)),IFERROR(INDEX('Source 2025'!$C:$C,MATCH($A98,'Source 2025'!$B:$B,0)),""))</f>
        <v>מגן קרסול עקב סגור+רצוע</v>
      </c>
      <c r="C98" s="8" t="n">
        <f aca="false">SUMIFS('Source 2025'!$R:$R,'Source 2025'!$B:$B,$A98,'Source 2025'!$A:$A,"Quantity (units)")</f>
        <v>118</v>
      </c>
      <c r="D98" s="8" t="n">
        <f aca="false">SUMIFS('Source 2026'!$R:$R,'Source 2026'!$B:$B,$A98,'Source 2026'!$A:$A,"Quantity (units)")</f>
        <v>108</v>
      </c>
      <c r="E98" s="8" t="n">
        <f aca="false">D98-C98</f>
        <v>-10</v>
      </c>
      <c r="F98" s="9" t="n">
        <f aca="false">IF(AND(C98=0,D98=0),0,IF(C98=0,"New",(D98-C98)/C98))</f>
        <v>-0.0847457627118644</v>
      </c>
      <c r="G98" s="10" t="n">
        <f aca="false">SUMIFS('Source 2025'!$R:$R,'Source 2025'!$B:$B,$A98,'Source 2025'!$A:$A,"Amount (NIS)")</f>
        <v>6762.6</v>
      </c>
      <c r="H98" s="10" t="n">
        <f aca="false">SUMIFS('Source 2026'!$R:$R,'Source 2026'!$B:$B,$A98,'Source 2026'!$A:$A,"Amount (NIS)")</f>
        <v>6189.5</v>
      </c>
      <c r="I98" s="10" t="n">
        <f aca="false">H98-G98</f>
        <v>-573.1</v>
      </c>
      <c r="J98" s="9" t="n">
        <f aca="false">IF(AND(G98=0,H98=0),0,IF(G98=0,"New",(H98-G98)/G98))</f>
        <v>-0.0847455120811523</v>
      </c>
    </row>
    <row r="99" customFormat="false" ht="15" hidden="false" customHeight="false" outlineLevel="0" collapsed="false">
      <c r="A99" s="7" t="s">
        <v>175</v>
      </c>
      <c r="B99" s="7" t="str">
        <f aca="false">IFERROR(INDEX('Source 2026'!$C:$C,MATCH($A99,'Source 2026'!$B:$B,0)),IFERROR(INDEX('Source 2025'!$C:$C,MATCH($A99,'Source 2025'!$B:$B,0)),""))</f>
        <v>סד ליישור אצבע</v>
      </c>
      <c r="C99" s="8" t="n">
        <f aca="false">SUMIFS('Source 2025'!$R:$R,'Source 2025'!$B:$B,$A99,'Source 2025'!$A:$A,"Quantity (units)")</f>
        <v>251</v>
      </c>
      <c r="D99" s="8" t="n">
        <f aca="false">SUMIFS('Source 2026'!$R:$R,'Source 2026'!$B:$B,$A99,'Source 2026'!$A:$A,"Quantity (units)")</f>
        <v>214</v>
      </c>
      <c r="E99" s="8" t="n">
        <f aca="false">D99-C99</f>
        <v>-37</v>
      </c>
      <c r="F99" s="9" t="n">
        <f aca="false">IF(AND(C99=0,D99=0),0,IF(C99=0,"New",(D99-C99)/C99))</f>
        <v>-0.147410358565737</v>
      </c>
      <c r="G99" s="10" t="n">
        <f aca="false">SUMIFS('Source 2025'!$R:$R,'Source 2025'!$B:$B,$A99,'Source 2025'!$A:$A,"Amount (NIS)")</f>
        <v>3865.4</v>
      </c>
      <c r="H99" s="10" t="n">
        <f aca="false">SUMIFS('Source 2026'!$R:$R,'Source 2026'!$B:$B,$A99,'Source 2026'!$A:$A,"Amount (NIS)")</f>
        <v>3295.6</v>
      </c>
      <c r="I99" s="10" t="n">
        <f aca="false">H99-G99</f>
        <v>-569.8</v>
      </c>
      <c r="J99" s="9" t="n">
        <f aca="false">IF(AND(G99=0,H99=0),0,IF(G99=0,"New",(H99-G99)/G99))</f>
        <v>-0.147410358565737</v>
      </c>
    </row>
    <row r="100" customFormat="false" ht="15" hidden="false" customHeight="false" outlineLevel="0" collapsed="false">
      <c r="A100" s="7" t="s">
        <v>185</v>
      </c>
      <c r="B100" s="7" t="str">
        <f aca="false">IFERROR(INDEX('Source 2026'!$C:$C,MATCH($A100,'Source 2026'!$B:$B,0)),IFERROR(INDEX('Source 2025'!$C:$C,MATCH($A100,'Source 2025'!$B:$B,0)),""))</f>
        <v>S תומך זרוע וכתף</v>
      </c>
      <c r="C100" s="8" t="n">
        <f aca="false">SUMIFS('Source 2025'!$R:$R,'Source 2025'!$B:$B,$A100,'Source 2025'!$A:$A,"Quantity (units)")</f>
        <v>7</v>
      </c>
      <c r="D100" s="8" t="n">
        <f aca="false">SUMIFS('Source 2026'!$R:$R,'Source 2026'!$B:$B,$A100,'Source 2026'!$A:$A,"Quantity (units)")</f>
        <v>4</v>
      </c>
      <c r="E100" s="8" t="n">
        <f aca="false">D100-C100</f>
        <v>-3</v>
      </c>
      <c r="F100" s="9" t="n">
        <f aca="false">IF(AND(C100=0,D100=0),0,IF(C100=0,"New",(D100-C100)/C100))</f>
        <v>-0.428571428571429</v>
      </c>
      <c r="G100" s="10" t="n">
        <f aca="false">SUMIFS('Source 2025'!$R:$R,'Source 2025'!$B:$B,$A100,'Source 2025'!$A:$A,"Amount (NIS)")</f>
        <v>1311.1</v>
      </c>
      <c r="H100" s="10" t="n">
        <f aca="false">SUMIFS('Source 2026'!$R:$R,'Source 2026'!$B:$B,$A100,'Source 2026'!$A:$A,"Amount (NIS)")</f>
        <v>749.2</v>
      </c>
      <c r="I100" s="10" t="n">
        <f aca="false">H100-G100</f>
        <v>-561.9</v>
      </c>
      <c r="J100" s="9" t="n">
        <f aca="false">IF(AND(G100=0,H100=0),0,IF(G100=0,"New",(H100-G100)/G100))</f>
        <v>-0.428571428571429</v>
      </c>
    </row>
    <row r="101" customFormat="false" ht="15" hidden="false" customHeight="false" outlineLevel="0" collapsed="false">
      <c r="A101" s="7" t="s">
        <v>164</v>
      </c>
      <c r="B101" s="7" t="str">
        <f aca="false">IFERROR(INDEX('Source 2026'!$C:$C,MATCH($A101,'Source 2026'!$B:$B,0)),IFERROR(INDEX('Source 2025'!$C:$C,MATCH($A101,'Source 2025'!$B:$B,0)),""))</f>
        <v>Sמיישר כתף יציב יישור ג.רחב</v>
      </c>
      <c r="C101" s="8" t="n">
        <f aca="false">SUMIFS('Source 2025'!$R:$R,'Source 2025'!$B:$B,$A101,'Source 2025'!$A:$A,"Quantity (units)")</f>
        <v>9</v>
      </c>
      <c r="D101" s="8" t="n">
        <f aca="false">SUMIFS('Source 2026'!$R:$R,'Source 2026'!$B:$B,$A101,'Source 2026'!$A:$A,"Quantity (units)")</f>
        <v>6</v>
      </c>
      <c r="E101" s="8" t="n">
        <f aca="false">D101-C101</f>
        <v>-3</v>
      </c>
      <c r="F101" s="9" t="n">
        <f aca="false">IF(AND(C101=0,D101=0),0,IF(C101=0,"New",(D101-C101)/C101))</f>
        <v>-0.333333333333333</v>
      </c>
      <c r="G101" s="10" t="n">
        <f aca="false">SUMIFS('Source 2025'!$R:$R,'Source 2025'!$B:$B,$A101,'Source 2025'!$A:$A,"Amount (NIS)")</f>
        <v>1520.4</v>
      </c>
      <c r="H101" s="10" t="n">
        <f aca="false">SUMIFS('Source 2026'!$R:$R,'Source 2026'!$B:$B,$A101,'Source 2026'!$A:$A,"Amount (NIS)")</f>
        <v>968.6</v>
      </c>
      <c r="I101" s="10" t="n">
        <f aca="false">H101-G101</f>
        <v>-551.8</v>
      </c>
      <c r="J101" s="9" t="n">
        <f aca="false">IF(AND(G101=0,H101=0),0,IF(G101=0,"New",(H101-G101)/G101))</f>
        <v>-0.362930807682189</v>
      </c>
    </row>
    <row r="102" customFormat="false" ht="15" hidden="false" customHeight="false" outlineLevel="0" collapsed="false">
      <c r="A102" s="7" t="s">
        <v>254</v>
      </c>
      <c r="B102" s="7" t="str">
        <f aca="false">IFERROR(INDEX('Source 2026'!$C:$C,MATCH($A102,'Source 2026'!$B:$B,0)),IFERROR(INDEX('Source 2025'!$C:$C,MATCH($A102,'Source 2025'!$B:$B,0)),""))</f>
        <v>L מיצב פיקה</v>
      </c>
      <c r="C102" s="8" t="n">
        <f aca="false">SUMIFS('Source 2025'!$R:$R,'Source 2025'!$B:$B,$A102,'Source 2025'!$A:$A,"Quantity (units)")</f>
        <v>6</v>
      </c>
      <c r="D102" s="8" t="n">
        <f aca="false">SUMIFS('Source 2026'!$R:$R,'Source 2026'!$B:$B,$A102,'Source 2026'!$A:$A,"Quantity (units)")</f>
        <v>0</v>
      </c>
      <c r="E102" s="8" t="n">
        <f aca="false">D102-C102</f>
        <v>-6</v>
      </c>
      <c r="F102" s="9" t="n">
        <f aca="false">IF(AND(C102=0,D102=0),0,IF(C102=0,"New",(D102-C102)/C102))</f>
        <v>-1</v>
      </c>
      <c r="G102" s="10" t="n">
        <f aca="false">SUMIFS('Source 2025'!$R:$R,'Source 2025'!$B:$B,$A102,'Source 2025'!$A:$A,"Amount (NIS)")</f>
        <v>529.2</v>
      </c>
      <c r="H102" s="10" t="n">
        <f aca="false">SUMIFS('Source 2026'!$R:$R,'Source 2026'!$B:$B,$A102,'Source 2026'!$A:$A,"Amount (NIS)")</f>
        <v>0</v>
      </c>
      <c r="I102" s="10" t="n">
        <f aca="false">H102-G102</f>
        <v>-529.2</v>
      </c>
      <c r="J102" s="9" t="n">
        <f aca="false">IF(AND(G102=0,H102=0),0,IF(G102=0,"New",(H102-G102)/G102))</f>
        <v>-1</v>
      </c>
    </row>
    <row r="103" customFormat="false" ht="15" hidden="false" customHeight="false" outlineLevel="0" collapsed="false">
      <c r="A103" s="7" t="s">
        <v>152</v>
      </c>
      <c r="B103" s="7" t="str">
        <f aca="false">IFERROR(INDEX('Source 2026'!$C:$C,MATCH($A103,'Source 2026'!$B:$B,0)),IFERROR(INDEX('Source 2025'!$C:$C,MATCH($A103,'Source 2025'!$B:$B,0)),""))</f>
        <v>S  חגורת גב פוג'יאמה</v>
      </c>
      <c r="C103" s="8" t="n">
        <f aca="false">SUMIFS('Source 2025'!$R:$R,'Source 2025'!$B:$B,$A103,'Source 2025'!$A:$A,"Quantity (units)")</f>
        <v>15</v>
      </c>
      <c r="D103" s="8" t="n">
        <f aca="false">SUMIFS('Source 2026'!$R:$R,'Source 2026'!$B:$B,$A103,'Source 2026'!$A:$A,"Quantity (units)")</f>
        <v>9</v>
      </c>
      <c r="E103" s="8" t="n">
        <f aca="false">D103-C103</f>
        <v>-6</v>
      </c>
      <c r="F103" s="9" t="n">
        <f aca="false">IF(AND(C103=0,D103=0),0,IF(C103=0,"New",(D103-C103)/C103))</f>
        <v>-0.4</v>
      </c>
      <c r="G103" s="10" t="n">
        <f aca="false">SUMIFS('Source 2025'!$R:$R,'Source 2025'!$B:$B,$A103,'Source 2025'!$A:$A,"Amount (NIS)")</f>
        <v>1323</v>
      </c>
      <c r="H103" s="10" t="n">
        <f aca="false">SUMIFS('Source 2026'!$R:$R,'Source 2026'!$B:$B,$A103,'Source 2026'!$A:$A,"Amount (NIS)")</f>
        <v>793.8</v>
      </c>
      <c r="I103" s="10" t="n">
        <f aca="false">H103-G103</f>
        <v>-529.2</v>
      </c>
      <c r="J103" s="9" t="n">
        <f aca="false">IF(AND(G103=0,H103=0),0,IF(G103=0,"New",(H103-G103)/G103))</f>
        <v>-0.4</v>
      </c>
    </row>
    <row r="104" customFormat="false" ht="15" hidden="false" customHeight="false" outlineLevel="0" collapsed="false">
      <c r="A104" s="7" t="s">
        <v>155</v>
      </c>
      <c r="B104" s="7" t="str">
        <f aca="false">IFERROR(INDEX('Source 2026'!$C:$C,MATCH($A104,'Source 2026'!$B:$B,0)),IFERROR(INDEX('Source 2025'!$C:$C,MATCH($A104,'Source 2025'!$B:$B,0)),""))</f>
        <v>0 חגורה למנותחי בית חזה</v>
      </c>
      <c r="C104" s="8" t="n">
        <f aca="false">SUMIFS('Source 2025'!$R:$R,'Source 2025'!$B:$B,$A104,'Source 2025'!$A:$A,"Quantity (units)")</f>
        <v>0</v>
      </c>
      <c r="D104" s="8" t="n">
        <f aca="false">SUMIFS('Source 2026'!$R:$R,'Source 2026'!$B:$B,$A104,'Source 2026'!$A:$A,"Quantity (units)")</f>
        <v>2</v>
      </c>
      <c r="E104" s="8" t="n">
        <f aca="false">D104-C104</f>
        <v>2</v>
      </c>
      <c r="F104" s="9" t="str">
        <f aca="false">IF(AND(C104=0,D104=0),0,IF(C104=0,"New",(D104-C104)/C104))</f>
        <v>New</v>
      </c>
      <c r="G104" s="10" t="n">
        <f aca="false">SUMIFS('Source 2025'!$R:$R,'Source 2025'!$B:$B,$A104,'Source 2025'!$A:$A,"Amount (NIS)")</f>
        <v>0</v>
      </c>
      <c r="H104" s="10" t="n">
        <f aca="false">SUMIFS('Source 2026'!$R:$R,'Source 2026'!$B:$B,$A104,'Source 2026'!$A:$A,"Amount (NIS)")</f>
        <v>502.9</v>
      </c>
      <c r="I104" s="10" t="n">
        <f aca="false">H104-G104</f>
        <v>502.9</v>
      </c>
      <c r="J104" s="9" t="str">
        <f aca="false">IF(AND(G104=0,H104=0),0,IF(G104=0,"New",(H104-G104)/G104))</f>
        <v>New</v>
      </c>
    </row>
    <row r="105" customFormat="false" ht="15" hidden="false" customHeight="false" outlineLevel="0" collapsed="false">
      <c r="A105" s="7" t="s">
        <v>284</v>
      </c>
      <c r="B105" s="7" t="str">
        <f aca="false">IFERROR(INDEX('Source 2026'!$C:$C,MATCH($A105,'Source 2026'!$B:$B,0)),IFERROR(INDEX('Source 2025'!$C:$C,MATCH($A105,'Source 2025'!$B:$B,0)),""))</f>
        <v>לחץ מיבלת2יח</v>
      </c>
      <c r="C105" s="8" t="n">
        <f aca="false">SUMIFS('Source 2025'!$R:$R,'Source 2025'!$B:$B,$A105,'Source 2025'!$A:$A,"Quantity (units)")</f>
        <v>88</v>
      </c>
      <c r="D105" s="8" t="n">
        <f aca="false">SUMIFS('Source 2026'!$R:$R,'Source 2026'!$B:$B,$A105,'Source 2026'!$A:$A,"Quantity (units)")</f>
        <v>52</v>
      </c>
      <c r="E105" s="8" t="n">
        <f aca="false">D105-C105</f>
        <v>-36</v>
      </c>
      <c r="F105" s="9" t="n">
        <f aca="false">IF(AND(C105=0,D105=0),0,IF(C105=0,"New",(D105-C105)/C105))</f>
        <v>-0.409090909090909</v>
      </c>
      <c r="G105" s="10" t="n">
        <f aca="false">SUMIFS('Source 2025'!$R:$R,'Source 2025'!$B:$B,$A105,'Source 2025'!$A:$A,"Amount (NIS)")</f>
        <v>1151</v>
      </c>
      <c r="H105" s="10" t="n">
        <f aca="false">SUMIFS('Source 2026'!$R:$R,'Source 2026'!$B:$B,$A105,'Source 2026'!$A:$A,"Amount (NIS)")</f>
        <v>680.2</v>
      </c>
      <c r="I105" s="10" t="n">
        <f aca="false">H105-G105</f>
        <v>-470.8</v>
      </c>
      <c r="J105" s="9" t="n">
        <f aca="false">IF(AND(G105=0,H105=0),0,IF(G105=0,"New",(H105-G105)/G105))</f>
        <v>-0.409035621198957</v>
      </c>
    </row>
    <row r="106" customFormat="false" ht="15" hidden="false" customHeight="false" outlineLevel="0" collapsed="false">
      <c r="A106" s="7" t="s">
        <v>112</v>
      </c>
      <c r="B106" s="7" t="str">
        <f aca="false">IFERROR(INDEX('Source 2026'!$C:$C,MATCH($A106,'Source 2026'!$B:$B,0)),IFERROR(INDEX('Source 2025'!$C:$C,MATCH($A106,'Source 2025'!$B:$B,0)),""))</f>
        <v>אמבט לכף הרגל</v>
      </c>
      <c r="C106" s="8" t="n">
        <f aca="false">SUMIFS('Source 2025'!$R:$R,'Source 2025'!$B:$B,$A106,'Source 2025'!$A:$A,"Quantity (units)")</f>
        <v>195</v>
      </c>
      <c r="D106" s="8" t="n">
        <f aca="false">SUMIFS('Source 2026'!$R:$R,'Source 2026'!$B:$B,$A106,'Source 2026'!$A:$A,"Quantity (units)")</f>
        <v>152</v>
      </c>
      <c r="E106" s="8" t="n">
        <f aca="false">D106-C106</f>
        <v>-43</v>
      </c>
      <c r="F106" s="9" t="n">
        <f aca="false">IF(AND(C106=0,D106=0),0,IF(C106=0,"New",(D106-C106)/C106))</f>
        <v>-0.220512820512821</v>
      </c>
      <c r="G106" s="10" t="n">
        <f aca="false">SUMIFS('Source 2025'!$R:$R,'Source 2025'!$B:$B,$A106,'Source 2025'!$A:$A,"Amount (NIS)")</f>
        <v>2133.3</v>
      </c>
      <c r="H106" s="10" t="n">
        <f aca="false">SUMIFS('Source 2026'!$R:$R,'Source 2026'!$B:$B,$A106,'Source 2026'!$A:$A,"Amount (NIS)")</f>
        <v>1662.9</v>
      </c>
      <c r="I106" s="10" t="n">
        <f aca="false">H106-G106</f>
        <v>-470.4</v>
      </c>
      <c r="J106" s="9" t="n">
        <f aca="false">IF(AND(G106=0,H106=0),0,IF(G106=0,"New",(H106-G106)/G106))</f>
        <v>-0.220503445366334</v>
      </c>
    </row>
    <row r="107" customFormat="false" ht="15" hidden="false" customHeight="false" outlineLevel="0" collapsed="false">
      <c r="A107" s="7" t="s">
        <v>150</v>
      </c>
      <c r="B107" s="7" t="str">
        <f aca="false">IFERROR(INDEX('Source 2026'!$C:$C,MATCH($A107,'Source 2026'!$B:$B,0)),IFERROR(INDEX('Source 2025'!$C:$C,MATCH($A107,'Source 2025'!$B:$B,0)),""))</f>
        <v>S מגן קרסול שמאל</v>
      </c>
      <c r="C107" s="8" t="n">
        <f aca="false">SUMIFS('Source 2025'!$R:$R,'Source 2025'!$B:$B,$A107,'Source 2025'!$A:$A,"Quantity (units)")</f>
        <v>31</v>
      </c>
      <c r="D107" s="8" t="n">
        <f aca="false">SUMIFS('Source 2026'!$R:$R,'Source 2026'!$B:$B,$A107,'Source 2026'!$A:$A,"Quantity (units)")</f>
        <v>25</v>
      </c>
      <c r="E107" s="8" t="n">
        <f aca="false">D107-C107</f>
        <v>-6</v>
      </c>
      <c r="F107" s="9" t="n">
        <f aca="false">IF(AND(C107=0,D107=0),0,IF(C107=0,"New",(D107-C107)/C107))</f>
        <v>-0.193548387096774</v>
      </c>
      <c r="G107" s="10" t="n">
        <f aca="false">SUMIFS('Source 2025'!$R:$R,'Source 2025'!$B:$B,$A107,'Source 2025'!$A:$A,"Amount (NIS)")</f>
        <v>2309.3</v>
      </c>
      <c r="H107" s="10" t="n">
        <f aca="false">SUMIFS('Source 2026'!$R:$R,'Source 2026'!$B:$B,$A107,'Source 2026'!$A:$A,"Amount (NIS)")</f>
        <v>1862.2</v>
      </c>
      <c r="I107" s="10" t="n">
        <f aca="false">H107-G107</f>
        <v>-447.1</v>
      </c>
      <c r="J107" s="9" t="n">
        <f aca="false">IF(AND(G107=0,H107=0),0,IF(G107=0,"New",(H107-G107)/G107))</f>
        <v>-0.193608452777898</v>
      </c>
    </row>
    <row r="108" customFormat="false" ht="15" hidden="false" customHeight="false" outlineLevel="0" collapsed="false">
      <c r="A108" s="7" t="s">
        <v>272</v>
      </c>
      <c r="B108" s="7" t="str">
        <f aca="false">IFERROR(INDEX('Source 2026'!$C:$C,MATCH($A108,'Source 2026'!$B:$B,0)),IFERROR(INDEX('Source 2025'!$C:$C,MATCH($A108,'Source 2025'!$B:$B,0)),""))</f>
        <v>סד לש.כף יד שמאל</v>
      </c>
      <c r="C108" s="8" t="n">
        <f aca="false">SUMIFS('Source 2025'!$R:$R,'Source 2025'!$B:$B,$A108,'Source 2025'!$A:$A,"Quantity (units)")</f>
        <v>11</v>
      </c>
      <c r="D108" s="8" t="n">
        <f aca="false">SUMIFS('Source 2026'!$R:$R,'Source 2026'!$B:$B,$A108,'Source 2026'!$A:$A,"Quantity (units)")</f>
        <v>24</v>
      </c>
      <c r="E108" s="8" t="n">
        <f aca="false">D108-C108</f>
        <v>13</v>
      </c>
      <c r="F108" s="9" t="n">
        <f aca="false">IF(AND(C108=0,D108=0),0,IF(C108=0,"New",(D108-C108)/C108))</f>
        <v>1.18181818181818</v>
      </c>
      <c r="G108" s="10" t="n">
        <f aca="false">SUMIFS('Source 2025'!$R:$R,'Source 2025'!$B:$B,$A108,'Source 2025'!$A:$A,"Amount (NIS)")</f>
        <v>377</v>
      </c>
      <c r="H108" s="10" t="n">
        <f aca="false">SUMIFS('Source 2026'!$R:$R,'Source 2026'!$B:$B,$A108,'Source 2026'!$A:$A,"Amount (NIS)")</f>
        <v>822.5</v>
      </c>
      <c r="I108" s="10" t="n">
        <f aca="false">H108-G108</f>
        <v>445.5</v>
      </c>
      <c r="J108" s="9" t="n">
        <f aca="false">IF(AND(G108=0,H108=0),0,IF(G108=0,"New",(H108-G108)/G108))</f>
        <v>1.1816976127321</v>
      </c>
    </row>
    <row r="109" customFormat="false" ht="15" hidden="false" customHeight="false" outlineLevel="0" collapsed="false">
      <c r="A109" s="7" t="s">
        <v>317</v>
      </c>
      <c r="B109" s="7" t="str">
        <f aca="false">IFERROR(INDEX('Source 2026'!$C:$C,MATCH($A109,'Source 2026'!$B:$B,0)),IFERROR(INDEX('Source 2025'!$C:$C,MATCH($A109,'Source 2025'!$B:$B,0)),""))</f>
        <v>סד לאגודל לאחר שבר</v>
      </c>
      <c r="C109" s="8" t="n">
        <f aca="false">SUMIFS('Source 2025'!$R:$R,'Source 2025'!$B:$B,$A109,'Source 2025'!$A:$A,"Quantity (units)")</f>
        <v>5</v>
      </c>
      <c r="D109" s="8" t="n">
        <f aca="false">SUMIFS('Source 2026'!$R:$R,'Source 2026'!$B:$B,$A109,'Source 2026'!$A:$A,"Quantity (units)")</f>
        <v>10</v>
      </c>
      <c r="E109" s="8" t="n">
        <f aca="false">D109-C109</f>
        <v>5</v>
      </c>
      <c r="F109" s="9" t="n">
        <f aca="false">IF(AND(C109=0,D109=0),0,IF(C109=0,"New",(D109-C109)/C109))</f>
        <v>1</v>
      </c>
      <c r="G109" s="10" t="n">
        <f aca="false">SUMIFS('Source 2025'!$R:$R,'Source 2025'!$B:$B,$A109,'Source 2025'!$A:$A,"Amount (NIS)")</f>
        <v>441</v>
      </c>
      <c r="H109" s="10" t="n">
        <f aca="false">SUMIFS('Source 2026'!$R:$R,'Source 2026'!$B:$B,$A109,'Source 2026'!$A:$A,"Amount (NIS)")</f>
        <v>882</v>
      </c>
      <c r="I109" s="10" t="n">
        <f aca="false">H109-G109</f>
        <v>441</v>
      </c>
      <c r="J109" s="9" t="n">
        <f aca="false">IF(AND(G109=0,H109=0),0,IF(G109=0,"New",(H109-G109)/G109))</f>
        <v>1</v>
      </c>
    </row>
    <row r="110" customFormat="false" ht="15" hidden="false" customHeight="false" outlineLevel="0" collapsed="false">
      <c r="A110" s="7" t="s">
        <v>146</v>
      </c>
      <c r="B110" s="7" t="str">
        <f aca="false">IFERROR(INDEX('Source 2026'!$C:$C,MATCH($A110,'Source 2026'!$B:$B,0)),IFERROR(INDEX('Source 2025'!$C:$C,MATCH($A110,'Source 2025'!$B:$B,0)),""))</f>
        <v>מפריד הלוקס</v>
      </c>
      <c r="C110" s="8" t="n">
        <f aca="false">SUMIFS('Source 2025'!$R:$R,'Source 2025'!$B:$B,$A110,'Source 2025'!$A:$A,"Quantity (units)")</f>
        <v>17</v>
      </c>
      <c r="D110" s="8" t="n">
        <f aca="false">SUMIFS('Source 2026'!$R:$R,'Source 2026'!$B:$B,$A110,'Source 2026'!$A:$A,"Quantity (units)")</f>
        <v>7</v>
      </c>
      <c r="E110" s="8" t="n">
        <f aca="false">D110-C110</f>
        <v>-10</v>
      </c>
      <c r="F110" s="9" t="n">
        <f aca="false">IF(AND(C110=0,D110=0),0,IF(C110=0,"New",(D110-C110)/C110))</f>
        <v>-0.588235294117647</v>
      </c>
      <c r="G110" s="10" t="n">
        <f aca="false">SUMIFS('Source 2025'!$R:$R,'Source 2025'!$B:$B,$A110,'Source 2025'!$A:$A,"Amount (NIS)")</f>
        <v>742.9</v>
      </c>
      <c r="H110" s="10" t="n">
        <f aca="false">SUMIFS('Source 2026'!$R:$R,'Source 2026'!$B:$B,$A110,'Source 2026'!$A:$A,"Amount (NIS)")</f>
        <v>305.9</v>
      </c>
      <c r="I110" s="10" t="n">
        <f aca="false">H110-G110</f>
        <v>-437</v>
      </c>
      <c r="J110" s="9" t="n">
        <f aca="false">IF(AND(G110=0,H110=0),0,IF(G110=0,"New",(H110-G110)/G110))</f>
        <v>-0.588235294117647</v>
      </c>
    </row>
    <row r="111" customFormat="false" ht="15" hidden="false" customHeight="false" outlineLevel="0" collapsed="false">
      <c r="A111" s="7" t="s">
        <v>67</v>
      </c>
      <c r="B111" s="7" t="str">
        <f aca="false">IFERROR(INDEX('Source 2026'!$C:$C,MATCH($A111,'Source 2026'!$B:$B,0)),IFERROR(INDEX('Source 2025'!$C:$C,MATCH($A111,'Source 2025'!$B:$B,0)),""))</f>
        <v>שרוול מטטרזלי מסיליקון</v>
      </c>
      <c r="C111" s="8" t="n">
        <f aca="false">SUMIFS('Source 2025'!$R:$R,'Source 2025'!$B:$B,$A111,'Source 2025'!$A:$A,"Quantity (units)")</f>
        <v>49</v>
      </c>
      <c r="D111" s="8" t="n">
        <f aca="false">SUMIFS('Source 2026'!$R:$R,'Source 2026'!$B:$B,$A111,'Source 2026'!$A:$A,"Quantity (units)")</f>
        <v>42</v>
      </c>
      <c r="E111" s="8" t="n">
        <f aca="false">D111-C111</f>
        <v>-7</v>
      </c>
      <c r="F111" s="9" t="n">
        <f aca="false">IF(AND(C111=0,D111=0),0,IF(C111=0,"New",(D111-C111)/C111))</f>
        <v>-0.142857142857143</v>
      </c>
      <c r="G111" s="10" t="n">
        <f aca="false">SUMIFS('Source 2025'!$R:$R,'Source 2025'!$B:$B,$A111,'Source 2025'!$A:$A,"Amount (NIS)")</f>
        <v>2744</v>
      </c>
      <c r="H111" s="10" t="n">
        <f aca="false">SUMIFS('Source 2026'!$R:$R,'Source 2026'!$B:$B,$A111,'Source 2026'!$A:$A,"Amount (NIS)")</f>
        <v>2352</v>
      </c>
      <c r="I111" s="10" t="n">
        <f aca="false">H111-G111</f>
        <v>-392</v>
      </c>
      <c r="J111" s="9" t="n">
        <f aca="false">IF(AND(G111=0,H111=0),0,IF(G111=0,"New",(H111-G111)/G111))</f>
        <v>-0.142857142857143</v>
      </c>
    </row>
    <row r="112" customFormat="false" ht="15" hidden="false" customHeight="false" outlineLevel="0" collapsed="false">
      <c r="A112" s="7" t="s">
        <v>293</v>
      </c>
      <c r="B112" s="7" t="str">
        <f aca="false">IFERROR(INDEX('Source 2026'!$C:$C,MATCH($A112,'Source 2026'!$B:$B,0)),IFERROR(INDEX('Source 2025'!$C:$C,MATCH($A112,'Source 2025'!$B:$B,0)),""))</f>
        <v>344-אבן טבעית להסרת עור קשה</v>
      </c>
      <c r="C112" s="8" t="n">
        <f aca="false">SUMIFS('Source 2025'!$R:$R,'Source 2025'!$B:$B,$A112,'Source 2025'!$A:$A,"Quantity (units)")</f>
        <v>98</v>
      </c>
      <c r="D112" s="8" t="n">
        <f aca="false">SUMIFS('Source 2026'!$R:$R,'Source 2026'!$B:$B,$A112,'Source 2026'!$A:$A,"Quantity (units)")</f>
        <v>151</v>
      </c>
      <c r="E112" s="8" t="n">
        <f aca="false">D112-C112</f>
        <v>53</v>
      </c>
      <c r="F112" s="9" t="n">
        <f aca="false">IF(AND(C112=0,D112=0),0,IF(C112=0,"New",(D112-C112)/C112))</f>
        <v>0.540816326530612</v>
      </c>
      <c r="G112" s="10" t="n">
        <f aca="false">SUMIFS('Source 2025'!$R:$R,'Source 2025'!$B:$B,$A112,'Source 2025'!$A:$A,"Amount (NIS)")</f>
        <v>707.6</v>
      </c>
      <c r="H112" s="10" t="n">
        <f aca="false">SUMIFS('Source 2026'!$R:$R,'Source 2026'!$B:$B,$A112,'Source 2026'!$A:$A,"Amount (NIS)")</f>
        <v>1090.2</v>
      </c>
      <c r="I112" s="10" t="n">
        <f aca="false">H112-G112</f>
        <v>382.6</v>
      </c>
      <c r="J112" s="9" t="n">
        <f aca="false">IF(AND(G112=0,H112=0),0,IF(G112=0,"New",(H112-G112)/G112))</f>
        <v>0.540700960994912</v>
      </c>
    </row>
    <row r="113" customFormat="false" ht="15" hidden="false" customHeight="false" outlineLevel="0" collapsed="false">
      <c r="A113" s="7" t="s">
        <v>102</v>
      </c>
      <c r="B113" s="7" t="str">
        <f aca="false">IFERROR(INDEX('Source 2026'!$C:$C,MATCH($A113,'Source 2026'!$B:$B,0)),IFERROR(INDEX('Source 2025'!$C:$C,MATCH($A113,'Source 2025'!$B:$B,0)),""))</f>
        <v>3667 מגן בוניון</v>
      </c>
      <c r="C113" s="8" t="n">
        <f aca="false">SUMIFS('Source 2025'!$R:$R,'Source 2025'!$B:$B,$A113,'Source 2025'!$A:$A,"Quantity (units)")</f>
        <v>73</v>
      </c>
      <c r="D113" s="8" t="n">
        <f aca="false">SUMIFS('Source 2026'!$R:$R,'Source 2026'!$B:$B,$A113,'Source 2026'!$A:$A,"Quantity (units)")</f>
        <v>60</v>
      </c>
      <c r="E113" s="8" t="n">
        <f aca="false">D113-C113</f>
        <v>-13</v>
      </c>
      <c r="F113" s="9" t="n">
        <f aca="false">IF(AND(C113=0,D113=0),0,IF(C113=0,"New",(D113-C113)/C113))</f>
        <v>-0.178082191780822</v>
      </c>
      <c r="G113" s="10" t="n">
        <f aca="false">SUMIFS('Source 2025'!$R:$R,'Source 2025'!$B:$B,$A113,'Source 2025'!$A:$A,"Amount (NIS)")</f>
        <v>2104.6</v>
      </c>
      <c r="H113" s="10" t="n">
        <f aca="false">SUMIFS('Source 2026'!$R:$R,'Source 2026'!$B:$B,$A113,'Source 2026'!$A:$A,"Amount (NIS)")</f>
        <v>1729.8</v>
      </c>
      <c r="I113" s="10" t="n">
        <f aca="false">H113-G113</f>
        <v>-374.8</v>
      </c>
      <c r="J113" s="9" t="n">
        <f aca="false">IF(AND(G113=0,H113=0),0,IF(G113=0,"New",(H113-G113)/G113))</f>
        <v>-0.178086097120593</v>
      </c>
    </row>
    <row r="114" customFormat="false" ht="15" hidden="false" customHeight="false" outlineLevel="0" collapsed="false">
      <c r="A114" s="7" t="s">
        <v>186</v>
      </c>
      <c r="B114" s="7" t="str">
        <f aca="false">IFERROR(INDEX('Source 2026'!$C:$C,MATCH($A114,'Source 2026'!$B:$B,0)),IFERROR(INDEX('Source 2025'!$C:$C,MATCH($A114,'Source 2025'!$B:$B,0)),""))</f>
        <v>S חבק יד</v>
      </c>
      <c r="C114" s="8" t="n">
        <f aca="false">SUMIFS('Source 2025'!$R:$R,'Source 2025'!$B:$B,$A114,'Source 2025'!$A:$A,"Quantity (units)")</f>
        <v>19</v>
      </c>
      <c r="D114" s="8" t="n">
        <f aca="false">SUMIFS('Source 2026'!$R:$R,'Source 2026'!$B:$B,$A114,'Source 2026'!$A:$A,"Quantity (units)")</f>
        <v>24</v>
      </c>
      <c r="E114" s="8" t="n">
        <f aca="false">D114-C114</f>
        <v>5</v>
      </c>
      <c r="F114" s="9" t="n">
        <f aca="false">IF(AND(C114=0,D114=0),0,IF(C114=0,"New",(D114-C114)/C114))</f>
        <v>0.263157894736842</v>
      </c>
      <c r="G114" s="10" t="n">
        <f aca="false">SUMIFS('Source 2025'!$R:$R,'Source 2025'!$B:$B,$A114,'Source 2025'!$A:$A,"Amount (NIS)")</f>
        <v>1407.4</v>
      </c>
      <c r="H114" s="10" t="n">
        <f aca="false">SUMIFS('Source 2026'!$R:$R,'Source 2026'!$B:$B,$A114,'Source 2026'!$A:$A,"Amount (NIS)")</f>
        <v>1779.9</v>
      </c>
      <c r="I114" s="10" t="n">
        <f aca="false">H114-G114</f>
        <v>372.5</v>
      </c>
      <c r="J114" s="9" t="n">
        <f aca="false">IF(AND(G114=0,H114=0),0,IF(G114=0,"New",(H114-G114)/G114))</f>
        <v>0.264672445644451</v>
      </c>
    </row>
    <row r="115" customFormat="false" ht="15" hidden="false" customHeight="false" outlineLevel="0" collapsed="false">
      <c r="A115" s="7" t="s">
        <v>270</v>
      </c>
      <c r="B115" s="7" t="str">
        <f aca="false">IFERROR(INDEX('Source 2026'!$C:$C,MATCH($A115,'Source 2026'!$B:$B,0)),IFERROR(INDEX('Source 2025'!$C:$C,MATCH($A115,'Source 2025'!$B:$B,0)),""))</f>
        <v>חבק לשורש כף היד</v>
      </c>
      <c r="C115" s="8" t="n">
        <f aca="false">SUMIFS('Source 2025'!$R:$R,'Source 2025'!$B:$B,$A115,'Source 2025'!$A:$A,"Quantity (units)")</f>
        <v>59</v>
      </c>
      <c r="D115" s="8" t="n">
        <f aca="false">SUMIFS('Source 2026'!$R:$R,'Source 2026'!$B:$B,$A115,'Source 2026'!$A:$A,"Quantity (units)")</f>
        <v>45</v>
      </c>
      <c r="E115" s="8" t="n">
        <f aca="false">D115-C115</f>
        <v>-14</v>
      </c>
      <c r="F115" s="9" t="n">
        <f aca="false">IF(AND(C115=0,D115=0),0,IF(C115=0,"New",(D115-C115)/C115))</f>
        <v>-0.23728813559322</v>
      </c>
      <c r="G115" s="10" t="n">
        <f aca="false">SUMIFS('Source 2025'!$R:$R,'Source 2025'!$B:$B,$A115,'Source 2025'!$A:$A,"Amount (NIS)")</f>
        <v>1470.9</v>
      </c>
      <c r="H115" s="10" t="n">
        <f aca="false">SUMIFS('Source 2026'!$R:$R,'Source 2026'!$B:$B,$A115,'Source 2026'!$A:$A,"Amount (NIS)")</f>
        <v>1121.9</v>
      </c>
      <c r="I115" s="10" t="n">
        <f aca="false">H115-G115</f>
        <v>-349</v>
      </c>
      <c r="J115" s="9" t="n">
        <f aca="false">IF(AND(G115=0,H115=0),0,IF(G115=0,"New",(H115-G115)/G115))</f>
        <v>-0.237269698823849</v>
      </c>
    </row>
    <row r="116" customFormat="false" ht="15" hidden="false" customHeight="false" outlineLevel="0" collapsed="false">
      <c r="A116" s="7" t="s">
        <v>266</v>
      </c>
      <c r="B116" s="7" t="str">
        <f aca="false">IFERROR(INDEX('Source 2026'!$C:$C,MATCH($A116,'Source 2026'!$B:$B,0)),IFERROR(INDEX('Source 2025'!$C:$C,MATCH($A116,'Source 2025'!$B:$B,0)),""))</f>
        <v>חגורת גב עם תמיכות</v>
      </c>
      <c r="C116" s="8" t="n">
        <f aca="false">SUMIFS('Source 2025'!$R:$R,'Source 2025'!$B:$B,$A116,'Source 2025'!$A:$A,"Quantity (units)")</f>
        <v>10</v>
      </c>
      <c r="D116" s="8" t="n">
        <f aca="false">SUMIFS('Source 2026'!$R:$R,'Source 2026'!$B:$B,$A116,'Source 2026'!$A:$A,"Quantity (units)")</f>
        <v>14</v>
      </c>
      <c r="E116" s="8" t="n">
        <f aca="false">D116-C116</f>
        <v>4</v>
      </c>
      <c r="F116" s="9" t="n">
        <f aca="false">IF(AND(C116=0,D116=0),0,IF(C116=0,"New",(D116-C116)/C116))</f>
        <v>0.4</v>
      </c>
      <c r="G116" s="10" t="n">
        <f aca="false">SUMIFS('Source 2025'!$R:$R,'Source 2025'!$B:$B,$A116,'Source 2025'!$A:$A,"Amount (NIS)")</f>
        <v>870.6</v>
      </c>
      <c r="H116" s="10" t="n">
        <f aca="false">SUMIFS('Source 2026'!$R:$R,'Source 2026'!$B:$B,$A116,'Source 2026'!$A:$A,"Amount (NIS)")</f>
        <v>1218.8</v>
      </c>
      <c r="I116" s="10" t="n">
        <f aca="false">H116-G116</f>
        <v>348.2</v>
      </c>
      <c r="J116" s="9" t="n">
        <f aca="false">IF(AND(G116=0,H116=0),0,IF(G116=0,"New",(H116-G116)/G116))</f>
        <v>0.399954054674937</v>
      </c>
    </row>
    <row r="117" customFormat="false" ht="15" hidden="false" customHeight="false" outlineLevel="0" collapsed="false">
      <c r="A117" s="7" t="s">
        <v>187</v>
      </c>
      <c r="B117" s="7" t="str">
        <f aca="false">IFERROR(INDEX('Source 2026'!$C:$C,MATCH($A117,'Source 2026'!$B:$B,0)),IFERROR(INDEX('Source 2025'!$C:$C,MATCH($A117,'Source 2025'!$B:$B,0)),""))</f>
        <v>M חבק יד אגודלי</v>
      </c>
      <c r="C117" s="8" t="n">
        <f aca="false">SUMIFS('Source 2025'!$R:$R,'Source 2025'!$B:$B,$A117,'Source 2025'!$A:$A,"Quantity (units)")</f>
        <v>5</v>
      </c>
      <c r="D117" s="8" t="n">
        <f aca="false">SUMIFS('Source 2026'!$R:$R,'Source 2026'!$B:$B,$A117,'Source 2026'!$A:$A,"Quantity (units)")</f>
        <v>0</v>
      </c>
      <c r="E117" s="8" t="n">
        <f aca="false">D117-C117</f>
        <v>-5</v>
      </c>
      <c r="F117" s="9" t="n">
        <f aca="false">IF(AND(C117=0,D117=0),0,IF(C117=0,"New",(D117-C117)/C117))</f>
        <v>-1</v>
      </c>
      <c r="G117" s="10" t="n">
        <f aca="false">SUMIFS('Source 2025'!$R:$R,'Source 2025'!$B:$B,$A117,'Source 2025'!$A:$A,"Amount (NIS)")</f>
        <v>342.5</v>
      </c>
      <c r="H117" s="10" t="n">
        <f aca="false">SUMIFS('Source 2026'!$R:$R,'Source 2026'!$B:$B,$A117,'Source 2026'!$A:$A,"Amount (NIS)")</f>
        <v>0</v>
      </c>
      <c r="I117" s="10" t="n">
        <f aca="false">H117-G117</f>
        <v>-342.5</v>
      </c>
      <c r="J117" s="9" t="n">
        <f aca="false">IF(AND(G117=0,H117=0),0,IF(G117=0,"New",(H117-G117)/G117))</f>
        <v>-1</v>
      </c>
    </row>
    <row r="118" customFormat="false" ht="15" hidden="false" customHeight="false" outlineLevel="0" collapsed="false">
      <c r="A118" s="7" t="s">
        <v>194</v>
      </c>
      <c r="B118" s="7" t="str">
        <f aca="false">IFERROR(INDEX('Source 2026'!$C:$C,MATCH($A118,'Source 2026'!$B:$B,0)),IFERROR(INDEX('Source 2025'!$C:$C,MATCH($A118,'Source 2025'!$B:$B,0)),""))</f>
        <v>סכינים למקצוע</v>
      </c>
      <c r="C118" s="8" t="n">
        <f aca="false">SUMIFS('Source 2025'!$R:$R,'Source 2025'!$B:$B,$A118,'Source 2025'!$A:$A,"Quantity (units)")</f>
        <v>66</v>
      </c>
      <c r="D118" s="8" t="n">
        <f aca="false">SUMIFS('Source 2026'!$R:$R,'Source 2026'!$B:$B,$A118,'Source 2026'!$A:$A,"Quantity (units)")</f>
        <v>28</v>
      </c>
      <c r="E118" s="8" t="n">
        <f aca="false">D118-C118</f>
        <v>-38</v>
      </c>
      <c r="F118" s="9" t="n">
        <f aca="false">IF(AND(C118=0,D118=0),0,IF(C118=0,"New",(D118-C118)/C118))</f>
        <v>-0.575757575757576</v>
      </c>
      <c r="G118" s="10" t="n">
        <f aca="false">SUMIFS('Source 2025'!$R:$R,'Source 2025'!$B:$B,$A118,'Source 2025'!$A:$A,"Amount (NIS)")</f>
        <v>539.9</v>
      </c>
      <c r="H118" s="10" t="n">
        <f aca="false">SUMIFS('Source 2026'!$R:$R,'Source 2026'!$B:$B,$A118,'Source 2026'!$A:$A,"Amount (NIS)")</f>
        <v>229</v>
      </c>
      <c r="I118" s="10" t="n">
        <f aca="false">H118-G118</f>
        <v>-310.9</v>
      </c>
      <c r="J118" s="9" t="n">
        <f aca="false">IF(AND(G118=0,H118=0),0,IF(G118=0,"New",(H118-G118)/G118))</f>
        <v>-0.575847379144286</v>
      </c>
    </row>
    <row r="119" customFormat="false" ht="15" hidden="false" customHeight="false" outlineLevel="0" collapsed="false">
      <c r="A119" s="7" t="s">
        <v>109</v>
      </c>
      <c r="B119" s="7" t="str">
        <f aca="false">IFERROR(INDEX('Source 2026'!$C:$C,MATCH($A119,'Source 2026'!$B:$B,0)),IFERROR(INDEX('Source 2025'!$C:$C,MATCH($A119,'Source 2025'!$B:$B,0)),""))</f>
        <v>גרב.כסף לסכרתים שחור35-38</v>
      </c>
      <c r="C119" s="8" t="n">
        <f aca="false">SUMIFS('Source 2025'!$R:$R,'Source 2025'!$B:$B,$A119,'Source 2025'!$A:$A,"Quantity (units)")</f>
        <v>19</v>
      </c>
      <c r="D119" s="8" t="n">
        <f aca="false">SUMIFS('Source 2026'!$R:$R,'Source 2026'!$B:$B,$A119,'Source 2026'!$A:$A,"Quantity (units)")</f>
        <v>7</v>
      </c>
      <c r="E119" s="8" t="n">
        <f aca="false">D119-C119</f>
        <v>-12</v>
      </c>
      <c r="F119" s="9" t="n">
        <f aca="false">IF(AND(C119=0,D119=0),0,IF(C119=0,"New",(D119-C119)/C119))</f>
        <v>-0.631578947368421</v>
      </c>
      <c r="G119" s="10" t="n">
        <f aca="false">SUMIFS('Source 2025'!$R:$R,'Source 2025'!$B:$B,$A119,'Source 2025'!$A:$A,"Amount (NIS)")</f>
        <v>456.4</v>
      </c>
      <c r="H119" s="10" t="n">
        <f aca="false">SUMIFS('Source 2026'!$R:$R,'Source 2026'!$B:$B,$A119,'Source 2026'!$A:$A,"Amount (NIS)")</f>
        <v>168.1</v>
      </c>
      <c r="I119" s="10" t="n">
        <f aca="false">H119-G119</f>
        <v>-288.3</v>
      </c>
      <c r="J119" s="9" t="n">
        <f aca="false">IF(AND(G119=0,H119=0),0,IF(G119=0,"New",(H119-G119)/G119))</f>
        <v>-0.631682734443471</v>
      </c>
    </row>
    <row r="120" customFormat="false" ht="15" hidden="false" customHeight="false" outlineLevel="0" collapsed="false">
      <c r="A120" s="7" t="s">
        <v>202</v>
      </c>
      <c r="B120" s="7" t="str">
        <f aca="false">IFERROR(INDEX('Source 2026'!$C:$C,MATCH($A120,'Source 2026'!$B:$B,0)),IFERROR(INDEX('Source 2025'!$C:$C,MATCH($A120,'Source 2025'!$B:$B,0)),""))</f>
        <v>S ח.הריון מכנס למניעת כאבים</v>
      </c>
      <c r="C120" s="8" t="n">
        <f aca="false">SUMIFS('Source 2025'!$R:$R,'Source 2025'!$B:$B,$A120,'Source 2025'!$A:$A,"Quantity (units)")</f>
        <v>1</v>
      </c>
      <c r="D120" s="8" t="n">
        <f aca="false">SUMIFS('Source 2026'!$R:$R,'Source 2026'!$B:$B,$A120,'Source 2026'!$A:$A,"Quantity (units)")</f>
        <v>0</v>
      </c>
      <c r="E120" s="8" t="n">
        <f aca="false">D120-C120</f>
        <v>-1</v>
      </c>
      <c r="F120" s="9" t="n">
        <f aca="false">IF(AND(C120=0,D120=0),0,IF(C120=0,"New",(D120-C120)/C120))</f>
        <v>-1</v>
      </c>
      <c r="G120" s="10" t="n">
        <f aca="false">SUMIFS('Source 2025'!$R:$R,'Source 2025'!$B:$B,$A120,'Source 2025'!$A:$A,"Amount (NIS)")</f>
        <v>286.8</v>
      </c>
      <c r="H120" s="10" t="n">
        <f aca="false">SUMIFS('Source 2026'!$R:$R,'Source 2026'!$B:$B,$A120,'Source 2026'!$A:$A,"Amount (NIS)")</f>
        <v>0</v>
      </c>
      <c r="I120" s="10" t="n">
        <f aca="false">H120-G120</f>
        <v>-286.8</v>
      </c>
      <c r="J120" s="9" t="n">
        <f aca="false">IF(AND(G120=0,H120=0),0,IF(G120=0,"New",(H120-G120)/G120))</f>
        <v>-1</v>
      </c>
    </row>
    <row r="121" customFormat="false" ht="15" hidden="false" customHeight="false" outlineLevel="0" collapsed="false">
      <c r="A121" s="7" t="s">
        <v>158</v>
      </c>
      <c r="B121" s="7" t="str">
        <f aca="false">IFERROR(INDEX('Source 2026'!$C:$C,MATCH($A121,'Source 2026'!$B:$B,0)),IFERROR(INDEX('Source 2025'!$C:$C,MATCH($A121,'Source 2025'!$B:$B,0)),""))</f>
        <v>קיבוע לאצבע הדק</v>
      </c>
      <c r="C121" s="8" t="n">
        <f aca="false">SUMIFS('Source 2025'!$R:$R,'Source 2025'!$B:$B,$A121,'Source 2025'!$A:$A,"Quantity (units)")</f>
        <v>14</v>
      </c>
      <c r="D121" s="8" t="n">
        <f aca="false">SUMIFS('Source 2026'!$R:$R,'Source 2026'!$B:$B,$A121,'Source 2026'!$A:$A,"Quantity (units)")</f>
        <v>21</v>
      </c>
      <c r="E121" s="8" t="n">
        <f aca="false">D121-C121</f>
        <v>7</v>
      </c>
      <c r="F121" s="9" t="n">
        <f aca="false">IF(AND(C121=0,D121=0),0,IF(C121=0,"New",(D121-C121)/C121))</f>
        <v>0.5</v>
      </c>
      <c r="G121" s="10" t="n">
        <f aca="false">SUMIFS('Source 2025'!$R:$R,'Source 2025'!$B:$B,$A121,'Source 2025'!$A:$A,"Amount (NIS)")</f>
        <v>567.8</v>
      </c>
      <c r="H121" s="10" t="n">
        <f aca="false">SUMIFS('Source 2026'!$R:$R,'Source 2026'!$B:$B,$A121,'Source 2026'!$A:$A,"Amount (NIS)")</f>
        <v>851.8</v>
      </c>
      <c r="I121" s="10" t="n">
        <f aca="false">H121-G121</f>
        <v>284</v>
      </c>
      <c r="J121" s="9" t="n">
        <f aca="false">IF(AND(G121=0,H121=0),0,IF(G121=0,"New",(H121-G121)/G121))</f>
        <v>0.500176118351532</v>
      </c>
    </row>
    <row r="122" customFormat="false" ht="15" hidden="false" customHeight="false" outlineLevel="0" collapsed="false">
      <c r="A122" s="7" t="s">
        <v>156</v>
      </c>
      <c r="B122" s="7" t="str">
        <f aca="false">IFERROR(INDEX('Source 2026'!$C:$C,MATCH($A122,'Source 2026'!$B:$B,0)),IFERROR(INDEX('Source 2025'!$C:$C,MATCH($A122,'Source 2025'!$B:$B,0)),""))</f>
        <v>כרית ליישור אצבע פטיש</v>
      </c>
      <c r="C122" s="8" t="n">
        <f aca="false">SUMIFS('Source 2025'!$R:$R,'Source 2025'!$B:$B,$A122,'Source 2025'!$A:$A,"Quantity (units)")</f>
        <v>71</v>
      </c>
      <c r="D122" s="8" t="n">
        <f aca="false">SUMIFS('Source 2026'!$R:$R,'Source 2026'!$B:$B,$A122,'Source 2026'!$A:$A,"Quantity (units)")</f>
        <v>61</v>
      </c>
      <c r="E122" s="8" t="n">
        <f aca="false">D122-C122</f>
        <v>-10</v>
      </c>
      <c r="F122" s="9" t="n">
        <f aca="false">IF(AND(C122=0,D122=0),0,IF(C122=0,"New",(D122-C122)/C122))</f>
        <v>-0.140845070422535</v>
      </c>
      <c r="G122" s="10" t="n">
        <f aca="false">SUMIFS('Source 2025'!$R:$R,'Source 2025'!$B:$B,$A122,'Source 2025'!$A:$A,"Amount (NIS)")</f>
        <v>1860.9</v>
      </c>
      <c r="H122" s="10" t="n">
        <f aca="false">SUMIFS('Source 2026'!$R:$R,'Source 2026'!$B:$B,$A122,'Source 2026'!$A:$A,"Amount (NIS)")</f>
        <v>1598.8</v>
      </c>
      <c r="I122" s="10" t="n">
        <f aca="false">H122-G122</f>
        <v>-262.1</v>
      </c>
      <c r="J122" s="9" t="n">
        <f aca="false">IF(AND(G122=0,H122=0),0,IF(G122=0,"New",(H122-G122)/G122))</f>
        <v>-0.140845827287872</v>
      </c>
    </row>
    <row r="123" customFormat="false" ht="15" hidden="false" customHeight="false" outlineLevel="0" collapsed="false">
      <c r="A123" s="7" t="s">
        <v>136</v>
      </c>
      <c r="B123" s="7" t="str">
        <f aca="false">IFERROR(INDEX('Source 2026'!$C:$C,MATCH($A123,'Source 2026'!$B:$B,0)),IFERROR(INDEX('Source 2025'!$C:$C,MATCH($A123,'Source 2025'!$B:$B,0)),""))</f>
        <v>תחבושת אלסטית מקררת</v>
      </c>
      <c r="C123" s="8" t="n">
        <f aca="false">SUMIFS('Source 2025'!$R:$R,'Source 2025'!$B:$B,$A123,'Source 2025'!$A:$A,"Quantity (units)")</f>
        <v>90</v>
      </c>
      <c r="D123" s="8" t="n">
        <f aca="false">SUMIFS('Source 2026'!$R:$R,'Source 2026'!$B:$B,$A123,'Source 2026'!$A:$A,"Quantity (units)")</f>
        <v>76</v>
      </c>
      <c r="E123" s="8" t="n">
        <f aca="false">D123-C123</f>
        <v>-14</v>
      </c>
      <c r="F123" s="9" t="n">
        <f aca="false">IF(AND(C123=0,D123=0),0,IF(C123=0,"New",(D123-C123)/C123))</f>
        <v>-0.155555555555556</v>
      </c>
      <c r="G123" s="10" t="n">
        <f aca="false">SUMIFS('Source 2025'!$R:$R,'Source 2025'!$B:$B,$A123,'Source 2025'!$A:$A,"Amount (NIS)")</f>
        <v>1571.4</v>
      </c>
      <c r="H123" s="10" t="n">
        <f aca="false">SUMIFS('Source 2026'!$R:$R,'Source 2026'!$B:$B,$A123,'Source 2026'!$A:$A,"Amount (NIS)")</f>
        <v>1332.9</v>
      </c>
      <c r="I123" s="10" t="n">
        <f aca="false">H123-G123</f>
        <v>-238.5</v>
      </c>
      <c r="J123" s="9" t="n">
        <f aca="false">IF(AND(G123=0,H123=0),0,IF(G123=0,"New",(H123-G123)/G123))</f>
        <v>-0.151775486827033</v>
      </c>
    </row>
    <row r="124" customFormat="false" ht="15" hidden="false" customHeight="false" outlineLevel="0" collapsed="false">
      <c r="A124" s="7" t="s">
        <v>165</v>
      </c>
      <c r="B124" s="7" t="str">
        <f aca="false">IFERROR(INDEX('Source 2026'!$C:$C,MATCH($A124,'Source 2026'!$B:$B,0)),IFERROR(INDEX('Source 2025'!$C:$C,MATCH($A124,'Source 2025'!$B:$B,0)),""))</f>
        <v>S מגן קרסול ימין</v>
      </c>
      <c r="C124" s="8" t="n">
        <f aca="false">SUMIFS('Source 2025'!$R:$R,'Source 2025'!$B:$B,$A124,'Source 2025'!$A:$A,"Quantity (units)")</f>
        <v>9</v>
      </c>
      <c r="D124" s="8" t="n">
        <f aca="false">SUMIFS('Source 2026'!$R:$R,'Source 2026'!$B:$B,$A124,'Source 2026'!$A:$A,"Quantity (units)")</f>
        <v>12</v>
      </c>
      <c r="E124" s="8" t="n">
        <f aca="false">D124-C124</f>
        <v>3</v>
      </c>
      <c r="F124" s="9" t="n">
        <f aca="false">IF(AND(C124=0,D124=0),0,IF(C124=0,"New",(D124-C124)/C124))</f>
        <v>0.333333333333333</v>
      </c>
      <c r="G124" s="10" t="n">
        <f aca="false">SUMIFS('Source 2025'!$R:$R,'Source 2025'!$B:$B,$A124,'Source 2025'!$A:$A,"Amount (NIS)")</f>
        <v>670.5</v>
      </c>
      <c r="H124" s="10" t="n">
        <f aca="false">SUMIFS('Source 2026'!$R:$R,'Source 2026'!$B:$B,$A124,'Source 2026'!$A:$A,"Amount (NIS)")</f>
        <v>894</v>
      </c>
      <c r="I124" s="10" t="n">
        <f aca="false">H124-G124</f>
        <v>223.5</v>
      </c>
      <c r="J124" s="9" t="n">
        <f aca="false">IF(AND(G124=0,H124=0),0,IF(G124=0,"New",(H124-G124)/G124))</f>
        <v>0.333333333333333</v>
      </c>
    </row>
    <row r="125" customFormat="false" ht="15" hidden="false" customHeight="false" outlineLevel="0" collapsed="false">
      <c r="A125" s="7" t="s">
        <v>241</v>
      </c>
      <c r="B125" s="7" t="str">
        <f aca="false">IFERROR(INDEX('Source 2026'!$C:$C,MATCH($A125,'Source 2026'!$B:$B,0)),IFERROR(INDEX('Source 2025'!$C:$C,MATCH($A125,'Source 2025'!$B:$B,0)),""))</f>
        <v>רפידת מגבת כותנה-זוג</v>
      </c>
      <c r="C125" s="8" t="n">
        <f aca="false">SUMIFS('Source 2025'!$R:$R,'Source 2025'!$B:$B,$A125,'Source 2025'!$A:$A,"Quantity (units)")</f>
        <v>49</v>
      </c>
      <c r="D125" s="8" t="n">
        <f aca="false">SUMIFS('Source 2026'!$R:$R,'Source 2026'!$B:$B,$A125,'Source 2026'!$A:$A,"Quantity (units)")</f>
        <v>30</v>
      </c>
      <c r="E125" s="8" t="n">
        <f aca="false">D125-C125</f>
        <v>-19</v>
      </c>
      <c r="F125" s="9" t="n">
        <f aca="false">IF(AND(C125=0,D125=0),0,IF(C125=0,"New",(D125-C125)/C125))</f>
        <v>-0.387755102040816</v>
      </c>
      <c r="G125" s="10" t="n">
        <f aca="false">SUMIFS('Source 2025'!$R:$R,'Source 2025'!$B:$B,$A125,'Source 2025'!$A:$A,"Amount (NIS)")</f>
        <v>523.3</v>
      </c>
      <c r="H125" s="10" t="n">
        <f aca="false">SUMIFS('Source 2026'!$R:$R,'Source 2026'!$B:$B,$A125,'Source 2026'!$A:$A,"Amount (NIS)")</f>
        <v>320.4</v>
      </c>
      <c r="I125" s="10" t="n">
        <f aca="false">H125-G125</f>
        <v>-202.9</v>
      </c>
      <c r="J125" s="9" t="n">
        <f aca="false">IF(AND(G125=0,H125=0),0,IF(G125=0,"New",(H125-G125)/G125))</f>
        <v>-0.38773170265622</v>
      </c>
    </row>
    <row r="126" customFormat="false" ht="15" hidden="false" customHeight="false" outlineLevel="0" collapsed="false">
      <c r="A126" s="7" t="s">
        <v>190</v>
      </c>
      <c r="B126" s="7" t="str">
        <f aca="false">IFERROR(INDEX('Source 2026'!$C:$C,MATCH($A126,'Source 2026'!$B:$B,0)),IFERROR(INDEX('Source 2025'!$C:$C,MATCH($A126,'Source 2025'!$B:$B,0)),""))</f>
        <v>M'חגורת גב+סגירה כפו בז</v>
      </c>
      <c r="C126" s="8" t="n">
        <f aca="false">SUMIFS('Source 2025'!$R:$R,'Source 2025'!$B:$B,$A126,'Source 2025'!$A:$A,"Quantity (units)")</f>
        <v>2</v>
      </c>
      <c r="D126" s="8" t="n">
        <f aca="false">SUMIFS('Source 2026'!$R:$R,'Source 2026'!$B:$B,$A126,'Source 2026'!$A:$A,"Quantity (units)")</f>
        <v>0</v>
      </c>
      <c r="E126" s="8" t="n">
        <f aca="false">D126-C126</f>
        <v>-2</v>
      </c>
      <c r="F126" s="9" t="n">
        <f aca="false">IF(AND(C126=0,D126=0),0,IF(C126=0,"New",(D126-C126)/C126))</f>
        <v>-1</v>
      </c>
      <c r="G126" s="10" t="n">
        <f aca="false">SUMIFS('Source 2025'!$R:$R,'Source 2025'!$B:$B,$A126,'Source 2025'!$A:$A,"Amount (NIS)")</f>
        <v>198.5</v>
      </c>
      <c r="H126" s="10" t="n">
        <f aca="false">SUMIFS('Source 2026'!$R:$R,'Source 2026'!$B:$B,$A126,'Source 2026'!$A:$A,"Amount (NIS)")</f>
        <v>0</v>
      </c>
      <c r="I126" s="10" t="n">
        <f aca="false">H126-G126</f>
        <v>-198.5</v>
      </c>
      <c r="J126" s="9" t="n">
        <f aca="false">IF(AND(G126=0,H126=0),0,IF(G126=0,"New",(H126-G126)/G126))</f>
        <v>-1</v>
      </c>
    </row>
    <row r="127" customFormat="false" ht="15" hidden="false" customHeight="false" outlineLevel="0" collapsed="false">
      <c r="A127" s="7" t="s">
        <v>191</v>
      </c>
      <c r="B127" s="7" t="str">
        <f aca="false">IFERROR(INDEX('Source 2026'!$C:$C,MATCH($A127,'Source 2026'!$B:$B,0)),IFERROR(INDEX('Source 2025'!$C:$C,MATCH($A127,'Source 2025'!$B:$B,0)),""))</f>
        <v>S מגן שוק</v>
      </c>
      <c r="C127" s="8" t="n">
        <f aca="false">SUMIFS('Source 2025'!$R:$R,'Source 2025'!$B:$B,$A127,'Source 2025'!$A:$A,"Quantity (units)")</f>
        <v>3</v>
      </c>
      <c r="D127" s="8" t="n">
        <f aca="false">SUMIFS('Source 2026'!$R:$R,'Source 2026'!$B:$B,$A127,'Source 2026'!$A:$A,"Quantity (units)")</f>
        <v>1</v>
      </c>
      <c r="E127" s="8" t="n">
        <f aca="false">D127-C127</f>
        <v>-2</v>
      </c>
      <c r="F127" s="9" t="n">
        <f aca="false">IF(AND(C127=0,D127=0),0,IF(C127=0,"New",(D127-C127)/C127))</f>
        <v>-0.666666666666667</v>
      </c>
      <c r="G127" s="10" t="n">
        <f aca="false">SUMIFS('Source 2025'!$R:$R,'Source 2025'!$B:$B,$A127,'Source 2025'!$A:$A,"Amount (NIS)")</f>
        <v>291.1</v>
      </c>
      <c r="H127" s="10" t="n">
        <f aca="false">SUMIFS('Source 2026'!$R:$R,'Source 2026'!$B:$B,$A127,'Source 2026'!$A:$A,"Amount (NIS)")</f>
        <v>97</v>
      </c>
      <c r="I127" s="10" t="n">
        <f aca="false">H127-G127</f>
        <v>-194.1</v>
      </c>
      <c r="J127" s="9" t="n">
        <f aca="false">IF(AND(G127=0,H127=0),0,IF(G127=0,"New",(H127-G127)/G127))</f>
        <v>-0.666781174854002</v>
      </c>
    </row>
    <row r="128" customFormat="false" ht="15" hidden="false" customHeight="false" outlineLevel="0" collapsed="false">
      <c r="A128" s="7" t="s">
        <v>230</v>
      </c>
      <c r="B128" s="7" t="str">
        <f aca="false">IFERROR(INDEX('Source 2026'!$C:$C,MATCH($A128,'Source 2026'!$B:$B,0)),IFERROR(INDEX('Source 2025'!$C:$C,MATCH($A128,'Source 2025'!$B:$B,0)),""))</f>
        <v>S מגן ברך רגיל</v>
      </c>
      <c r="C128" s="8" t="n">
        <f aca="false">SUMIFS('Source 2025'!$R:$R,'Source 2025'!$B:$B,$A128,'Source 2025'!$A:$A,"Quantity (units)")</f>
        <v>0</v>
      </c>
      <c r="D128" s="8" t="n">
        <f aca="false">SUMIFS('Source 2026'!$R:$R,'Source 2026'!$B:$B,$A128,'Source 2026'!$A:$A,"Quantity (units)")</f>
        <v>2</v>
      </c>
      <c r="E128" s="8" t="n">
        <f aca="false">D128-C128</f>
        <v>2</v>
      </c>
      <c r="F128" s="9" t="str">
        <f aca="false">IF(AND(C128=0,D128=0),0,IF(C128=0,"New",(D128-C128)/C128))</f>
        <v>New</v>
      </c>
      <c r="G128" s="10" t="n">
        <f aca="false">SUMIFS('Source 2025'!$R:$R,'Source 2025'!$B:$B,$A128,'Source 2025'!$A:$A,"Amount (NIS)")</f>
        <v>0</v>
      </c>
      <c r="H128" s="10" t="n">
        <f aca="false">SUMIFS('Source 2026'!$R:$R,'Source 2026'!$B:$B,$A128,'Source 2026'!$A:$A,"Amount (NIS)")</f>
        <v>194.1</v>
      </c>
      <c r="I128" s="10" t="n">
        <f aca="false">H128-G128</f>
        <v>194.1</v>
      </c>
      <c r="J128" s="9" t="str">
        <f aca="false">IF(AND(G128=0,H128=0),0,IF(G128=0,"New",(H128-G128)/G128))</f>
        <v>New</v>
      </c>
    </row>
    <row r="129" customFormat="false" ht="15" hidden="false" customHeight="false" outlineLevel="0" collapsed="false">
      <c r="A129" s="7" t="s">
        <v>196</v>
      </c>
      <c r="B129" s="7" t="str">
        <f aca="false">IFERROR(INDEX('Source 2026'!$C:$C,MATCH($A129,'Source 2026'!$B:$B,0)),IFERROR(INDEX('Source 2025'!$C:$C,MATCH($A129,'Source 2025'!$B:$B,0)),""))</f>
        <v>מגן זרת מסיליקון</v>
      </c>
      <c r="C129" s="8" t="n">
        <f aca="false">SUMIFS('Source 2025'!$R:$R,'Source 2025'!$B:$B,$A129,'Source 2025'!$A:$A,"Quantity (units)")</f>
        <v>22</v>
      </c>
      <c r="D129" s="8" t="n">
        <f aca="false">SUMIFS('Source 2026'!$R:$R,'Source 2026'!$B:$B,$A129,'Source 2026'!$A:$A,"Quantity (units)")</f>
        <v>29</v>
      </c>
      <c r="E129" s="8" t="n">
        <f aca="false">D129-C129</f>
        <v>7</v>
      </c>
      <c r="F129" s="9" t="n">
        <f aca="false">IF(AND(C129=0,D129=0),0,IF(C129=0,"New",(D129-C129)/C129))</f>
        <v>0.318181818181818</v>
      </c>
      <c r="G129" s="10" t="n">
        <f aca="false">SUMIFS('Source 2025'!$R:$R,'Source 2025'!$B:$B,$A129,'Source 2025'!$A:$A,"Amount (NIS)")</f>
        <v>605.4</v>
      </c>
      <c r="H129" s="10" t="n">
        <f aca="false">SUMIFS('Source 2026'!$R:$R,'Source 2026'!$B:$B,$A129,'Source 2026'!$A:$A,"Amount (NIS)")</f>
        <v>798.1</v>
      </c>
      <c r="I129" s="10" t="n">
        <f aca="false">H129-G129</f>
        <v>192.7</v>
      </c>
      <c r="J129" s="9" t="n">
        <f aca="false">IF(AND(G129=0,H129=0),0,IF(G129=0,"New",(H129-G129)/G129))</f>
        <v>0.318301949124546</v>
      </c>
    </row>
    <row r="130" customFormat="false" ht="15" hidden="false" customHeight="false" outlineLevel="0" collapsed="false">
      <c r="A130" s="7" t="s">
        <v>141</v>
      </c>
      <c r="B130" s="7" t="str">
        <f aca="false">IFERROR(INDEX('Source 2026'!$C:$C,MATCH($A130,'Source 2026'!$B:$B,0)),IFERROR(INDEX('Source 2025'!$C:$C,MATCH($A130,'Source 2025'!$B:$B,0)),""))</f>
        <v>ג.כסף לסכרתיים אפור35-38</v>
      </c>
      <c r="C130" s="8" t="n">
        <f aca="false">SUMIFS('Source 2025'!$R:$R,'Source 2025'!$B:$B,$A130,'Source 2025'!$A:$A,"Quantity (units)")</f>
        <v>6</v>
      </c>
      <c r="D130" s="8" t="n">
        <f aca="false">SUMIFS('Source 2026'!$R:$R,'Source 2026'!$B:$B,$A130,'Source 2026'!$A:$A,"Quantity (units)")</f>
        <v>0</v>
      </c>
      <c r="E130" s="8" t="n">
        <f aca="false">D130-C130</f>
        <v>-6</v>
      </c>
      <c r="F130" s="9" t="n">
        <f aca="false">IF(AND(C130=0,D130=0),0,IF(C130=0,"New",(D130-C130)/C130))</f>
        <v>-1</v>
      </c>
      <c r="G130" s="10" t="n">
        <f aca="false">SUMIFS('Source 2025'!$R:$R,'Source 2025'!$B:$B,$A130,'Source 2025'!$A:$A,"Amount (NIS)")</f>
        <v>188.7</v>
      </c>
      <c r="H130" s="10" t="n">
        <f aca="false">SUMIFS('Source 2026'!$R:$R,'Source 2026'!$B:$B,$A130,'Source 2026'!$A:$A,"Amount (NIS)")</f>
        <v>0</v>
      </c>
      <c r="I130" s="10" t="n">
        <f aca="false">H130-G130</f>
        <v>-188.7</v>
      </c>
      <c r="J130" s="9" t="n">
        <f aca="false">IF(AND(G130=0,H130=0),0,IF(G130=0,"New",(H130-G130)/G130))</f>
        <v>-1</v>
      </c>
    </row>
    <row r="131" customFormat="false" ht="15" hidden="false" customHeight="false" outlineLevel="0" collapsed="false">
      <c r="A131" s="7" t="s">
        <v>201</v>
      </c>
      <c r="B131" s="7" t="str">
        <f aca="false">IFERROR(INDEX('Source 2026'!$C:$C,MATCH($A131,'Source 2026'!$B:$B,0)),IFERROR(INDEX('Source 2025'!$C:$C,MATCH($A131,'Source 2025'!$B:$B,0)),""))</f>
        <v>S חגורת שבר לצד שמאל</v>
      </c>
      <c r="C131" s="8" t="n">
        <f aca="false">SUMIFS('Source 2025'!$R:$R,'Source 2025'!$B:$B,$A131,'Source 2025'!$A:$A,"Quantity (units)")</f>
        <v>0</v>
      </c>
      <c r="D131" s="8" t="n">
        <f aca="false">SUMIFS('Source 2026'!$R:$R,'Source 2026'!$B:$B,$A131,'Source 2026'!$A:$A,"Quantity (units)")</f>
        <v>1</v>
      </c>
      <c r="E131" s="8" t="n">
        <f aca="false">D131-C131</f>
        <v>1</v>
      </c>
      <c r="F131" s="9" t="str">
        <f aca="false">IF(AND(C131=0,D131=0),0,IF(C131=0,"New",(D131-C131)/C131))</f>
        <v>New</v>
      </c>
      <c r="G131" s="10" t="n">
        <f aca="false">SUMIFS('Source 2025'!$R:$R,'Source 2025'!$B:$B,$A131,'Source 2025'!$A:$A,"Amount (NIS)")</f>
        <v>0</v>
      </c>
      <c r="H131" s="10" t="n">
        <f aca="false">SUMIFS('Source 2026'!$R:$R,'Source 2026'!$B:$B,$A131,'Source 2026'!$A:$A,"Amount (NIS)")</f>
        <v>172</v>
      </c>
      <c r="I131" s="10" t="n">
        <f aca="false">H131-G131</f>
        <v>172</v>
      </c>
      <c r="J131" s="9" t="str">
        <f aca="false">IF(AND(G131=0,H131=0),0,IF(G131=0,"New",(H131-G131)/G131))</f>
        <v>New</v>
      </c>
    </row>
    <row r="132" customFormat="false" ht="15" hidden="false" customHeight="false" outlineLevel="0" collapsed="false">
      <c r="A132" s="7" t="s">
        <v>142</v>
      </c>
      <c r="B132" s="7" t="str">
        <f aca="false">IFERROR(INDEX('Source 2026'!$C:$C,MATCH($A132,'Source 2026'!$B:$B,0)),IFERROR(INDEX('Source 2025'!$C:$C,MATCH($A132,'Source 2025'!$B:$B,0)),""))</f>
        <v>9 מ""ס להתאמהX5 מדבקה גדולה</v>
      </c>
      <c r="C132" s="8" t="n">
        <f aca="false">SUMIFS('Source 2025'!$R:$R,'Source 2025'!$B:$B,$A132,'Source 2025'!$A:$A,"Quantity (units)")</f>
        <v>44</v>
      </c>
      <c r="D132" s="8" t="n">
        <f aca="false">SUMIFS('Source 2026'!$R:$R,'Source 2026'!$B:$B,$A132,'Source 2026'!$A:$A,"Quantity (units)")</f>
        <v>36</v>
      </c>
      <c r="E132" s="8" t="n">
        <f aca="false">D132-C132</f>
        <v>-8</v>
      </c>
      <c r="F132" s="9" t="n">
        <f aca="false">IF(AND(C132=0,D132=0),0,IF(C132=0,"New",(D132-C132)/C132))</f>
        <v>-0.181818181818182</v>
      </c>
      <c r="G132" s="10" t="n">
        <f aca="false">SUMIFS('Source 2025'!$R:$R,'Source 2025'!$B:$B,$A132,'Source 2025'!$A:$A,"Amount (NIS)")</f>
        <v>939</v>
      </c>
      <c r="H132" s="10" t="n">
        <f aca="false">SUMIFS('Source 2026'!$R:$R,'Source 2026'!$B:$B,$A132,'Source 2026'!$A:$A,"Amount (NIS)")</f>
        <v>768.3</v>
      </c>
      <c r="I132" s="10" t="n">
        <f aca="false">H132-G132</f>
        <v>-170.7</v>
      </c>
      <c r="J132" s="9" t="n">
        <f aca="false">IF(AND(G132=0,H132=0),0,IF(G132=0,"New",(H132-G132)/G132))</f>
        <v>-0.181789137380192</v>
      </c>
    </row>
    <row r="133" customFormat="false" ht="15" hidden="false" customHeight="false" outlineLevel="0" collapsed="false">
      <c r="A133" s="7" t="s">
        <v>183</v>
      </c>
      <c r="B133" s="7" t="str">
        <f aca="false">IFERROR(INDEX('Source 2026'!$C:$C,MATCH($A133,'Source 2026'!$B:$B,0)),IFERROR(INDEX('Source 2025'!$C:$C,MATCH($A133,'Source 2025'!$B:$B,0)),""))</f>
        <v>גרבי כסף לסכרת מידה</v>
      </c>
      <c r="C133" s="8" t="n">
        <f aca="false">SUMIFS('Source 2025'!$R:$R,'Source 2025'!$B:$B,$A133,'Source 2025'!$A:$A,"Quantity (units)")</f>
        <v>5</v>
      </c>
      <c r="D133" s="8" t="n">
        <f aca="false">SUMIFS('Source 2026'!$R:$R,'Source 2026'!$B:$B,$A133,'Source 2026'!$A:$A,"Quantity (units)")</f>
        <v>0</v>
      </c>
      <c r="E133" s="8" t="n">
        <f aca="false">D133-C133</f>
        <v>-5</v>
      </c>
      <c r="F133" s="9" t="n">
        <f aca="false">IF(AND(C133=0,D133=0),0,IF(C133=0,"New",(D133-C133)/C133))</f>
        <v>-1</v>
      </c>
      <c r="G133" s="10" t="n">
        <f aca="false">SUMIFS('Source 2025'!$R:$R,'Source 2025'!$B:$B,$A133,'Source 2025'!$A:$A,"Amount (NIS)")</f>
        <v>157.3</v>
      </c>
      <c r="H133" s="10" t="n">
        <f aca="false">SUMIFS('Source 2026'!$R:$R,'Source 2026'!$B:$B,$A133,'Source 2026'!$A:$A,"Amount (NIS)")</f>
        <v>0</v>
      </c>
      <c r="I133" s="10" t="n">
        <f aca="false">H133-G133</f>
        <v>-157.3</v>
      </c>
      <c r="J133" s="9" t="n">
        <f aca="false">IF(AND(G133=0,H133=0),0,IF(G133=0,"New",(H133-G133)/G133))</f>
        <v>-1</v>
      </c>
    </row>
    <row r="134" customFormat="false" ht="15" hidden="false" customHeight="false" outlineLevel="0" collapsed="false">
      <c r="A134" s="7" t="s">
        <v>211</v>
      </c>
      <c r="B134" s="7" t="str">
        <f aca="false">IFERROR(INDEX('Source 2026'!$C:$C,MATCH($A134,'Source 2026'!$B:$B,0)),IFERROR(INDEX('Source 2025'!$C:$C,MATCH($A134,'Source 2025'!$B:$B,0)),""))</f>
        <v>נגד פטרת הציפורן</v>
      </c>
      <c r="C134" s="8" t="n">
        <f aca="false">SUMIFS('Source 2025'!$R:$R,'Source 2025'!$B:$B,$A134,'Source 2025'!$A:$A,"Quantity (units)")</f>
        <v>-4</v>
      </c>
      <c r="D134" s="8" t="n">
        <f aca="false">SUMIFS('Source 2026'!$R:$R,'Source 2026'!$B:$B,$A134,'Source 2026'!$A:$A,"Quantity (units)")</f>
        <v>0</v>
      </c>
      <c r="E134" s="8" t="n">
        <f aca="false">D134-C134</f>
        <v>4</v>
      </c>
      <c r="F134" s="9" t="n">
        <f aca="false">IF(AND(C134=0,D134=0),0,IF(C134=0,"New",(D134-C134)/C134))</f>
        <v>-1</v>
      </c>
      <c r="G134" s="10" t="n">
        <f aca="false">SUMIFS('Source 2025'!$R:$R,'Source 2025'!$B:$B,$A134,'Source 2025'!$A:$A,"Amount (NIS)")</f>
        <v>-141.4</v>
      </c>
      <c r="H134" s="10" t="n">
        <f aca="false">SUMIFS('Source 2026'!$R:$R,'Source 2026'!$B:$B,$A134,'Source 2026'!$A:$A,"Amount (NIS)")</f>
        <v>0</v>
      </c>
      <c r="I134" s="10" t="n">
        <f aca="false">H134-G134</f>
        <v>141.4</v>
      </c>
      <c r="J134" s="9" t="n">
        <f aca="false">IF(AND(G134=0,H134=0),0,IF(G134=0,"New",(H134-G134)/G134))</f>
        <v>-1</v>
      </c>
    </row>
    <row r="135" customFormat="false" ht="15" hidden="false" customHeight="false" outlineLevel="0" collapsed="false">
      <c r="A135" s="7" t="s">
        <v>297</v>
      </c>
      <c r="B135" s="7" t="str">
        <f aca="false">IFERROR(INDEX('Source 2026'!$C:$C,MATCH($A135,'Source 2026'!$B:$B,0)),IFERROR(INDEX('Source 2025'!$C:$C,MATCH($A135,'Source 2025'!$B:$B,0)),""))</f>
        <v>טייפ חבישה לספורט</v>
      </c>
      <c r="C135" s="8" t="n">
        <f aca="false">SUMIFS('Source 2025'!$R:$R,'Source 2025'!$B:$B,$A135,'Source 2025'!$A:$A,"Quantity (units)")</f>
        <v>170</v>
      </c>
      <c r="D135" s="8" t="n">
        <f aca="false">SUMIFS('Source 2026'!$R:$R,'Source 2026'!$B:$B,$A135,'Source 2026'!$A:$A,"Quantity (units)")</f>
        <v>179</v>
      </c>
      <c r="E135" s="8" t="n">
        <f aca="false">D135-C135</f>
        <v>9</v>
      </c>
      <c r="F135" s="9" t="n">
        <f aca="false">IF(AND(C135=0,D135=0),0,IF(C135=0,"New",(D135-C135)/C135))</f>
        <v>0.0529411764705882</v>
      </c>
      <c r="G135" s="10" t="n">
        <f aca="false">SUMIFS('Source 2025'!$R:$R,'Source 2025'!$B:$B,$A135,'Source 2025'!$A:$A,"Amount (NIS)")</f>
        <v>2618</v>
      </c>
      <c r="H135" s="10" t="n">
        <f aca="false">SUMIFS('Source 2026'!$R:$R,'Source 2026'!$B:$B,$A135,'Source 2026'!$A:$A,"Amount (NIS)")</f>
        <v>2756.6</v>
      </c>
      <c r="I135" s="10" t="n">
        <f aca="false">H135-G135</f>
        <v>138.6</v>
      </c>
      <c r="J135" s="9" t="n">
        <f aca="false">IF(AND(G135=0,H135=0),0,IF(G135=0,"New",(H135-G135)/G135))</f>
        <v>0.0529411764705882</v>
      </c>
    </row>
    <row r="136" customFormat="false" ht="15" hidden="false" customHeight="false" outlineLevel="0" collapsed="false">
      <c r="A136" s="7" t="s">
        <v>225</v>
      </c>
      <c r="B136" s="7" t="str">
        <f aca="false">IFERROR(INDEX('Source 2026'!$C:$C,MATCH($A136,'Source 2026'!$B:$B,0)),IFERROR(INDEX('Source 2025'!$C:$C,MATCH($A136,'Source 2025'!$B:$B,0)),""))</f>
        <v>ריפוד סיליקון לנעלי אצבע</v>
      </c>
      <c r="C136" s="8" t="n">
        <f aca="false">SUMIFS('Source 2025'!$R:$R,'Source 2025'!$B:$B,$A136,'Source 2025'!$A:$A,"Quantity (units)")</f>
        <v>9</v>
      </c>
      <c r="D136" s="8" t="n">
        <f aca="false">SUMIFS('Source 2026'!$R:$R,'Source 2026'!$B:$B,$A136,'Source 2026'!$A:$A,"Quantity (units)")</f>
        <v>4</v>
      </c>
      <c r="E136" s="8" t="n">
        <f aca="false">D136-C136</f>
        <v>-5</v>
      </c>
      <c r="F136" s="9" t="n">
        <f aca="false">IF(AND(C136=0,D136=0),0,IF(C136=0,"New",(D136-C136)/C136))</f>
        <v>-0.555555555555556</v>
      </c>
      <c r="G136" s="10" t="n">
        <f aca="false">SUMIFS('Source 2025'!$R:$R,'Source 2025'!$B:$B,$A136,'Source 2025'!$A:$A,"Amount (NIS)")</f>
        <v>235.9</v>
      </c>
      <c r="H136" s="10" t="n">
        <f aca="false">SUMIFS('Source 2026'!$R:$R,'Source 2026'!$B:$B,$A136,'Source 2026'!$A:$A,"Amount (NIS)")</f>
        <v>104.8</v>
      </c>
      <c r="I136" s="10" t="n">
        <f aca="false">H136-G136</f>
        <v>-131.1</v>
      </c>
      <c r="J136" s="9" t="n">
        <f aca="false">IF(AND(G136=0,H136=0),0,IF(G136=0,"New",(H136-G136)/G136))</f>
        <v>-0.55574395930479</v>
      </c>
    </row>
    <row r="137" customFormat="false" ht="15" hidden="false" customHeight="false" outlineLevel="0" collapsed="false">
      <c r="A137" s="7" t="s">
        <v>243</v>
      </c>
      <c r="B137" s="7" t="str">
        <f aca="false">IFERROR(INDEX('Source 2026'!$C:$C,MATCH($A137,'Source 2026'!$B:$B,0)),IFERROR(INDEX('Source 2025'!$C:$C,MATCH($A137,'Source 2025'!$B:$B,0)),""))</f>
        <v>בקט.לנעל120</v>
      </c>
      <c r="C137" s="8" t="n">
        <f aca="false">SUMIFS('Source 2025'!$R:$R,'Source 2025'!$B:$B,$A137,'Source 2025'!$A:$A,"Quantity (units)")</f>
        <v>5</v>
      </c>
      <c r="D137" s="8" t="n">
        <f aca="false">SUMIFS('Source 2026'!$R:$R,'Source 2026'!$B:$B,$A137,'Source 2026'!$A:$A,"Quantity (units)")</f>
        <v>0</v>
      </c>
      <c r="E137" s="8" t="n">
        <f aca="false">D137-C137</f>
        <v>-5</v>
      </c>
      <c r="F137" s="9" t="n">
        <f aca="false">IF(AND(C137=0,D137=0),0,IF(C137=0,"New",(D137-C137)/C137))</f>
        <v>-1</v>
      </c>
      <c r="G137" s="10" t="n">
        <f aca="false">SUMIFS('Source 2025'!$R:$R,'Source 2025'!$B:$B,$A137,'Source 2025'!$A:$A,"Amount (NIS)")</f>
        <v>126.9</v>
      </c>
      <c r="H137" s="10" t="n">
        <f aca="false">SUMIFS('Source 2026'!$R:$R,'Source 2026'!$B:$B,$A137,'Source 2026'!$A:$A,"Amount (NIS)")</f>
        <v>0</v>
      </c>
      <c r="I137" s="10" t="n">
        <f aca="false">H137-G137</f>
        <v>-126.9</v>
      </c>
      <c r="J137" s="9" t="n">
        <f aca="false">IF(AND(G137=0,H137=0),0,IF(G137=0,"New",(H137-G137)/G137))</f>
        <v>-1</v>
      </c>
    </row>
    <row r="138" customFormat="false" ht="15" hidden="false" customHeight="false" outlineLevel="0" collapsed="false">
      <c r="A138" s="7" t="s">
        <v>168</v>
      </c>
      <c r="B138" s="7" t="str">
        <f aca="false">IFERROR(INDEX('Source 2026'!$C:$C,MATCH($A138,'Source 2026'!$B:$B,0)),IFERROR(INDEX('Source 2025'!$C:$C,MATCH($A138,'Source 2025'!$B:$B,0)),""))</f>
        <v>גרב כסף לסכרתיים לבן35-38</v>
      </c>
      <c r="C138" s="8" t="n">
        <f aca="false">SUMIFS('Source 2025'!$R:$R,'Source 2025'!$B:$B,$A138,'Source 2025'!$A:$A,"Quantity (units)")</f>
        <v>19</v>
      </c>
      <c r="D138" s="8" t="n">
        <f aca="false">SUMIFS('Source 2026'!$R:$R,'Source 2026'!$B:$B,$A138,'Source 2026'!$A:$A,"Quantity (units)")</f>
        <v>15</v>
      </c>
      <c r="E138" s="8" t="n">
        <f aca="false">D138-C138</f>
        <v>-4</v>
      </c>
      <c r="F138" s="9" t="n">
        <f aca="false">IF(AND(C138=0,D138=0),0,IF(C138=0,"New",(D138-C138)/C138))</f>
        <v>-0.210526315789474</v>
      </c>
      <c r="G138" s="10" t="n">
        <f aca="false">SUMIFS('Source 2025'!$R:$R,'Source 2025'!$B:$B,$A138,'Source 2025'!$A:$A,"Amount (NIS)")</f>
        <v>597.7</v>
      </c>
      <c r="H138" s="10" t="n">
        <f aca="false">SUMIFS('Source 2026'!$R:$R,'Source 2026'!$B:$B,$A138,'Source 2026'!$A:$A,"Amount (NIS)")</f>
        <v>471.9</v>
      </c>
      <c r="I138" s="10" t="n">
        <f aca="false">H138-G138</f>
        <v>-125.8</v>
      </c>
      <c r="J138" s="9" t="n">
        <f aca="false">IF(AND(G138=0,H138=0),0,IF(G138=0,"New",(H138-G138)/G138))</f>
        <v>-0.210473481679773</v>
      </c>
    </row>
    <row r="139" customFormat="false" ht="15" hidden="false" customHeight="false" outlineLevel="0" collapsed="false">
      <c r="A139" s="7" t="s">
        <v>177</v>
      </c>
      <c r="B139" s="7" t="str">
        <f aca="false">IFERROR(INDEX('Source 2026'!$C:$C,MATCH($A139,'Source 2026'!$B:$B,0)),IFERROR(INDEX('Source 2025'!$C:$C,MATCH($A139,'Source 2025'!$B:$B,0)),""))</f>
        <v>35-38 גרב.כסף לסכרתים לבן</v>
      </c>
      <c r="C139" s="8" t="n">
        <f aca="false">SUMIFS('Source 2025'!$R:$R,'Source 2025'!$B:$B,$A139,'Source 2025'!$A:$A,"Quantity (units)")</f>
        <v>19</v>
      </c>
      <c r="D139" s="8" t="n">
        <f aca="false">SUMIFS('Source 2026'!$R:$R,'Source 2026'!$B:$B,$A139,'Source 2026'!$A:$A,"Quantity (units)")</f>
        <v>24</v>
      </c>
      <c r="E139" s="8" t="n">
        <f aca="false">D139-C139</f>
        <v>5</v>
      </c>
      <c r="F139" s="9" t="n">
        <f aca="false">IF(AND(C139=0,D139=0),0,IF(C139=0,"New",(D139-C139)/C139))</f>
        <v>0.263157894736842</v>
      </c>
      <c r="G139" s="10" t="n">
        <f aca="false">SUMIFS('Source 2025'!$R:$R,'Source 2025'!$B:$B,$A139,'Source 2025'!$A:$A,"Amount (NIS)")</f>
        <v>456.4</v>
      </c>
      <c r="H139" s="10" t="n">
        <f aca="false">SUMIFS('Source 2026'!$R:$R,'Source 2026'!$B:$B,$A139,'Source 2026'!$A:$A,"Amount (NIS)")</f>
        <v>576.4</v>
      </c>
      <c r="I139" s="10" t="n">
        <f aca="false">H139-G139</f>
        <v>120</v>
      </c>
      <c r="J139" s="9" t="n">
        <f aca="false">IF(AND(G139=0,H139=0),0,IF(G139=0,"New",(H139-G139)/G139))</f>
        <v>0.262927256792287</v>
      </c>
    </row>
    <row r="140" customFormat="false" ht="15" hidden="false" customHeight="false" outlineLevel="0" collapsed="false">
      <c r="A140" s="7" t="s">
        <v>326</v>
      </c>
      <c r="B140" s="7" t="str">
        <f aca="false">IFERROR(INDEX('Source 2026'!$C:$C,MATCH($A140,'Source 2026'!$B:$B,0)),IFERROR(INDEX('Source 2025'!$C:$C,MATCH($A140,'Source 2025'!$B:$B,0)),""))</f>
        <v>רצועת טניס אלבו עם פלסטיק</v>
      </c>
      <c r="C140" s="8" t="n">
        <f aca="false">SUMIFS('Source 2025'!$R:$R,'Source 2025'!$B:$B,$A140,'Source 2025'!$A:$A,"Quantity (units)")</f>
        <v>1</v>
      </c>
      <c r="D140" s="8" t="n">
        <f aca="false">SUMIFS('Source 2026'!$R:$R,'Source 2026'!$B:$B,$A140,'Source 2026'!$A:$A,"Quantity (units)")</f>
        <v>0</v>
      </c>
      <c r="E140" s="8" t="n">
        <f aca="false">D140-C140</f>
        <v>-1</v>
      </c>
      <c r="F140" s="9" t="n">
        <f aca="false">IF(AND(C140=0,D140=0),0,IF(C140=0,"New",(D140-C140)/C140))</f>
        <v>-1</v>
      </c>
      <c r="G140" s="10" t="n">
        <f aca="false">SUMIFS('Source 2025'!$R:$R,'Source 2025'!$B:$B,$A140,'Source 2025'!$A:$A,"Amount (NIS)")</f>
        <v>105.9</v>
      </c>
      <c r="H140" s="10" t="n">
        <f aca="false">SUMIFS('Source 2026'!$R:$R,'Source 2026'!$B:$B,$A140,'Source 2026'!$A:$A,"Amount (NIS)")</f>
        <v>0</v>
      </c>
      <c r="I140" s="10" t="n">
        <f aca="false">H140-G140</f>
        <v>-105.9</v>
      </c>
      <c r="J140" s="9" t="n">
        <f aca="false">IF(AND(G140=0,H140=0),0,IF(G140=0,"New",(H140-G140)/G140))</f>
        <v>-1</v>
      </c>
    </row>
    <row r="141" customFormat="false" ht="15" hidden="false" customHeight="false" outlineLevel="0" collapsed="false">
      <c r="A141" s="7" t="s">
        <v>273</v>
      </c>
      <c r="B141" s="7" t="str">
        <f aca="false">IFERROR(INDEX('Source 2026'!$C:$C,MATCH($A141,'Source 2026'!$B:$B,0)),IFERROR(INDEX('Source 2025'!$C:$C,MATCH($A141,'Source 2025'!$B:$B,0)),""))</f>
        <v>סד לש.כף יד ימין</v>
      </c>
      <c r="C141" s="8" t="n">
        <f aca="false">SUMIFS('Source 2025'!$R:$R,'Source 2025'!$B:$B,$A141,'Source 2025'!$A:$A,"Quantity (units)")</f>
        <v>21</v>
      </c>
      <c r="D141" s="8" t="n">
        <f aca="false">SUMIFS('Source 2026'!$R:$R,'Source 2026'!$B:$B,$A141,'Source 2026'!$A:$A,"Quantity (units)")</f>
        <v>24</v>
      </c>
      <c r="E141" s="8" t="n">
        <f aca="false">D141-C141</f>
        <v>3</v>
      </c>
      <c r="F141" s="9" t="n">
        <f aca="false">IF(AND(C141=0,D141=0),0,IF(C141=0,"New",(D141-C141)/C141))</f>
        <v>0.142857142857143</v>
      </c>
      <c r="G141" s="10" t="n">
        <f aca="false">SUMIFS('Source 2025'!$R:$R,'Source 2025'!$B:$B,$A141,'Source 2025'!$A:$A,"Amount (NIS)")</f>
        <v>719.7</v>
      </c>
      <c r="H141" s="10" t="n">
        <f aca="false">SUMIFS('Source 2026'!$R:$R,'Source 2026'!$B:$B,$A141,'Source 2026'!$A:$A,"Amount (NIS)")</f>
        <v>822.5</v>
      </c>
      <c r="I141" s="10" t="n">
        <f aca="false">H141-G141</f>
        <v>102.8</v>
      </c>
      <c r="J141" s="9" t="n">
        <f aca="false">IF(AND(G141=0,H141=0),0,IF(G141=0,"New",(H141-G141)/G141))</f>
        <v>0.14283729331666</v>
      </c>
    </row>
    <row r="142" customFormat="false" ht="15" hidden="false" customHeight="false" outlineLevel="0" collapsed="false">
      <c r="A142" s="7" t="s">
        <v>97</v>
      </c>
      <c r="B142" s="7" t="str">
        <f aca="false">IFERROR(INDEX('Source 2026'!$C:$C,MATCH($A142,'Source 2026'!$B:$B,0)),IFERROR(INDEX('Source 2025'!$C:$C,MATCH($A142,'Source 2025'!$B:$B,0)),""))</f>
        <v>חגורת גב אפורה</v>
      </c>
      <c r="C142" s="8" t="n">
        <f aca="false">SUMIFS('Source 2025'!$R:$R,'Source 2025'!$B:$B,$A142,'Source 2025'!$A:$A,"Quantity (units)")</f>
        <v>26</v>
      </c>
      <c r="D142" s="8" t="n">
        <f aca="false">SUMIFS('Source 2026'!$R:$R,'Source 2026'!$B:$B,$A142,'Source 2026'!$A:$A,"Quantity (units)")</f>
        <v>27</v>
      </c>
      <c r="E142" s="8" t="n">
        <f aca="false">D142-C142</f>
        <v>1</v>
      </c>
      <c r="F142" s="9" t="n">
        <f aca="false">IF(AND(C142=0,D142=0),0,IF(C142=0,"New",(D142-C142)/C142))</f>
        <v>0.0384615384615385</v>
      </c>
      <c r="G142" s="10" t="n">
        <f aca="false">SUMIFS('Source 2025'!$R:$R,'Source 2025'!$B:$B,$A142,'Source 2025'!$A:$A,"Amount (NIS)")</f>
        <v>2580</v>
      </c>
      <c r="H142" s="10" t="n">
        <f aca="false">SUMIFS('Source 2026'!$R:$R,'Source 2026'!$B:$B,$A142,'Source 2026'!$A:$A,"Amount (NIS)")</f>
        <v>2679.2</v>
      </c>
      <c r="I142" s="10" t="n">
        <f aca="false">H142-G142</f>
        <v>99.1999999999998</v>
      </c>
      <c r="J142" s="9" t="n">
        <f aca="false">IF(AND(G142=0,H142=0),0,IF(G142=0,"New",(H142-G142)/G142))</f>
        <v>0.0384496124031007</v>
      </c>
    </row>
    <row r="143" customFormat="false" ht="15" hidden="false" customHeight="false" outlineLevel="0" collapsed="false">
      <c r="A143" s="7" t="s">
        <v>127</v>
      </c>
      <c r="B143" s="7" t="str">
        <f aca="false">IFERROR(INDEX('Source 2026'!$C:$C,MATCH($A143,'Source 2026'!$B:$B,0)),IFERROR(INDEX('Source 2025'!$C:$C,MATCH($A143,'Source 2025'!$B:$B,0)),""))</f>
        <v>מתלה ליד לילדים</v>
      </c>
      <c r="C143" s="8" t="n">
        <f aca="false">SUMIFS('Source 2025'!$R:$R,'Source 2025'!$B:$B,$A143,'Source 2025'!$A:$A,"Quantity (units)")</f>
        <v>13</v>
      </c>
      <c r="D143" s="8" t="n">
        <f aca="false">SUMIFS('Source 2026'!$R:$R,'Source 2026'!$B:$B,$A143,'Source 2026'!$A:$A,"Quantity (units)")</f>
        <v>15</v>
      </c>
      <c r="E143" s="8" t="n">
        <f aca="false">D143-C143</f>
        <v>2</v>
      </c>
      <c r="F143" s="9" t="n">
        <f aca="false">IF(AND(C143=0,D143=0),0,IF(C143=0,"New",(D143-C143)/C143))</f>
        <v>0.153846153846154</v>
      </c>
      <c r="G143" s="10" t="n">
        <f aca="false">SUMIFS('Source 2025'!$R:$R,'Source 2025'!$B:$B,$A143,'Source 2025'!$A:$A,"Amount (NIS)")</f>
        <v>630.4</v>
      </c>
      <c r="H143" s="10" t="n">
        <f aca="false">SUMIFS('Source 2026'!$R:$R,'Source 2026'!$B:$B,$A143,'Source 2026'!$A:$A,"Amount (NIS)")</f>
        <v>727.4</v>
      </c>
      <c r="I143" s="10" t="n">
        <f aca="false">H143-G143</f>
        <v>97</v>
      </c>
      <c r="J143" s="9" t="n">
        <f aca="false">IF(AND(G143=0,H143=0),0,IF(G143=0,"New",(H143-G143)/G143))</f>
        <v>0.153870558375635</v>
      </c>
    </row>
    <row r="144" customFormat="false" ht="15" hidden="false" customHeight="false" outlineLevel="0" collapsed="false">
      <c r="A144" s="7" t="s">
        <v>120</v>
      </c>
      <c r="B144" s="7" t="str">
        <f aca="false">IFERROR(INDEX('Source 2026'!$C:$C,MATCH($A144,'Source 2026'!$B:$B,0)),IFERROR(INDEX('Source 2025'!$C:$C,MATCH($A144,'Source 2025'!$B:$B,0)),""))</f>
        <v>גרב.כסף לסכרתים אפור35-38</v>
      </c>
      <c r="C144" s="8" t="n">
        <f aca="false">SUMIFS('Source 2025'!$R:$R,'Source 2025'!$B:$B,$A144,'Source 2025'!$A:$A,"Quantity (units)")</f>
        <v>4</v>
      </c>
      <c r="D144" s="8" t="n">
        <f aca="false">SUMIFS('Source 2026'!$R:$R,'Source 2026'!$B:$B,$A144,'Source 2026'!$A:$A,"Quantity (units)")</f>
        <v>0</v>
      </c>
      <c r="E144" s="8" t="n">
        <f aca="false">D144-C144</f>
        <v>-4</v>
      </c>
      <c r="F144" s="9" t="n">
        <f aca="false">IF(AND(C144=0,D144=0),0,IF(C144=0,"New",(D144-C144)/C144))</f>
        <v>-1</v>
      </c>
      <c r="G144" s="10" t="n">
        <f aca="false">SUMIFS('Source 2025'!$R:$R,'Source 2025'!$B:$B,$A144,'Source 2025'!$A:$A,"Amount (NIS)")</f>
        <v>96.1</v>
      </c>
      <c r="H144" s="10" t="n">
        <f aca="false">SUMIFS('Source 2026'!$R:$R,'Source 2026'!$B:$B,$A144,'Source 2026'!$A:$A,"Amount (NIS)")</f>
        <v>0</v>
      </c>
      <c r="I144" s="10" t="n">
        <f aca="false">H144-G144</f>
        <v>-96.1</v>
      </c>
      <c r="J144" s="9" t="n">
        <f aca="false">IF(AND(G144=0,H144=0),0,IF(G144=0,"New",(H144-G144)/G144))</f>
        <v>-1</v>
      </c>
    </row>
    <row r="145" customFormat="false" ht="15" hidden="false" customHeight="false" outlineLevel="0" collapsed="false">
      <c r="A145" s="7" t="s">
        <v>93</v>
      </c>
      <c r="B145" s="7" t="str">
        <f aca="false">IFERROR(INDEX('Source 2026'!$C:$C,MATCH($A145,'Source 2026'!$B:$B,0)),IFERROR(INDEX('Source 2025'!$C:$C,MATCH($A145,'Source 2025'!$B:$B,0)),""))</f>
        <v>תחבושת א.נצמ</v>
      </c>
      <c r="C145" s="8" t="n">
        <f aca="false">SUMIFS('Source 2025'!$R:$R,'Source 2025'!$B:$B,$A145,'Source 2025'!$A:$A,"Quantity (units)")</f>
        <v>465</v>
      </c>
      <c r="D145" s="8" t="n">
        <f aca="false">SUMIFS('Source 2026'!$R:$R,'Source 2026'!$B:$B,$A145,'Source 2026'!$A:$A,"Quantity (units)")</f>
        <v>457</v>
      </c>
      <c r="E145" s="8" t="n">
        <f aca="false">D145-C145</f>
        <v>-8</v>
      </c>
      <c r="F145" s="9" t="n">
        <f aca="false">IF(AND(C145=0,D145=0),0,IF(C145=0,"New",(D145-C145)/C145))</f>
        <v>-0.0172043010752688</v>
      </c>
      <c r="G145" s="10" t="n">
        <f aca="false">SUMIFS('Source 2025'!$R:$R,'Source 2025'!$B:$B,$A145,'Source 2025'!$A:$A,"Amount (NIS)")</f>
        <v>5105.7</v>
      </c>
      <c r="H145" s="10" t="n">
        <f aca="false">SUMIFS('Source 2026'!$R:$R,'Source 2026'!$B:$B,$A145,'Source 2026'!$A:$A,"Amount (NIS)")</f>
        <v>5017.9</v>
      </c>
      <c r="I145" s="10" t="n">
        <f aca="false">H145-G145</f>
        <v>-87.8000000000002</v>
      </c>
      <c r="J145" s="9" t="n">
        <f aca="false">IF(AND(G145=0,H145=0),0,IF(G145=0,"New",(H145-G145)/G145))</f>
        <v>-0.017196466694087</v>
      </c>
    </row>
    <row r="146" customFormat="false" ht="15" hidden="false" customHeight="false" outlineLevel="0" collapsed="false">
      <c r="A146" s="7" t="s">
        <v>181</v>
      </c>
      <c r="B146" s="7" t="str">
        <f aca="false">IFERROR(INDEX('Source 2026'!$C:$C,MATCH($A146,'Source 2026'!$B:$B,0)),IFERROR(INDEX('Source 2025'!$C:$C,MATCH($A146,'Source 2025'!$B:$B,0)),""))</f>
        <v>מדרס מטטרזלי לנעלי עקב</v>
      </c>
      <c r="C146" s="8" t="n">
        <f aca="false">SUMIFS('Source 2025'!$R:$R,'Source 2025'!$B:$B,$A146,'Source 2025'!$A:$A,"Quantity (units)")</f>
        <v>16</v>
      </c>
      <c r="D146" s="8" t="n">
        <f aca="false">SUMIFS('Source 2026'!$R:$R,'Source 2026'!$B:$B,$A146,'Source 2026'!$A:$A,"Quantity (units)")</f>
        <v>20</v>
      </c>
      <c r="E146" s="8" t="n">
        <f aca="false">D146-C146</f>
        <v>4</v>
      </c>
      <c r="F146" s="9" t="n">
        <f aca="false">IF(AND(C146=0,D146=0),0,IF(C146=0,"New",(D146-C146)/C146))</f>
        <v>0.25</v>
      </c>
      <c r="G146" s="10" t="n">
        <f aca="false">SUMIFS('Source 2025'!$R:$R,'Source 2025'!$B:$B,$A146,'Source 2025'!$A:$A,"Amount (NIS)")</f>
        <v>349.3</v>
      </c>
      <c r="H146" s="10" t="n">
        <f aca="false">SUMIFS('Source 2026'!$R:$R,'Source 2026'!$B:$B,$A146,'Source 2026'!$A:$A,"Amount (NIS)")</f>
        <v>436.6</v>
      </c>
      <c r="I146" s="10" t="n">
        <f aca="false">H146-G146</f>
        <v>87.3</v>
      </c>
      <c r="J146" s="9" t="n">
        <f aca="false">IF(AND(G146=0,H146=0),0,IF(G146=0,"New",(H146-G146)/G146))</f>
        <v>0.249928428285142</v>
      </c>
    </row>
    <row r="147" customFormat="false" ht="15" hidden="false" customHeight="false" outlineLevel="0" collapsed="false">
      <c r="A147" s="7" t="s">
        <v>176</v>
      </c>
      <c r="B147" s="7" t="str">
        <f aca="false">IFERROR(INDEX('Source 2026'!$C:$C,MATCH($A147,'Source 2026'!$B:$B,0)),IFERROR(INDEX('Source 2025'!$C:$C,MATCH($A147,'Source 2025'!$B:$B,0)),""))</f>
        <v>סד לאגודל</v>
      </c>
      <c r="C147" s="8" t="n">
        <f aca="false">SUMIFS('Source 2025'!$R:$R,'Source 2025'!$B:$B,$A147,'Source 2025'!$A:$A,"Quantity (units)")</f>
        <v>48</v>
      </c>
      <c r="D147" s="8" t="n">
        <f aca="false">SUMIFS('Source 2026'!$R:$R,'Source 2026'!$B:$B,$A147,'Source 2026'!$A:$A,"Quantity (units)")</f>
        <v>45</v>
      </c>
      <c r="E147" s="8" t="n">
        <f aca="false">D147-C147</f>
        <v>-3</v>
      </c>
      <c r="F147" s="9" t="n">
        <f aca="false">IF(AND(C147=0,D147=0),0,IF(C147=0,"New",(D147-C147)/C147))</f>
        <v>-0.0625</v>
      </c>
      <c r="G147" s="10" t="n">
        <f aca="false">SUMIFS('Source 2025'!$R:$R,'Source 2025'!$B:$B,$A147,'Source 2025'!$A:$A,"Amount (NIS)")</f>
        <v>1154.9</v>
      </c>
      <c r="H147" s="10" t="n">
        <f aca="false">SUMIFS('Source 2026'!$R:$R,'Source 2026'!$B:$B,$A147,'Source 2026'!$A:$A,"Amount (NIS)")</f>
        <v>1082.7</v>
      </c>
      <c r="I147" s="10" t="n">
        <f aca="false">H147-G147</f>
        <v>-72.2000000000001</v>
      </c>
      <c r="J147" s="9" t="n">
        <f aca="false">IF(AND(G147=0,H147=0),0,IF(G147=0,"New",(H147-G147)/G147))</f>
        <v>-0.0625162351718764</v>
      </c>
    </row>
    <row r="148" customFormat="false" ht="15" hidden="false" customHeight="false" outlineLevel="0" collapsed="false">
      <c r="A148" s="7" t="s">
        <v>220</v>
      </c>
      <c r="B148" s="7" t="str">
        <f aca="false">IFERROR(INDEX('Source 2026'!$C:$C,MATCH($A148,'Source 2026'!$B:$B,0)),IFERROR(INDEX('Source 2025'!$C:$C,MATCH($A148,'Source 2025'!$B:$B,0)),""))</f>
        <v>XL סד לאגודל כפפה</v>
      </c>
      <c r="C148" s="8" t="n">
        <f aca="false">SUMIFS('Source 2025'!$R:$R,'Source 2025'!$B:$B,$A148,'Source 2025'!$A:$A,"Quantity (units)")</f>
        <v>1</v>
      </c>
      <c r="D148" s="8" t="n">
        <f aca="false">SUMIFS('Source 2026'!$R:$R,'Source 2026'!$B:$B,$A148,'Source 2026'!$A:$A,"Quantity (units)")</f>
        <v>0</v>
      </c>
      <c r="E148" s="8" t="n">
        <f aca="false">D148-C148</f>
        <v>-1</v>
      </c>
      <c r="F148" s="9" t="n">
        <f aca="false">IF(AND(C148=0,D148=0),0,IF(C148=0,"New",(D148-C148)/C148))</f>
        <v>-1</v>
      </c>
      <c r="G148" s="10" t="n">
        <f aca="false">SUMIFS('Source 2025'!$R:$R,'Source 2025'!$B:$B,$A148,'Source 2025'!$A:$A,"Amount (NIS)")</f>
        <v>66.1</v>
      </c>
      <c r="H148" s="10" t="n">
        <f aca="false">SUMIFS('Source 2026'!$R:$R,'Source 2026'!$B:$B,$A148,'Source 2026'!$A:$A,"Amount (NIS)")</f>
        <v>0</v>
      </c>
      <c r="I148" s="10" t="n">
        <f aca="false">H148-G148</f>
        <v>-66.1</v>
      </c>
      <c r="J148" s="9" t="n">
        <f aca="false">IF(AND(G148=0,H148=0),0,IF(G148=0,"New",(H148-G148)/G148))</f>
        <v>-1</v>
      </c>
    </row>
    <row r="149" customFormat="false" ht="15" hidden="false" customHeight="false" outlineLevel="0" collapsed="false">
      <c r="A149" s="7" t="s">
        <v>281</v>
      </c>
      <c r="B149" s="7" t="str">
        <f aca="false">IFERROR(INDEX('Source 2026'!$C:$C,MATCH($A149,'Source 2026'!$B:$B,0)),IFERROR(INDEX('Source 2025'!$C:$C,MATCH($A149,'Source 2025'!$B:$B,0)),""))</f>
        <v>M מדרס ג'ל ספורט לגבר</v>
      </c>
      <c r="C149" s="8" t="n">
        <f aca="false">SUMIFS('Source 2025'!$R:$R,'Source 2025'!$B:$B,$A149,'Source 2025'!$A:$A,"Quantity (units)")</f>
        <v>5</v>
      </c>
      <c r="D149" s="8" t="n">
        <f aca="false">SUMIFS('Source 2026'!$R:$R,'Source 2026'!$B:$B,$A149,'Source 2026'!$A:$A,"Quantity (units)")</f>
        <v>4</v>
      </c>
      <c r="E149" s="8" t="n">
        <f aca="false">D149-C149</f>
        <v>-1</v>
      </c>
      <c r="F149" s="9" t="n">
        <f aca="false">IF(AND(C149=0,D149=0),0,IF(C149=0,"New",(D149-C149)/C149))</f>
        <v>-0.2</v>
      </c>
      <c r="G149" s="10" t="n">
        <f aca="false">SUMIFS('Source 2025'!$R:$R,'Source 2025'!$B:$B,$A149,'Source 2025'!$A:$A,"Amount (NIS)")</f>
        <v>328.2</v>
      </c>
      <c r="H149" s="10" t="n">
        <f aca="false">SUMIFS('Source 2026'!$R:$R,'Source 2026'!$B:$B,$A149,'Source 2026'!$A:$A,"Amount (NIS)")</f>
        <v>262.5</v>
      </c>
      <c r="I149" s="10" t="n">
        <f aca="false">H149-G149</f>
        <v>-65.7</v>
      </c>
      <c r="J149" s="9" t="n">
        <f aca="false">IF(AND(G149=0,H149=0),0,IF(G149=0,"New",(H149-G149)/G149))</f>
        <v>-0.20018281535649</v>
      </c>
    </row>
    <row r="150" customFormat="false" ht="15" hidden="false" customHeight="false" outlineLevel="0" collapsed="false">
      <c r="A150" s="7" t="s">
        <v>340</v>
      </c>
      <c r="B150" s="7" t="str">
        <f aca="false">IFERROR(INDEX('Source 2026'!$C:$C,MATCH($A150,'Source 2026'!$B:$B,0)),IFERROR(INDEX('Source 2025'!$C:$C,MATCH($A150,'Source 2025'!$B:$B,0)),""))</f>
        <v>ריפוד סיליקון לעקב אחורי</v>
      </c>
      <c r="C150" s="8" t="n">
        <f aca="false">SUMIFS('Source 2025'!$R:$R,'Source 2025'!$B:$B,$A150,'Source 2025'!$A:$A,"Quantity (units)")</f>
        <v>87</v>
      </c>
      <c r="D150" s="8" t="n">
        <f aca="false">SUMIFS('Source 2026'!$R:$R,'Source 2026'!$B:$B,$A150,'Source 2026'!$A:$A,"Quantity (units)")</f>
        <v>90</v>
      </c>
      <c r="E150" s="8" t="n">
        <f aca="false">D150-C150</f>
        <v>3</v>
      </c>
      <c r="F150" s="9" t="n">
        <f aca="false">IF(AND(C150=0,D150=0),0,IF(C150=0,"New",(D150-C150)/C150))</f>
        <v>0.0344827586206897</v>
      </c>
      <c r="G150" s="10" t="n">
        <f aca="false">SUMIFS('Source 2025'!$R:$R,'Source 2025'!$B:$B,$A150,'Source 2025'!$A:$A,"Amount (NIS)")</f>
        <v>1899.2</v>
      </c>
      <c r="H150" s="10" t="n">
        <f aca="false">SUMIFS('Source 2026'!$R:$R,'Source 2026'!$B:$B,$A150,'Source 2026'!$A:$A,"Amount (NIS)")</f>
        <v>1964.7</v>
      </c>
      <c r="I150" s="10" t="n">
        <f aca="false">H150-G150</f>
        <v>65.5</v>
      </c>
      <c r="J150" s="9" t="n">
        <f aca="false">IF(AND(G150=0,H150=0),0,IF(G150=0,"New",(H150-G150)/G150))</f>
        <v>0.0344882055602359</v>
      </c>
    </row>
    <row r="151" customFormat="false" ht="15" hidden="false" customHeight="false" outlineLevel="0" collapsed="false">
      <c r="A151" s="7" t="s">
        <v>210</v>
      </c>
      <c r="B151" s="7" t="str">
        <f aca="false">IFERROR(INDEX('Source 2026'!$C:$C,MATCH($A151,'Source 2026'!$B:$B,0)),IFERROR(INDEX('Source 2025'!$C:$C,MATCH($A151,'Source 2025'!$B:$B,0)),""))</f>
        <v>L-מדרס סיליקון לנעלי עקב</v>
      </c>
      <c r="C151" s="8" t="n">
        <f aca="false">SUMIFS('Source 2025'!$R:$R,'Source 2025'!$B:$B,$A151,'Source 2025'!$A:$A,"Quantity (units)")</f>
        <v>9</v>
      </c>
      <c r="D151" s="8" t="n">
        <f aca="false">SUMIFS('Source 2026'!$R:$R,'Source 2026'!$B:$B,$A151,'Source 2026'!$A:$A,"Quantity (units)")</f>
        <v>10</v>
      </c>
      <c r="E151" s="8" t="n">
        <f aca="false">D151-C151</f>
        <v>1</v>
      </c>
      <c r="F151" s="9" t="n">
        <f aca="false">IF(AND(C151=0,D151=0),0,IF(C151=0,"New",(D151-C151)/C151))</f>
        <v>0.111111111111111</v>
      </c>
      <c r="G151" s="10" t="n">
        <f aca="false">SUMIFS('Source 2025'!$R:$R,'Source 2025'!$B:$B,$A151,'Source 2025'!$A:$A,"Amount (NIS)")</f>
        <v>393.3</v>
      </c>
      <c r="H151" s="10" t="n">
        <f aca="false">SUMIFS('Source 2026'!$R:$R,'Source 2026'!$B:$B,$A151,'Source 2026'!$A:$A,"Amount (NIS)")</f>
        <v>437</v>
      </c>
      <c r="I151" s="10" t="n">
        <f aca="false">H151-G151</f>
        <v>43.7</v>
      </c>
      <c r="J151" s="9" t="n">
        <f aca="false">IF(AND(G151=0,H151=0),0,IF(G151=0,"New",(H151-G151)/G151))</f>
        <v>0.111111111111111</v>
      </c>
    </row>
    <row r="152" customFormat="false" ht="15" hidden="false" customHeight="false" outlineLevel="0" collapsed="false">
      <c r="A152" s="7" t="s">
        <v>283</v>
      </c>
      <c r="B152" s="7" t="str">
        <f aca="false">IFERROR(INDEX('Source 2026'!$C:$C,MATCH($A152,'Source 2026'!$B:$B,0)),IFERROR(INDEX('Source 2025'!$C:$C,MATCH($A152,'Source 2025'!$B:$B,0)),""))</f>
        <v>לחץ א.הבוניון</v>
      </c>
      <c r="C152" s="8" t="n">
        <f aca="false">SUMIFS('Source 2025'!$R:$R,'Source 2025'!$B:$B,$A152,'Source 2025'!$A:$A,"Quantity (units)")</f>
        <v>31</v>
      </c>
      <c r="D152" s="8" t="n">
        <f aca="false">SUMIFS('Source 2026'!$R:$R,'Source 2026'!$B:$B,$A152,'Source 2026'!$A:$A,"Quantity (units)")</f>
        <v>30</v>
      </c>
      <c r="E152" s="8" t="n">
        <f aca="false">D152-C152</f>
        <v>-1</v>
      </c>
      <c r="F152" s="9" t="n">
        <f aca="false">IF(AND(C152=0,D152=0),0,IF(C152=0,"New",(D152-C152)/C152))</f>
        <v>-0.032258064516129</v>
      </c>
      <c r="G152" s="10" t="n">
        <f aca="false">SUMIFS('Source 2025'!$R:$R,'Source 2025'!$B:$B,$A152,'Source 2025'!$A:$A,"Amount (NIS)")</f>
        <v>582.9</v>
      </c>
      <c r="H152" s="10" t="n">
        <f aca="false">SUMIFS('Source 2026'!$R:$R,'Source 2026'!$B:$B,$A152,'Source 2026'!$A:$A,"Amount (NIS)")</f>
        <v>564.1</v>
      </c>
      <c r="I152" s="10" t="n">
        <f aca="false">H152-G152</f>
        <v>-18.8</v>
      </c>
      <c r="J152" s="9" t="n">
        <f aca="false">IF(AND(G152=0,H152=0),0,IF(G152=0,"New",(H152-G152)/G152))</f>
        <v>-0.0322525304511922</v>
      </c>
    </row>
    <row r="153" customFormat="false" ht="15" hidden="false" customHeight="false" outlineLevel="0" collapsed="false">
      <c r="A153" s="7" t="s">
        <v>247</v>
      </c>
      <c r="B153" s="7" t="str">
        <f aca="false">IFERROR(INDEX('Source 2026'!$C:$C,MATCH($A153,'Source 2026'!$B:$B,0)),IFERROR(INDEX('Source 2025'!$C:$C,MATCH($A153,'Source 2025'!$B:$B,0)),""))</f>
        <v>ריפוד סיליק.לעקב תחתון</v>
      </c>
      <c r="C153" s="8" t="n">
        <f aca="false">SUMIFS('Source 2025'!$R:$R,'Source 2025'!$B:$B,$A153,'Source 2025'!$A:$A,"Quantity (units)")</f>
        <v>47</v>
      </c>
      <c r="D153" s="8" t="n">
        <f aca="false">SUMIFS('Source 2026'!$R:$R,'Source 2026'!$B:$B,$A153,'Source 2026'!$A:$A,"Quantity (units)")</f>
        <v>47</v>
      </c>
      <c r="E153" s="8" t="n">
        <f aca="false">D153-C153</f>
        <v>0</v>
      </c>
      <c r="F153" s="9" t="n">
        <f aca="false">IF(AND(C153=0,D153=0),0,IF(C153=0,"New",(D153-C153)/C153))</f>
        <v>0</v>
      </c>
      <c r="G153" s="10" t="n">
        <f aca="false">SUMIFS('Source 2025'!$R:$R,'Source 2025'!$B:$B,$A153,'Source 2025'!$A:$A,"Amount (NIS)")</f>
        <v>1026</v>
      </c>
      <c r="H153" s="10" t="n">
        <f aca="false">SUMIFS('Source 2026'!$R:$R,'Source 2026'!$B:$B,$A153,'Source 2026'!$A:$A,"Amount (NIS)")</f>
        <v>1026</v>
      </c>
      <c r="I153" s="10" t="n">
        <f aca="false">H153-G153</f>
        <v>0</v>
      </c>
      <c r="J153" s="9" t="n">
        <f aca="false">IF(AND(G153=0,H153=0),0,IF(G153=0,"New",(H153-G153)/G153))</f>
        <v>0</v>
      </c>
    </row>
    <row r="154" customFormat="false" ht="15" hidden="false" customHeight="false" outlineLevel="0" collapsed="false">
      <c r="A154" s="7" t="s">
        <v>104</v>
      </c>
      <c r="B154" s="7" t="str">
        <f aca="false">IFERROR(INDEX('Source 2026'!$C:$C,MATCH($A154,'Source 2026'!$B:$B,0)),IFERROR(INDEX('Source 2025'!$C:$C,MATCH($A154,'Source 2025'!$B:$B,0)),""))</f>
        <v>מיישר בוניון-האלוקס ולגוס</v>
      </c>
      <c r="C154" s="8" t="n">
        <f aca="false">SUMIFS('Source 2025'!$R:$R,'Source 2025'!$B:$B,$A154,'Source 2025'!$A:$A,"Quantity (units)")</f>
        <v>25</v>
      </c>
      <c r="D154" s="8" t="n">
        <f aca="false">SUMIFS('Source 2026'!$R:$R,'Source 2026'!$B:$B,$A154,'Source 2026'!$A:$A,"Quantity (units)")</f>
        <v>25</v>
      </c>
      <c r="E154" s="8" t="n">
        <f aca="false">D154-C154</f>
        <v>0</v>
      </c>
      <c r="F154" s="9" t="n">
        <f aca="false">IF(AND(C154=0,D154=0),0,IF(C154=0,"New",(D154-C154)/C154))</f>
        <v>0</v>
      </c>
      <c r="G154" s="10" t="n">
        <f aca="false">SUMIFS('Source 2025'!$R:$R,'Source 2025'!$B:$B,$A154,'Source 2025'!$A:$A,"Amount (NIS)")</f>
        <v>1102</v>
      </c>
      <c r="H154" s="10" t="n">
        <f aca="false">SUMIFS('Source 2026'!$R:$R,'Source 2026'!$B:$B,$A154,'Source 2026'!$A:$A,"Amount (NIS)")</f>
        <v>1102</v>
      </c>
      <c r="I154" s="10" t="n">
        <f aca="false">H154-G154</f>
        <v>0</v>
      </c>
      <c r="J154" s="9" t="n">
        <f aca="false">IF(AND(G154=0,H154=0),0,IF(G154=0,"New",(H154-G154)/G154))</f>
        <v>0</v>
      </c>
    </row>
    <row r="156" customFormat="false" ht="15" hidden="false" customHeight="false" outlineLevel="0" collapsed="false">
      <c r="A156" s="11"/>
      <c r="B156" s="12" t="s">
        <v>257</v>
      </c>
      <c r="C156" s="13" t="n">
        <f aca="false">SUM(C6:C154)</f>
        <v>25880</v>
      </c>
      <c r="D156" s="13" t="n">
        <f aca="false">SUM(D6:D154)</f>
        <v>18040</v>
      </c>
      <c r="E156" s="13" t="n">
        <f aca="false">SUM(E6:E154)</f>
        <v>-7840</v>
      </c>
      <c r="F156" s="14" t="n">
        <f aca="false">IF(C156=0,"N/A",E156/C156)</f>
        <v>-0.302936630602782</v>
      </c>
      <c r="G156" s="15" t="n">
        <f aca="false">SUM(G6:G154)</f>
        <v>895106.5</v>
      </c>
      <c r="H156" s="15" t="n">
        <f aca="false">SUM(H6:H154)</f>
        <v>655276.6</v>
      </c>
      <c r="I156" s="15" t="n">
        <f aca="false">SUM(I6:I154)</f>
        <v>-239829.9</v>
      </c>
      <c r="J156" s="14" t="n">
        <f aca="false">IF(G156=0,"N/A",I156/G156)</f>
        <v>-0.26793448600809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372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155</v>
      </c>
      <c r="B6" s="7" t="str">
        <f aca="false">IFERROR(INDEX('Source 2026'!$C:$C,MATCH($A6,'Source 2026'!$B:$B,0)),IFERROR(INDEX('Source 2025'!$C:$C,MATCH($A6,'Source 2025'!$B:$B,0)),""))</f>
        <v>0 חגורה למנותחי בית חזה</v>
      </c>
      <c r="C6" s="8" t="n">
        <f aca="false">SUMIFS('Source 2025'!$S:$S,'Source 2025'!$B:$B,$A6,'Source 2025'!$A:$A,"Quantity (units)")</f>
        <v>1</v>
      </c>
      <c r="D6" s="8" t="n">
        <f aca="false">SUMIFS('Source 2026'!$S:$S,'Source 2026'!$B:$B,$A6,'Source 2026'!$A:$A,"Quantity (units)")</f>
        <v>0</v>
      </c>
      <c r="E6" s="8" t="n">
        <f aca="false">D6-C6</f>
        <v>-1</v>
      </c>
      <c r="F6" s="9" t="n">
        <f aca="false">IF(AND(C6=0,D6=0),0,IF(C6=0,"New",(D6-C6)/C6))</f>
        <v>-1</v>
      </c>
      <c r="G6" s="10" t="n">
        <f aca="false">SUMIFS('Source 2025'!$S:$S,'Source 2025'!$B:$B,$A6,'Source 2025'!$A:$A,"Amount (NIS)")</f>
        <v>225.3</v>
      </c>
      <c r="H6" s="10" t="n">
        <f aca="false">SUMIFS('Source 2026'!$S:$S,'Source 2026'!$B:$B,$A6,'Source 2026'!$A:$A,"Amount (NIS)")</f>
        <v>0</v>
      </c>
      <c r="I6" s="10" t="n">
        <f aca="false">H6-G6</f>
        <v>-225.3</v>
      </c>
      <c r="J6" s="9" t="n">
        <f aca="false">IF(AND(G6=0,H6=0),0,IF(G6=0,"New",(H6-G6)/G6))</f>
        <v>-1</v>
      </c>
    </row>
    <row r="7" customFormat="false" ht="15" hidden="false" customHeight="false" outlineLevel="0" collapsed="false">
      <c r="A7" s="7" t="s">
        <v>186</v>
      </c>
      <c r="B7" s="7" t="str">
        <f aca="false">IFERROR(INDEX('Source 2026'!$C:$C,MATCH($A7,'Source 2026'!$B:$B,0)),IFERROR(INDEX('Source 2025'!$C:$C,MATCH($A7,'Source 2025'!$B:$B,0)),""))</f>
        <v>S חבק יד</v>
      </c>
      <c r="C7" s="8" t="n">
        <f aca="false">SUMIFS('Source 2025'!$S:$S,'Source 2025'!$B:$B,$A7,'Source 2025'!$A:$A,"Quantity (units)")</f>
        <v>0</v>
      </c>
      <c r="D7" s="8" t="n">
        <f aca="false">SUMIFS('Source 2026'!$S:$S,'Source 2026'!$B:$B,$A7,'Source 2026'!$A:$A,"Quantity (units)")</f>
        <v>2</v>
      </c>
      <c r="E7" s="8" t="n">
        <f aca="false">D7-C7</f>
        <v>2</v>
      </c>
      <c r="F7" s="9" t="str">
        <f aca="false">IF(AND(C7=0,D7=0),0,IF(C7=0,"New",(D7-C7)/C7))</f>
        <v>New</v>
      </c>
      <c r="G7" s="10" t="n">
        <f aca="false">SUMIFS('Source 2025'!$S:$S,'Source 2025'!$B:$B,$A7,'Source 2025'!$A:$A,"Amount (NIS)")</f>
        <v>0</v>
      </c>
      <c r="H7" s="10" t="n">
        <f aca="false">SUMIFS('Source 2026'!$S:$S,'Source 2026'!$B:$B,$A7,'Source 2026'!$A:$A,"Amount (NIS)")</f>
        <v>174.8</v>
      </c>
      <c r="I7" s="10" t="n">
        <f aca="false">H7-G7</f>
        <v>174.8</v>
      </c>
      <c r="J7" s="9" t="str">
        <f aca="false">IF(AND(G7=0,H7=0),0,IF(G7=0,"New",(H7-G7)/G7))</f>
        <v>New</v>
      </c>
    </row>
    <row r="8" customFormat="false" ht="15" hidden="false" customHeight="false" outlineLevel="0" collapsed="false">
      <c r="A8" s="7" t="s">
        <v>62</v>
      </c>
      <c r="B8" s="7" t="str">
        <f aca="false">IFERROR(INDEX('Source 2026'!$C:$C,MATCH($A8,'Source 2026'!$B:$B,0)),IFERROR(INDEX('Source 2025'!$C:$C,MATCH($A8,'Source 2025'!$B:$B,0)),""))</f>
        <v>L (מתלה ליד )כיס</v>
      </c>
      <c r="C8" s="8" t="n">
        <f aca="false">SUMIFS('Source 2025'!$S:$S,'Source 2025'!$B:$B,$A8,'Source 2025'!$A:$A,"Quantity (units)")</f>
        <v>3</v>
      </c>
      <c r="D8" s="8" t="n">
        <f aca="false">SUMIFS('Source 2026'!$S:$S,'Source 2026'!$B:$B,$A8,'Source 2026'!$A:$A,"Quantity (units)")</f>
        <v>0</v>
      </c>
      <c r="E8" s="8" t="n">
        <f aca="false">D8-C8</f>
        <v>-3</v>
      </c>
      <c r="F8" s="9" t="n">
        <f aca="false">IF(AND(C8=0,D8=0),0,IF(C8=0,"New",(D8-C8)/C8))</f>
        <v>-1</v>
      </c>
      <c r="G8" s="10" t="n">
        <f aca="false">SUMIFS('Source 2025'!$S:$S,'Source 2025'!$B:$B,$A8,'Source 2025'!$A:$A,"Amount (NIS)")</f>
        <v>158.7</v>
      </c>
      <c r="H8" s="10" t="n">
        <f aca="false">SUMIFS('Source 2026'!$S:$S,'Source 2026'!$B:$B,$A8,'Source 2026'!$A:$A,"Amount (NIS)")</f>
        <v>0</v>
      </c>
      <c r="I8" s="10" t="n">
        <f aca="false">H8-G8</f>
        <v>-158.7</v>
      </c>
      <c r="J8" s="9" t="n">
        <f aca="false">IF(AND(G8=0,H8=0),0,IF(G8=0,"New",(H8-G8)/G8))</f>
        <v>-1</v>
      </c>
    </row>
    <row r="9" customFormat="false" ht="15" hidden="false" customHeight="false" outlineLevel="0" collapsed="false">
      <c r="A9" s="7" t="s">
        <v>373</v>
      </c>
      <c r="B9" s="7" t="str">
        <f aca="false">IFERROR(INDEX('Source 2026'!$C:$C,MATCH($A9,'Source 2026'!$B:$B,0)),IFERROR(INDEX('Source 2025'!$C:$C,MATCH($A9,'Source 2025'!$B:$B,0)),""))</f>
        <v>S חגורת גב לנשים</v>
      </c>
      <c r="C9" s="8" t="n">
        <f aca="false">SUMIFS('Source 2025'!$S:$S,'Source 2025'!$B:$B,$A9,'Source 2025'!$A:$A,"Quantity (units)")</f>
        <v>1</v>
      </c>
      <c r="D9" s="8" t="n">
        <f aca="false">SUMIFS('Source 2026'!$S:$S,'Source 2026'!$B:$B,$A9,'Source 2026'!$A:$A,"Quantity (units)")</f>
        <v>0</v>
      </c>
      <c r="E9" s="8" t="n">
        <f aca="false">D9-C9</f>
        <v>-1</v>
      </c>
      <c r="F9" s="9" t="n">
        <f aca="false">IF(AND(C9=0,D9=0),0,IF(C9=0,"New",(D9-C9)/C9))</f>
        <v>-1</v>
      </c>
      <c r="G9" s="10" t="n">
        <f aca="false">SUMIFS('Source 2025'!$S:$S,'Source 2025'!$B:$B,$A9,'Source 2025'!$A:$A,"Amount (NIS)")</f>
        <v>154.4</v>
      </c>
      <c r="H9" s="10" t="n">
        <f aca="false">SUMIFS('Source 2026'!$S:$S,'Source 2026'!$B:$B,$A9,'Source 2026'!$A:$A,"Amount (NIS)")</f>
        <v>0</v>
      </c>
      <c r="I9" s="10" t="n">
        <f aca="false">H9-G9</f>
        <v>-154.4</v>
      </c>
      <c r="J9" s="9" t="n">
        <f aca="false">IF(AND(G9=0,H9=0),0,IF(G9=0,"New",(H9-G9)/G9))</f>
        <v>-1</v>
      </c>
    </row>
    <row r="10" customFormat="false" ht="15" hidden="false" customHeight="false" outlineLevel="0" collapsed="false">
      <c r="A10" s="7" t="s">
        <v>59</v>
      </c>
      <c r="B10" s="7" t="str">
        <f aca="false">IFERROR(INDEX('Source 2026'!$C:$C,MATCH($A10,'Source 2026'!$B:$B,0)),IFERROR(INDEX('Source 2025'!$C:$C,MATCH($A10,'Source 2025'!$B:$B,0)),""))</f>
        <v>יד אגודלי</v>
      </c>
      <c r="C10" s="8" t="n">
        <f aca="false">SUMIFS('Source 2025'!$S:$S,'Source 2025'!$B:$B,$A10,'Source 2025'!$A:$A,"Quantity (units)")</f>
        <v>0</v>
      </c>
      <c r="D10" s="8" t="n">
        <f aca="false">SUMIFS('Source 2026'!$S:$S,'Source 2026'!$B:$B,$A10,'Source 2026'!$A:$A,"Quantity (units)")</f>
        <v>3</v>
      </c>
      <c r="E10" s="8" t="n">
        <f aca="false">D10-C10</f>
        <v>3</v>
      </c>
      <c r="F10" s="9" t="str">
        <f aca="false">IF(AND(C10=0,D10=0),0,IF(C10=0,"New",(D10-C10)/C10))</f>
        <v>New</v>
      </c>
      <c r="G10" s="10" t="n">
        <f aca="false">SUMIFS('Source 2025'!$S:$S,'Source 2025'!$B:$B,$A10,'Source 2025'!$A:$A,"Amount (NIS)")</f>
        <v>0</v>
      </c>
      <c r="H10" s="10" t="n">
        <f aca="false">SUMIFS('Source 2026'!$S:$S,'Source 2026'!$B:$B,$A10,'Source 2026'!$A:$A,"Amount (NIS)")</f>
        <v>131.1</v>
      </c>
      <c r="I10" s="10" t="n">
        <f aca="false">H10-G10</f>
        <v>131.1</v>
      </c>
      <c r="J10" s="9" t="str">
        <f aca="false">IF(AND(G10=0,H10=0),0,IF(G10=0,"New",(H10-G10)/G10))</f>
        <v>New</v>
      </c>
    </row>
    <row r="11" customFormat="false" ht="15" hidden="false" customHeight="false" outlineLevel="0" collapsed="false">
      <c r="A11" s="7" t="s">
        <v>48</v>
      </c>
      <c r="B11" s="7" t="str">
        <f aca="false">IFERROR(INDEX('Source 2026'!$C:$C,MATCH($A11,'Source 2026'!$B:$B,0)),IFERROR(INDEX('Source 2025'!$C:$C,MATCH($A11,'Source 2025'!$B:$B,0)),""))</f>
        <v>מישר כתפיים אקטיב</v>
      </c>
      <c r="C11" s="8" t="n">
        <f aca="false">SUMIFS('Source 2025'!$S:$S,'Source 2025'!$B:$B,$A11,'Source 2025'!$A:$A,"Quantity (units)")</f>
        <v>3</v>
      </c>
      <c r="D11" s="8" t="n">
        <f aca="false">SUMIFS('Source 2026'!$S:$S,'Source 2026'!$B:$B,$A11,'Source 2026'!$A:$A,"Quantity (units)")</f>
        <v>1</v>
      </c>
      <c r="E11" s="8" t="n">
        <f aca="false">D11-C11</f>
        <v>-2</v>
      </c>
      <c r="F11" s="9" t="n">
        <f aca="false">IF(AND(C11=0,D11=0),0,IF(C11=0,"New",(D11-C11)/C11))</f>
        <v>-0.666666666666667</v>
      </c>
      <c r="G11" s="10" t="n">
        <f aca="false">SUMIFS('Source 2025'!$S:$S,'Source 2025'!$B:$B,$A11,'Source 2025'!$A:$A,"Amount (NIS)")</f>
        <v>203.3</v>
      </c>
      <c r="H11" s="10" t="n">
        <f aca="false">SUMIFS('Source 2026'!$S:$S,'Source 2026'!$B:$B,$A11,'Source 2026'!$A:$A,"Amount (NIS)")</f>
        <v>74.3</v>
      </c>
      <c r="I11" s="10" t="n">
        <f aca="false">H11-G11</f>
        <v>-129</v>
      </c>
      <c r="J11" s="9" t="n">
        <f aca="false">IF(AND(G11=0,H11=0),0,IF(G11=0,"New",(H11-G11)/G11))</f>
        <v>-0.634530250860797</v>
      </c>
    </row>
    <row r="12" customFormat="false" ht="15" hidden="false" customHeight="false" outlineLevel="0" collapsed="false">
      <c r="A12" s="7" t="s">
        <v>108</v>
      </c>
      <c r="B12" s="7" t="str">
        <f aca="false">IFERROR(INDEX('Source 2026'!$C:$C,MATCH($A12,'Source 2026'!$B:$B,0)),IFERROR(INDEX('Source 2025'!$C:$C,MATCH($A12,'Source 2025'!$B:$B,0)),""))</f>
        <v>גב אפורה</v>
      </c>
      <c r="C12" s="8" t="n">
        <f aca="false">SUMIFS('Source 2025'!$S:$S,'Source 2025'!$B:$B,$A12,'Source 2025'!$A:$A,"Quantity (units)")</f>
        <v>1</v>
      </c>
      <c r="D12" s="8" t="n">
        <f aca="false">SUMIFS('Source 2026'!$S:$S,'Source 2026'!$B:$B,$A12,'Source 2026'!$A:$A,"Quantity (units)")</f>
        <v>0</v>
      </c>
      <c r="E12" s="8" t="n">
        <f aca="false">D12-C12</f>
        <v>-1</v>
      </c>
      <c r="F12" s="9" t="n">
        <f aca="false">IF(AND(C12=0,D12=0),0,IF(C12=0,"New",(D12-C12)/C12))</f>
        <v>-1</v>
      </c>
      <c r="G12" s="10" t="n">
        <f aca="false">SUMIFS('Source 2025'!$S:$S,'Source 2025'!$B:$B,$A12,'Source 2025'!$A:$A,"Amount (NIS)")</f>
        <v>109.3</v>
      </c>
      <c r="H12" s="10" t="n">
        <f aca="false">SUMIFS('Source 2026'!$S:$S,'Source 2026'!$B:$B,$A12,'Source 2026'!$A:$A,"Amount (NIS)")</f>
        <v>0</v>
      </c>
      <c r="I12" s="10" t="n">
        <f aca="false">H12-G12</f>
        <v>-109.3</v>
      </c>
      <c r="J12" s="9" t="n">
        <f aca="false">IF(AND(G12=0,H12=0),0,IF(G12=0,"New",(H12-G12)/G12))</f>
        <v>-1</v>
      </c>
    </row>
    <row r="13" customFormat="false" ht="15" hidden="false" customHeight="false" outlineLevel="0" collapsed="false">
      <c r="A13" s="7" t="s">
        <v>177</v>
      </c>
      <c r="B13" s="7" t="str">
        <f aca="false">IFERROR(INDEX('Source 2026'!$C:$C,MATCH($A13,'Source 2026'!$B:$B,0)),IFERROR(INDEX('Source 2025'!$C:$C,MATCH($A13,'Source 2025'!$B:$B,0)),""))</f>
        <v>35-38 גרב.כסף לסכרתים לבן</v>
      </c>
      <c r="C13" s="8" t="n">
        <f aca="false">SUMIFS('Source 2025'!$S:$S,'Source 2025'!$B:$B,$A13,'Source 2025'!$A:$A,"Quantity (units)")</f>
        <v>4</v>
      </c>
      <c r="D13" s="8" t="n">
        <f aca="false">SUMIFS('Source 2026'!$S:$S,'Source 2026'!$B:$B,$A13,'Source 2026'!$A:$A,"Quantity (units)")</f>
        <v>0</v>
      </c>
      <c r="E13" s="8" t="n">
        <f aca="false">D13-C13</f>
        <v>-4</v>
      </c>
      <c r="F13" s="9" t="n">
        <f aca="false">IF(AND(C13=0,D13=0),0,IF(C13=0,"New",(D13-C13)/C13))</f>
        <v>-1</v>
      </c>
      <c r="G13" s="10" t="n">
        <f aca="false">SUMIFS('Source 2025'!$S:$S,'Source 2025'!$B:$B,$A13,'Source 2025'!$A:$A,"Amount (NIS)")</f>
        <v>96.1</v>
      </c>
      <c r="H13" s="10" t="n">
        <f aca="false">SUMIFS('Source 2026'!$S:$S,'Source 2026'!$B:$B,$A13,'Source 2026'!$A:$A,"Amount (NIS)")</f>
        <v>0</v>
      </c>
      <c r="I13" s="10" t="n">
        <f aca="false">H13-G13</f>
        <v>-96.1</v>
      </c>
      <c r="J13" s="9" t="n">
        <f aca="false">IF(AND(G13=0,H13=0),0,IF(G13=0,"New",(H13-G13)/G13))</f>
        <v>-1</v>
      </c>
    </row>
    <row r="14" customFormat="false" ht="15" hidden="false" customHeight="false" outlineLevel="0" collapsed="false">
      <c r="A14" s="7" t="s">
        <v>109</v>
      </c>
      <c r="B14" s="7" t="str">
        <f aca="false">IFERROR(INDEX('Source 2026'!$C:$C,MATCH($A14,'Source 2026'!$B:$B,0)),IFERROR(INDEX('Source 2025'!$C:$C,MATCH($A14,'Source 2025'!$B:$B,0)),""))</f>
        <v>גרב.כסף לסכרתים שחור35-38</v>
      </c>
      <c r="C14" s="8" t="n">
        <f aca="false">SUMIFS('Source 2025'!$S:$S,'Source 2025'!$B:$B,$A14,'Source 2025'!$A:$A,"Quantity (units)")</f>
        <v>4</v>
      </c>
      <c r="D14" s="8" t="n">
        <f aca="false">SUMIFS('Source 2026'!$S:$S,'Source 2026'!$B:$B,$A14,'Source 2026'!$A:$A,"Quantity (units)")</f>
        <v>0</v>
      </c>
      <c r="E14" s="8" t="n">
        <f aca="false">D14-C14</f>
        <v>-4</v>
      </c>
      <c r="F14" s="9" t="n">
        <f aca="false">IF(AND(C14=0,D14=0),0,IF(C14=0,"New",(D14-C14)/C14))</f>
        <v>-1</v>
      </c>
      <c r="G14" s="10" t="n">
        <f aca="false">SUMIFS('Source 2025'!$S:$S,'Source 2025'!$B:$B,$A14,'Source 2025'!$A:$A,"Amount (NIS)")</f>
        <v>96.1</v>
      </c>
      <c r="H14" s="10" t="n">
        <f aca="false">SUMIFS('Source 2026'!$S:$S,'Source 2026'!$B:$B,$A14,'Source 2026'!$A:$A,"Amount (NIS)")</f>
        <v>0</v>
      </c>
      <c r="I14" s="10" t="n">
        <f aca="false">H14-G14</f>
        <v>-96.1</v>
      </c>
      <c r="J14" s="9" t="n">
        <f aca="false">IF(AND(G14=0,H14=0),0,IF(G14=0,"New",(H14-G14)/G14))</f>
        <v>-1</v>
      </c>
    </row>
    <row r="15" customFormat="false" ht="15" hidden="false" customHeight="false" outlineLevel="0" collapsed="false">
      <c r="A15" s="7" t="s">
        <v>87</v>
      </c>
      <c r="B15" s="7" t="str">
        <f aca="false">IFERROR(INDEX('Source 2026'!$C:$C,MATCH($A15,'Source 2026'!$B:$B,0)),IFERROR(INDEX('Source 2025'!$C:$C,MATCH($A15,'Source 2025'!$B:$B,0)),""))</f>
        <v>טלק מעושר באלוורה</v>
      </c>
      <c r="C15" s="8" t="n">
        <f aca="false">SUMIFS('Source 2025'!$S:$S,'Source 2025'!$B:$B,$A15,'Source 2025'!$A:$A,"Quantity (units)")</f>
        <v>4</v>
      </c>
      <c r="D15" s="8" t="n">
        <f aca="false">SUMIFS('Source 2026'!$S:$S,'Source 2026'!$B:$B,$A15,'Source 2026'!$A:$A,"Quantity (units)")</f>
        <v>0</v>
      </c>
      <c r="E15" s="8" t="n">
        <f aca="false">D15-C15</f>
        <v>-4</v>
      </c>
      <c r="F15" s="9" t="n">
        <f aca="false">IF(AND(C15=0,D15=0),0,IF(C15=0,"New",(D15-C15)/C15))</f>
        <v>-1</v>
      </c>
      <c r="G15" s="10" t="n">
        <f aca="false">SUMIFS('Source 2025'!$S:$S,'Source 2025'!$B:$B,$A15,'Source 2025'!$A:$A,"Amount (NIS)")</f>
        <v>85</v>
      </c>
      <c r="H15" s="10" t="n">
        <f aca="false">SUMIFS('Source 2026'!$S:$S,'Source 2026'!$B:$B,$A15,'Source 2026'!$A:$A,"Amount (NIS)")</f>
        <v>0</v>
      </c>
      <c r="I15" s="10" t="n">
        <f aca="false">H15-G15</f>
        <v>-85</v>
      </c>
      <c r="J15" s="9" t="n">
        <f aca="false">IF(AND(G15=0,H15=0),0,IF(G15=0,"New",(H15-G15)/G15))</f>
        <v>-1</v>
      </c>
    </row>
    <row r="16" customFormat="false" ht="15" hidden="false" customHeight="false" outlineLevel="0" collapsed="false">
      <c r="A16" s="7" t="s">
        <v>53</v>
      </c>
      <c r="B16" s="7" t="str">
        <f aca="false">IFERROR(INDEX('Source 2026'!$C:$C,MATCH($A16,'Source 2026'!$B:$B,0)),IFERROR(INDEX('Source 2025'!$C:$C,MATCH($A16,'Source 2025'!$B:$B,0)),""))</f>
        <v>סד ליד דו צדדי</v>
      </c>
      <c r="C16" s="8" t="n">
        <f aca="false">SUMIFS('Source 2025'!$S:$S,'Source 2025'!$B:$B,$A16,'Source 2025'!$A:$A,"Quantity (units)")</f>
        <v>1</v>
      </c>
      <c r="D16" s="8" t="n">
        <f aca="false">SUMIFS('Source 2026'!$S:$S,'Source 2026'!$B:$B,$A16,'Source 2026'!$A:$A,"Quantity (units)")</f>
        <v>0</v>
      </c>
      <c r="E16" s="8" t="n">
        <f aca="false">D16-C16</f>
        <v>-1</v>
      </c>
      <c r="F16" s="9" t="n">
        <f aca="false">IF(AND(C16=0,D16=0),0,IF(C16=0,"New",(D16-C16)/C16))</f>
        <v>-1</v>
      </c>
      <c r="G16" s="10" t="n">
        <f aca="false">SUMIFS('Source 2025'!$S:$S,'Source 2025'!$B:$B,$A16,'Source 2025'!$A:$A,"Amount (NIS)")</f>
        <v>72.8</v>
      </c>
      <c r="H16" s="10" t="n">
        <f aca="false">SUMIFS('Source 2026'!$S:$S,'Source 2026'!$B:$B,$A16,'Source 2026'!$A:$A,"Amount (NIS)")</f>
        <v>0</v>
      </c>
      <c r="I16" s="10" t="n">
        <f aca="false">H16-G16</f>
        <v>-72.8</v>
      </c>
      <c r="J16" s="9" t="n">
        <f aca="false">IF(AND(G16=0,H16=0),0,IF(G16=0,"New",(H16-G16)/G16))</f>
        <v>-1</v>
      </c>
    </row>
    <row r="17" customFormat="false" ht="15" hidden="false" customHeight="false" outlineLevel="0" collapsed="false">
      <c r="A17" s="7" t="s">
        <v>66</v>
      </c>
      <c r="B17" s="7" t="str">
        <f aca="false">IFERROR(INDEX('Source 2026'!$C:$C,MATCH($A17,'Source 2026'!$B:$B,0)),IFERROR(INDEX('Source 2025'!$C:$C,MATCH($A17,'Source 2025'!$B:$B,0)),""))</f>
        <v>מגן ברך עם תמיכות</v>
      </c>
      <c r="C17" s="8" t="n">
        <f aca="false">SUMIFS('Source 2025'!$S:$S,'Source 2025'!$B:$B,$A17,'Source 2025'!$A:$A,"Quantity (units)")</f>
        <v>1</v>
      </c>
      <c r="D17" s="8" t="n">
        <f aca="false">SUMIFS('Source 2026'!$S:$S,'Source 2026'!$B:$B,$A17,'Source 2026'!$A:$A,"Quantity (units)")</f>
        <v>0</v>
      </c>
      <c r="E17" s="8" t="n">
        <f aca="false">D17-C17</f>
        <v>-1</v>
      </c>
      <c r="F17" s="9" t="n">
        <f aca="false">IF(AND(C17=0,D17=0),0,IF(C17=0,"New",(D17-C17)/C17))</f>
        <v>-1</v>
      </c>
      <c r="G17" s="10" t="n">
        <f aca="false">SUMIFS('Source 2025'!$S:$S,'Source 2025'!$B:$B,$A17,'Source 2025'!$A:$A,"Amount (NIS)")</f>
        <v>70</v>
      </c>
      <c r="H17" s="10" t="n">
        <f aca="false">SUMIFS('Source 2026'!$S:$S,'Source 2026'!$B:$B,$A17,'Source 2026'!$A:$A,"Amount (NIS)")</f>
        <v>0</v>
      </c>
      <c r="I17" s="10" t="n">
        <f aca="false">H17-G17</f>
        <v>-70</v>
      </c>
      <c r="J17" s="9" t="n">
        <f aca="false">IF(AND(G17=0,H17=0),0,IF(G17=0,"New",(H17-G17)/G17))</f>
        <v>-1</v>
      </c>
    </row>
    <row r="18" customFormat="false" ht="15" hidden="false" customHeight="false" outlineLevel="0" collapsed="false">
      <c r="A18" s="7" t="s">
        <v>162</v>
      </c>
      <c r="B18" s="7" t="str">
        <f aca="false">IFERROR(INDEX('Source 2026'!$C:$C,MATCH($A18,'Source 2026'!$B:$B,0)),IFERROR(INDEX('Source 2025'!$C:$C,MATCH($A18,'Source 2025'!$B:$B,0)),""))</f>
        <v>מגן קרסול עקב סגור+רצוע</v>
      </c>
      <c r="C18" s="8" t="n">
        <f aca="false">SUMIFS('Source 2025'!$S:$S,'Source 2025'!$B:$B,$A18,'Source 2025'!$A:$A,"Quantity (units)")</f>
        <v>1</v>
      </c>
      <c r="D18" s="8" t="n">
        <f aca="false">SUMIFS('Source 2026'!$S:$S,'Source 2026'!$B:$B,$A18,'Source 2026'!$A:$A,"Quantity (units)")</f>
        <v>0</v>
      </c>
      <c r="E18" s="8" t="n">
        <f aca="false">D18-C18</f>
        <v>-1</v>
      </c>
      <c r="F18" s="9" t="n">
        <f aca="false">IF(AND(C18=0,D18=0),0,IF(C18=0,"New",(D18-C18)/C18))</f>
        <v>-1</v>
      </c>
      <c r="G18" s="10" t="n">
        <f aca="false">SUMIFS('Source 2025'!$S:$S,'Source 2025'!$B:$B,$A18,'Source 2025'!$A:$A,"Amount (NIS)")</f>
        <v>57.3</v>
      </c>
      <c r="H18" s="10" t="n">
        <f aca="false">SUMIFS('Source 2026'!$S:$S,'Source 2026'!$B:$B,$A18,'Source 2026'!$A:$A,"Amount (NIS)")</f>
        <v>0</v>
      </c>
      <c r="I18" s="10" t="n">
        <f aca="false">H18-G18</f>
        <v>-57.3</v>
      </c>
      <c r="J18" s="9" t="n">
        <f aca="false">IF(AND(G18=0,H18=0),0,IF(G18=0,"New",(H18-G18)/G18))</f>
        <v>-1</v>
      </c>
    </row>
    <row r="19" customFormat="false" ht="15" hidden="false" customHeight="false" outlineLevel="0" collapsed="false">
      <c r="A19" s="7" t="s">
        <v>274</v>
      </c>
      <c r="B19" s="7" t="str">
        <f aca="false">IFERROR(INDEX('Source 2026'!$C:$C,MATCH($A19,'Source 2026'!$B:$B,0)),IFERROR(INDEX('Source 2025'!$C:$C,MATCH($A19,'Source 2025'!$B:$B,0)),""))</f>
        <v>L מגן מרפק שחור</v>
      </c>
      <c r="C19" s="8" t="n">
        <f aca="false">SUMIFS('Source 2025'!$S:$S,'Source 2025'!$B:$B,$A19,'Source 2025'!$A:$A,"Quantity (units)")</f>
        <v>2</v>
      </c>
      <c r="D19" s="8" t="n">
        <f aca="false">SUMIFS('Source 2026'!$S:$S,'Source 2026'!$B:$B,$A19,'Source 2026'!$A:$A,"Quantity (units)")</f>
        <v>0</v>
      </c>
      <c r="E19" s="8" t="n">
        <f aca="false">D19-C19</f>
        <v>-2</v>
      </c>
      <c r="F19" s="9" t="n">
        <f aca="false">IF(AND(C19=0,D19=0),0,IF(C19=0,"New",(D19-C19)/C19))</f>
        <v>-1</v>
      </c>
      <c r="G19" s="10" t="n">
        <f aca="false">SUMIFS('Source 2025'!$S:$S,'Source 2025'!$B:$B,$A19,'Source 2025'!$A:$A,"Amount (NIS)")</f>
        <v>55.6</v>
      </c>
      <c r="H19" s="10" t="n">
        <f aca="false">SUMIFS('Source 2026'!$S:$S,'Source 2026'!$B:$B,$A19,'Source 2026'!$A:$A,"Amount (NIS)")</f>
        <v>0</v>
      </c>
      <c r="I19" s="10" t="n">
        <f aca="false">H19-G19</f>
        <v>-55.6</v>
      </c>
      <c r="J19" s="9" t="n">
        <f aca="false">IF(AND(G19=0,H19=0),0,IF(G19=0,"New",(H19-G19)/G19))</f>
        <v>-1</v>
      </c>
    </row>
    <row r="20" customFormat="false" ht="15" hidden="false" customHeight="false" outlineLevel="0" collapsed="false">
      <c r="A20" s="7" t="s">
        <v>49</v>
      </c>
      <c r="B20" s="7" t="str">
        <f aca="false">IFERROR(INDEX('Source 2026'!$C:$C,MATCH($A20,'Source 2026'!$B:$B,0)),IFERROR(INDEX('Source 2025'!$C:$C,MATCH($A20,'Source 2025'!$B:$B,0)),""))</f>
        <v>S מגן ברך חום</v>
      </c>
      <c r="C20" s="8" t="n">
        <f aca="false">SUMIFS('Source 2025'!$S:$S,'Source 2025'!$B:$B,$A20,'Source 2025'!$A:$A,"Quantity (units)")</f>
        <v>2</v>
      </c>
      <c r="D20" s="8" t="n">
        <f aca="false">SUMIFS('Source 2026'!$S:$S,'Source 2026'!$B:$B,$A20,'Source 2026'!$A:$A,"Quantity (units)")</f>
        <v>0</v>
      </c>
      <c r="E20" s="8" t="n">
        <f aca="false">D20-C20</f>
        <v>-2</v>
      </c>
      <c r="F20" s="9" t="n">
        <f aca="false">IF(AND(C20=0,D20=0),0,IF(C20=0,"New",(D20-C20)/C20))</f>
        <v>-1</v>
      </c>
      <c r="G20" s="10" t="n">
        <f aca="false">SUMIFS('Source 2025'!$S:$S,'Source 2025'!$B:$B,$A20,'Source 2025'!$A:$A,"Amount (NIS)")</f>
        <v>55.5</v>
      </c>
      <c r="H20" s="10" t="n">
        <f aca="false">SUMIFS('Source 2026'!$S:$S,'Source 2026'!$B:$B,$A20,'Source 2026'!$A:$A,"Amount (NIS)")</f>
        <v>0</v>
      </c>
      <c r="I20" s="10" t="n">
        <f aca="false">H20-G20</f>
        <v>-55.5</v>
      </c>
      <c r="J20" s="9" t="n">
        <f aca="false">IF(AND(G20=0,H20=0),0,IF(G20=0,"New",(H20-G20)/G20))</f>
        <v>-1</v>
      </c>
    </row>
    <row r="21" customFormat="false" ht="15" hidden="false" customHeight="false" outlineLevel="0" collapsed="false">
      <c r="A21" s="7" t="s">
        <v>47</v>
      </c>
      <c r="B21" s="7" t="str">
        <f aca="false">IFERROR(INDEX('Source 2026'!$C:$C,MATCH($A21,'Source 2026'!$B:$B,0)),IFERROR(INDEX('Source 2025'!$C:$C,MATCH($A21,'Source 2025'!$B:$B,0)),""))</f>
        <v>M מגן קרסול עקב סגור</v>
      </c>
      <c r="C21" s="8" t="n">
        <f aca="false">SUMIFS('Source 2025'!$S:$S,'Source 2025'!$B:$B,$A21,'Source 2025'!$A:$A,"Quantity (units)")</f>
        <v>1</v>
      </c>
      <c r="D21" s="8" t="n">
        <f aca="false">SUMIFS('Source 2026'!$S:$S,'Source 2026'!$B:$B,$A21,'Source 2026'!$A:$A,"Quantity (units)")</f>
        <v>0</v>
      </c>
      <c r="E21" s="8" t="n">
        <f aca="false">D21-C21</f>
        <v>-1</v>
      </c>
      <c r="F21" s="9" t="n">
        <f aca="false">IF(AND(C21=0,D21=0),0,IF(C21=0,"New",(D21-C21)/C21))</f>
        <v>-1</v>
      </c>
      <c r="G21" s="10" t="n">
        <f aca="false">SUMIFS('Source 2025'!$S:$S,'Source 2025'!$B:$B,$A21,'Source 2025'!$A:$A,"Amount (NIS)")</f>
        <v>43.7</v>
      </c>
      <c r="H21" s="10" t="n">
        <f aca="false">SUMIFS('Source 2026'!$S:$S,'Source 2026'!$B:$B,$A21,'Source 2026'!$A:$A,"Amount (NIS)")</f>
        <v>0</v>
      </c>
      <c r="I21" s="10" t="n">
        <f aca="false">H21-G21</f>
        <v>-43.7</v>
      </c>
      <c r="J21" s="9" t="n">
        <f aca="false">IF(AND(G21=0,H21=0),0,IF(G21=0,"New",(H21-G21)/G21))</f>
        <v>-1</v>
      </c>
    </row>
    <row r="22" customFormat="false" ht="15" hidden="false" customHeight="false" outlineLevel="0" collapsed="false">
      <c r="A22" s="7" t="s">
        <v>60</v>
      </c>
      <c r="B22" s="7" t="str">
        <f aca="false">IFERROR(INDEX('Source 2026'!$C:$C,MATCH($A22,'Source 2026'!$B:$B,0)),IFERROR(INDEX('Source 2025'!$C:$C,MATCH($A22,'Source 2025'!$B:$B,0)),""))</f>
        <v>יד אגודלי</v>
      </c>
      <c r="C22" s="8" t="n">
        <f aca="false">SUMIFS('Source 2025'!$S:$S,'Source 2025'!$B:$B,$A22,'Source 2025'!$A:$A,"Quantity (units)")</f>
        <v>1</v>
      </c>
      <c r="D22" s="8" t="n">
        <f aca="false">SUMIFS('Source 2026'!$S:$S,'Source 2026'!$B:$B,$A22,'Source 2026'!$A:$A,"Quantity (units)")</f>
        <v>0</v>
      </c>
      <c r="E22" s="8" t="n">
        <f aca="false">D22-C22</f>
        <v>-1</v>
      </c>
      <c r="F22" s="9" t="n">
        <f aca="false">IF(AND(C22=0,D22=0),0,IF(C22=0,"New",(D22-C22)/C22))</f>
        <v>-1</v>
      </c>
      <c r="G22" s="10" t="n">
        <f aca="false">SUMIFS('Source 2025'!$S:$S,'Source 2025'!$B:$B,$A22,'Source 2025'!$A:$A,"Amount (NIS)")</f>
        <v>43.7</v>
      </c>
      <c r="H22" s="10" t="n">
        <f aca="false">SUMIFS('Source 2026'!$S:$S,'Source 2026'!$B:$B,$A22,'Source 2026'!$A:$A,"Amount (NIS)")</f>
        <v>0</v>
      </c>
      <c r="I22" s="10" t="n">
        <f aca="false">H22-G22</f>
        <v>-43.7</v>
      </c>
      <c r="J22" s="9" t="n">
        <f aca="false">IF(AND(G22=0,H22=0),0,IF(G22=0,"New",(H22-G22)/G22))</f>
        <v>-1</v>
      </c>
    </row>
    <row r="23" customFormat="false" ht="15" hidden="false" customHeight="false" outlineLevel="0" collapsed="false">
      <c r="A23" s="7" t="s">
        <v>176</v>
      </c>
      <c r="B23" s="7" t="str">
        <f aca="false">IFERROR(INDEX('Source 2026'!$C:$C,MATCH($A23,'Source 2026'!$B:$B,0)),IFERROR(INDEX('Source 2025'!$C:$C,MATCH($A23,'Source 2025'!$B:$B,0)),""))</f>
        <v>סד לאגודל</v>
      </c>
      <c r="C23" s="8" t="n">
        <f aca="false">SUMIFS('Source 2025'!$S:$S,'Source 2025'!$B:$B,$A23,'Source 2025'!$A:$A,"Quantity (units)")</f>
        <v>0</v>
      </c>
      <c r="D23" s="8" t="n">
        <f aca="false">SUMIFS('Source 2026'!$S:$S,'Source 2026'!$B:$B,$A23,'Source 2026'!$A:$A,"Quantity (units)")</f>
        <v>1</v>
      </c>
      <c r="E23" s="8" t="n">
        <f aca="false">D23-C23</f>
        <v>1</v>
      </c>
      <c r="F23" s="9" t="str">
        <f aca="false">IF(AND(C23=0,D23=0),0,IF(C23=0,"New",(D23-C23)/C23))</f>
        <v>New</v>
      </c>
      <c r="G23" s="10" t="n">
        <f aca="false">SUMIFS('Source 2025'!$S:$S,'Source 2025'!$B:$B,$A23,'Source 2025'!$A:$A,"Amount (NIS)")</f>
        <v>0</v>
      </c>
      <c r="H23" s="10" t="n">
        <f aca="false">SUMIFS('Source 2026'!$S:$S,'Source 2026'!$B:$B,$A23,'Source 2026'!$A:$A,"Amount (NIS)")</f>
        <v>39.3</v>
      </c>
      <c r="I23" s="10" t="n">
        <f aca="false">H23-G23</f>
        <v>39.3</v>
      </c>
      <c r="J23" s="9" t="str">
        <f aca="false">IF(AND(G23=0,H23=0),0,IF(G23=0,"New",(H23-G23)/G23))</f>
        <v>New</v>
      </c>
    </row>
    <row r="24" customFormat="false" ht="15" hidden="false" customHeight="false" outlineLevel="0" collapsed="false">
      <c r="A24" s="7" t="s">
        <v>51</v>
      </c>
      <c r="B24" s="7" t="str">
        <f aca="false">IFERROR(INDEX('Source 2026'!$C:$C,MATCH($A24,'Source 2026'!$B:$B,0)),IFERROR(INDEX('Source 2025'!$C:$C,MATCH($A24,'Source 2025'!$B:$B,0)),""))</f>
        <v>Sמגן ברך ארוך לבן</v>
      </c>
      <c r="C24" s="8" t="n">
        <f aca="false">SUMIFS('Source 2025'!$S:$S,'Source 2025'!$B:$B,$A24,'Source 2025'!$A:$A,"Quantity (units)")</f>
        <v>0</v>
      </c>
      <c r="D24" s="8" t="n">
        <f aca="false">SUMIFS('Source 2026'!$S:$S,'Source 2026'!$B:$B,$A24,'Source 2026'!$A:$A,"Quantity (units)")</f>
        <v>1</v>
      </c>
      <c r="E24" s="8" t="n">
        <f aca="false">D24-C24</f>
        <v>1</v>
      </c>
      <c r="F24" s="9" t="str">
        <f aca="false">IF(AND(C24=0,D24=0),0,IF(C24=0,"New",(D24-C24)/C24))</f>
        <v>New</v>
      </c>
      <c r="G24" s="10" t="n">
        <f aca="false">SUMIFS('Source 2025'!$S:$S,'Source 2025'!$B:$B,$A24,'Source 2025'!$A:$A,"Amount (NIS)")</f>
        <v>0</v>
      </c>
      <c r="H24" s="10" t="n">
        <f aca="false">SUMIFS('Source 2026'!$S:$S,'Source 2026'!$B:$B,$A24,'Source 2026'!$A:$A,"Amount (NIS)")</f>
        <v>35</v>
      </c>
      <c r="I24" s="10" t="n">
        <f aca="false">H24-G24</f>
        <v>35</v>
      </c>
      <c r="J24" s="9" t="str">
        <f aca="false">IF(AND(G24=0,H24=0),0,IF(G24=0,"New",(H24-G24)/G24))</f>
        <v>New</v>
      </c>
    </row>
    <row r="25" customFormat="false" ht="15" hidden="false" customHeight="false" outlineLevel="0" collapsed="false">
      <c r="A25" s="7" t="s">
        <v>50</v>
      </c>
      <c r="B25" s="7" t="str">
        <f aca="false">IFERROR(INDEX('Source 2026'!$C:$C,MATCH($A25,'Source 2026'!$B:$B,0)),IFERROR(INDEX('Source 2025'!$C:$C,MATCH($A25,'Source 2025'!$B:$B,0)),""))</f>
        <v>S 'מגן ברך ארוך בז</v>
      </c>
      <c r="C25" s="8" t="n">
        <f aca="false">SUMIFS('Source 2025'!$S:$S,'Source 2025'!$B:$B,$A25,'Source 2025'!$A:$A,"Quantity (units)")</f>
        <v>1</v>
      </c>
      <c r="D25" s="8" t="n">
        <f aca="false">SUMIFS('Source 2026'!$S:$S,'Source 2026'!$B:$B,$A25,'Source 2026'!$A:$A,"Quantity (units)")</f>
        <v>0</v>
      </c>
      <c r="E25" s="8" t="n">
        <f aca="false">D25-C25</f>
        <v>-1</v>
      </c>
      <c r="F25" s="9" t="n">
        <f aca="false">IF(AND(C25=0,D25=0),0,IF(C25=0,"New",(D25-C25)/C25))</f>
        <v>-1</v>
      </c>
      <c r="G25" s="10" t="n">
        <f aca="false">SUMIFS('Source 2025'!$S:$S,'Source 2025'!$B:$B,$A25,'Source 2025'!$A:$A,"Amount (NIS)")</f>
        <v>33.5</v>
      </c>
      <c r="H25" s="10" t="n">
        <f aca="false">SUMIFS('Source 2026'!$S:$S,'Source 2026'!$B:$B,$A25,'Source 2026'!$A:$A,"Amount (NIS)")</f>
        <v>0</v>
      </c>
      <c r="I25" s="10" t="n">
        <f aca="false">H25-G25</f>
        <v>-33.5</v>
      </c>
      <c r="J25" s="9" t="n">
        <f aca="false">IF(AND(G25=0,H25=0),0,IF(G25=0,"New",(H25-G25)/G25))</f>
        <v>-1</v>
      </c>
    </row>
    <row r="26" customFormat="false" ht="15" hidden="false" customHeight="false" outlineLevel="0" collapsed="false">
      <c r="A26" s="7" t="s">
        <v>58</v>
      </c>
      <c r="B26" s="7" t="str">
        <f aca="false">IFERROR(INDEX('Source 2026'!$C:$C,MATCH($A26,'Source 2026'!$B:$B,0)),IFERROR(INDEX('Source 2025'!$C:$C,MATCH($A26,'Source 2025'!$B:$B,0)),""))</f>
        <v>L מגן ברך לבן</v>
      </c>
      <c r="C26" s="8" t="n">
        <f aca="false">SUMIFS('Source 2025'!$S:$S,'Source 2025'!$B:$B,$A26,'Source 2025'!$A:$A,"Quantity (units)")</f>
        <v>1</v>
      </c>
      <c r="D26" s="8" t="n">
        <f aca="false">SUMIFS('Source 2026'!$S:$S,'Source 2026'!$B:$B,$A26,'Source 2026'!$A:$A,"Quantity (units)")</f>
        <v>0</v>
      </c>
      <c r="E26" s="8" t="n">
        <f aca="false">D26-C26</f>
        <v>-1</v>
      </c>
      <c r="F26" s="9" t="n">
        <f aca="false">IF(AND(C26=0,D26=0),0,IF(C26=0,"New",(D26-C26)/C26))</f>
        <v>-1</v>
      </c>
      <c r="G26" s="10" t="n">
        <f aca="false">SUMIFS('Source 2025'!$S:$S,'Source 2025'!$B:$B,$A26,'Source 2025'!$A:$A,"Amount (NIS)")</f>
        <v>28.8</v>
      </c>
      <c r="H26" s="10" t="n">
        <f aca="false">SUMIFS('Source 2026'!$S:$S,'Source 2026'!$B:$B,$A26,'Source 2026'!$A:$A,"Amount (NIS)")</f>
        <v>0</v>
      </c>
      <c r="I26" s="10" t="n">
        <f aca="false">H26-G26</f>
        <v>-28.8</v>
      </c>
      <c r="J26" s="9" t="n">
        <f aca="false">IF(AND(G26=0,H26=0),0,IF(G26=0,"New",(H26-G26)/G26))</f>
        <v>-1</v>
      </c>
    </row>
    <row r="27" customFormat="false" ht="15" hidden="false" customHeight="false" outlineLevel="0" collapsed="false">
      <c r="A27" s="7" t="s">
        <v>269</v>
      </c>
      <c r="B27" s="7" t="str">
        <f aca="false">IFERROR(INDEX('Source 2026'!$C:$C,MATCH($A27,'Source 2026'!$B:$B,0)),IFERROR(INDEX('Source 2025'!$C:$C,MATCH($A27,'Source 2025'!$B:$B,0)),""))</f>
        <v>שרוול מסיליקון לאצבע</v>
      </c>
      <c r="C27" s="8" t="n">
        <f aca="false">SUMIFS('Source 2025'!$S:$S,'Source 2025'!$B:$B,$A27,'Source 2025'!$A:$A,"Quantity (units)")</f>
        <v>1</v>
      </c>
      <c r="D27" s="8" t="n">
        <f aca="false">SUMIFS('Source 2026'!$S:$S,'Source 2026'!$B:$B,$A27,'Source 2026'!$A:$A,"Quantity (units)")</f>
        <v>0</v>
      </c>
      <c r="E27" s="8" t="n">
        <f aca="false">D27-C27</f>
        <v>-1</v>
      </c>
      <c r="F27" s="9" t="n">
        <f aca="false">IF(AND(C27=0,D27=0),0,IF(C27=0,"New",(D27-C27)/C27))</f>
        <v>-1</v>
      </c>
      <c r="G27" s="10" t="n">
        <f aca="false">SUMIFS('Source 2025'!$S:$S,'Source 2025'!$B:$B,$A27,'Source 2025'!$A:$A,"Amount (NIS)")</f>
        <v>17.5</v>
      </c>
      <c r="H27" s="10" t="n">
        <f aca="false">SUMIFS('Source 2026'!$S:$S,'Source 2026'!$B:$B,$A27,'Source 2026'!$A:$A,"Amount (NIS)")</f>
        <v>0</v>
      </c>
      <c r="I27" s="10" t="n">
        <f aca="false">H27-G27</f>
        <v>-17.5</v>
      </c>
      <c r="J27" s="9" t="n">
        <f aca="false">IF(AND(G27=0,H27=0),0,IF(G27=0,"New",(H27-G27)/G27))</f>
        <v>-1</v>
      </c>
    </row>
    <row r="28" customFormat="false" ht="15" hidden="false" customHeight="false" outlineLevel="0" collapsed="false">
      <c r="A28" s="7" t="s">
        <v>242</v>
      </c>
      <c r="B28" s="7" t="str">
        <f aca="false">IFERROR(INDEX('Source 2026'!$C:$C,MATCH($A28,'Source 2026'!$B:$B,0)),IFERROR(INDEX('Source 2025'!$C:$C,MATCH($A28,'Source 2025'!$B:$B,0)),""))</f>
        <v>Lמפר.אצבע סיליק. ליבל.זוג</v>
      </c>
      <c r="C28" s="8" t="n">
        <f aca="false">SUMIFS('Source 2025'!$S:$S,'Source 2025'!$B:$B,$A28,'Source 2025'!$A:$A,"Quantity (units)")</f>
        <v>1</v>
      </c>
      <c r="D28" s="8" t="n">
        <f aca="false">SUMIFS('Source 2026'!$S:$S,'Source 2026'!$B:$B,$A28,'Source 2026'!$A:$A,"Quantity (units)")</f>
        <v>0</v>
      </c>
      <c r="E28" s="8" t="n">
        <f aca="false">D28-C28</f>
        <v>-1</v>
      </c>
      <c r="F28" s="9" t="n">
        <f aca="false">IF(AND(C28=0,D28=0),0,IF(C28=0,"New",(D28-C28)/C28))</f>
        <v>-1</v>
      </c>
      <c r="G28" s="10" t="n">
        <f aca="false">SUMIFS('Source 2025'!$S:$S,'Source 2025'!$B:$B,$A28,'Source 2025'!$A:$A,"Amount (NIS)")</f>
        <v>13.5</v>
      </c>
      <c r="H28" s="10" t="n">
        <f aca="false">SUMIFS('Source 2026'!$S:$S,'Source 2026'!$B:$B,$A28,'Source 2026'!$A:$A,"Amount (NIS)")</f>
        <v>0</v>
      </c>
      <c r="I28" s="10" t="n">
        <f aca="false">H28-G28</f>
        <v>-13.5</v>
      </c>
      <c r="J28" s="9" t="n">
        <f aca="false">IF(AND(G28=0,H28=0),0,IF(G28=0,"New",(H28-G28)/G28))</f>
        <v>-1</v>
      </c>
    </row>
    <row r="30" customFormat="false" ht="15" hidden="false" customHeight="false" outlineLevel="0" collapsed="false">
      <c r="A30" s="11"/>
      <c r="B30" s="12" t="s">
        <v>257</v>
      </c>
      <c r="C30" s="13" t="n">
        <f aca="false">SUM(C6:C28)</f>
        <v>34</v>
      </c>
      <c r="D30" s="13" t="n">
        <f aca="false">SUM(D6:D28)</f>
        <v>8</v>
      </c>
      <c r="E30" s="13" t="n">
        <f aca="false">SUM(E6:E28)</f>
        <v>-26</v>
      </c>
      <c r="F30" s="14" t="n">
        <f aca="false">IF(C30=0,"N/A",E30/C30)</f>
        <v>-0.764705882352941</v>
      </c>
      <c r="G30" s="15" t="n">
        <f aca="false">SUM(G6:G28)</f>
        <v>1620.1</v>
      </c>
      <c r="H30" s="15" t="n">
        <f aca="false">SUM(H6:H28)</f>
        <v>454.5</v>
      </c>
      <c r="I30" s="15" t="n">
        <f aca="false">SUM(I6:I28)</f>
        <v>-1165.6</v>
      </c>
      <c r="J30" s="14" t="n">
        <f aca="false">IF(G30=0,"N/A",I30/G30)</f>
        <v>-0.719461761619653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375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53</v>
      </c>
      <c r="B6" s="7" t="str">
        <f aca="false">IFERROR(INDEX('Source 2026'!$C:$C,MATCH($A6,'Source 2026'!$B:$B,0)),IFERROR(INDEX('Source 2025'!$C:$C,MATCH($A6,'Source 2025'!$B:$B,0)),""))</f>
        <v>סד ליד דו צדדי</v>
      </c>
      <c r="C6" s="8" t="n">
        <f aca="false">SUMIFS('Source 2025'!$T:$T,'Source 2025'!$B:$B,$A6,'Source 2025'!$A:$A,"Quantity (units)")</f>
        <v>0</v>
      </c>
      <c r="D6" s="8" t="n">
        <f aca="false">SUMIFS('Source 2026'!$T:$T,'Source 2026'!$B:$B,$A6,'Source 2026'!$A:$A,"Quantity (units)")</f>
        <v>648</v>
      </c>
      <c r="E6" s="8" t="n">
        <f aca="false">D6-C6</f>
        <v>648</v>
      </c>
      <c r="F6" s="9" t="str">
        <f aca="false">IF(AND(C6=0,D6=0),0,IF(C6=0,"New",(D6-C6)/C6))</f>
        <v>New</v>
      </c>
      <c r="G6" s="10" t="n">
        <f aca="false">SUMIFS('Source 2025'!$T:$T,'Source 2025'!$B:$B,$A6,'Source 2025'!$A:$A,"Amount (NIS)")</f>
        <v>0</v>
      </c>
      <c r="H6" s="10" t="n">
        <f aca="false">SUMIFS('Source 2026'!$T:$T,'Source 2026'!$B:$B,$A6,'Source 2026'!$A:$A,"Amount (NIS)")</f>
        <v>29484</v>
      </c>
      <c r="I6" s="10" t="n">
        <f aca="false">H6-G6</f>
        <v>29484</v>
      </c>
      <c r="J6" s="9" t="str">
        <f aca="false">IF(AND(G6=0,H6=0),0,IF(G6=0,"New",(H6-G6)/G6))</f>
        <v>New</v>
      </c>
    </row>
    <row r="7" customFormat="false" ht="15" hidden="false" customHeight="false" outlineLevel="0" collapsed="false">
      <c r="A7" s="7" t="s">
        <v>149</v>
      </c>
      <c r="B7" s="7" t="str">
        <f aca="false">IFERROR(INDEX('Source 2026'!$C:$C,MATCH($A7,'Source 2026'!$B:$B,0)),IFERROR(INDEX('Source 2025'!$C:$C,MATCH($A7,'Source 2025'!$B:$B,0)),""))</f>
        <v>סד לאגודל</v>
      </c>
      <c r="C7" s="8" t="n">
        <f aca="false">SUMIFS('Source 2025'!$T:$T,'Source 2025'!$B:$B,$A7,'Source 2025'!$A:$A,"Quantity (units)")</f>
        <v>0</v>
      </c>
      <c r="D7" s="8" t="n">
        <f aca="false">SUMIFS('Source 2026'!$T:$T,'Source 2026'!$B:$B,$A7,'Source 2026'!$A:$A,"Quantity (units)")</f>
        <v>274</v>
      </c>
      <c r="E7" s="8" t="n">
        <f aca="false">D7-C7</f>
        <v>274</v>
      </c>
      <c r="F7" s="9" t="str">
        <f aca="false">IF(AND(C7=0,D7=0),0,IF(C7=0,"New",(D7-C7)/C7))</f>
        <v>New</v>
      </c>
      <c r="G7" s="10" t="n">
        <f aca="false">SUMIFS('Source 2025'!$T:$T,'Source 2025'!$B:$B,$A7,'Source 2025'!$A:$A,"Amount (NIS)")</f>
        <v>0</v>
      </c>
      <c r="H7" s="10" t="n">
        <f aca="false">SUMIFS('Source 2026'!$T:$T,'Source 2026'!$B:$B,$A7,'Source 2026'!$A:$A,"Amount (NIS)")</f>
        <v>21317.2</v>
      </c>
      <c r="I7" s="10" t="n">
        <f aca="false">H7-G7</f>
        <v>21317.2</v>
      </c>
      <c r="J7" s="9" t="str">
        <f aca="false">IF(AND(G7=0,H7=0),0,IF(G7=0,"New",(H7-G7)/G7))</f>
        <v>New</v>
      </c>
    </row>
    <row r="8" customFormat="false" ht="15" hidden="false" customHeight="false" outlineLevel="0" collapsed="false">
      <c r="A8" s="7" t="s">
        <v>45</v>
      </c>
      <c r="B8" s="7" t="str">
        <f aca="false">IFERROR(INDEX('Source 2026'!$C:$C,MATCH($A8,'Source 2026'!$B:$B,0)),IFERROR(INDEX('Source 2025'!$C:$C,MATCH($A8,'Source 2025'!$B:$B,0)),""))</f>
        <v>טיסה אנטי בקטרי35-38</v>
      </c>
      <c r="C8" s="8" t="n">
        <f aca="false">SUMIFS('Source 2025'!$T:$T,'Source 2025'!$B:$B,$A8,'Source 2025'!$A:$A,"Quantity (units)")</f>
        <v>0</v>
      </c>
      <c r="D8" s="8" t="n">
        <f aca="false">SUMIFS('Source 2026'!$T:$T,'Source 2026'!$B:$B,$A8,'Source 2026'!$A:$A,"Quantity (units)")</f>
        <v>416</v>
      </c>
      <c r="E8" s="8" t="n">
        <f aca="false">D8-C8</f>
        <v>416</v>
      </c>
      <c r="F8" s="9" t="str">
        <f aca="false">IF(AND(C8=0,D8=0),0,IF(C8=0,"New",(D8-C8)/C8))</f>
        <v>New</v>
      </c>
      <c r="G8" s="10" t="n">
        <f aca="false">SUMIFS('Source 2025'!$T:$T,'Source 2025'!$B:$B,$A8,'Source 2025'!$A:$A,"Amount (NIS)")</f>
        <v>0</v>
      </c>
      <c r="H8" s="10" t="n">
        <f aca="false">SUMIFS('Source 2026'!$T:$T,'Source 2026'!$B:$B,$A8,'Source 2026'!$A:$A,"Amount (NIS)")</f>
        <v>17016.6</v>
      </c>
      <c r="I8" s="10" t="n">
        <f aca="false">H8-G8</f>
        <v>17016.6</v>
      </c>
      <c r="J8" s="9" t="str">
        <f aca="false">IF(AND(G8=0,H8=0),0,IF(G8=0,"New",(H8-G8)/G8))</f>
        <v>New</v>
      </c>
    </row>
    <row r="9" customFormat="false" ht="15" hidden="false" customHeight="false" outlineLevel="0" collapsed="false">
      <c r="A9" s="7" t="s">
        <v>63</v>
      </c>
      <c r="B9" s="7" t="str">
        <f aca="false">IFERROR(INDEX('Source 2026'!$C:$C,MATCH($A9,'Source 2026'!$B:$B,0)),IFERROR(INDEX('Source 2025'!$C:$C,MATCH($A9,'Source 2025'!$B:$B,0)),""))</f>
        <v>L עקבים לדורבן-זוג כריות</v>
      </c>
      <c r="C9" s="8" t="n">
        <f aca="false">SUMIFS('Source 2025'!$T:$T,'Source 2025'!$B:$B,$A9,'Source 2025'!$A:$A,"Quantity (units)")</f>
        <v>0</v>
      </c>
      <c r="D9" s="8" t="n">
        <f aca="false">SUMIFS('Source 2026'!$T:$T,'Source 2026'!$B:$B,$A9,'Source 2026'!$A:$A,"Quantity (units)")</f>
        <v>233</v>
      </c>
      <c r="E9" s="8" t="n">
        <f aca="false">D9-C9</f>
        <v>233</v>
      </c>
      <c r="F9" s="9" t="str">
        <f aca="false">IF(AND(C9=0,D9=0),0,IF(C9=0,"New",(D9-C9)/C9))</f>
        <v>New</v>
      </c>
      <c r="G9" s="10" t="n">
        <f aca="false">SUMIFS('Source 2025'!$T:$T,'Source 2025'!$B:$B,$A9,'Source 2025'!$A:$A,"Amount (NIS)")</f>
        <v>0</v>
      </c>
      <c r="H9" s="10" t="n">
        <f aca="false">SUMIFS('Source 2026'!$T:$T,'Source 2026'!$B:$B,$A9,'Source 2026'!$A:$A,"Amount (NIS)")</f>
        <v>14504.7</v>
      </c>
      <c r="I9" s="10" t="n">
        <f aca="false">H9-G9</f>
        <v>14504.7</v>
      </c>
      <c r="J9" s="9" t="str">
        <f aca="false">IF(AND(G9=0,H9=0),0,IF(G9=0,"New",(H9-G9)/G9))</f>
        <v>New</v>
      </c>
    </row>
    <row r="10" customFormat="false" ht="15" hidden="false" customHeight="false" outlineLevel="0" collapsed="false">
      <c r="A10" s="7" t="s">
        <v>64</v>
      </c>
      <c r="B10" s="7" t="str">
        <f aca="false">IFERROR(INDEX('Source 2026'!$C:$C,MATCH($A10,'Source 2026'!$B:$B,0)),IFERROR(INDEX('Source 2025'!$C:$C,MATCH($A10,'Source 2025'!$B:$B,0)),""))</f>
        <v>1 תומך ברך גנושילד</v>
      </c>
      <c r="C10" s="8" t="n">
        <f aca="false">SUMIFS('Source 2025'!$T:$T,'Source 2025'!$B:$B,$A10,'Source 2025'!$A:$A,"Quantity (units)")</f>
        <v>0</v>
      </c>
      <c r="D10" s="8" t="n">
        <f aca="false">SUMIFS('Source 2026'!$T:$T,'Source 2026'!$B:$B,$A10,'Source 2026'!$A:$A,"Quantity (units)")</f>
        <v>97</v>
      </c>
      <c r="E10" s="8" t="n">
        <f aca="false">D10-C10</f>
        <v>97</v>
      </c>
      <c r="F10" s="9" t="str">
        <f aca="false">IF(AND(C10=0,D10=0),0,IF(C10=0,"New",(D10-C10)/C10))</f>
        <v>New</v>
      </c>
      <c r="G10" s="10" t="n">
        <f aca="false">SUMIFS('Source 2025'!$T:$T,'Source 2025'!$B:$B,$A10,'Source 2025'!$A:$A,"Amount (NIS)")</f>
        <v>0</v>
      </c>
      <c r="H10" s="10" t="n">
        <f aca="false">SUMIFS('Source 2026'!$T:$T,'Source 2026'!$B:$B,$A10,'Source 2026'!$A:$A,"Amount (NIS)")</f>
        <v>12125</v>
      </c>
      <c r="I10" s="10" t="n">
        <f aca="false">H10-G10</f>
        <v>12125</v>
      </c>
      <c r="J10" s="9" t="str">
        <f aca="false">IF(AND(G10=0,H10=0),0,IF(G10=0,"New",(H10-G10)/G10))</f>
        <v>New</v>
      </c>
    </row>
    <row r="11" customFormat="false" ht="15" hidden="false" customHeight="false" outlineLevel="0" collapsed="false">
      <c r="A11" s="7" t="s">
        <v>47</v>
      </c>
      <c r="B11" s="7" t="str">
        <f aca="false">IFERROR(INDEX('Source 2026'!$C:$C,MATCH($A11,'Source 2026'!$B:$B,0)),IFERROR(INDEX('Source 2025'!$C:$C,MATCH($A11,'Source 2025'!$B:$B,0)),""))</f>
        <v>M מגן קרסול עקב סגור</v>
      </c>
      <c r="C11" s="8" t="n">
        <f aca="false">SUMIFS('Source 2025'!$T:$T,'Source 2025'!$B:$B,$A11,'Source 2025'!$A:$A,"Quantity (units)")</f>
        <v>0</v>
      </c>
      <c r="D11" s="8" t="n">
        <f aca="false">SUMIFS('Source 2026'!$T:$T,'Source 2026'!$B:$B,$A11,'Source 2026'!$A:$A,"Quantity (units)")</f>
        <v>391</v>
      </c>
      <c r="E11" s="8" t="n">
        <f aca="false">D11-C11</f>
        <v>391</v>
      </c>
      <c r="F11" s="9" t="str">
        <f aca="false">IF(AND(C11=0,D11=0),0,IF(C11=0,"New",(D11-C11)/C11))</f>
        <v>New</v>
      </c>
      <c r="G11" s="10" t="n">
        <f aca="false">SUMIFS('Source 2025'!$T:$T,'Source 2025'!$B:$B,$A11,'Source 2025'!$A:$A,"Amount (NIS)")</f>
        <v>0</v>
      </c>
      <c r="H11" s="10" t="n">
        <f aca="false">SUMIFS('Source 2026'!$T:$T,'Source 2026'!$B:$B,$A11,'Source 2026'!$A:$A,"Amount (NIS)")</f>
        <v>10884.8</v>
      </c>
      <c r="I11" s="10" t="n">
        <f aca="false">H11-G11</f>
        <v>10884.8</v>
      </c>
      <c r="J11" s="9" t="str">
        <f aca="false">IF(AND(G11=0,H11=0),0,IF(G11=0,"New",(H11-G11)/G11))</f>
        <v>New</v>
      </c>
    </row>
    <row r="12" customFormat="false" ht="15" hidden="false" customHeight="false" outlineLevel="0" collapsed="false">
      <c r="A12" s="7" t="s">
        <v>62</v>
      </c>
      <c r="B12" s="7" t="str">
        <f aca="false">IFERROR(INDEX('Source 2026'!$C:$C,MATCH($A12,'Source 2026'!$B:$B,0)),IFERROR(INDEX('Source 2025'!$C:$C,MATCH($A12,'Source 2025'!$B:$B,0)),""))</f>
        <v>L (מתלה ליד )כיס</v>
      </c>
      <c r="C12" s="8" t="n">
        <f aca="false">SUMIFS('Source 2025'!$T:$T,'Source 2025'!$B:$B,$A12,'Source 2025'!$A:$A,"Quantity (units)")</f>
        <v>0</v>
      </c>
      <c r="D12" s="8" t="n">
        <f aca="false">SUMIFS('Source 2026'!$T:$T,'Source 2026'!$B:$B,$A12,'Source 2026'!$A:$A,"Quantity (units)")</f>
        <v>323</v>
      </c>
      <c r="E12" s="8" t="n">
        <f aca="false">D12-C12</f>
        <v>323</v>
      </c>
      <c r="F12" s="9" t="str">
        <f aca="false">IF(AND(C12=0,D12=0),0,IF(C12=0,"New",(D12-C12)/C12))</f>
        <v>New</v>
      </c>
      <c r="G12" s="10" t="n">
        <f aca="false">SUMIFS('Source 2025'!$T:$T,'Source 2025'!$B:$B,$A12,'Source 2025'!$A:$A,"Amount (NIS)")</f>
        <v>0</v>
      </c>
      <c r="H12" s="10" t="n">
        <f aca="false">SUMIFS('Source 2026'!$T:$T,'Source 2026'!$B:$B,$A12,'Source 2026'!$A:$A,"Amount (NIS)")</f>
        <v>10806.4</v>
      </c>
      <c r="I12" s="10" t="n">
        <f aca="false">H12-G12</f>
        <v>10806.4</v>
      </c>
      <c r="J12" s="9" t="str">
        <f aca="false">IF(AND(G12=0,H12=0),0,IF(G12=0,"New",(H12-G12)/G12))</f>
        <v>New</v>
      </c>
    </row>
    <row r="13" customFormat="false" ht="15" hidden="false" customHeight="false" outlineLevel="0" collapsed="false">
      <c r="A13" s="7" t="s">
        <v>58</v>
      </c>
      <c r="B13" s="7" t="str">
        <f aca="false">IFERROR(INDEX('Source 2026'!$C:$C,MATCH($A13,'Source 2026'!$B:$B,0)),IFERROR(INDEX('Source 2025'!$C:$C,MATCH($A13,'Source 2025'!$B:$B,0)),""))</f>
        <v>L מגן ברך לבן</v>
      </c>
      <c r="C13" s="8" t="n">
        <f aca="false">SUMIFS('Source 2025'!$T:$T,'Source 2025'!$B:$B,$A13,'Source 2025'!$A:$A,"Quantity (units)")</f>
        <v>0</v>
      </c>
      <c r="D13" s="8" t="n">
        <f aca="false">SUMIFS('Source 2026'!$T:$T,'Source 2026'!$B:$B,$A13,'Source 2026'!$A:$A,"Quantity (units)")</f>
        <v>617</v>
      </c>
      <c r="E13" s="8" t="n">
        <f aca="false">D13-C13</f>
        <v>617</v>
      </c>
      <c r="F13" s="9" t="str">
        <f aca="false">IF(AND(C13=0,D13=0),0,IF(C13=0,"New",(D13-C13)/C13))</f>
        <v>New</v>
      </c>
      <c r="G13" s="10" t="n">
        <f aca="false">SUMIFS('Source 2025'!$T:$T,'Source 2025'!$B:$B,$A13,'Source 2025'!$A:$A,"Amount (NIS)")</f>
        <v>0</v>
      </c>
      <c r="H13" s="10" t="n">
        <f aca="false">SUMIFS('Source 2026'!$T:$T,'Source 2026'!$B:$B,$A13,'Source 2026'!$A:$A,"Amount (NIS)")</f>
        <v>10007.2</v>
      </c>
      <c r="I13" s="10" t="n">
        <f aca="false">H13-G13</f>
        <v>10007.2</v>
      </c>
      <c r="J13" s="9" t="str">
        <f aca="false">IF(AND(G13=0,H13=0),0,IF(G13=0,"New",(H13-G13)/G13))</f>
        <v>New</v>
      </c>
    </row>
    <row r="14" customFormat="false" ht="15" hidden="false" customHeight="false" outlineLevel="0" collapsed="false">
      <c r="A14" s="7" t="s">
        <v>44</v>
      </c>
      <c r="B14" s="7" t="str">
        <f aca="false">IFERROR(INDEX('Source 2026'!$C:$C,MATCH($A14,'Source 2026'!$B:$B,0)),IFERROR(INDEX('Source 2025'!$C:$C,MATCH($A14,'Source 2025'!$B:$B,0)),""))</f>
        <v>S  חבק יד ארוך</v>
      </c>
      <c r="C14" s="8" t="n">
        <f aca="false">SUMIFS('Source 2025'!$T:$T,'Source 2025'!$B:$B,$A14,'Source 2025'!$A:$A,"Quantity (units)")</f>
        <v>0</v>
      </c>
      <c r="D14" s="8" t="n">
        <f aca="false">SUMIFS('Source 2026'!$T:$T,'Source 2026'!$B:$B,$A14,'Source 2026'!$A:$A,"Quantity (units)")</f>
        <v>382</v>
      </c>
      <c r="E14" s="8" t="n">
        <f aca="false">D14-C14</f>
        <v>382</v>
      </c>
      <c r="F14" s="9" t="str">
        <f aca="false">IF(AND(C14=0,D14=0),0,IF(C14=0,"New",(D14-C14)/C14))</f>
        <v>New</v>
      </c>
      <c r="G14" s="10" t="n">
        <f aca="false">SUMIFS('Source 2025'!$T:$T,'Source 2025'!$B:$B,$A14,'Source 2025'!$A:$A,"Amount (NIS)")</f>
        <v>0</v>
      </c>
      <c r="H14" s="10" t="n">
        <f aca="false">SUMIFS('Source 2026'!$T:$T,'Source 2026'!$B:$B,$A14,'Source 2026'!$A:$A,"Amount (NIS)")</f>
        <v>8812.9</v>
      </c>
      <c r="I14" s="10" t="n">
        <f aca="false">H14-G14</f>
        <v>8812.9</v>
      </c>
      <c r="J14" s="9" t="str">
        <f aca="false">IF(AND(G14=0,H14=0),0,IF(G14=0,"New",(H14-G14)/G14))</f>
        <v>New</v>
      </c>
    </row>
    <row r="15" customFormat="false" ht="15" hidden="false" customHeight="false" outlineLevel="0" collapsed="false">
      <c r="A15" s="7" t="s">
        <v>51</v>
      </c>
      <c r="B15" s="7" t="str">
        <f aca="false">IFERROR(INDEX('Source 2026'!$C:$C,MATCH($A15,'Source 2026'!$B:$B,0)),IFERROR(INDEX('Source 2025'!$C:$C,MATCH($A15,'Source 2025'!$B:$B,0)),""))</f>
        <v>Sמגן ברך ארוך לבן</v>
      </c>
      <c r="C15" s="8" t="n">
        <f aca="false">SUMIFS('Source 2025'!$T:$T,'Source 2025'!$B:$B,$A15,'Source 2025'!$A:$A,"Quantity (units)")</f>
        <v>0</v>
      </c>
      <c r="D15" s="8" t="n">
        <f aca="false">SUMIFS('Source 2026'!$T:$T,'Source 2026'!$B:$B,$A15,'Source 2026'!$A:$A,"Quantity (units)")</f>
        <v>442</v>
      </c>
      <c r="E15" s="8" t="n">
        <f aca="false">D15-C15</f>
        <v>442</v>
      </c>
      <c r="F15" s="9" t="str">
        <f aca="false">IF(AND(C15=0,D15=0),0,IF(C15=0,"New",(D15-C15)/C15))</f>
        <v>New</v>
      </c>
      <c r="G15" s="10" t="n">
        <f aca="false">SUMIFS('Source 2025'!$T:$T,'Source 2025'!$B:$B,$A15,'Source 2025'!$A:$A,"Amount (NIS)")</f>
        <v>0</v>
      </c>
      <c r="H15" s="10" t="n">
        <f aca="false">SUMIFS('Source 2026'!$T:$T,'Source 2026'!$B:$B,$A15,'Source 2026'!$A:$A,"Amount (NIS)")</f>
        <v>8727.8</v>
      </c>
      <c r="I15" s="10" t="n">
        <f aca="false">H15-G15</f>
        <v>8727.8</v>
      </c>
      <c r="J15" s="9" t="str">
        <f aca="false">IF(AND(G15=0,H15=0),0,IF(G15=0,"New",(H15-G15)/G15))</f>
        <v>New</v>
      </c>
    </row>
    <row r="16" customFormat="false" ht="15" hidden="false" customHeight="false" outlineLevel="0" collapsed="false">
      <c r="A16" s="7" t="s">
        <v>77</v>
      </c>
      <c r="B16" s="7" t="str">
        <f aca="false">IFERROR(INDEX('Source 2026'!$C:$C,MATCH($A16,'Source 2026'!$B:$B,0)),IFERROR(INDEX('Source 2025'!$C:$C,MATCH($A16,'Source 2025'!$B:$B,0)),""))</f>
        <v>S מקבע כתף ויד</v>
      </c>
      <c r="C16" s="8" t="n">
        <f aca="false">SUMIFS('Source 2025'!$T:$T,'Source 2025'!$B:$B,$A16,'Source 2025'!$A:$A,"Quantity (units)")</f>
        <v>0</v>
      </c>
      <c r="D16" s="8" t="n">
        <f aca="false">SUMIFS('Source 2026'!$T:$T,'Source 2026'!$B:$B,$A16,'Source 2026'!$A:$A,"Quantity (units)")</f>
        <v>65</v>
      </c>
      <c r="E16" s="8" t="n">
        <f aca="false">D16-C16</f>
        <v>65</v>
      </c>
      <c r="F16" s="9" t="str">
        <f aca="false">IF(AND(C16=0,D16=0),0,IF(C16=0,"New",(D16-C16)/C16))</f>
        <v>New</v>
      </c>
      <c r="G16" s="10" t="n">
        <f aca="false">SUMIFS('Source 2025'!$T:$T,'Source 2025'!$B:$B,$A16,'Source 2025'!$A:$A,"Amount (NIS)")</f>
        <v>0</v>
      </c>
      <c r="H16" s="10" t="n">
        <f aca="false">SUMIFS('Source 2026'!$T:$T,'Source 2026'!$B:$B,$A16,'Source 2026'!$A:$A,"Amount (NIS)")</f>
        <v>8001.2</v>
      </c>
      <c r="I16" s="10" t="n">
        <f aca="false">H16-G16</f>
        <v>8001.2</v>
      </c>
      <c r="J16" s="9" t="str">
        <f aca="false">IF(AND(G16=0,H16=0),0,IF(G16=0,"New",(H16-G16)/G16))</f>
        <v>New</v>
      </c>
    </row>
    <row r="17" customFormat="false" ht="15" hidden="false" customHeight="false" outlineLevel="0" collapsed="false">
      <c r="A17" s="7" t="s">
        <v>57</v>
      </c>
      <c r="B17" s="7" t="str">
        <f aca="false">IFERROR(INDEX('Source 2026'!$C:$C,MATCH($A17,'Source 2026'!$B:$B,0)),IFERROR(INDEX('Source 2025'!$C:$C,MATCH($A17,'Source 2025'!$B:$B,0)),""))</f>
        <v>S""חגורת בטן""אורירית</v>
      </c>
      <c r="C17" s="8" t="n">
        <f aca="false">SUMIFS('Source 2025'!$T:$T,'Source 2025'!$B:$B,$A17,'Source 2025'!$A:$A,"Quantity (units)")</f>
        <v>0</v>
      </c>
      <c r="D17" s="8" t="n">
        <f aca="false">SUMIFS('Source 2026'!$T:$T,'Source 2026'!$B:$B,$A17,'Source 2026'!$A:$A,"Quantity (units)")</f>
        <v>107</v>
      </c>
      <c r="E17" s="8" t="n">
        <f aca="false">D17-C17</f>
        <v>107</v>
      </c>
      <c r="F17" s="9" t="str">
        <f aca="false">IF(AND(C17=0,D17=0),0,IF(C17=0,"New",(D17-C17)/C17))</f>
        <v>New</v>
      </c>
      <c r="G17" s="10" t="n">
        <f aca="false">SUMIFS('Source 2025'!$T:$T,'Source 2025'!$B:$B,$A17,'Source 2025'!$A:$A,"Amount (NIS)")</f>
        <v>0</v>
      </c>
      <c r="H17" s="10" t="n">
        <f aca="false">SUMIFS('Source 2026'!$T:$T,'Source 2026'!$B:$B,$A17,'Source 2026'!$A:$A,"Amount (NIS)")</f>
        <v>7577.6</v>
      </c>
      <c r="I17" s="10" t="n">
        <f aca="false">H17-G17</f>
        <v>7577.6</v>
      </c>
      <c r="J17" s="9" t="str">
        <f aca="false">IF(AND(G17=0,H17=0),0,IF(G17=0,"New",(H17-G17)/G17))</f>
        <v>New</v>
      </c>
    </row>
    <row r="18" customFormat="false" ht="15" hidden="false" customHeight="false" outlineLevel="0" collapsed="false">
      <c r="A18" s="7" t="s">
        <v>265</v>
      </c>
      <c r="B18" s="7" t="str">
        <f aca="false">IFERROR(INDEX('Source 2026'!$C:$C,MATCH($A18,'Source 2026'!$B:$B,0)),IFERROR(INDEX('Source 2025'!$C:$C,MATCH($A18,'Source 2025'!$B:$B,0)),""))</f>
        <v>מדרס ג'ל לגבר</v>
      </c>
      <c r="C18" s="8" t="n">
        <f aca="false">SUMIFS('Source 2025'!$T:$T,'Source 2025'!$B:$B,$A18,'Source 2025'!$A:$A,"Quantity (units)")</f>
        <v>0</v>
      </c>
      <c r="D18" s="8" t="n">
        <f aca="false">SUMIFS('Source 2026'!$T:$T,'Source 2026'!$B:$B,$A18,'Source 2026'!$A:$A,"Quantity (units)")</f>
        <v>142</v>
      </c>
      <c r="E18" s="8" t="n">
        <f aca="false">D18-C18</f>
        <v>142</v>
      </c>
      <c r="F18" s="9" t="str">
        <f aca="false">IF(AND(C18=0,D18=0),0,IF(C18=0,"New",(D18-C18)/C18))</f>
        <v>New</v>
      </c>
      <c r="G18" s="10" t="n">
        <f aca="false">SUMIFS('Source 2025'!$T:$T,'Source 2025'!$B:$B,$A18,'Source 2025'!$A:$A,"Amount (NIS)")</f>
        <v>0</v>
      </c>
      <c r="H18" s="10" t="n">
        <f aca="false">SUMIFS('Source 2026'!$T:$T,'Source 2026'!$B:$B,$A18,'Source 2026'!$A:$A,"Amount (NIS)")</f>
        <v>6706.7</v>
      </c>
      <c r="I18" s="10" t="n">
        <f aca="false">H18-G18</f>
        <v>6706.7</v>
      </c>
      <c r="J18" s="9" t="str">
        <f aca="false">IF(AND(G18=0,H18=0),0,IF(G18=0,"New",(H18-G18)/G18))</f>
        <v>New</v>
      </c>
    </row>
    <row r="19" customFormat="false" ht="15" hidden="false" customHeight="false" outlineLevel="0" collapsed="false">
      <c r="A19" s="7" t="s">
        <v>55</v>
      </c>
      <c r="B19" s="7" t="str">
        <f aca="false">IFERROR(INDEX('Source 2026'!$C:$C,MATCH($A19,'Source 2026'!$B:$B,0)),IFERROR(INDEX('Source 2025'!$C:$C,MATCH($A19,'Source 2025'!$B:$B,0)),""))</f>
        <v>חגורת גב אפורה</v>
      </c>
      <c r="C19" s="8" t="n">
        <f aca="false">SUMIFS('Source 2025'!$T:$T,'Source 2025'!$B:$B,$A19,'Source 2025'!$A:$A,"Quantity (units)")</f>
        <v>0</v>
      </c>
      <c r="D19" s="8" t="n">
        <f aca="false">SUMIFS('Source 2026'!$T:$T,'Source 2026'!$B:$B,$A19,'Source 2026'!$A:$A,"Quantity (units)")</f>
        <v>102</v>
      </c>
      <c r="E19" s="8" t="n">
        <f aca="false">D19-C19</f>
        <v>102</v>
      </c>
      <c r="F19" s="9" t="str">
        <f aca="false">IF(AND(C19=0,D19=0),0,IF(C19=0,"New",(D19-C19)/C19))</f>
        <v>New</v>
      </c>
      <c r="G19" s="10" t="n">
        <f aca="false">SUMIFS('Source 2025'!$T:$T,'Source 2025'!$B:$B,$A19,'Source 2025'!$A:$A,"Amount (NIS)")</f>
        <v>0</v>
      </c>
      <c r="H19" s="10" t="n">
        <f aca="false">SUMIFS('Source 2026'!$T:$T,'Source 2026'!$B:$B,$A19,'Source 2026'!$A:$A,"Amount (NIS)")</f>
        <v>6630</v>
      </c>
      <c r="I19" s="10" t="n">
        <f aca="false">H19-G19</f>
        <v>6630</v>
      </c>
      <c r="J19" s="9" t="str">
        <f aca="false">IF(AND(G19=0,H19=0),0,IF(G19=0,"New",(H19-G19)/G19))</f>
        <v>New</v>
      </c>
    </row>
    <row r="20" customFormat="false" ht="15" hidden="false" customHeight="false" outlineLevel="0" collapsed="false">
      <c r="A20" s="7" t="s">
        <v>376</v>
      </c>
      <c r="B20" s="7" t="str">
        <f aca="false">IFERROR(INDEX('Source 2026'!$C:$C,MATCH($A20,'Source 2026'!$B:$B,0)),IFERROR(INDEX('Source 2025'!$C:$C,MATCH($A20,'Source 2025'!$B:$B,0)),""))</f>
        <v>חבק שורש לכף היד</v>
      </c>
      <c r="C20" s="8" t="n">
        <f aca="false">SUMIFS('Source 2025'!$T:$T,'Source 2025'!$B:$B,$A20,'Source 2025'!$A:$A,"Quantity (units)")</f>
        <v>0</v>
      </c>
      <c r="D20" s="8" t="n">
        <f aca="false">SUMIFS('Source 2026'!$T:$T,'Source 2026'!$B:$B,$A20,'Source 2026'!$A:$A,"Quantity (units)")</f>
        <v>327</v>
      </c>
      <c r="E20" s="8" t="n">
        <f aca="false">D20-C20</f>
        <v>327</v>
      </c>
      <c r="F20" s="9" t="str">
        <f aca="false">IF(AND(C20=0,D20=0),0,IF(C20=0,"New",(D20-C20)/C20))</f>
        <v>New</v>
      </c>
      <c r="G20" s="10" t="n">
        <f aca="false">SUMIFS('Source 2025'!$T:$T,'Source 2025'!$B:$B,$A20,'Source 2025'!$A:$A,"Amount (NIS)")</f>
        <v>0</v>
      </c>
      <c r="H20" s="10" t="n">
        <f aca="false">SUMIFS('Source 2026'!$T:$T,'Source 2026'!$B:$B,$A20,'Source 2026'!$A:$A,"Amount (NIS)")</f>
        <v>5739.6</v>
      </c>
      <c r="I20" s="10" t="n">
        <f aca="false">H20-G20</f>
        <v>5739.6</v>
      </c>
      <c r="J20" s="9" t="str">
        <f aca="false">IF(AND(G20=0,H20=0),0,IF(G20=0,"New",(H20-G20)/G20))</f>
        <v>New</v>
      </c>
    </row>
    <row r="21" customFormat="false" ht="15" hidden="false" customHeight="false" outlineLevel="0" collapsed="false">
      <c r="A21" s="7" t="s">
        <v>56</v>
      </c>
      <c r="B21" s="7" t="str">
        <f aca="false">IFERROR(INDEX('Source 2026'!$C:$C,MATCH($A21,'Source 2026'!$B:$B,0)),IFERROR(INDEX('Source 2025'!$C:$C,MATCH($A21,'Source 2025'!$B:$B,0)),""))</f>
        <v>S מגן קרסול לבן</v>
      </c>
      <c r="C21" s="8" t="n">
        <f aca="false">SUMIFS('Source 2025'!$T:$T,'Source 2025'!$B:$B,$A21,'Source 2025'!$A:$A,"Quantity (units)")</f>
        <v>0</v>
      </c>
      <c r="D21" s="8" t="n">
        <f aca="false">SUMIFS('Source 2026'!$T:$T,'Source 2026'!$B:$B,$A21,'Source 2026'!$A:$A,"Quantity (units)")</f>
        <v>321</v>
      </c>
      <c r="E21" s="8" t="n">
        <f aca="false">D21-C21</f>
        <v>321</v>
      </c>
      <c r="F21" s="9" t="str">
        <f aca="false">IF(AND(C21=0,D21=0),0,IF(C21=0,"New",(D21-C21)/C21))</f>
        <v>New</v>
      </c>
      <c r="G21" s="10" t="n">
        <f aca="false">SUMIFS('Source 2025'!$T:$T,'Source 2025'!$B:$B,$A21,'Source 2025'!$A:$A,"Amount (NIS)")</f>
        <v>0</v>
      </c>
      <c r="H21" s="10" t="n">
        <f aca="false">SUMIFS('Source 2026'!$T:$T,'Source 2026'!$B:$B,$A21,'Source 2026'!$A:$A,"Amount (NIS)")</f>
        <v>5202.1</v>
      </c>
      <c r="I21" s="10" t="n">
        <f aca="false">H21-G21</f>
        <v>5202.1</v>
      </c>
      <c r="J21" s="9" t="str">
        <f aca="false">IF(AND(G21=0,H21=0),0,IF(G21=0,"New",(H21-G21)/G21))</f>
        <v>New</v>
      </c>
    </row>
    <row r="22" customFormat="false" ht="15" hidden="false" customHeight="false" outlineLevel="0" collapsed="false">
      <c r="A22" s="7" t="s">
        <v>113</v>
      </c>
      <c r="B22" s="7" t="str">
        <f aca="false">IFERROR(INDEX('Source 2026'!$C:$C,MATCH($A22,'Source 2026'!$B:$B,0)),IFERROR(INDEX('Source 2025'!$C:$C,MATCH($A22,'Source 2025'!$B:$B,0)),""))</f>
        <v>S מגן קרסול עקב סגור+רצוע</v>
      </c>
      <c r="C22" s="8" t="n">
        <f aca="false">SUMIFS('Source 2025'!$T:$T,'Source 2025'!$B:$B,$A22,'Source 2025'!$A:$A,"Quantity (units)")</f>
        <v>0</v>
      </c>
      <c r="D22" s="8" t="n">
        <f aca="false">SUMIFS('Source 2026'!$T:$T,'Source 2026'!$B:$B,$A22,'Source 2026'!$A:$A,"Quantity (units)")</f>
        <v>119</v>
      </c>
      <c r="E22" s="8" t="n">
        <f aca="false">D22-C22</f>
        <v>119</v>
      </c>
      <c r="F22" s="9" t="str">
        <f aca="false">IF(AND(C22=0,D22=0),0,IF(C22=0,"New",(D22-C22)/C22))</f>
        <v>New</v>
      </c>
      <c r="G22" s="10" t="n">
        <f aca="false">SUMIFS('Source 2025'!$T:$T,'Source 2025'!$B:$B,$A22,'Source 2025'!$A:$A,"Amount (NIS)")</f>
        <v>0</v>
      </c>
      <c r="H22" s="10" t="n">
        <f aca="false">SUMIFS('Source 2026'!$T:$T,'Source 2026'!$B:$B,$A22,'Source 2026'!$A:$A,"Amount (NIS)")</f>
        <v>4723</v>
      </c>
      <c r="I22" s="10" t="n">
        <f aca="false">H22-G22</f>
        <v>4723</v>
      </c>
      <c r="J22" s="9" t="str">
        <f aca="false">IF(AND(G22=0,H22=0),0,IF(G22=0,"New",(H22-G22)/G22))</f>
        <v>New</v>
      </c>
    </row>
    <row r="23" customFormat="false" ht="15" hidden="false" customHeight="false" outlineLevel="0" collapsed="false">
      <c r="A23" s="7" t="s">
        <v>74</v>
      </c>
      <c r="B23" s="7" t="str">
        <f aca="false">IFERROR(INDEX('Source 2026'!$C:$C,MATCH($A23,'Source 2026'!$B:$B,0)),IFERROR(INDEX('Source 2025'!$C:$C,MATCH($A23,'Source 2025'!$B:$B,0)),""))</f>
        <v>L מגן מרפק רגיל לבן</v>
      </c>
      <c r="C23" s="8" t="n">
        <f aca="false">SUMIFS('Source 2025'!$T:$T,'Source 2025'!$B:$B,$A23,'Source 2025'!$A:$A,"Quantity (units)")</f>
        <v>0</v>
      </c>
      <c r="D23" s="8" t="n">
        <f aca="false">SUMIFS('Source 2026'!$T:$T,'Source 2026'!$B:$B,$A23,'Source 2026'!$A:$A,"Quantity (units)")</f>
        <v>273</v>
      </c>
      <c r="E23" s="8" t="n">
        <f aca="false">D23-C23</f>
        <v>273</v>
      </c>
      <c r="F23" s="9" t="str">
        <f aca="false">IF(AND(C23=0,D23=0),0,IF(C23=0,"New",(D23-C23)/C23))</f>
        <v>New</v>
      </c>
      <c r="G23" s="10" t="n">
        <f aca="false">SUMIFS('Source 2025'!$T:$T,'Source 2025'!$B:$B,$A23,'Source 2025'!$A:$A,"Amount (NIS)")</f>
        <v>0</v>
      </c>
      <c r="H23" s="10" t="n">
        <f aca="false">SUMIFS('Source 2026'!$T:$T,'Source 2026'!$B:$B,$A23,'Source 2026'!$A:$A,"Amount (NIS)")</f>
        <v>4462.7</v>
      </c>
      <c r="I23" s="10" t="n">
        <f aca="false">H23-G23</f>
        <v>4462.7</v>
      </c>
      <c r="J23" s="9" t="str">
        <f aca="false">IF(AND(G23=0,H23=0),0,IF(G23=0,"New",(H23-G23)/G23))</f>
        <v>New</v>
      </c>
    </row>
    <row r="24" customFormat="false" ht="15" hidden="false" customHeight="false" outlineLevel="0" collapsed="false">
      <c r="A24" s="7" t="s">
        <v>103</v>
      </c>
      <c r="B24" s="7" t="str">
        <f aca="false">IFERROR(INDEX('Source 2026'!$C:$C,MATCH($A24,'Source 2026'!$B:$B,0)),IFERROR(INDEX('Source 2025'!$C:$C,MATCH($A24,'Source 2025'!$B:$B,0)),""))</f>
        <v>L חגורת גב +סגירה</v>
      </c>
      <c r="C24" s="8" t="n">
        <f aca="false">SUMIFS('Source 2025'!$T:$T,'Source 2025'!$B:$B,$A24,'Source 2025'!$A:$A,"Quantity (units)")</f>
        <v>0</v>
      </c>
      <c r="D24" s="8" t="n">
        <f aca="false">SUMIFS('Source 2026'!$T:$T,'Source 2026'!$B:$B,$A24,'Source 2026'!$A:$A,"Quantity (units)")</f>
        <v>69</v>
      </c>
      <c r="E24" s="8" t="n">
        <f aca="false">D24-C24</f>
        <v>69</v>
      </c>
      <c r="F24" s="9" t="str">
        <f aca="false">IF(AND(C24=0,D24=0),0,IF(C24=0,"New",(D24-C24)/C24))</f>
        <v>New</v>
      </c>
      <c r="G24" s="10" t="n">
        <f aca="false">SUMIFS('Source 2025'!$T:$T,'Source 2025'!$B:$B,$A24,'Source 2025'!$A:$A,"Amount (NIS)")</f>
        <v>0</v>
      </c>
      <c r="H24" s="10" t="n">
        <f aca="false">SUMIFS('Source 2026'!$T:$T,'Source 2026'!$B:$B,$A24,'Source 2026'!$A:$A,"Amount (NIS)")</f>
        <v>4241.3</v>
      </c>
      <c r="I24" s="10" t="n">
        <f aca="false">H24-G24</f>
        <v>4241.3</v>
      </c>
      <c r="J24" s="9" t="str">
        <f aca="false">IF(AND(G24=0,H24=0),0,IF(G24=0,"New",(H24-G24)/G24))</f>
        <v>New</v>
      </c>
    </row>
    <row r="25" customFormat="false" ht="15" hidden="false" customHeight="false" outlineLevel="0" collapsed="false">
      <c r="A25" s="7" t="s">
        <v>151</v>
      </c>
      <c r="B25" s="7" t="str">
        <f aca="false">IFERROR(INDEX('Source 2026'!$C:$C,MATCH($A25,'Source 2026'!$B:$B,0)),IFERROR(INDEX('Source 2025'!$C:$C,MATCH($A25,'Source 2025'!$B:$B,0)),""))</f>
        <v>L-XL חגורת הריון</v>
      </c>
      <c r="C25" s="8" t="n">
        <f aca="false">SUMIFS('Source 2025'!$T:$T,'Source 2025'!$B:$B,$A25,'Source 2025'!$A:$A,"Quantity (units)")</f>
        <v>0</v>
      </c>
      <c r="D25" s="8" t="n">
        <f aca="false">SUMIFS('Source 2026'!$T:$T,'Source 2026'!$B:$B,$A25,'Source 2026'!$A:$A,"Quantity (units)")</f>
        <v>50</v>
      </c>
      <c r="E25" s="8" t="n">
        <f aca="false">D25-C25</f>
        <v>50</v>
      </c>
      <c r="F25" s="9" t="str">
        <f aca="false">IF(AND(C25=0,D25=0),0,IF(C25=0,"New",(D25-C25)/C25))</f>
        <v>New</v>
      </c>
      <c r="G25" s="10" t="n">
        <f aca="false">SUMIFS('Source 2025'!$T:$T,'Source 2025'!$B:$B,$A25,'Source 2025'!$A:$A,"Amount (NIS)")</f>
        <v>0</v>
      </c>
      <c r="H25" s="10" t="n">
        <f aca="false">SUMIFS('Source 2026'!$T:$T,'Source 2026'!$B:$B,$A25,'Source 2026'!$A:$A,"Amount (NIS)")</f>
        <v>3890</v>
      </c>
      <c r="I25" s="10" t="n">
        <f aca="false">H25-G25</f>
        <v>3890</v>
      </c>
      <c r="J25" s="9" t="str">
        <f aca="false">IF(AND(G25=0,H25=0),0,IF(G25=0,"New",(H25-G25)/G25))</f>
        <v>New</v>
      </c>
    </row>
    <row r="26" customFormat="false" ht="15" hidden="false" customHeight="false" outlineLevel="0" collapsed="false">
      <c r="A26" s="7" t="s">
        <v>87</v>
      </c>
      <c r="B26" s="7" t="str">
        <f aca="false">IFERROR(INDEX('Source 2026'!$C:$C,MATCH($A26,'Source 2026'!$B:$B,0)),IFERROR(INDEX('Source 2025'!$C:$C,MATCH($A26,'Source 2025'!$B:$B,0)),""))</f>
        <v>טלק מעושר באלוורה</v>
      </c>
      <c r="C26" s="8" t="n">
        <f aca="false">SUMIFS('Source 2025'!$T:$T,'Source 2025'!$B:$B,$A26,'Source 2025'!$A:$A,"Quantity (units)")</f>
        <v>0</v>
      </c>
      <c r="D26" s="8" t="n">
        <f aca="false">SUMIFS('Source 2026'!$T:$T,'Source 2026'!$B:$B,$A26,'Source 2026'!$A:$A,"Quantity (units)")</f>
        <v>276</v>
      </c>
      <c r="E26" s="8" t="n">
        <f aca="false">D26-C26</f>
        <v>276</v>
      </c>
      <c r="F26" s="9" t="str">
        <f aca="false">IF(AND(C26=0,D26=0),0,IF(C26=0,"New",(D26-C26)/C26))</f>
        <v>New</v>
      </c>
      <c r="G26" s="10" t="n">
        <f aca="false">SUMIFS('Source 2025'!$T:$T,'Source 2025'!$B:$B,$A26,'Source 2025'!$A:$A,"Amount (NIS)")</f>
        <v>0</v>
      </c>
      <c r="H26" s="10" t="n">
        <f aca="false">SUMIFS('Source 2026'!$T:$T,'Source 2026'!$B:$B,$A26,'Source 2026'!$A:$A,"Amount (NIS)")</f>
        <v>3534.3</v>
      </c>
      <c r="I26" s="10" t="n">
        <f aca="false">H26-G26</f>
        <v>3534.3</v>
      </c>
      <c r="J26" s="9" t="str">
        <f aca="false">IF(AND(G26=0,H26=0),0,IF(G26=0,"New",(H26-G26)/G26))</f>
        <v>New</v>
      </c>
    </row>
    <row r="27" customFormat="false" ht="15" hidden="false" customHeight="false" outlineLevel="0" collapsed="false">
      <c r="A27" s="7" t="s">
        <v>54</v>
      </c>
      <c r="B27" s="7" t="str">
        <f aca="false">IFERROR(INDEX('Source 2026'!$C:$C,MATCH($A27,'Source 2026'!$B:$B,0)),IFERROR(INDEX('Source 2025'!$C:$C,MATCH($A27,'Source 2025'!$B:$B,0)),""))</f>
        <v>גב אפורה</v>
      </c>
      <c r="C27" s="8" t="n">
        <f aca="false">SUMIFS('Source 2025'!$T:$T,'Source 2025'!$B:$B,$A27,'Source 2025'!$A:$A,"Quantity (units)")</f>
        <v>0</v>
      </c>
      <c r="D27" s="8" t="n">
        <f aca="false">SUMIFS('Source 2026'!$T:$T,'Source 2026'!$B:$B,$A27,'Source 2026'!$A:$A,"Quantity (units)")</f>
        <v>54</v>
      </c>
      <c r="E27" s="8" t="n">
        <f aca="false">D27-C27</f>
        <v>54</v>
      </c>
      <c r="F27" s="9" t="str">
        <f aca="false">IF(AND(C27=0,D27=0),0,IF(C27=0,"New",(D27-C27)/C27))</f>
        <v>New</v>
      </c>
      <c r="G27" s="10" t="n">
        <f aca="false">SUMIFS('Source 2025'!$T:$T,'Source 2025'!$B:$B,$A27,'Source 2025'!$A:$A,"Amount (NIS)")</f>
        <v>0</v>
      </c>
      <c r="H27" s="10" t="n">
        <f aca="false">SUMIFS('Source 2026'!$T:$T,'Source 2026'!$B:$B,$A27,'Source 2026'!$A:$A,"Amount (NIS)")</f>
        <v>3510</v>
      </c>
      <c r="I27" s="10" t="n">
        <f aca="false">H27-G27</f>
        <v>3510</v>
      </c>
      <c r="J27" s="9" t="str">
        <f aca="false">IF(AND(G27=0,H27=0),0,IF(G27=0,"New",(H27-G27)/G27))</f>
        <v>New</v>
      </c>
    </row>
    <row r="28" customFormat="false" ht="15" hidden="false" customHeight="false" outlineLevel="0" collapsed="false">
      <c r="A28" s="7" t="s">
        <v>99</v>
      </c>
      <c r="B28" s="7" t="str">
        <f aca="false">IFERROR(INDEX('Source 2026'!$C:$C,MATCH($A28,'Source 2026'!$B:$B,0)),IFERROR(INDEX('Source 2025'!$C:$C,MATCH($A28,'Source 2025'!$B:$B,0)),""))</f>
        <v>חגורת גב +סגירה כפולה</v>
      </c>
      <c r="C28" s="8" t="n">
        <f aca="false">SUMIFS('Source 2025'!$T:$T,'Source 2025'!$B:$B,$A28,'Source 2025'!$A:$A,"Quantity (units)")</f>
        <v>0</v>
      </c>
      <c r="D28" s="8" t="n">
        <f aca="false">SUMIFS('Source 2026'!$T:$T,'Source 2026'!$B:$B,$A28,'Source 2026'!$A:$A,"Quantity (units)")</f>
        <v>54</v>
      </c>
      <c r="E28" s="8" t="n">
        <f aca="false">D28-C28</f>
        <v>54</v>
      </c>
      <c r="F28" s="9" t="str">
        <f aca="false">IF(AND(C28=0,D28=0),0,IF(C28=0,"New",(D28-C28)/C28))</f>
        <v>New</v>
      </c>
      <c r="G28" s="10" t="n">
        <f aca="false">SUMIFS('Source 2025'!$T:$T,'Source 2025'!$B:$B,$A28,'Source 2025'!$A:$A,"Amount (NIS)")</f>
        <v>0</v>
      </c>
      <c r="H28" s="10" t="n">
        <f aca="false">SUMIFS('Source 2026'!$T:$T,'Source 2026'!$B:$B,$A28,'Source 2026'!$A:$A,"Amount (NIS)")</f>
        <v>3510</v>
      </c>
      <c r="I28" s="10" t="n">
        <f aca="false">H28-G28</f>
        <v>3510</v>
      </c>
      <c r="J28" s="9" t="str">
        <f aca="false">IF(AND(G28=0,H28=0),0,IF(G28=0,"New",(H28-G28)/G28))</f>
        <v>New</v>
      </c>
    </row>
    <row r="29" customFormat="false" ht="15" hidden="false" customHeight="false" outlineLevel="0" collapsed="false">
      <c r="A29" s="7" t="s">
        <v>269</v>
      </c>
      <c r="B29" s="7" t="str">
        <f aca="false">IFERROR(INDEX('Source 2026'!$C:$C,MATCH($A29,'Source 2026'!$B:$B,0)),IFERROR(INDEX('Source 2025'!$C:$C,MATCH($A29,'Source 2025'!$B:$B,0)),""))</f>
        <v>שרוול מסיליקון לאצבע</v>
      </c>
      <c r="C29" s="8" t="n">
        <f aca="false">SUMIFS('Source 2025'!$T:$T,'Source 2025'!$B:$B,$A29,'Source 2025'!$A:$A,"Quantity (units)")</f>
        <v>0</v>
      </c>
      <c r="D29" s="8" t="n">
        <f aca="false">SUMIFS('Source 2026'!$T:$T,'Source 2026'!$B:$B,$A29,'Source 2026'!$A:$A,"Quantity (units)")</f>
        <v>298</v>
      </c>
      <c r="E29" s="8" t="n">
        <f aca="false">D29-C29</f>
        <v>298</v>
      </c>
      <c r="F29" s="9" t="str">
        <f aca="false">IF(AND(C29=0,D29=0),0,IF(C29=0,"New",(D29-C29)/C29))</f>
        <v>New</v>
      </c>
      <c r="G29" s="10" t="n">
        <f aca="false">SUMIFS('Source 2025'!$T:$T,'Source 2025'!$B:$B,$A29,'Source 2025'!$A:$A,"Amount (NIS)")</f>
        <v>0</v>
      </c>
      <c r="H29" s="10" t="n">
        <f aca="false">SUMIFS('Source 2026'!$T:$T,'Source 2026'!$B:$B,$A29,'Source 2026'!$A:$A,"Amount (NIS)")</f>
        <v>3483.4</v>
      </c>
      <c r="I29" s="10" t="n">
        <f aca="false">H29-G29</f>
        <v>3483.4</v>
      </c>
      <c r="J29" s="9" t="str">
        <f aca="false">IF(AND(G29=0,H29=0),0,IF(G29=0,"New",(H29-G29)/G29))</f>
        <v>New</v>
      </c>
    </row>
    <row r="30" customFormat="false" ht="15" hidden="false" customHeight="false" outlineLevel="0" collapsed="false">
      <c r="A30" s="7" t="s">
        <v>176</v>
      </c>
      <c r="B30" s="7" t="str">
        <f aca="false">IFERROR(INDEX('Source 2026'!$C:$C,MATCH($A30,'Source 2026'!$B:$B,0)),IFERROR(INDEX('Source 2025'!$C:$C,MATCH($A30,'Source 2025'!$B:$B,0)),""))</f>
        <v>סד לאגודל</v>
      </c>
      <c r="C30" s="8" t="n">
        <f aca="false">SUMIFS('Source 2025'!$T:$T,'Source 2025'!$B:$B,$A30,'Source 2025'!$A:$A,"Quantity (units)")</f>
        <v>0</v>
      </c>
      <c r="D30" s="8" t="n">
        <f aca="false">SUMIFS('Source 2026'!$T:$T,'Source 2026'!$B:$B,$A30,'Source 2026'!$A:$A,"Quantity (units)")</f>
        <v>167</v>
      </c>
      <c r="E30" s="8" t="n">
        <f aca="false">D30-C30</f>
        <v>167</v>
      </c>
      <c r="F30" s="9" t="str">
        <f aca="false">IF(AND(C30=0,D30=0),0,IF(C30=0,"New",(D30-C30)/C30))</f>
        <v>New</v>
      </c>
      <c r="G30" s="10" t="n">
        <f aca="false">SUMIFS('Source 2025'!$T:$T,'Source 2025'!$B:$B,$A30,'Source 2025'!$A:$A,"Amount (NIS)")</f>
        <v>0</v>
      </c>
      <c r="H30" s="10" t="n">
        <f aca="false">SUMIFS('Source 2026'!$T:$T,'Source 2026'!$B:$B,$A30,'Source 2026'!$A:$A,"Amount (NIS)")</f>
        <v>3340</v>
      </c>
      <c r="I30" s="10" t="n">
        <f aca="false">H30-G30</f>
        <v>3340</v>
      </c>
      <c r="J30" s="9" t="str">
        <f aca="false">IF(AND(G30=0,H30=0),0,IF(G30=0,"New",(H30-G30)/G30))</f>
        <v>New</v>
      </c>
    </row>
    <row r="31" customFormat="false" ht="15" hidden="false" customHeight="false" outlineLevel="0" collapsed="false">
      <c r="A31" s="7" t="s">
        <v>249</v>
      </c>
      <c r="B31" s="7" t="str">
        <f aca="false">IFERROR(INDEX('Source 2026'!$C:$C,MATCH($A31,'Source 2026'!$B:$B,0)),IFERROR(INDEX('Source 2025'!$C:$C,MATCH($A31,'Source 2025'!$B:$B,0)),""))</f>
        <v>S ח.גב ""איטלקית"" אורירית</v>
      </c>
      <c r="C31" s="8" t="n">
        <f aca="false">SUMIFS('Source 2025'!$T:$T,'Source 2025'!$B:$B,$A31,'Source 2025'!$A:$A,"Quantity (units)")</f>
        <v>0</v>
      </c>
      <c r="D31" s="8" t="n">
        <f aca="false">SUMIFS('Source 2026'!$T:$T,'Source 2026'!$B:$B,$A31,'Source 2026'!$A:$A,"Quantity (units)")</f>
        <v>21</v>
      </c>
      <c r="E31" s="8" t="n">
        <f aca="false">D31-C31</f>
        <v>21</v>
      </c>
      <c r="F31" s="9" t="str">
        <f aca="false">IF(AND(C31=0,D31=0),0,IF(C31=0,"New",(D31-C31)/C31))</f>
        <v>New</v>
      </c>
      <c r="G31" s="10" t="n">
        <f aca="false">SUMIFS('Source 2025'!$T:$T,'Source 2025'!$B:$B,$A31,'Source 2025'!$A:$A,"Amount (NIS)")</f>
        <v>0</v>
      </c>
      <c r="H31" s="10" t="n">
        <f aca="false">SUMIFS('Source 2026'!$T:$T,'Source 2026'!$B:$B,$A31,'Source 2026'!$A:$A,"Amount (NIS)")</f>
        <v>3202.9</v>
      </c>
      <c r="I31" s="10" t="n">
        <f aca="false">H31-G31</f>
        <v>3202.9</v>
      </c>
      <c r="J31" s="9" t="str">
        <f aca="false">IF(AND(G31=0,H31=0),0,IF(G31=0,"New",(H31-G31)/G31))</f>
        <v>New</v>
      </c>
    </row>
    <row r="32" customFormat="false" ht="15" hidden="false" customHeight="false" outlineLevel="0" collapsed="false">
      <c r="A32" s="7" t="s">
        <v>246</v>
      </c>
      <c r="B32" s="7" t="str">
        <f aca="false">IFERROR(INDEX('Source 2026'!$C:$C,MATCH($A32,'Source 2026'!$B:$B,0)),IFERROR(INDEX('Source 2025'!$C:$C,MATCH($A32,'Source 2025'!$B:$B,0)),""))</f>
        <v>ציפורניים</v>
      </c>
      <c r="C32" s="8" t="n">
        <f aca="false">SUMIFS('Source 2025'!$T:$T,'Source 2025'!$B:$B,$A32,'Source 2025'!$A:$A,"Quantity (units)")</f>
        <v>0</v>
      </c>
      <c r="D32" s="8" t="n">
        <f aca="false">SUMIFS('Source 2026'!$T:$T,'Source 2026'!$B:$B,$A32,'Source 2026'!$A:$A,"Quantity (units)")</f>
        <v>290</v>
      </c>
      <c r="E32" s="8" t="n">
        <f aca="false">D32-C32</f>
        <v>290</v>
      </c>
      <c r="F32" s="9" t="str">
        <f aca="false">IF(AND(C32=0,D32=0),0,IF(C32=0,"New",(D32-C32)/C32))</f>
        <v>New</v>
      </c>
      <c r="G32" s="10" t="n">
        <f aca="false">SUMIFS('Source 2025'!$T:$T,'Source 2025'!$B:$B,$A32,'Source 2025'!$A:$A,"Amount (NIS)")</f>
        <v>0</v>
      </c>
      <c r="H32" s="10" t="n">
        <f aca="false">SUMIFS('Source 2026'!$T:$T,'Source 2026'!$B:$B,$A32,'Source 2026'!$A:$A,"Amount (NIS)")</f>
        <v>2925</v>
      </c>
      <c r="I32" s="10" t="n">
        <f aca="false">H32-G32</f>
        <v>2925</v>
      </c>
      <c r="J32" s="9" t="str">
        <f aca="false">IF(AND(G32=0,H32=0),0,IF(G32=0,"New",(H32-G32)/G32))</f>
        <v>New</v>
      </c>
    </row>
    <row r="33" customFormat="false" ht="15" hidden="false" customHeight="false" outlineLevel="0" collapsed="false">
      <c r="A33" s="7" t="s">
        <v>377</v>
      </c>
      <c r="B33" s="7" t="str">
        <f aca="false">IFERROR(INDEX('Source 2026'!$C:$C,MATCH($A33,'Source 2026'!$B:$B,0)),IFERROR(INDEX('Source 2025'!$C:$C,MATCH($A33,'Source 2025'!$B:$B,0)),""))</f>
        <v>מגן ברך+כרית ג'ל</v>
      </c>
      <c r="C33" s="8" t="n">
        <f aca="false">SUMIFS('Source 2025'!$T:$T,'Source 2025'!$B:$B,$A33,'Source 2025'!$A:$A,"Quantity (units)")</f>
        <v>0</v>
      </c>
      <c r="D33" s="8" t="n">
        <f aca="false">SUMIFS('Source 2026'!$T:$T,'Source 2026'!$B:$B,$A33,'Source 2026'!$A:$A,"Quantity (units)")</f>
        <v>56</v>
      </c>
      <c r="E33" s="8" t="n">
        <f aca="false">D33-C33</f>
        <v>56</v>
      </c>
      <c r="F33" s="9" t="str">
        <f aca="false">IF(AND(C33=0,D33=0),0,IF(C33=0,"New",(D33-C33)/C33))</f>
        <v>New</v>
      </c>
      <c r="G33" s="10" t="n">
        <f aca="false">SUMIFS('Source 2025'!$T:$T,'Source 2025'!$B:$B,$A33,'Source 2025'!$A:$A,"Amount (NIS)")</f>
        <v>0</v>
      </c>
      <c r="H33" s="10" t="n">
        <f aca="false">SUMIFS('Source 2026'!$T:$T,'Source 2026'!$B:$B,$A33,'Source 2026'!$A:$A,"Amount (NIS)")</f>
        <v>2875.6</v>
      </c>
      <c r="I33" s="10" t="n">
        <f aca="false">H33-G33</f>
        <v>2875.6</v>
      </c>
      <c r="J33" s="9" t="str">
        <f aca="false">IF(AND(G33=0,H33=0),0,IF(G33=0,"New",(H33-G33)/G33))</f>
        <v>New</v>
      </c>
    </row>
    <row r="34" customFormat="false" ht="15" hidden="false" customHeight="false" outlineLevel="0" collapsed="false">
      <c r="A34" s="7" t="s">
        <v>164</v>
      </c>
      <c r="B34" s="7" t="str">
        <f aca="false">IFERROR(INDEX('Source 2026'!$C:$C,MATCH($A34,'Source 2026'!$B:$B,0)),IFERROR(INDEX('Source 2025'!$C:$C,MATCH($A34,'Source 2025'!$B:$B,0)),""))</f>
        <v>Sמיישר כתף יציב יישור ג.רחב</v>
      </c>
      <c r="C34" s="8" t="n">
        <f aca="false">SUMIFS('Source 2025'!$T:$T,'Source 2025'!$B:$B,$A34,'Source 2025'!$A:$A,"Quantity (units)")</f>
        <v>0</v>
      </c>
      <c r="D34" s="8" t="n">
        <f aca="false">SUMIFS('Source 2026'!$T:$T,'Source 2026'!$B:$B,$A34,'Source 2026'!$A:$A,"Quantity (units)")</f>
        <v>19</v>
      </c>
      <c r="E34" s="8" t="n">
        <f aca="false">D34-C34</f>
        <v>19</v>
      </c>
      <c r="F34" s="9" t="str">
        <f aca="false">IF(AND(C34=0,D34=0),0,IF(C34=0,"New",(D34-C34)/C34))</f>
        <v>New</v>
      </c>
      <c r="G34" s="10" t="n">
        <f aca="false">SUMIFS('Source 2025'!$T:$T,'Source 2025'!$B:$B,$A34,'Source 2025'!$A:$A,"Amount (NIS)")</f>
        <v>0</v>
      </c>
      <c r="H34" s="10" t="n">
        <f aca="false">SUMIFS('Source 2026'!$T:$T,'Source 2026'!$B:$B,$A34,'Source 2026'!$A:$A,"Amount (NIS)")</f>
        <v>2589.7</v>
      </c>
      <c r="I34" s="10" t="n">
        <f aca="false">H34-G34</f>
        <v>2589.7</v>
      </c>
      <c r="J34" s="9" t="str">
        <f aca="false">IF(AND(G34=0,H34=0),0,IF(G34=0,"New",(H34-G34)/G34))</f>
        <v>New</v>
      </c>
    </row>
    <row r="35" customFormat="false" ht="15" hidden="false" customHeight="false" outlineLevel="0" collapsed="false">
      <c r="A35" s="7" t="s">
        <v>378</v>
      </c>
      <c r="B35" s="7" t="str">
        <f aca="false">IFERROR(INDEX('Source 2026'!$C:$C,MATCH($A35,'Source 2026'!$B:$B,0)),IFERROR(INDEX('Source 2025'!$C:$C,MATCH($A35,'Source 2025'!$B:$B,0)),""))</f>
        <v>מגן מרפק לטניס</v>
      </c>
      <c r="C35" s="8" t="n">
        <f aca="false">SUMIFS('Source 2025'!$T:$T,'Source 2025'!$B:$B,$A35,'Source 2025'!$A:$A,"Quantity (units)")</f>
        <v>0</v>
      </c>
      <c r="D35" s="8" t="n">
        <f aca="false">SUMIFS('Source 2026'!$T:$T,'Source 2026'!$B:$B,$A35,'Source 2026'!$A:$A,"Quantity (units)")</f>
        <v>131</v>
      </c>
      <c r="E35" s="8" t="n">
        <f aca="false">D35-C35</f>
        <v>131</v>
      </c>
      <c r="F35" s="9" t="str">
        <f aca="false">IF(AND(C35=0,D35=0),0,IF(C35=0,"New",(D35-C35)/C35))</f>
        <v>New</v>
      </c>
      <c r="G35" s="10" t="n">
        <f aca="false">SUMIFS('Source 2025'!$T:$T,'Source 2025'!$B:$B,$A35,'Source 2025'!$A:$A,"Amount (NIS)")</f>
        <v>0</v>
      </c>
      <c r="H35" s="10" t="n">
        <f aca="false">SUMIFS('Source 2026'!$T:$T,'Source 2026'!$B:$B,$A35,'Source 2026'!$A:$A,"Amount (NIS)")</f>
        <v>2563.6</v>
      </c>
      <c r="I35" s="10" t="n">
        <f aca="false">H35-G35</f>
        <v>2563.6</v>
      </c>
      <c r="J35" s="9" t="str">
        <f aca="false">IF(AND(G35=0,H35=0),0,IF(G35=0,"New",(H35-G35)/G35))</f>
        <v>New</v>
      </c>
    </row>
    <row r="36" customFormat="false" ht="15" hidden="false" customHeight="false" outlineLevel="0" collapsed="false">
      <c r="A36" s="7" t="s">
        <v>83</v>
      </c>
      <c r="B36" s="7" t="str">
        <f aca="false">IFERROR(INDEX('Source 2026'!$C:$C,MATCH($A36,'Source 2026'!$B:$B,0)),IFERROR(INDEX('Source 2025'!$C:$C,MATCH($A36,'Source 2025'!$B:$B,0)),""))</f>
        <v>XS חגורת פאבליק</v>
      </c>
      <c r="C36" s="8" t="n">
        <f aca="false">SUMIFS('Source 2025'!$T:$T,'Source 2025'!$B:$B,$A36,'Source 2025'!$A:$A,"Quantity (units)")</f>
        <v>0</v>
      </c>
      <c r="D36" s="8" t="n">
        <f aca="false">SUMIFS('Source 2026'!$T:$T,'Source 2026'!$B:$B,$A36,'Source 2026'!$A:$A,"Quantity (units)")</f>
        <v>12</v>
      </c>
      <c r="E36" s="8" t="n">
        <f aca="false">D36-C36</f>
        <v>12</v>
      </c>
      <c r="F36" s="9" t="str">
        <f aca="false">IF(AND(C36=0,D36=0),0,IF(C36=0,"New",(D36-C36)/C36))</f>
        <v>New</v>
      </c>
      <c r="G36" s="10" t="n">
        <f aca="false">SUMIFS('Source 2025'!$T:$T,'Source 2025'!$B:$B,$A36,'Source 2025'!$A:$A,"Amount (NIS)")</f>
        <v>0</v>
      </c>
      <c r="H36" s="10" t="n">
        <f aca="false">SUMIFS('Source 2026'!$T:$T,'Source 2026'!$B:$B,$A36,'Source 2026'!$A:$A,"Amount (NIS)")</f>
        <v>2547</v>
      </c>
      <c r="I36" s="10" t="n">
        <f aca="false">H36-G36</f>
        <v>2547</v>
      </c>
      <c r="J36" s="9" t="str">
        <f aca="false">IF(AND(G36=0,H36=0),0,IF(G36=0,"New",(H36-G36)/G36))</f>
        <v>New</v>
      </c>
    </row>
    <row r="37" customFormat="false" ht="15" hidden="false" customHeight="false" outlineLevel="0" collapsed="false">
      <c r="A37" s="7" t="s">
        <v>108</v>
      </c>
      <c r="B37" s="7" t="str">
        <f aca="false">IFERROR(INDEX('Source 2026'!$C:$C,MATCH($A37,'Source 2026'!$B:$B,0)),IFERROR(INDEX('Source 2025'!$C:$C,MATCH($A37,'Source 2025'!$B:$B,0)),""))</f>
        <v>גב אפורה</v>
      </c>
      <c r="C37" s="8" t="n">
        <f aca="false">SUMIFS('Source 2025'!$T:$T,'Source 2025'!$B:$B,$A37,'Source 2025'!$A:$A,"Quantity (units)")</f>
        <v>0</v>
      </c>
      <c r="D37" s="8" t="n">
        <f aca="false">SUMIFS('Source 2026'!$T:$T,'Source 2026'!$B:$B,$A37,'Source 2026'!$A:$A,"Quantity (units)")</f>
        <v>39</v>
      </c>
      <c r="E37" s="8" t="n">
        <f aca="false">D37-C37</f>
        <v>39</v>
      </c>
      <c r="F37" s="9" t="str">
        <f aca="false">IF(AND(C37=0,D37=0),0,IF(C37=0,"New",(D37-C37)/C37))</f>
        <v>New</v>
      </c>
      <c r="G37" s="10" t="n">
        <f aca="false">SUMIFS('Source 2025'!$T:$T,'Source 2025'!$B:$B,$A37,'Source 2025'!$A:$A,"Amount (NIS)")</f>
        <v>0</v>
      </c>
      <c r="H37" s="10" t="n">
        <f aca="false">SUMIFS('Source 2026'!$T:$T,'Source 2026'!$B:$B,$A37,'Source 2026'!$A:$A,"Amount (NIS)")</f>
        <v>2535</v>
      </c>
      <c r="I37" s="10" t="n">
        <f aca="false">H37-G37</f>
        <v>2535</v>
      </c>
      <c r="J37" s="9" t="str">
        <f aca="false">IF(AND(G37=0,H37=0),0,IF(G37=0,"New",(H37-G37)/G37))</f>
        <v>New</v>
      </c>
    </row>
    <row r="38" customFormat="false" ht="15" hidden="false" customHeight="false" outlineLevel="0" collapsed="false">
      <c r="A38" s="7" t="s">
        <v>82</v>
      </c>
      <c r="B38" s="7" t="str">
        <f aca="false">IFERROR(INDEX('Source 2026'!$C:$C,MATCH($A38,'Source 2026'!$B:$B,0)),IFERROR(INDEX('Source 2025'!$C:$C,MATCH($A38,'Source 2025'!$B:$B,0)),""))</f>
        <v>S-L אצבעון מסיליקון יחידה</v>
      </c>
      <c r="C38" s="8" t="n">
        <f aca="false">SUMIFS('Source 2025'!$T:$T,'Source 2025'!$B:$B,$A38,'Source 2025'!$A:$A,"Quantity (units)")</f>
        <v>0</v>
      </c>
      <c r="D38" s="8" t="n">
        <f aca="false">SUMIFS('Source 2026'!$T:$T,'Source 2026'!$B:$B,$A38,'Source 2026'!$A:$A,"Quantity (units)")</f>
        <v>147</v>
      </c>
      <c r="E38" s="8" t="n">
        <f aca="false">D38-C38</f>
        <v>147</v>
      </c>
      <c r="F38" s="9" t="str">
        <f aca="false">IF(AND(C38=0,D38=0),0,IF(C38=0,"New",(D38-C38)/C38))</f>
        <v>New</v>
      </c>
      <c r="G38" s="10" t="n">
        <f aca="false">SUMIFS('Source 2025'!$T:$T,'Source 2025'!$B:$B,$A38,'Source 2025'!$A:$A,"Amount (NIS)")</f>
        <v>0</v>
      </c>
      <c r="H38" s="10" t="n">
        <f aca="false">SUMIFS('Source 2026'!$T:$T,'Source 2026'!$B:$B,$A38,'Source 2026'!$A:$A,"Amount (NIS)")</f>
        <v>2363.2</v>
      </c>
      <c r="I38" s="10" t="n">
        <f aca="false">H38-G38</f>
        <v>2363.2</v>
      </c>
      <c r="J38" s="9" t="str">
        <f aca="false">IF(AND(G38=0,H38=0),0,IF(G38=0,"New",(H38-G38)/G38))</f>
        <v>New</v>
      </c>
    </row>
    <row r="39" customFormat="false" ht="15" hidden="false" customHeight="false" outlineLevel="0" collapsed="false">
      <c r="A39" s="7" t="s">
        <v>98</v>
      </c>
      <c r="B39" s="7" t="str">
        <f aca="false">IFERROR(INDEX('Source 2026'!$C:$C,MATCH($A39,'Source 2026'!$B:$B,0)),IFERROR(INDEX('Source 2025'!$C:$C,MATCH($A39,'Source 2025'!$B:$B,0)),""))</f>
        <v>דאודורנט אנטיבק.נעל333</v>
      </c>
      <c r="C39" s="8" t="n">
        <f aca="false">SUMIFS('Source 2025'!$T:$T,'Source 2025'!$B:$B,$A39,'Source 2025'!$A:$A,"Quantity (units)")</f>
        <v>0</v>
      </c>
      <c r="D39" s="8" t="n">
        <f aca="false">SUMIFS('Source 2026'!$T:$T,'Source 2026'!$B:$B,$A39,'Source 2026'!$A:$A,"Quantity (units)")</f>
        <v>156</v>
      </c>
      <c r="E39" s="8" t="n">
        <f aca="false">D39-C39</f>
        <v>156</v>
      </c>
      <c r="F39" s="9" t="str">
        <f aca="false">IF(AND(C39=0,D39=0),0,IF(C39=0,"New",(D39-C39)/C39))</f>
        <v>New</v>
      </c>
      <c r="G39" s="10" t="n">
        <f aca="false">SUMIFS('Source 2025'!$T:$T,'Source 2025'!$B:$B,$A39,'Source 2025'!$A:$A,"Amount (NIS)")</f>
        <v>0</v>
      </c>
      <c r="H39" s="10" t="n">
        <f aca="false">SUMIFS('Source 2026'!$T:$T,'Source 2026'!$B:$B,$A39,'Source 2026'!$A:$A,"Amount (NIS)")</f>
        <v>2308.8</v>
      </c>
      <c r="I39" s="10" t="n">
        <f aca="false">H39-G39</f>
        <v>2308.8</v>
      </c>
      <c r="J39" s="9" t="str">
        <f aca="false">IF(AND(G39=0,H39=0),0,IF(G39=0,"New",(H39-G39)/G39))</f>
        <v>New</v>
      </c>
    </row>
    <row r="40" customFormat="false" ht="15" hidden="false" customHeight="false" outlineLevel="0" collapsed="false">
      <c r="A40" s="7" t="s">
        <v>81</v>
      </c>
      <c r="B40" s="7" t="str">
        <f aca="false">IFERROR(INDEX('Source 2026'!$C:$C,MATCH($A40,'Source 2026'!$B:$B,0)),IFERROR(INDEX('Source 2025'!$C:$C,MATCH($A40,'Source 2025'!$B:$B,0)),""))</f>
        <v>0 מ.בוניון+מפריד אצבע</v>
      </c>
      <c r="C40" s="8" t="n">
        <f aca="false">SUMIFS('Source 2025'!$T:$T,'Source 2025'!$B:$B,$A40,'Source 2025'!$A:$A,"Quantity (units)")</f>
        <v>0</v>
      </c>
      <c r="D40" s="8" t="n">
        <f aca="false">SUMIFS('Source 2026'!$T:$T,'Source 2026'!$B:$B,$A40,'Source 2026'!$A:$A,"Quantity (units)")</f>
        <v>81</v>
      </c>
      <c r="E40" s="8" t="n">
        <f aca="false">D40-C40</f>
        <v>81</v>
      </c>
      <c r="F40" s="9" t="str">
        <f aca="false">IF(AND(C40=0,D40=0),0,IF(C40=0,"New",(D40-C40)/C40))</f>
        <v>New</v>
      </c>
      <c r="G40" s="10" t="n">
        <f aca="false">SUMIFS('Source 2025'!$T:$T,'Source 2025'!$B:$B,$A40,'Source 2025'!$A:$A,"Amount (NIS)")</f>
        <v>0</v>
      </c>
      <c r="H40" s="10" t="n">
        <f aca="false">SUMIFS('Source 2026'!$T:$T,'Source 2026'!$B:$B,$A40,'Source 2026'!$A:$A,"Amount (NIS)")</f>
        <v>2231.6</v>
      </c>
      <c r="I40" s="10" t="n">
        <f aca="false">H40-G40</f>
        <v>2231.6</v>
      </c>
      <c r="J40" s="9" t="str">
        <f aca="false">IF(AND(G40=0,H40=0),0,IF(G40=0,"New",(H40-G40)/G40))</f>
        <v>New</v>
      </c>
    </row>
    <row r="41" customFormat="false" ht="15" hidden="false" customHeight="false" outlineLevel="0" collapsed="false">
      <c r="A41" s="7" t="s">
        <v>133</v>
      </c>
      <c r="B41" s="7" t="str">
        <f aca="false">IFERROR(INDEX('Source 2026'!$C:$C,MATCH($A41,'Source 2026'!$B:$B,0)),IFERROR(INDEX('Source 2025'!$C:$C,MATCH($A41,'Source 2025'!$B:$B,0)),""))</f>
        <v>חגורת גב +סגירה כפולה</v>
      </c>
      <c r="C41" s="8" t="n">
        <f aca="false">SUMIFS('Source 2025'!$T:$T,'Source 2025'!$B:$B,$A41,'Source 2025'!$A:$A,"Quantity (units)")</f>
        <v>0</v>
      </c>
      <c r="D41" s="8" t="n">
        <f aca="false">SUMIFS('Source 2026'!$T:$T,'Source 2026'!$B:$B,$A41,'Source 2026'!$A:$A,"Quantity (units)")</f>
        <v>35</v>
      </c>
      <c r="E41" s="8" t="n">
        <f aca="false">D41-C41</f>
        <v>35</v>
      </c>
      <c r="F41" s="9" t="str">
        <f aca="false">IF(AND(C41=0,D41=0),0,IF(C41=0,"New",(D41-C41)/C41))</f>
        <v>New</v>
      </c>
      <c r="G41" s="10" t="n">
        <f aca="false">SUMIFS('Source 2025'!$T:$T,'Source 2025'!$B:$B,$A41,'Source 2025'!$A:$A,"Amount (NIS)")</f>
        <v>0</v>
      </c>
      <c r="H41" s="10" t="n">
        <f aca="false">SUMIFS('Source 2026'!$T:$T,'Source 2026'!$B:$B,$A41,'Source 2026'!$A:$A,"Amount (NIS)")</f>
        <v>2193.8</v>
      </c>
      <c r="I41" s="10" t="n">
        <f aca="false">H41-G41</f>
        <v>2193.8</v>
      </c>
      <c r="J41" s="9" t="str">
        <f aca="false">IF(AND(G41=0,H41=0),0,IF(G41=0,"New",(H41-G41)/G41))</f>
        <v>New</v>
      </c>
    </row>
    <row r="42" customFormat="false" ht="15" hidden="false" customHeight="false" outlineLevel="0" collapsed="false">
      <c r="A42" s="7" t="s">
        <v>116</v>
      </c>
      <c r="B42" s="7" t="str">
        <f aca="false">IFERROR(INDEX('Source 2026'!$C:$C,MATCH($A42,'Source 2026'!$B:$B,0)),IFERROR(INDEX('Source 2025'!$C:$C,MATCH($A42,'Source 2025'!$B:$B,0)),""))</f>
        <v>S חגורה למנותחי בית החזה</v>
      </c>
      <c r="C42" s="8" t="n">
        <f aca="false">SUMIFS('Source 2025'!$T:$T,'Source 2025'!$B:$B,$A42,'Source 2025'!$A:$A,"Quantity (units)")</f>
        <v>0</v>
      </c>
      <c r="D42" s="8" t="n">
        <f aca="false">SUMIFS('Source 2026'!$T:$T,'Source 2026'!$B:$B,$A42,'Source 2026'!$A:$A,"Quantity (units)")</f>
        <v>22</v>
      </c>
      <c r="E42" s="8" t="n">
        <f aca="false">D42-C42</f>
        <v>22</v>
      </c>
      <c r="F42" s="9" t="str">
        <f aca="false">IF(AND(C42=0,D42=0),0,IF(C42=0,"New",(D42-C42)/C42))</f>
        <v>New</v>
      </c>
      <c r="G42" s="10" t="n">
        <f aca="false">SUMIFS('Source 2025'!$T:$T,'Source 2025'!$B:$B,$A42,'Source 2025'!$A:$A,"Amount (NIS)")</f>
        <v>0</v>
      </c>
      <c r="H42" s="10" t="n">
        <f aca="false">SUMIFS('Source 2026'!$T:$T,'Source 2026'!$B:$B,$A42,'Source 2026'!$A:$A,"Amount (NIS)")</f>
        <v>2168.5</v>
      </c>
      <c r="I42" s="10" t="n">
        <f aca="false">H42-G42</f>
        <v>2168.5</v>
      </c>
      <c r="J42" s="9" t="str">
        <f aca="false">IF(AND(G42=0,H42=0),0,IF(G42=0,"New",(H42-G42)/G42))</f>
        <v>New</v>
      </c>
    </row>
    <row r="43" customFormat="false" ht="15" hidden="false" customHeight="false" outlineLevel="0" collapsed="false">
      <c r="A43" s="7" t="s">
        <v>185</v>
      </c>
      <c r="B43" s="7" t="str">
        <f aca="false">IFERROR(INDEX('Source 2026'!$C:$C,MATCH($A43,'Source 2026'!$B:$B,0)),IFERROR(INDEX('Source 2025'!$C:$C,MATCH($A43,'Source 2025'!$B:$B,0)),""))</f>
        <v>S תומך זרוע וכתף</v>
      </c>
      <c r="C43" s="8" t="n">
        <f aca="false">SUMIFS('Source 2025'!$T:$T,'Source 2025'!$B:$B,$A43,'Source 2025'!$A:$A,"Quantity (units)")</f>
        <v>0</v>
      </c>
      <c r="D43" s="8" t="n">
        <f aca="false">SUMIFS('Source 2026'!$T:$T,'Source 2026'!$B:$B,$A43,'Source 2026'!$A:$A,"Quantity (units)")</f>
        <v>16</v>
      </c>
      <c r="E43" s="8" t="n">
        <f aca="false">D43-C43</f>
        <v>16</v>
      </c>
      <c r="F43" s="9" t="str">
        <f aca="false">IF(AND(C43=0,D43=0),0,IF(C43=0,"New",(D43-C43)/C43))</f>
        <v>New</v>
      </c>
      <c r="G43" s="10" t="n">
        <f aca="false">SUMIFS('Source 2025'!$T:$T,'Source 2025'!$B:$B,$A43,'Source 2025'!$A:$A,"Amount (NIS)")</f>
        <v>0</v>
      </c>
      <c r="H43" s="10" t="n">
        <f aca="false">SUMIFS('Source 2026'!$T:$T,'Source 2026'!$B:$B,$A43,'Source 2026'!$A:$A,"Amount (NIS)")</f>
        <v>2027.2</v>
      </c>
      <c r="I43" s="10" t="n">
        <f aca="false">H43-G43</f>
        <v>2027.2</v>
      </c>
      <c r="J43" s="9" t="str">
        <f aca="false">IF(AND(G43=0,H43=0),0,IF(G43=0,"New",(H43-G43)/G43))</f>
        <v>New</v>
      </c>
    </row>
    <row r="44" customFormat="false" ht="15" hidden="false" customHeight="false" outlineLevel="0" collapsed="false">
      <c r="A44" s="7" t="s">
        <v>379</v>
      </c>
      <c r="B44" s="7" t="str">
        <f aca="false">IFERROR(INDEX('Source 2026'!$C:$C,MATCH($A44,'Source 2026'!$B:$B,0)),IFERROR(INDEX('Source 2025'!$C:$C,MATCH($A44,'Source 2025'!$B:$B,0)),""))</f>
        <v>חבק לקרסול</v>
      </c>
      <c r="C44" s="8" t="n">
        <f aca="false">SUMIFS('Source 2025'!$T:$T,'Source 2025'!$B:$B,$A44,'Source 2025'!$A:$A,"Quantity (units)")</f>
        <v>0</v>
      </c>
      <c r="D44" s="8" t="n">
        <f aca="false">SUMIFS('Source 2026'!$T:$T,'Source 2026'!$B:$B,$A44,'Source 2026'!$A:$A,"Quantity (units)")</f>
        <v>97</v>
      </c>
      <c r="E44" s="8" t="n">
        <f aca="false">D44-C44</f>
        <v>97</v>
      </c>
      <c r="F44" s="9" t="str">
        <f aca="false">IF(AND(C44=0,D44=0),0,IF(C44=0,"New",(D44-C44)/C44))</f>
        <v>New</v>
      </c>
      <c r="G44" s="10" t="n">
        <f aca="false">SUMIFS('Source 2025'!$T:$T,'Source 2025'!$B:$B,$A44,'Source 2025'!$A:$A,"Amount (NIS)")</f>
        <v>0</v>
      </c>
      <c r="H44" s="10" t="n">
        <f aca="false">SUMIFS('Source 2026'!$T:$T,'Source 2026'!$B:$B,$A44,'Source 2026'!$A:$A,"Amount (NIS)")</f>
        <v>1989.8</v>
      </c>
      <c r="I44" s="10" t="n">
        <f aca="false">H44-G44</f>
        <v>1989.8</v>
      </c>
      <c r="J44" s="9" t="str">
        <f aca="false">IF(AND(G44=0,H44=0),0,IF(G44=0,"New",(H44-G44)/G44))</f>
        <v>New</v>
      </c>
    </row>
    <row r="45" customFormat="false" ht="15" hidden="false" customHeight="false" outlineLevel="0" collapsed="false">
      <c r="A45" s="7" t="s">
        <v>61</v>
      </c>
      <c r="B45" s="7" t="str">
        <f aca="false">IFERROR(INDEX('Source 2026'!$C:$C,MATCH($A45,'Source 2026'!$B:$B,0)),IFERROR(INDEX('Source 2025'!$C:$C,MATCH($A45,'Source 2025'!$B:$B,0)),""))</f>
        <v>חגורת גב אפורה</v>
      </c>
      <c r="C45" s="8" t="n">
        <f aca="false">SUMIFS('Source 2025'!$T:$T,'Source 2025'!$B:$B,$A45,'Source 2025'!$A:$A,"Quantity (units)")</f>
        <v>0</v>
      </c>
      <c r="D45" s="8" t="n">
        <f aca="false">SUMIFS('Source 2026'!$T:$T,'Source 2026'!$B:$B,$A45,'Source 2026'!$A:$A,"Quantity (units)")</f>
        <v>30</v>
      </c>
      <c r="E45" s="8" t="n">
        <f aca="false">D45-C45</f>
        <v>30</v>
      </c>
      <c r="F45" s="9" t="str">
        <f aca="false">IF(AND(C45=0,D45=0),0,IF(C45=0,"New",(D45-C45)/C45))</f>
        <v>New</v>
      </c>
      <c r="G45" s="10" t="n">
        <f aca="false">SUMIFS('Source 2025'!$T:$T,'Source 2025'!$B:$B,$A45,'Source 2025'!$A:$A,"Amount (NIS)")</f>
        <v>0</v>
      </c>
      <c r="H45" s="10" t="n">
        <f aca="false">SUMIFS('Source 2026'!$T:$T,'Source 2026'!$B:$B,$A45,'Source 2026'!$A:$A,"Amount (NIS)")</f>
        <v>1950</v>
      </c>
      <c r="I45" s="10" t="n">
        <f aca="false">H45-G45</f>
        <v>1950</v>
      </c>
      <c r="J45" s="9" t="str">
        <f aca="false">IF(AND(G45=0,H45=0),0,IF(G45=0,"New",(H45-G45)/G45))</f>
        <v>New</v>
      </c>
    </row>
    <row r="46" customFormat="false" ht="15" hidden="false" customHeight="false" outlineLevel="0" collapsed="false">
      <c r="A46" s="7" t="s">
        <v>111</v>
      </c>
      <c r="B46" s="7" t="str">
        <f aca="false">IFERROR(INDEX('Source 2026'!$C:$C,MATCH($A46,'Source 2026'!$B:$B,0)),IFERROR(INDEX('Source 2025'!$C:$C,MATCH($A46,'Source 2025'!$B:$B,0)),""))</f>
        <v>מקבע קרסול</v>
      </c>
      <c r="C46" s="8" t="n">
        <f aca="false">SUMIFS('Source 2025'!$T:$T,'Source 2025'!$B:$B,$A46,'Source 2025'!$A:$A,"Quantity (units)")</f>
        <v>0</v>
      </c>
      <c r="D46" s="8" t="n">
        <f aca="false">SUMIFS('Source 2026'!$T:$T,'Source 2026'!$B:$B,$A46,'Source 2026'!$A:$A,"Quantity (units)")</f>
        <v>21</v>
      </c>
      <c r="E46" s="8" t="n">
        <f aca="false">D46-C46</f>
        <v>21</v>
      </c>
      <c r="F46" s="9" t="str">
        <f aca="false">IF(AND(C46=0,D46=0),0,IF(C46=0,"New",(D46-C46)/C46))</f>
        <v>New</v>
      </c>
      <c r="G46" s="10" t="n">
        <f aca="false">SUMIFS('Source 2025'!$T:$T,'Source 2025'!$B:$B,$A46,'Source 2025'!$A:$A,"Amount (NIS)")</f>
        <v>0</v>
      </c>
      <c r="H46" s="10" t="n">
        <f aca="false">SUMIFS('Source 2026'!$T:$T,'Source 2026'!$B:$B,$A46,'Source 2026'!$A:$A,"Amount (NIS)")</f>
        <v>1932</v>
      </c>
      <c r="I46" s="10" t="n">
        <f aca="false">H46-G46</f>
        <v>1932</v>
      </c>
      <c r="J46" s="9" t="str">
        <f aca="false">IF(AND(G46=0,H46=0),0,IF(G46=0,"New",(H46-G46)/G46))</f>
        <v>New</v>
      </c>
    </row>
    <row r="47" customFormat="false" ht="15" hidden="false" customHeight="false" outlineLevel="0" collapsed="false">
      <c r="A47" s="7" t="s">
        <v>67</v>
      </c>
      <c r="B47" s="7" t="str">
        <f aca="false">IFERROR(INDEX('Source 2026'!$C:$C,MATCH($A47,'Source 2026'!$B:$B,0)),IFERROR(INDEX('Source 2025'!$C:$C,MATCH($A47,'Source 2025'!$B:$B,0)),""))</f>
        <v>שרוול מטטרזלי מסיליקון</v>
      </c>
      <c r="C47" s="8" t="n">
        <f aca="false">SUMIFS('Source 2025'!$T:$T,'Source 2025'!$B:$B,$A47,'Source 2025'!$A:$A,"Quantity (units)")</f>
        <v>0</v>
      </c>
      <c r="D47" s="8" t="n">
        <f aca="false">SUMIFS('Source 2026'!$T:$T,'Source 2026'!$B:$B,$A47,'Source 2026'!$A:$A,"Quantity (units)")</f>
        <v>47</v>
      </c>
      <c r="E47" s="8" t="n">
        <f aca="false">D47-C47</f>
        <v>47</v>
      </c>
      <c r="F47" s="9" t="str">
        <f aca="false">IF(AND(C47=0,D47=0),0,IF(C47=0,"New",(D47-C47)/C47))</f>
        <v>New</v>
      </c>
      <c r="G47" s="10" t="n">
        <f aca="false">SUMIFS('Source 2025'!$T:$T,'Source 2025'!$B:$B,$A47,'Source 2025'!$A:$A,"Amount (NIS)")</f>
        <v>0</v>
      </c>
      <c r="H47" s="10" t="n">
        <f aca="false">SUMIFS('Source 2026'!$T:$T,'Source 2026'!$B:$B,$A47,'Source 2026'!$A:$A,"Amount (NIS)")</f>
        <v>1823.1</v>
      </c>
      <c r="I47" s="10" t="n">
        <f aca="false">H47-G47</f>
        <v>1823.1</v>
      </c>
      <c r="J47" s="9" t="str">
        <f aca="false">IF(AND(G47=0,H47=0),0,IF(G47=0,"New",(H47-G47)/G47))</f>
        <v>New</v>
      </c>
    </row>
    <row r="48" customFormat="false" ht="15" hidden="false" customHeight="false" outlineLevel="0" collapsed="false">
      <c r="A48" s="7" t="s">
        <v>132</v>
      </c>
      <c r="B48" s="7" t="str">
        <f aca="false">IFERROR(INDEX('Source 2026'!$C:$C,MATCH($A48,'Source 2026'!$B:$B,0)),IFERROR(INDEX('Source 2025'!$C:$C,MATCH($A48,'Source 2025'!$B:$B,0)),""))</f>
        <v>L סד לילה שחור לבוהן שמאל</v>
      </c>
      <c r="C48" s="8" t="n">
        <f aca="false">SUMIFS('Source 2025'!$T:$T,'Source 2025'!$B:$B,$A48,'Source 2025'!$A:$A,"Quantity (units)")</f>
        <v>0</v>
      </c>
      <c r="D48" s="8" t="n">
        <f aca="false">SUMIFS('Source 2026'!$T:$T,'Source 2026'!$B:$B,$A48,'Source 2026'!$A:$A,"Quantity (units)")</f>
        <v>43</v>
      </c>
      <c r="E48" s="8" t="n">
        <f aca="false">D48-C48</f>
        <v>43</v>
      </c>
      <c r="F48" s="9" t="str">
        <f aca="false">IF(AND(C48=0,D48=0),0,IF(C48=0,"New",(D48-C48)/C48))</f>
        <v>New</v>
      </c>
      <c r="G48" s="10" t="n">
        <f aca="false">SUMIFS('Source 2025'!$T:$T,'Source 2025'!$B:$B,$A48,'Source 2025'!$A:$A,"Amount (NIS)")</f>
        <v>0</v>
      </c>
      <c r="H48" s="10" t="n">
        <f aca="false">SUMIFS('Source 2026'!$T:$T,'Source 2026'!$B:$B,$A48,'Source 2026'!$A:$A,"Amount (NIS)")</f>
        <v>1806</v>
      </c>
      <c r="I48" s="10" t="n">
        <f aca="false">H48-G48</f>
        <v>1806</v>
      </c>
      <c r="J48" s="9" t="str">
        <f aca="false">IF(AND(G48=0,H48=0),0,IF(G48=0,"New",(H48-G48)/G48))</f>
        <v>New</v>
      </c>
    </row>
    <row r="49" customFormat="false" ht="15" hidden="false" customHeight="false" outlineLevel="0" collapsed="false">
      <c r="A49" s="7" t="s">
        <v>277</v>
      </c>
      <c r="B49" s="7" t="str">
        <f aca="false">IFERROR(INDEX('Source 2026'!$C:$C,MATCH($A49,'Source 2026'!$B:$B,0)),IFERROR(INDEX('Source 2025'!$C:$C,MATCH($A49,'Source 2025'!$B:$B,0)),""))</f>
        <v>רפידת אנטי ריח -זוג</v>
      </c>
      <c r="C49" s="8" t="n">
        <f aca="false">SUMIFS('Source 2025'!$T:$T,'Source 2025'!$B:$B,$A49,'Source 2025'!$A:$A,"Quantity (units)")</f>
        <v>0</v>
      </c>
      <c r="D49" s="8" t="n">
        <f aca="false">SUMIFS('Source 2026'!$T:$T,'Source 2026'!$B:$B,$A49,'Source 2026'!$A:$A,"Quantity (units)")</f>
        <v>188</v>
      </c>
      <c r="E49" s="8" t="n">
        <f aca="false">D49-C49</f>
        <v>188</v>
      </c>
      <c r="F49" s="9" t="str">
        <f aca="false">IF(AND(C49=0,D49=0),0,IF(C49=0,"New",(D49-C49)/C49))</f>
        <v>New</v>
      </c>
      <c r="G49" s="10" t="n">
        <f aca="false">SUMIFS('Source 2025'!$T:$T,'Source 2025'!$B:$B,$A49,'Source 2025'!$A:$A,"Amount (NIS)")</f>
        <v>0</v>
      </c>
      <c r="H49" s="10" t="n">
        <f aca="false">SUMIFS('Source 2026'!$T:$T,'Source 2026'!$B:$B,$A49,'Source 2026'!$A:$A,"Amount (NIS)")</f>
        <v>1755.3</v>
      </c>
      <c r="I49" s="10" t="n">
        <f aca="false">H49-G49</f>
        <v>1755.3</v>
      </c>
      <c r="J49" s="9" t="str">
        <f aca="false">IF(AND(G49=0,H49=0),0,IF(G49=0,"New",(H49-G49)/G49))</f>
        <v>New</v>
      </c>
    </row>
    <row r="50" customFormat="false" ht="15" hidden="false" customHeight="false" outlineLevel="0" collapsed="false">
      <c r="A50" s="7" t="s">
        <v>107</v>
      </c>
      <c r="B50" s="7" t="str">
        <f aca="false">IFERROR(INDEX('Source 2026'!$C:$C,MATCH($A50,'Source 2026'!$B:$B,0)),IFERROR(INDEX('Source 2025'!$C:$C,MATCH($A50,'Source 2025'!$B:$B,0)),""))</f>
        <v>L ימין CTS כפפות</v>
      </c>
      <c r="C50" s="8" t="n">
        <f aca="false">SUMIFS('Source 2025'!$T:$T,'Source 2025'!$B:$B,$A50,'Source 2025'!$A:$A,"Quantity (units)")</f>
        <v>0</v>
      </c>
      <c r="D50" s="8" t="n">
        <f aca="false">SUMIFS('Source 2026'!$T:$T,'Source 2026'!$B:$B,$A50,'Source 2026'!$A:$A,"Quantity (units)")</f>
        <v>23</v>
      </c>
      <c r="E50" s="8" t="n">
        <f aca="false">D50-C50</f>
        <v>23</v>
      </c>
      <c r="F50" s="9" t="str">
        <f aca="false">IF(AND(C50=0,D50=0),0,IF(C50=0,"New",(D50-C50)/C50))</f>
        <v>New</v>
      </c>
      <c r="G50" s="10" t="n">
        <f aca="false">SUMIFS('Source 2025'!$T:$T,'Source 2025'!$B:$B,$A50,'Source 2025'!$A:$A,"Amount (NIS)")</f>
        <v>0</v>
      </c>
      <c r="H50" s="10" t="n">
        <f aca="false">SUMIFS('Source 2026'!$T:$T,'Source 2026'!$B:$B,$A50,'Source 2026'!$A:$A,"Amount (NIS)")</f>
        <v>1633</v>
      </c>
      <c r="I50" s="10" t="n">
        <f aca="false">H50-G50</f>
        <v>1633</v>
      </c>
      <c r="J50" s="9" t="str">
        <f aca="false">IF(AND(G50=0,H50=0),0,IF(G50=0,"New",(H50-G50)/G50))</f>
        <v>New</v>
      </c>
    </row>
    <row r="51" customFormat="false" ht="15" hidden="false" customHeight="false" outlineLevel="0" collapsed="false">
      <c r="A51" s="7" t="s">
        <v>242</v>
      </c>
      <c r="B51" s="7" t="str">
        <f aca="false">IFERROR(INDEX('Source 2026'!$C:$C,MATCH($A51,'Source 2026'!$B:$B,0)),IFERROR(INDEX('Source 2025'!$C:$C,MATCH($A51,'Source 2025'!$B:$B,0)),""))</f>
        <v>Lמפר.אצבע סיליק. ליבל.זוג</v>
      </c>
      <c r="C51" s="8" t="n">
        <f aca="false">SUMIFS('Source 2025'!$T:$T,'Source 2025'!$B:$B,$A51,'Source 2025'!$A:$A,"Quantity (units)")</f>
        <v>0</v>
      </c>
      <c r="D51" s="8" t="n">
        <f aca="false">SUMIFS('Source 2026'!$T:$T,'Source 2026'!$B:$B,$A51,'Source 2026'!$A:$A,"Quantity (units)")</f>
        <v>183</v>
      </c>
      <c r="E51" s="8" t="n">
        <f aca="false">D51-C51</f>
        <v>183</v>
      </c>
      <c r="F51" s="9" t="str">
        <f aca="false">IF(AND(C51=0,D51=0),0,IF(C51=0,"New",(D51-C51)/C51))</f>
        <v>New</v>
      </c>
      <c r="G51" s="10" t="n">
        <f aca="false">SUMIFS('Source 2025'!$T:$T,'Source 2025'!$B:$B,$A51,'Source 2025'!$A:$A,"Amount (NIS)")</f>
        <v>0</v>
      </c>
      <c r="H51" s="10" t="n">
        <f aca="false">SUMIFS('Source 2026'!$T:$T,'Source 2026'!$B:$B,$A51,'Source 2026'!$A:$A,"Amount (NIS)")</f>
        <v>1582.1</v>
      </c>
      <c r="I51" s="10" t="n">
        <f aca="false">H51-G51</f>
        <v>1582.1</v>
      </c>
      <c r="J51" s="9" t="str">
        <f aca="false">IF(AND(G51=0,H51=0),0,IF(G51=0,"New",(H51-G51)/G51))</f>
        <v>New</v>
      </c>
    </row>
    <row r="52" customFormat="false" ht="15" hidden="false" customHeight="false" outlineLevel="0" collapsed="false">
      <c r="A52" s="7" t="s">
        <v>94</v>
      </c>
      <c r="B52" s="7" t="str">
        <f aca="false">IFERROR(INDEX('Source 2026'!$C:$C,MATCH($A52,'Source 2026'!$B:$B,0)),IFERROR(INDEX('Source 2025'!$C:$C,MATCH($A52,'Source 2025'!$B:$B,0)),""))</f>
        <v>L שמאל CTS כפפות</v>
      </c>
      <c r="C52" s="8" t="n">
        <f aca="false">SUMIFS('Source 2025'!$T:$T,'Source 2025'!$B:$B,$A52,'Source 2025'!$A:$A,"Quantity (units)")</f>
        <v>0</v>
      </c>
      <c r="D52" s="8" t="n">
        <f aca="false">SUMIFS('Source 2026'!$T:$T,'Source 2026'!$B:$B,$A52,'Source 2026'!$A:$A,"Quantity (units)")</f>
        <v>22</v>
      </c>
      <c r="E52" s="8" t="n">
        <f aca="false">D52-C52</f>
        <v>22</v>
      </c>
      <c r="F52" s="9" t="str">
        <f aca="false">IF(AND(C52=0,D52=0),0,IF(C52=0,"New",(D52-C52)/C52))</f>
        <v>New</v>
      </c>
      <c r="G52" s="10" t="n">
        <f aca="false">SUMIFS('Source 2025'!$T:$T,'Source 2025'!$B:$B,$A52,'Source 2025'!$A:$A,"Amount (NIS)")</f>
        <v>0</v>
      </c>
      <c r="H52" s="10" t="n">
        <f aca="false">SUMIFS('Source 2026'!$T:$T,'Source 2026'!$B:$B,$A52,'Source 2026'!$A:$A,"Amount (NIS)")</f>
        <v>1562</v>
      </c>
      <c r="I52" s="10" t="n">
        <f aca="false">H52-G52</f>
        <v>1562</v>
      </c>
      <c r="J52" s="9" t="str">
        <f aca="false">IF(AND(G52=0,H52=0),0,IF(G52=0,"New",(H52-G52)/G52))</f>
        <v>New</v>
      </c>
    </row>
    <row r="53" customFormat="false" ht="15" hidden="false" customHeight="false" outlineLevel="0" collapsed="false">
      <c r="A53" s="7" t="s">
        <v>76</v>
      </c>
      <c r="B53" s="7" t="str">
        <f aca="false">IFERROR(INDEX('Source 2026'!$C:$C,MATCH($A53,'Source 2026'!$B:$B,0)),IFERROR(INDEX('Source 2025'!$C:$C,MATCH($A53,'Source 2025'!$B:$B,0)),""))</f>
        <v>טייפ קינזיולוגי</v>
      </c>
      <c r="C53" s="8" t="n">
        <f aca="false">SUMIFS('Source 2025'!$T:$T,'Source 2025'!$B:$B,$A53,'Source 2025'!$A:$A,"Quantity (units)")</f>
        <v>0</v>
      </c>
      <c r="D53" s="8" t="n">
        <f aca="false">SUMIFS('Source 2026'!$T:$T,'Source 2026'!$B:$B,$A53,'Source 2026'!$A:$A,"Quantity (units)")</f>
        <v>60</v>
      </c>
      <c r="E53" s="8" t="n">
        <f aca="false">D53-C53</f>
        <v>60</v>
      </c>
      <c r="F53" s="9" t="str">
        <f aca="false">IF(AND(C53=0,D53=0),0,IF(C53=0,"New",(D53-C53)/C53))</f>
        <v>New</v>
      </c>
      <c r="G53" s="10" t="n">
        <f aca="false">SUMIFS('Source 2025'!$T:$T,'Source 2025'!$B:$B,$A53,'Source 2025'!$A:$A,"Amount (NIS)")</f>
        <v>0</v>
      </c>
      <c r="H53" s="10" t="n">
        <f aca="false">SUMIFS('Source 2026'!$T:$T,'Source 2026'!$B:$B,$A53,'Source 2026'!$A:$A,"Amount (NIS)")</f>
        <v>1500</v>
      </c>
      <c r="I53" s="10" t="n">
        <f aca="false">H53-G53</f>
        <v>1500</v>
      </c>
      <c r="J53" s="9" t="str">
        <f aca="false">IF(AND(G53=0,H53=0),0,IF(G53=0,"New",(H53-G53)/G53))</f>
        <v>New</v>
      </c>
    </row>
    <row r="54" customFormat="false" ht="15" hidden="false" customHeight="false" outlineLevel="0" collapsed="false">
      <c r="A54" s="7" t="s">
        <v>380</v>
      </c>
      <c r="B54" s="7" t="str">
        <f aca="false">IFERROR(INDEX('Source 2026'!$C:$C,MATCH($A54,'Source 2026'!$B:$B,0)),IFERROR(INDEX('Source 2025'!$C:$C,MATCH($A54,'Source 2025'!$B:$B,0)),""))</f>
        <v>H מגן ברך עם ציר</v>
      </c>
      <c r="C54" s="8" t="n">
        <f aca="false">SUMIFS('Source 2025'!$T:$T,'Source 2025'!$B:$B,$A54,'Source 2025'!$A:$A,"Quantity (units)")</f>
        <v>0</v>
      </c>
      <c r="D54" s="8" t="n">
        <f aca="false">SUMIFS('Source 2026'!$T:$T,'Source 2026'!$B:$B,$A54,'Source 2026'!$A:$A,"Quantity (units)")</f>
        <v>16</v>
      </c>
      <c r="E54" s="8" t="n">
        <f aca="false">D54-C54</f>
        <v>16</v>
      </c>
      <c r="F54" s="9" t="str">
        <f aca="false">IF(AND(C54=0,D54=0),0,IF(C54=0,"New",(D54-C54)/C54))</f>
        <v>New</v>
      </c>
      <c r="G54" s="10" t="n">
        <f aca="false">SUMIFS('Source 2025'!$T:$T,'Source 2025'!$B:$B,$A54,'Source 2025'!$A:$A,"Amount (NIS)")</f>
        <v>0</v>
      </c>
      <c r="H54" s="10" t="n">
        <f aca="false">SUMIFS('Source 2026'!$T:$T,'Source 2026'!$B:$B,$A54,'Source 2026'!$A:$A,"Amount (NIS)")</f>
        <v>1496</v>
      </c>
      <c r="I54" s="10" t="n">
        <f aca="false">H54-G54</f>
        <v>1496</v>
      </c>
      <c r="J54" s="9" t="str">
        <f aca="false">IF(AND(G54=0,H54=0),0,IF(G54=0,"New",(H54-G54)/G54))</f>
        <v>New</v>
      </c>
    </row>
    <row r="55" customFormat="false" ht="15" hidden="false" customHeight="false" outlineLevel="0" collapsed="false">
      <c r="A55" s="7" t="s">
        <v>200</v>
      </c>
      <c r="B55" s="7" t="str">
        <f aca="false">IFERROR(INDEX('Source 2026'!$C:$C,MATCH($A55,'Source 2026'!$B:$B,0)),IFERROR(INDEX('Source 2025'!$C:$C,MATCH($A55,'Source 2025'!$B:$B,0)),""))</f>
        <v>S חגורת שבר לצד ימין</v>
      </c>
      <c r="C55" s="8" t="n">
        <f aca="false">SUMIFS('Source 2025'!$T:$T,'Source 2025'!$B:$B,$A55,'Source 2025'!$A:$A,"Quantity (units)")</f>
        <v>0</v>
      </c>
      <c r="D55" s="8" t="n">
        <f aca="false">SUMIFS('Source 2026'!$T:$T,'Source 2026'!$B:$B,$A55,'Source 2026'!$A:$A,"Quantity (units)")</f>
        <v>13</v>
      </c>
      <c r="E55" s="8" t="n">
        <f aca="false">D55-C55</f>
        <v>13</v>
      </c>
      <c r="F55" s="9" t="str">
        <f aca="false">IF(AND(C55=0,D55=0),0,IF(C55=0,"New",(D55-C55)/C55))</f>
        <v>New</v>
      </c>
      <c r="G55" s="10" t="n">
        <f aca="false">SUMIFS('Source 2025'!$T:$T,'Source 2025'!$B:$B,$A55,'Source 2025'!$A:$A,"Amount (NIS)")</f>
        <v>0</v>
      </c>
      <c r="H55" s="10" t="n">
        <f aca="false">SUMIFS('Source 2026'!$T:$T,'Source 2026'!$B:$B,$A55,'Source 2026'!$A:$A,"Amount (NIS)")</f>
        <v>1487.2</v>
      </c>
      <c r="I55" s="10" t="n">
        <f aca="false">H55-G55</f>
        <v>1487.2</v>
      </c>
      <c r="J55" s="9" t="str">
        <f aca="false">IF(AND(G55=0,H55=0),0,IF(G55=0,"New",(H55-G55)/G55))</f>
        <v>New</v>
      </c>
    </row>
    <row r="56" customFormat="false" ht="15" hidden="false" customHeight="false" outlineLevel="0" collapsed="false">
      <c r="A56" s="7" t="s">
        <v>169</v>
      </c>
      <c r="B56" s="7" t="str">
        <f aca="false">IFERROR(INDEX('Source 2026'!$C:$C,MATCH($A56,'Source 2026'!$B:$B,0)),IFERROR(INDEX('Source 2025'!$C:$C,MATCH($A56,'Source 2025'!$B:$B,0)),""))</f>
        <v>S-Lטבעת אלסטית מסיליקון</v>
      </c>
      <c r="C56" s="8" t="n">
        <f aca="false">SUMIFS('Source 2025'!$T:$T,'Source 2025'!$B:$B,$A56,'Source 2025'!$A:$A,"Quantity (units)")</f>
        <v>0</v>
      </c>
      <c r="D56" s="8" t="n">
        <f aca="false">SUMIFS('Source 2026'!$T:$T,'Source 2026'!$B:$B,$A56,'Source 2026'!$A:$A,"Quantity (units)")</f>
        <v>164</v>
      </c>
      <c r="E56" s="8" t="n">
        <f aca="false">D56-C56</f>
        <v>164</v>
      </c>
      <c r="F56" s="9" t="str">
        <f aca="false">IF(AND(C56=0,D56=0),0,IF(C56=0,"New",(D56-C56)/C56))</f>
        <v>New</v>
      </c>
      <c r="G56" s="10" t="n">
        <f aca="false">SUMIFS('Source 2025'!$T:$T,'Source 2025'!$B:$B,$A56,'Source 2025'!$A:$A,"Amount (NIS)")</f>
        <v>0</v>
      </c>
      <c r="H56" s="10" t="n">
        <f aca="false">SUMIFS('Source 2026'!$T:$T,'Source 2026'!$B:$B,$A56,'Source 2026'!$A:$A,"Amount (NIS)")</f>
        <v>1450.1</v>
      </c>
      <c r="I56" s="10" t="n">
        <f aca="false">H56-G56</f>
        <v>1450.1</v>
      </c>
      <c r="J56" s="9" t="str">
        <f aca="false">IF(AND(G56=0,H56=0),0,IF(G56=0,"New",(H56-G56)/G56))</f>
        <v>New</v>
      </c>
    </row>
    <row r="57" customFormat="false" ht="15" hidden="false" customHeight="false" outlineLevel="0" collapsed="false">
      <c r="A57" s="7" t="s">
        <v>72</v>
      </c>
      <c r="B57" s="7" t="str">
        <f aca="false">IFERROR(INDEX('Source 2026'!$C:$C,MATCH($A57,'Source 2026'!$B:$B,0)),IFERROR(INDEX('Source 2025'!$C:$C,MATCH($A57,'Source 2025'!$B:$B,0)),""))</f>
        <v>טייפ קינזיולוגי</v>
      </c>
      <c r="C57" s="8" t="n">
        <f aca="false">SUMIFS('Source 2025'!$T:$T,'Source 2025'!$B:$B,$A57,'Source 2025'!$A:$A,"Quantity (units)")</f>
        <v>0</v>
      </c>
      <c r="D57" s="8" t="n">
        <f aca="false">SUMIFS('Source 2026'!$T:$T,'Source 2026'!$B:$B,$A57,'Source 2026'!$A:$A,"Quantity (units)")</f>
        <v>57</v>
      </c>
      <c r="E57" s="8" t="n">
        <f aca="false">D57-C57</f>
        <v>57</v>
      </c>
      <c r="F57" s="9" t="str">
        <f aca="false">IF(AND(C57=0,D57=0),0,IF(C57=0,"New",(D57-C57)/C57))</f>
        <v>New</v>
      </c>
      <c r="G57" s="10" t="n">
        <f aca="false">SUMIFS('Source 2025'!$T:$T,'Source 2025'!$B:$B,$A57,'Source 2025'!$A:$A,"Amount (NIS)")</f>
        <v>0</v>
      </c>
      <c r="H57" s="10" t="n">
        <f aca="false">SUMIFS('Source 2026'!$T:$T,'Source 2026'!$B:$B,$A57,'Source 2026'!$A:$A,"Amount (NIS)")</f>
        <v>1425</v>
      </c>
      <c r="I57" s="10" t="n">
        <f aca="false">H57-G57</f>
        <v>1425</v>
      </c>
      <c r="J57" s="9" t="str">
        <f aca="false">IF(AND(G57=0,H57=0),0,IF(G57=0,"New",(H57-G57)/G57))</f>
        <v>New</v>
      </c>
    </row>
    <row r="58" customFormat="false" ht="15" hidden="false" customHeight="false" outlineLevel="0" collapsed="false">
      <c r="A58" s="7" t="s">
        <v>90</v>
      </c>
      <c r="B58" s="7" t="str">
        <f aca="false">IFERROR(INDEX('Source 2026'!$C:$C,MATCH($A58,'Source 2026'!$B:$B,0)),IFERROR(INDEX('Source 2025'!$C:$C,MATCH($A58,'Source 2025'!$B:$B,0)),""))</f>
        <v>מטטרזלי סיליקון362</v>
      </c>
      <c r="C58" s="8" t="n">
        <f aca="false">SUMIFS('Source 2025'!$T:$T,'Source 2025'!$B:$B,$A58,'Source 2025'!$A:$A,"Quantity (units)")</f>
        <v>0</v>
      </c>
      <c r="D58" s="8" t="n">
        <f aca="false">SUMIFS('Source 2026'!$T:$T,'Source 2026'!$B:$B,$A58,'Source 2026'!$A:$A,"Quantity (units)")</f>
        <v>76</v>
      </c>
      <c r="E58" s="8" t="n">
        <f aca="false">D58-C58</f>
        <v>76</v>
      </c>
      <c r="F58" s="9" t="str">
        <f aca="false">IF(AND(C58=0,D58=0),0,IF(C58=0,"New",(D58-C58)/C58))</f>
        <v>New</v>
      </c>
      <c r="G58" s="10" t="n">
        <f aca="false">SUMIFS('Source 2025'!$T:$T,'Source 2025'!$B:$B,$A58,'Source 2025'!$A:$A,"Amount (NIS)")</f>
        <v>0</v>
      </c>
      <c r="H58" s="10" t="n">
        <f aca="false">SUMIFS('Source 2026'!$T:$T,'Source 2026'!$B:$B,$A58,'Source 2026'!$A:$A,"Amount (NIS)")</f>
        <v>1300.7</v>
      </c>
      <c r="I58" s="10" t="n">
        <f aca="false">H58-G58</f>
        <v>1300.7</v>
      </c>
      <c r="J58" s="9" t="str">
        <f aca="false">IF(AND(G58=0,H58=0),0,IF(G58=0,"New",(H58-G58)/G58))</f>
        <v>New</v>
      </c>
    </row>
    <row r="59" customFormat="false" ht="15" hidden="false" customHeight="false" outlineLevel="0" collapsed="false">
      <c r="A59" s="7" t="s">
        <v>303</v>
      </c>
      <c r="B59" s="7" t="str">
        <f aca="false">IFERROR(INDEX('Source 2026'!$C:$C,MATCH($A59,'Source 2026'!$B:$B,0)),IFERROR(INDEX('Source 2025'!$C:$C,MATCH($A59,'Source 2025'!$B:$B,0)),""))</f>
        <v>S חגורת שבר דו צדדי</v>
      </c>
      <c r="C59" s="8" t="n">
        <f aca="false">SUMIFS('Source 2025'!$T:$T,'Source 2025'!$B:$B,$A59,'Source 2025'!$A:$A,"Quantity (units)")</f>
        <v>0</v>
      </c>
      <c r="D59" s="8" t="n">
        <f aca="false">SUMIFS('Source 2026'!$T:$T,'Source 2026'!$B:$B,$A59,'Source 2026'!$A:$A,"Quantity (units)")</f>
        <v>7</v>
      </c>
      <c r="E59" s="8" t="n">
        <f aca="false">D59-C59</f>
        <v>7</v>
      </c>
      <c r="F59" s="9" t="str">
        <f aca="false">IF(AND(C59=0,D59=0),0,IF(C59=0,"New",(D59-C59)/C59))</f>
        <v>New</v>
      </c>
      <c r="G59" s="10" t="n">
        <f aca="false">SUMIFS('Source 2025'!$T:$T,'Source 2025'!$B:$B,$A59,'Source 2025'!$A:$A,"Amount (NIS)")</f>
        <v>0</v>
      </c>
      <c r="H59" s="10" t="n">
        <f aca="false">SUMIFS('Source 2026'!$T:$T,'Source 2026'!$B:$B,$A59,'Source 2026'!$A:$A,"Amount (NIS)")</f>
        <v>1272.2</v>
      </c>
      <c r="I59" s="10" t="n">
        <f aca="false">H59-G59</f>
        <v>1272.2</v>
      </c>
      <c r="J59" s="9" t="str">
        <f aca="false">IF(AND(G59=0,H59=0),0,IF(G59=0,"New",(H59-G59)/G59))</f>
        <v>New</v>
      </c>
    </row>
    <row r="60" customFormat="false" ht="15" hidden="false" customHeight="false" outlineLevel="0" collapsed="false">
      <c r="A60" s="7" t="s">
        <v>102</v>
      </c>
      <c r="B60" s="7" t="str">
        <f aca="false">IFERROR(INDEX('Source 2026'!$C:$C,MATCH($A60,'Source 2026'!$B:$B,0)),IFERROR(INDEX('Source 2025'!$C:$C,MATCH($A60,'Source 2025'!$B:$B,0)),""))</f>
        <v>3667 מגן בוניון</v>
      </c>
      <c r="C60" s="8" t="n">
        <f aca="false">SUMIFS('Source 2025'!$T:$T,'Source 2025'!$B:$B,$A60,'Source 2025'!$A:$A,"Quantity (units)")</f>
        <v>0</v>
      </c>
      <c r="D60" s="8" t="n">
        <f aca="false">SUMIFS('Source 2026'!$T:$T,'Source 2026'!$B:$B,$A60,'Source 2026'!$A:$A,"Quantity (units)")</f>
        <v>62</v>
      </c>
      <c r="E60" s="8" t="n">
        <f aca="false">D60-C60</f>
        <v>62</v>
      </c>
      <c r="F60" s="9" t="str">
        <f aca="false">IF(AND(C60=0,D60=0),0,IF(C60=0,"New",(D60-C60)/C60))</f>
        <v>New</v>
      </c>
      <c r="G60" s="10" t="n">
        <f aca="false">SUMIFS('Source 2025'!$T:$T,'Source 2025'!$B:$B,$A60,'Source 2025'!$A:$A,"Amount (NIS)")</f>
        <v>0</v>
      </c>
      <c r="H60" s="10" t="n">
        <f aca="false">SUMIFS('Source 2026'!$T:$T,'Source 2026'!$B:$B,$A60,'Source 2026'!$A:$A,"Amount (NIS)")</f>
        <v>1262</v>
      </c>
      <c r="I60" s="10" t="n">
        <f aca="false">H60-G60</f>
        <v>1262</v>
      </c>
      <c r="J60" s="9" t="str">
        <f aca="false">IF(AND(G60=0,H60=0),0,IF(G60=0,"New",(H60-G60)/G60))</f>
        <v>New</v>
      </c>
    </row>
    <row r="61" customFormat="false" ht="15" hidden="false" customHeight="false" outlineLevel="0" collapsed="false">
      <c r="A61" s="7" t="s">
        <v>201</v>
      </c>
      <c r="B61" s="7" t="str">
        <f aca="false">IFERROR(INDEX('Source 2026'!$C:$C,MATCH($A61,'Source 2026'!$B:$B,0)),IFERROR(INDEX('Source 2025'!$C:$C,MATCH($A61,'Source 2025'!$B:$B,0)),""))</f>
        <v>S חגורת שבר לצד שמאל</v>
      </c>
      <c r="C61" s="8" t="n">
        <f aca="false">SUMIFS('Source 2025'!$T:$T,'Source 2025'!$B:$B,$A61,'Source 2025'!$A:$A,"Quantity (units)")</f>
        <v>0</v>
      </c>
      <c r="D61" s="8" t="n">
        <f aca="false">SUMIFS('Source 2026'!$T:$T,'Source 2026'!$B:$B,$A61,'Source 2026'!$A:$A,"Quantity (units)")</f>
        <v>10</v>
      </c>
      <c r="E61" s="8" t="n">
        <f aca="false">D61-C61</f>
        <v>10</v>
      </c>
      <c r="F61" s="9" t="str">
        <f aca="false">IF(AND(C61=0,D61=0),0,IF(C61=0,"New",(D61-C61)/C61))</f>
        <v>New</v>
      </c>
      <c r="G61" s="10" t="n">
        <f aca="false">SUMIFS('Source 2025'!$T:$T,'Source 2025'!$B:$B,$A61,'Source 2025'!$A:$A,"Amount (NIS)")</f>
        <v>0</v>
      </c>
      <c r="H61" s="10" t="n">
        <f aca="false">SUMIFS('Source 2026'!$T:$T,'Source 2026'!$B:$B,$A61,'Source 2026'!$A:$A,"Amount (NIS)")</f>
        <v>1202.4</v>
      </c>
      <c r="I61" s="10" t="n">
        <f aca="false">H61-G61</f>
        <v>1202.4</v>
      </c>
      <c r="J61" s="9" t="str">
        <f aca="false">IF(AND(G61=0,H61=0),0,IF(G61=0,"New",(H61-G61)/G61))</f>
        <v>New</v>
      </c>
    </row>
    <row r="62" customFormat="false" ht="15" hidden="false" customHeight="false" outlineLevel="0" collapsed="false">
      <c r="A62" s="7" t="s">
        <v>245</v>
      </c>
      <c r="B62" s="7" t="str">
        <f aca="false">IFERROR(INDEX('Source 2026'!$C:$C,MATCH($A62,'Source 2026'!$B:$B,0)),IFERROR(INDEX('Source 2025'!$C:$C,MATCH($A62,'Source 2025'!$B:$B,0)),""))</f>
        <v>XLמפריד אצבע סיליקון ליבלת</v>
      </c>
      <c r="C62" s="8" t="n">
        <f aca="false">SUMIFS('Source 2025'!$T:$T,'Source 2025'!$B:$B,$A62,'Source 2025'!$A:$A,"Quantity (units)")</f>
        <v>0</v>
      </c>
      <c r="D62" s="8" t="n">
        <f aca="false">SUMIFS('Source 2026'!$T:$T,'Source 2026'!$B:$B,$A62,'Source 2026'!$A:$A,"Quantity (units)")</f>
        <v>136</v>
      </c>
      <c r="E62" s="8" t="n">
        <f aca="false">D62-C62</f>
        <v>136</v>
      </c>
      <c r="F62" s="9" t="str">
        <f aca="false">IF(AND(C62=0,D62=0),0,IF(C62=0,"New",(D62-C62)/C62))</f>
        <v>New</v>
      </c>
      <c r="G62" s="10" t="n">
        <f aca="false">SUMIFS('Source 2025'!$T:$T,'Source 2025'!$B:$B,$A62,'Source 2025'!$A:$A,"Amount (NIS)")</f>
        <v>0</v>
      </c>
      <c r="H62" s="10" t="n">
        <f aca="false">SUMIFS('Source 2026'!$T:$T,'Source 2026'!$B:$B,$A62,'Source 2026'!$A:$A,"Amount (NIS)")</f>
        <v>1201.7</v>
      </c>
      <c r="I62" s="10" t="n">
        <f aca="false">H62-G62</f>
        <v>1201.7</v>
      </c>
      <c r="J62" s="9" t="str">
        <f aca="false">IF(AND(G62=0,H62=0),0,IF(G62=0,"New",(H62-G62)/G62))</f>
        <v>New</v>
      </c>
    </row>
    <row r="63" customFormat="false" ht="15" hidden="false" customHeight="false" outlineLevel="0" collapsed="false">
      <c r="A63" s="7" t="s">
        <v>381</v>
      </c>
      <c r="B63" s="7" t="str">
        <f aca="false">IFERROR(INDEX('Source 2026'!$C:$C,MATCH($A63,'Source 2026'!$B:$B,0)),IFERROR(INDEX('Source 2025'!$C:$C,MATCH($A63,'Source 2025'!$B:$B,0)),""))</f>
        <v>חבק יד</v>
      </c>
      <c r="C63" s="8" t="n">
        <f aca="false">SUMIFS('Source 2025'!$T:$T,'Source 2025'!$B:$B,$A63,'Source 2025'!$A:$A,"Quantity (units)")</f>
        <v>0</v>
      </c>
      <c r="D63" s="8" t="n">
        <f aca="false">SUMIFS('Source 2026'!$T:$T,'Source 2026'!$B:$B,$A63,'Source 2026'!$A:$A,"Quantity (units)")</f>
        <v>72</v>
      </c>
      <c r="E63" s="8" t="n">
        <f aca="false">D63-C63</f>
        <v>72</v>
      </c>
      <c r="F63" s="9" t="str">
        <f aca="false">IF(AND(C63=0,D63=0),0,IF(C63=0,"New",(D63-C63)/C63))</f>
        <v>New</v>
      </c>
      <c r="G63" s="10" t="n">
        <f aca="false">SUMIFS('Source 2025'!$T:$T,'Source 2025'!$B:$B,$A63,'Source 2025'!$A:$A,"Amount (NIS)")</f>
        <v>0</v>
      </c>
      <c r="H63" s="10" t="n">
        <f aca="false">SUMIFS('Source 2026'!$T:$T,'Source 2026'!$B:$B,$A63,'Source 2026'!$A:$A,"Amount (NIS)")</f>
        <v>1133</v>
      </c>
      <c r="I63" s="10" t="n">
        <f aca="false">H63-G63</f>
        <v>1133</v>
      </c>
      <c r="J63" s="9" t="str">
        <f aca="false">IF(AND(G63=0,H63=0),0,IF(G63=0,"New",(H63-G63)/G63))</f>
        <v>New</v>
      </c>
    </row>
    <row r="64" customFormat="false" ht="15" hidden="false" customHeight="false" outlineLevel="0" collapsed="false">
      <c r="A64" s="7" t="s">
        <v>156</v>
      </c>
      <c r="B64" s="7" t="str">
        <f aca="false">IFERROR(INDEX('Source 2026'!$C:$C,MATCH($A64,'Source 2026'!$B:$B,0)),IFERROR(INDEX('Source 2025'!$C:$C,MATCH($A64,'Source 2025'!$B:$B,0)),""))</f>
        <v>כרית ליישור אצבע פטיש</v>
      </c>
      <c r="C64" s="8" t="n">
        <f aca="false">SUMIFS('Source 2025'!$T:$T,'Source 2025'!$B:$B,$A64,'Source 2025'!$A:$A,"Quantity (units)")</f>
        <v>0</v>
      </c>
      <c r="D64" s="8" t="n">
        <f aca="false">SUMIFS('Source 2026'!$T:$T,'Source 2026'!$B:$B,$A64,'Source 2026'!$A:$A,"Quantity (units)")</f>
        <v>57</v>
      </c>
      <c r="E64" s="8" t="n">
        <f aca="false">D64-C64</f>
        <v>57</v>
      </c>
      <c r="F64" s="9" t="str">
        <f aca="false">IF(AND(C64=0,D64=0),0,IF(C64=0,"New",(D64-C64)/C64))</f>
        <v>New</v>
      </c>
      <c r="G64" s="10" t="n">
        <f aca="false">SUMIFS('Source 2025'!$T:$T,'Source 2025'!$B:$B,$A64,'Source 2025'!$A:$A,"Amount (NIS)")</f>
        <v>0</v>
      </c>
      <c r="H64" s="10" t="n">
        <f aca="false">SUMIFS('Source 2026'!$T:$T,'Source 2026'!$B:$B,$A64,'Source 2026'!$A:$A,"Amount (NIS)")</f>
        <v>1095.6</v>
      </c>
      <c r="I64" s="10" t="n">
        <f aca="false">H64-G64</f>
        <v>1095.6</v>
      </c>
      <c r="J64" s="9" t="str">
        <f aca="false">IF(AND(G64=0,H64=0),0,IF(G64=0,"New",(H64-G64)/G64))</f>
        <v>New</v>
      </c>
    </row>
    <row r="65" customFormat="false" ht="15" hidden="false" customHeight="false" outlineLevel="0" collapsed="false">
      <c r="A65" s="7" t="s">
        <v>304</v>
      </c>
      <c r="B65" s="7" t="str">
        <f aca="false">IFERROR(INDEX('Source 2026'!$C:$C,MATCH($A65,'Source 2026'!$B:$B,0)),IFERROR(INDEX('Source 2025'!$C:$C,MATCH($A65,'Source 2025'!$B:$B,0)),""))</f>
        <v>S חגורה אחרי ניתוח</v>
      </c>
      <c r="C65" s="8" t="n">
        <f aca="false">SUMIFS('Source 2025'!$T:$T,'Source 2025'!$B:$B,$A65,'Source 2025'!$A:$A,"Quantity (units)")</f>
        <v>0</v>
      </c>
      <c r="D65" s="8" t="n">
        <f aca="false">SUMIFS('Source 2026'!$T:$T,'Source 2026'!$B:$B,$A65,'Source 2026'!$A:$A,"Quantity (units)")</f>
        <v>9</v>
      </c>
      <c r="E65" s="8" t="n">
        <f aca="false">D65-C65</f>
        <v>9</v>
      </c>
      <c r="F65" s="9" t="str">
        <f aca="false">IF(AND(C65=0,D65=0),0,IF(C65=0,"New",(D65-C65)/C65))</f>
        <v>New</v>
      </c>
      <c r="G65" s="10" t="n">
        <f aca="false">SUMIFS('Source 2025'!$T:$T,'Source 2025'!$B:$B,$A65,'Source 2025'!$A:$A,"Amount (NIS)")</f>
        <v>0</v>
      </c>
      <c r="H65" s="10" t="n">
        <f aca="false">SUMIFS('Source 2026'!$T:$T,'Source 2026'!$B:$B,$A65,'Source 2026'!$A:$A,"Amount (NIS)")</f>
        <v>1022.3</v>
      </c>
      <c r="I65" s="10" t="n">
        <f aca="false">H65-G65</f>
        <v>1022.3</v>
      </c>
      <c r="J65" s="9" t="str">
        <f aca="false">IF(AND(G65=0,H65=0),0,IF(G65=0,"New",(H65-G65)/G65))</f>
        <v>New</v>
      </c>
    </row>
    <row r="66" customFormat="false" ht="15" hidden="false" customHeight="false" outlineLevel="0" collapsed="false">
      <c r="A66" s="7" t="s">
        <v>192</v>
      </c>
      <c r="B66" s="7" t="str">
        <f aca="false">IFERROR(INDEX('Source 2026'!$C:$C,MATCH($A66,'Source 2026'!$B:$B,0)),IFERROR(INDEX('Source 2025'!$C:$C,MATCH($A66,'Source 2025'!$B:$B,0)),""))</f>
        <v>להסרת עור קשה</v>
      </c>
      <c r="C66" s="8" t="n">
        <f aca="false">SUMIFS('Source 2025'!$T:$T,'Source 2025'!$B:$B,$A66,'Source 2025'!$A:$A,"Quantity (units)")</f>
        <v>0</v>
      </c>
      <c r="D66" s="8" t="n">
        <f aca="false">SUMIFS('Source 2026'!$T:$T,'Source 2026'!$B:$B,$A66,'Source 2026'!$A:$A,"Quantity (units)")</f>
        <v>48</v>
      </c>
      <c r="E66" s="8" t="n">
        <f aca="false">D66-C66</f>
        <v>48</v>
      </c>
      <c r="F66" s="9" t="str">
        <f aca="false">IF(AND(C66=0,D66=0),0,IF(C66=0,"New",(D66-C66)/C66))</f>
        <v>New</v>
      </c>
      <c r="G66" s="10" t="n">
        <f aca="false">SUMIFS('Source 2025'!$T:$T,'Source 2025'!$B:$B,$A66,'Source 2025'!$A:$A,"Amount (NIS)")</f>
        <v>0</v>
      </c>
      <c r="H66" s="10" t="n">
        <f aca="false">SUMIFS('Source 2026'!$T:$T,'Source 2026'!$B:$B,$A66,'Source 2026'!$A:$A,"Amount (NIS)")</f>
        <v>1004.4</v>
      </c>
      <c r="I66" s="10" t="n">
        <f aca="false">H66-G66</f>
        <v>1004.4</v>
      </c>
      <c r="J66" s="9" t="str">
        <f aca="false">IF(AND(G66=0,H66=0),0,IF(G66=0,"New",(H66-G66)/G66))</f>
        <v>New</v>
      </c>
    </row>
    <row r="67" customFormat="false" ht="15" hidden="false" customHeight="false" outlineLevel="0" collapsed="false">
      <c r="A67" s="7" t="s">
        <v>134</v>
      </c>
      <c r="B67" s="7" t="str">
        <f aca="false">IFERROR(INDEX('Source 2026'!$C:$C,MATCH($A67,'Source 2026'!$B:$B,0)),IFERROR(INDEX('Source 2025'!$C:$C,MATCH($A67,'Source 2025'!$B:$B,0)),""))</f>
        <v>רצועת ""פיקה""+כרית</v>
      </c>
      <c r="C67" s="8" t="n">
        <f aca="false">SUMIFS('Source 2025'!$T:$T,'Source 2025'!$B:$B,$A67,'Source 2025'!$A:$A,"Quantity (units)")</f>
        <v>0</v>
      </c>
      <c r="D67" s="8" t="n">
        <f aca="false">SUMIFS('Source 2026'!$T:$T,'Source 2026'!$B:$B,$A67,'Source 2026'!$A:$A,"Quantity (units)")</f>
        <v>16</v>
      </c>
      <c r="E67" s="8" t="n">
        <f aca="false">D67-C67</f>
        <v>16</v>
      </c>
      <c r="F67" s="9" t="str">
        <f aca="false">IF(AND(C67=0,D67=0),0,IF(C67=0,"New",(D67-C67)/C67))</f>
        <v>New</v>
      </c>
      <c r="G67" s="10" t="n">
        <f aca="false">SUMIFS('Source 2025'!$T:$T,'Source 2025'!$B:$B,$A67,'Source 2025'!$A:$A,"Amount (NIS)")</f>
        <v>0</v>
      </c>
      <c r="H67" s="10" t="n">
        <f aca="false">SUMIFS('Source 2026'!$T:$T,'Source 2026'!$B:$B,$A67,'Source 2026'!$A:$A,"Amount (NIS)")</f>
        <v>957.1</v>
      </c>
      <c r="I67" s="10" t="n">
        <f aca="false">H67-G67</f>
        <v>957.1</v>
      </c>
      <c r="J67" s="9" t="str">
        <f aca="false">IF(AND(G67=0,H67=0),0,IF(G67=0,"New",(H67-G67)/G67))</f>
        <v>New</v>
      </c>
    </row>
    <row r="68" customFormat="false" ht="15" hidden="false" customHeight="false" outlineLevel="0" collapsed="false">
      <c r="A68" s="7" t="s">
        <v>91</v>
      </c>
      <c r="B68" s="7" t="str">
        <f aca="false">IFERROR(INDEX('Source 2026'!$C:$C,MATCH($A68,'Source 2026'!$B:$B,0)),IFERROR(INDEX('Source 2025'!$C:$C,MATCH($A68,'Source 2025'!$B:$B,0)),""))</f>
        <v>בליסטר פלסטר</v>
      </c>
      <c r="C68" s="8" t="n">
        <f aca="false">SUMIFS('Source 2025'!$T:$T,'Source 2025'!$B:$B,$A68,'Source 2025'!$A:$A,"Quantity (units)")</f>
        <v>0</v>
      </c>
      <c r="D68" s="8" t="n">
        <f aca="false">SUMIFS('Source 2026'!$T:$T,'Source 2026'!$B:$B,$A68,'Source 2026'!$A:$A,"Quantity (units)")</f>
        <v>78</v>
      </c>
      <c r="E68" s="8" t="n">
        <f aca="false">D68-C68</f>
        <v>78</v>
      </c>
      <c r="F68" s="9" t="str">
        <f aca="false">IF(AND(C68=0,D68=0),0,IF(C68=0,"New",(D68-C68)/C68))</f>
        <v>New</v>
      </c>
      <c r="G68" s="10" t="n">
        <f aca="false">SUMIFS('Source 2025'!$T:$T,'Source 2025'!$B:$B,$A68,'Source 2025'!$A:$A,"Amount (NIS)")</f>
        <v>0</v>
      </c>
      <c r="H68" s="10" t="n">
        <f aca="false">SUMIFS('Source 2026'!$T:$T,'Source 2026'!$B:$B,$A68,'Source 2026'!$A:$A,"Amount (NIS)")</f>
        <v>939.1</v>
      </c>
      <c r="I68" s="10" t="n">
        <f aca="false">H68-G68</f>
        <v>939.1</v>
      </c>
      <c r="J68" s="9" t="str">
        <f aca="false">IF(AND(G68=0,H68=0),0,IF(G68=0,"New",(H68-G68)/G68))</f>
        <v>New</v>
      </c>
    </row>
    <row r="69" customFormat="false" ht="15" hidden="false" customHeight="false" outlineLevel="0" collapsed="false">
      <c r="A69" s="7" t="s">
        <v>162</v>
      </c>
      <c r="B69" s="7" t="str">
        <f aca="false">IFERROR(INDEX('Source 2026'!$C:$C,MATCH($A69,'Source 2026'!$B:$B,0)),IFERROR(INDEX('Source 2025'!$C:$C,MATCH($A69,'Source 2025'!$B:$B,0)),""))</f>
        <v>מגן קרסול עקב סגור+רצוע</v>
      </c>
      <c r="C69" s="8" t="n">
        <f aca="false">SUMIFS('Source 2025'!$T:$T,'Source 2025'!$B:$B,$A69,'Source 2025'!$A:$A,"Quantity (units)")</f>
        <v>0</v>
      </c>
      <c r="D69" s="8" t="n">
        <f aca="false">SUMIFS('Source 2026'!$T:$T,'Source 2026'!$B:$B,$A69,'Source 2026'!$A:$A,"Quantity (units)")</f>
        <v>23</v>
      </c>
      <c r="E69" s="8" t="n">
        <f aca="false">D69-C69</f>
        <v>23</v>
      </c>
      <c r="F69" s="9" t="str">
        <f aca="false">IF(AND(C69=0,D69=0),0,IF(C69=0,"New",(D69-C69)/C69))</f>
        <v>New</v>
      </c>
      <c r="G69" s="10" t="n">
        <f aca="false">SUMIFS('Source 2025'!$T:$T,'Source 2025'!$B:$B,$A69,'Source 2025'!$A:$A,"Amount (NIS)")</f>
        <v>0</v>
      </c>
      <c r="H69" s="10" t="n">
        <f aca="false">SUMIFS('Source 2026'!$T:$T,'Source 2026'!$B:$B,$A69,'Source 2026'!$A:$A,"Amount (NIS)")</f>
        <v>906.6</v>
      </c>
      <c r="I69" s="10" t="n">
        <f aca="false">H69-G69</f>
        <v>906.6</v>
      </c>
      <c r="J69" s="9" t="str">
        <f aca="false">IF(AND(G69=0,H69=0),0,IF(G69=0,"New",(H69-G69)/G69))</f>
        <v>New</v>
      </c>
    </row>
    <row r="70" customFormat="false" ht="15" hidden="false" customHeight="false" outlineLevel="0" collapsed="false">
      <c r="A70" s="7" t="s">
        <v>136</v>
      </c>
      <c r="B70" s="7" t="str">
        <f aca="false">IFERROR(INDEX('Source 2026'!$C:$C,MATCH($A70,'Source 2026'!$B:$B,0)),IFERROR(INDEX('Source 2025'!$C:$C,MATCH($A70,'Source 2025'!$B:$B,0)),""))</f>
        <v>תחבושת אלסטית מקררת</v>
      </c>
      <c r="C70" s="8" t="n">
        <f aca="false">SUMIFS('Source 2025'!$T:$T,'Source 2025'!$B:$B,$A70,'Source 2025'!$A:$A,"Quantity (units)")</f>
        <v>0</v>
      </c>
      <c r="D70" s="8" t="n">
        <f aca="false">SUMIFS('Source 2026'!$T:$T,'Source 2026'!$B:$B,$A70,'Source 2026'!$A:$A,"Quantity (units)")</f>
        <v>65</v>
      </c>
      <c r="E70" s="8" t="n">
        <f aca="false">D70-C70</f>
        <v>65</v>
      </c>
      <c r="F70" s="9" t="str">
        <f aca="false">IF(AND(C70=0,D70=0),0,IF(C70=0,"New",(D70-C70)/C70))</f>
        <v>New</v>
      </c>
      <c r="G70" s="10" t="n">
        <f aca="false">SUMIFS('Source 2025'!$T:$T,'Source 2025'!$B:$B,$A70,'Source 2025'!$A:$A,"Amount (NIS)")</f>
        <v>0</v>
      </c>
      <c r="H70" s="10" t="n">
        <f aca="false">SUMIFS('Source 2026'!$T:$T,'Source 2026'!$B:$B,$A70,'Source 2026'!$A:$A,"Amount (NIS)")</f>
        <v>879.9</v>
      </c>
      <c r="I70" s="10" t="n">
        <f aca="false">H70-G70</f>
        <v>879.9</v>
      </c>
      <c r="J70" s="9" t="str">
        <f aca="false">IF(AND(G70=0,H70=0),0,IF(G70=0,"New",(H70-G70)/G70))</f>
        <v>New</v>
      </c>
    </row>
    <row r="71" customFormat="false" ht="15" hidden="false" customHeight="false" outlineLevel="0" collapsed="false">
      <c r="A71" s="7" t="s">
        <v>71</v>
      </c>
      <c r="B71" s="7" t="str">
        <f aca="false">IFERROR(INDEX('Source 2026'!$C:$C,MATCH($A71,'Source 2026'!$B:$B,0)),IFERROR(INDEX('Source 2025'!$C:$C,MATCH($A71,'Source 2025'!$B:$B,0)),""))</f>
        <v>טייפ קינזיולוגי</v>
      </c>
      <c r="C71" s="8" t="n">
        <f aca="false">SUMIFS('Source 2025'!$T:$T,'Source 2025'!$B:$B,$A71,'Source 2025'!$A:$A,"Quantity (units)")</f>
        <v>0</v>
      </c>
      <c r="D71" s="8" t="n">
        <f aca="false">SUMIFS('Source 2026'!$T:$T,'Source 2026'!$B:$B,$A71,'Source 2026'!$A:$A,"Quantity (units)")</f>
        <v>35</v>
      </c>
      <c r="E71" s="8" t="n">
        <f aca="false">D71-C71</f>
        <v>35</v>
      </c>
      <c r="F71" s="9" t="str">
        <f aca="false">IF(AND(C71=0,D71=0),0,IF(C71=0,"New",(D71-C71)/C71))</f>
        <v>New</v>
      </c>
      <c r="G71" s="10" t="n">
        <f aca="false">SUMIFS('Source 2025'!$T:$T,'Source 2025'!$B:$B,$A71,'Source 2025'!$A:$A,"Amount (NIS)")</f>
        <v>0</v>
      </c>
      <c r="H71" s="10" t="n">
        <f aca="false">SUMIFS('Source 2026'!$T:$T,'Source 2026'!$B:$B,$A71,'Source 2026'!$A:$A,"Amount (NIS)")</f>
        <v>875</v>
      </c>
      <c r="I71" s="10" t="n">
        <f aca="false">H71-G71</f>
        <v>875</v>
      </c>
      <c r="J71" s="9" t="str">
        <f aca="false">IF(AND(G71=0,H71=0),0,IF(G71=0,"New",(H71-G71)/G71))</f>
        <v>New</v>
      </c>
    </row>
    <row r="72" customFormat="false" ht="15" hidden="false" customHeight="false" outlineLevel="0" collapsed="false">
      <c r="A72" s="7" t="s">
        <v>88</v>
      </c>
      <c r="B72" s="7" t="str">
        <f aca="false">IFERROR(INDEX('Source 2026'!$C:$C,MATCH($A72,'Source 2026'!$B:$B,0)),IFERROR(INDEX('Source 2025'!$C:$C,MATCH($A72,'Source 2025'!$B:$B,0)),""))</f>
        <v>למניעת שפשוף 5 יח</v>
      </c>
      <c r="C72" s="8" t="n">
        <f aca="false">SUMIFS('Source 2025'!$T:$T,'Source 2025'!$B:$B,$A72,'Source 2025'!$A:$A,"Quantity (units)")</f>
        <v>0</v>
      </c>
      <c r="D72" s="8" t="n">
        <f aca="false">SUMIFS('Source 2026'!$T:$T,'Source 2026'!$B:$B,$A72,'Source 2026'!$A:$A,"Quantity (units)")</f>
        <v>90</v>
      </c>
      <c r="E72" s="8" t="n">
        <f aca="false">D72-C72</f>
        <v>90</v>
      </c>
      <c r="F72" s="9" t="str">
        <f aca="false">IF(AND(C72=0,D72=0),0,IF(C72=0,"New",(D72-C72)/C72))</f>
        <v>New</v>
      </c>
      <c r="G72" s="10" t="n">
        <f aca="false">SUMIFS('Source 2025'!$T:$T,'Source 2025'!$B:$B,$A72,'Source 2025'!$A:$A,"Amount (NIS)")</f>
        <v>0</v>
      </c>
      <c r="H72" s="10" t="n">
        <f aca="false">SUMIFS('Source 2026'!$T:$T,'Source 2026'!$B:$B,$A72,'Source 2026'!$A:$A,"Amount (NIS)")</f>
        <v>837.1</v>
      </c>
      <c r="I72" s="10" t="n">
        <f aca="false">H72-G72</f>
        <v>837.1</v>
      </c>
      <c r="J72" s="9" t="str">
        <f aca="false">IF(AND(G72=0,H72=0),0,IF(G72=0,"New",(H72-G72)/G72))</f>
        <v>New</v>
      </c>
    </row>
    <row r="73" customFormat="false" ht="15" hidden="false" customHeight="false" outlineLevel="0" collapsed="false">
      <c r="A73" s="7" t="s">
        <v>196</v>
      </c>
      <c r="B73" s="7" t="str">
        <f aca="false">IFERROR(INDEX('Source 2026'!$C:$C,MATCH($A73,'Source 2026'!$B:$B,0)),IFERROR(INDEX('Source 2025'!$C:$C,MATCH($A73,'Source 2025'!$B:$B,0)),""))</f>
        <v>מגן זרת מסיליקון</v>
      </c>
      <c r="C73" s="8" t="n">
        <f aca="false">SUMIFS('Source 2025'!$T:$T,'Source 2025'!$B:$B,$A73,'Source 2025'!$A:$A,"Quantity (units)")</f>
        <v>0</v>
      </c>
      <c r="D73" s="8" t="n">
        <f aca="false">SUMIFS('Source 2026'!$T:$T,'Source 2026'!$B:$B,$A73,'Source 2026'!$A:$A,"Quantity (units)")</f>
        <v>41</v>
      </c>
      <c r="E73" s="8" t="n">
        <f aca="false">D73-C73</f>
        <v>41</v>
      </c>
      <c r="F73" s="9" t="str">
        <f aca="false">IF(AND(C73=0,D73=0),0,IF(C73=0,"New",(D73-C73)/C73))</f>
        <v>New</v>
      </c>
      <c r="G73" s="10" t="n">
        <f aca="false">SUMIFS('Source 2025'!$T:$T,'Source 2025'!$B:$B,$A73,'Source 2025'!$A:$A,"Amount (NIS)")</f>
        <v>0</v>
      </c>
      <c r="H73" s="10" t="n">
        <f aca="false">SUMIFS('Source 2026'!$T:$T,'Source 2026'!$B:$B,$A73,'Source 2026'!$A:$A,"Amount (NIS)")</f>
        <v>829.8</v>
      </c>
      <c r="I73" s="10" t="n">
        <f aca="false">H73-G73</f>
        <v>829.8</v>
      </c>
      <c r="J73" s="9" t="str">
        <f aca="false">IF(AND(G73=0,H73=0),0,IF(G73=0,"New",(H73-G73)/G73))</f>
        <v>New</v>
      </c>
    </row>
    <row r="74" customFormat="false" ht="15" hidden="false" customHeight="false" outlineLevel="0" collapsed="false">
      <c r="A74" s="7" t="s">
        <v>234</v>
      </c>
      <c r="B74" s="7" t="str">
        <f aca="false">IFERROR(INDEX('Source 2026'!$C:$C,MATCH($A74,'Source 2026'!$B:$B,0)),IFERROR(INDEX('Source 2025'!$C:$C,MATCH($A74,'Source 2025'!$B:$B,0)),""))</f>
        <v>להסרת עור קשה</v>
      </c>
      <c r="C74" s="8" t="n">
        <f aca="false">SUMIFS('Source 2025'!$T:$T,'Source 2025'!$B:$B,$A74,'Source 2025'!$A:$A,"Quantity (units)")</f>
        <v>0</v>
      </c>
      <c r="D74" s="8" t="n">
        <f aca="false">SUMIFS('Source 2026'!$T:$T,'Source 2026'!$B:$B,$A74,'Source 2026'!$A:$A,"Quantity (units)")</f>
        <v>46</v>
      </c>
      <c r="E74" s="8" t="n">
        <f aca="false">D74-C74</f>
        <v>46</v>
      </c>
      <c r="F74" s="9" t="str">
        <f aca="false">IF(AND(C74=0,D74=0),0,IF(C74=0,"New",(D74-C74)/C74))</f>
        <v>New</v>
      </c>
      <c r="G74" s="10" t="n">
        <f aca="false">SUMIFS('Source 2025'!$T:$T,'Source 2025'!$B:$B,$A74,'Source 2025'!$A:$A,"Amount (NIS)")</f>
        <v>0</v>
      </c>
      <c r="H74" s="10" t="n">
        <f aca="false">SUMIFS('Source 2026'!$T:$T,'Source 2026'!$B:$B,$A74,'Source 2026'!$A:$A,"Amount (NIS)")</f>
        <v>821.2</v>
      </c>
      <c r="I74" s="10" t="n">
        <f aca="false">H74-G74</f>
        <v>821.2</v>
      </c>
      <c r="J74" s="9" t="str">
        <f aca="false">IF(AND(G74=0,H74=0),0,IF(G74=0,"New",(H74-G74)/G74))</f>
        <v>New</v>
      </c>
    </row>
    <row r="75" customFormat="false" ht="15" hidden="false" customHeight="false" outlineLevel="0" collapsed="false">
      <c r="A75" s="7" t="s">
        <v>284</v>
      </c>
      <c r="B75" s="7" t="str">
        <f aca="false">IFERROR(INDEX('Source 2026'!$C:$C,MATCH($A75,'Source 2026'!$B:$B,0)),IFERROR(INDEX('Source 2025'!$C:$C,MATCH($A75,'Source 2025'!$B:$B,0)),""))</f>
        <v>לחץ מיבלת2יח</v>
      </c>
      <c r="C75" s="8" t="n">
        <f aca="false">SUMIFS('Source 2025'!$T:$T,'Source 2025'!$B:$B,$A75,'Source 2025'!$A:$A,"Quantity (units)")</f>
        <v>0</v>
      </c>
      <c r="D75" s="8" t="n">
        <f aca="false">SUMIFS('Source 2026'!$T:$T,'Source 2026'!$B:$B,$A75,'Source 2026'!$A:$A,"Quantity (units)")</f>
        <v>75</v>
      </c>
      <c r="E75" s="8" t="n">
        <f aca="false">D75-C75</f>
        <v>75</v>
      </c>
      <c r="F75" s="9" t="str">
        <f aca="false">IF(AND(C75=0,D75=0),0,IF(C75=0,"New",(D75-C75)/C75))</f>
        <v>New</v>
      </c>
      <c r="G75" s="10" t="n">
        <f aca="false">SUMIFS('Source 2025'!$T:$T,'Source 2025'!$B:$B,$A75,'Source 2025'!$A:$A,"Amount (NIS)")</f>
        <v>0</v>
      </c>
      <c r="H75" s="10" t="n">
        <f aca="false">SUMIFS('Source 2026'!$T:$T,'Source 2026'!$B:$B,$A75,'Source 2026'!$A:$A,"Amount (NIS)")</f>
        <v>801.6</v>
      </c>
      <c r="I75" s="10" t="n">
        <f aca="false">H75-G75</f>
        <v>801.6</v>
      </c>
      <c r="J75" s="9" t="str">
        <f aca="false">IF(AND(G75=0,H75=0),0,IF(G75=0,"New",(H75-G75)/G75))</f>
        <v>New</v>
      </c>
    </row>
    <row r="76" customFormat="false" ht="15" hidden="false" customHeight="false" outlineLevel="0" collapsed="false">
      <c r="A76" s="7" t="s">
        <v>382</v>
      </c>
      <c r="B76" s="7" t="str">
        <f aca="false">IFERROR(INDEX('Source 2026'!$C:$C,MATCH($A76,'Source 2026'!$B:$B,0)),IFERROR(INDEX('Source 2025'!$C:$C,MATCH($A76,'Source 2025'!$B:$B,0)),""))</f>
        <v>סד אגודלי עם מוט תמיכה</v>
      </c>
      <c r="C76" s="8" t="n">
        <f aca="false">SUMIFS('Source 2025'!$T:$T,'Source 2025'!$B:$B,$A76,'Source 2025'!$A:$A,"Quantity (units)")</f>
        <v>0</v>
      </c>
      <c r="D76" s="8" t="n">
        <f aca="false">SUMIFS('Source 2026'!$T:$T,'Source 2026'!$B:$B,$A76,'Source 2026'!$A:$A,"Quantity (units)")</f>
        <v>32</v>
      </c>
      <c r="E76" s="8" t="n">
        <f aca="false">D76-C76</f>
        <v>32</v>
      </c>
      <c r="F76" s="9" t="str">
        <f aca="false">IF(AND(C76=0,D76=0),0,IF(C76=0,"New",(D76-C76)/C76))</f>
        <v>New</v>
      </c>
      <c r="G76" s="10" t="n">
        <f aca="false">SUMIFS('Source 2025'!$T:$T,'Source 2025'!$B:$B,$A76,'Source 2025'!$A:$A,"Amount (NIS)")</f>
        <v>0</v>
      </c>
      <c r="H76" s="10" t="n">
        <f aca="false">SUMIFS('Source 2026'!$T:$T,'Source 2026'!$B:$B,$A76,'Source 2026'!$A:$A,"Amount (NIS)")</f>
        <v>800</v>
      </c>
      <c r="I76" s="10" t="n">
        <f aca="false">H76-G76</f>
        <v>800</v>
      </c>
      <c r="J76" s="9" t="str">
        <f aca="false">IF(AND(G76=0,H76=0),0,IF(G76=0,"New",(H76-G76)/G76))</f>
        <v>New</v>
      </c>
    </row>
    <row r="77" customFormat="false" ht="15" hidden="false" customHeight="false" outlineLevel="0" collapsed="false">
      <c r="A77" s="7" t="s">
        <v>114</v>
      </c>
      <c r="B77" s="7" t="str">
        <f aca="false">IFERROR(INDEX('Source 2026'!$C:$C,MATCH($A77,'Source 2026'!$B:$B,0)),IFERROR(INDEX('Source 2025'!$C:$C,MATCH($A77,'Source 2025'!$B:$B,0)),""))</f>
        <v>מדבקה לשחרור לחץ 2 יח</v>
      </c>
      <c r="C77" s="8" t="n">
        <f aca="false">SUMIFS('Source 2025'!$T:$T,'Source 2025'!$B:$B,$A77,'Source 2025'!$A:$A,"Quantity (units)")</f>
        <v>0</v>
      </c>
      <c r="D77" s="8" t="n">
        <f aca="false">SUMIFS('Source 2026'!$T:$T,'Source 2026'!$B:$B,$A77,'Source 2026'!$A:$A,"Quantity (units)")</f>
        <v>36</v>
      </c>
      <c r="E77" s="8" t="n">
        <f aca="false">D77-C77</f>
        <v>36</v>
      </c>
      <c r="F77" s="9" t="str">
        <f aca="false">IF(AND(C77=0,D77=0),0,IF(C77=0,"New",(D77-C77)/C77))</f>
        <v>New</v>
      </c>
      <c r="G77" s="10" t="n">
        <f aca="false">SUMIFS('Source 2025'!$T:$T,'Source 2025'!$B:$B,$A77,'Source 2025'!$A:$A,"Amount (NIS)")</f>
        <v>0</v>
      </c>
      <c r="H77" s="10" t="n">
        <f aca="false">SUMIFS('Source 2026'!$T:$T,'Source 2026'!$B:$B,$A77,'Source 2026'!$A:$A,"Amount (NIS)")</f>
        <v>795.6</v>
      </c>
      <c r="I77" s="10" t="n">
        <f aca="false">H77-G77</f>
        <v>795.6</v>
      </c>
      <c r="J77" s="9" t="str">
        <f aca="false">IF(AND(G77=0,H77=0),0,IF(G77=0,"New",(H77-G77)/G77))</f>
        <v>New</v>
      </c>
    </row>
    <row r="78" customFormat="false" ht="15" hidden="false" customHeight="false" outlineLevel="0" collapsed="false">
      <c r="A78" s="7" t="s">
        <v>78</v>
      </c>
      <c r="B78" s="7" t="str">
        <f aca="false">IFERROR(INDEX('Source 2026'!$C:$C,MATCH($A78,'Source 2026'!$B:$B,0)),IFERROR(INDEX('Source 2025'!$C:$C,MATCH($A78,'Source 2025'!$B:$B,0)),""))</f>
        <v>טייפ קינזיולוגי</v>
      </c>
      <c r="C78" s="8" t="n">
        <f aca="false">SUMIFS('Source 2025'!$T:$T,'Source 2025'!$B:$B,$A78,'Source 2025'!$A:$A,"Quantity (units)")</f>
        <v>0</v>
      </c>
      <c r="D78" s="8" t="n">
        <f aca="false">SUMIFS('Source 2026'!$T:$T,'Source 2026'!$B:$B,$A78,'Source 2026'!$A:$A,"Quantity (units)")</f>
        <v>31</v>
      </c>
      <c r="E78" s="8" t="n">
        <f aca="false">D78-C78</f>
        <v>31</v>
      </c>
      <c r="F78" s="9" t="str">
        <f aca="false">IF(AND(C78=0,D78=0),0,IF(C78=0,"New",(D78-C78)/C78))</f>
        <v>New</v>
      </c>
      <c r="G78" s="10" t="n">
        <f aca="false">SUMIFS('Source 2025'!$T:$T,'Source 2025'!$B:$B,$A78,'Source 2025'!$A:$A,"Amount (NIS)")</f>
        <v>0</v>
      </c>
      <c r="H78" s="10" t="n">
        <f aca="false">SUMIFS('Source 2026'!$T:$T,'Source 2026'!$B:$B,$A78,'Source 2026'!$A:$A,"Amount (NIS)")</f>
        <v>775</v>
      </c>
      <c r="I78" s="10" t="n">
        <f aca="false">H78-G78</f>
        <v>775</v>
      </c>
      <c r="J78" s="9" t="str">
        <f aca="false">IF(AND(G78=0,H78=0),0,IF(G78=0,"New",(H78-G78)/G78))</f>
        <v>New</v>
      </c>
    </row>
    <row r="79" customFormat="false" ht="15" hidden="false" customHeight="false" outlineLevel="0" collapsed="false">
      <c r="A79" s="7" t="s">
        <v>293</v>
      </c>
      <c r="B79" s="7" t="str">
        <f aca="false">IFERROR(INDEX('Source 2026'!$C:$C,MATCH($A79,'Source 2026'!$B:$B,0)),IFERROR(INDEX('Source 2025'!$C:$C,MATCH($A79,'Source 2025'!$B:$B,0)),""))</f>
        <v>344-אבן טבעית להסרת עור קשה</v>
      </c>
      <c r="C79" s="8" t="n">
        <f aca="false">SUMIFS('Source 2025'!$T:$T,'Source 2025'!$B:$B,$A79,'Source 2025'!$A:$A,"Quantity (units)")</f>
        <v>0</v>
      </c>
      <c r="D79" s="8" t="n">
        <f aca="false">SUMIFS('Source 2026'!$T:$T,'Source 2026'!$B:$B,$A79,'Source 2026'!$A:$A,"Quantity (units)")</f>
        <v>138</v>
      </c>
      <c r="E79" s="8" t="n">
        <f aca="false">D79-C79</f>
        <v>138</v>
      </c>
      <c r="F79" s="9" t="str">
        <f aca="false">IF(AND(C79=0,D79=0),0,IF(C79=0,"New",(D79-C79)/C79))</f>
        <v>New</v>
      </c>
      <c r="G79" s="10" t="n">
        <f aca="false">SUMIFS('Source 2025'!$T:$T,'Source 2025'!$B:$B,$A79,'Source 2025'!$A:$A,"Amount (NIS)")</f>
        <v>0</v>
      </c>
      <c r="H79" s="10" t="n">
        <f aca="false">SUMIFS('Source 2026'!$T:$T,'Source 2026'!$B:$B,$A79,'Source 2026'!$A:$A,"Amount (NIS)")</f>
        <v>771.2</v>
      </c>
      <c r="I79" s="10" t="n">
        <f aca="false">H79-G79</f>
        <v>771.2</v>
      </c>
      <c r="J79" s="9" t="str">
        <f aca="false">IF(AND(G79=0,H79=0),0,IF(G79=0,"New",(H79-G79)/G79))</f>
        <v>New</v>
      </c>
    </row>
    <row r="80" customFormat="false" ht="15" hidden="false" customHeight="false" outlineLevel="0" collapsed="false">
      <c r="A80" s="7" t="s">
        <v>177</v>
      </c>
      <c r="B80" s="7" t="str">
        <f aca="false">IFERROR(INDEX('Source 2026'!$C:$C,MATCH($A80,'Source 2026'!$B:$B,0)),IFERROR(INDEX('Source 2025'!$C:$C,MATCH($A80,'Source 2025'!$B:$B,0)),""))</f>
        <v>35-38 גרב.כסף לסכרתים לבן</v>
      </c>
      <c r="C80" s="8" t="n">
        <f aca="false">SUMIFS('Source 2025'!$T:$T,'Source 2025'!$B:$B,$A80,'Source 2025'!$A:$A,"Quantity (units)")</f>
        <v>0</v>
      </c>
      <c r="D80" s="8" t="n">
        <f aca="false">SUMIFS('Source 2026'!$T:$T,'Source 2026'!$B:$B,$A80,'Source 2026'!$A:$A,"Quantity (units)")</f>
        <v>41</v>
      </c>
      <c r="E80" s="8" t="n">
        <f aca="false">D80-C80</f>
        <v>41</v>
      </c>
      <c r="F80" s="9" t="str">
        <f aca="false">IF(AND(C80=0,D80=0),0,IF(C80=0,"New",(D80-C80)/C80))</f>
        <v>New</v>
      </c>
      <c r="G80" s="10" t="n">
        <f aca="false">SUMIFS('Source 2025'!$T:$T,'Source 2025'!$B:$B,$A80,'Source 2025'!$A:$A,"Amount (NIS)")</f>
        <v>0</v>
      </c>
      <c r="H80" s="10" t="n">
        <f aca="false">SUMIFS('Source 2026'!$T:$T,'Source 2026'!$B:$B,$A80,'Source 2026'!$A:$A,"Amount (NIS)")</f>
        <v>754.4</v>
      </c>
      <c r="I80" s="10" t="n">
        <f aca="false">H80-G80</f>
        <v>754.4</v>
      </c>
      <c r="J80" s="9" t="str">
        <f aca="false">IF(AND(G80=0,H80=0),0,IF(G80=0,"New",(H80-G80)/G80))</f>
        <v>New</v>
      </c>
    </row>
    <row r="81" customFormat="false" ht="15" hidden="false" customHeight="false" outlineLevel="0" collapsed="false">
      <c r="A81" s="7" t="s">
        <v>286</v>
      </c>
      <c r="B81" s="7" t="str">
        <f aca="false">IFERROR(INDEX('Source 2026'!$C:$C,MATCH($A81,'Source 2026'!$B:$B,0)),IFERROR(INDEX('Source 2025'!$C:$C,MATCH($A81,'Source 2025'!$B:$B,0)),""))</f>
        <v>רפידת נוחות-זוג</v>
      </c>
      <c r="C81" s="8" t="n">
        <f aca="false">SUMIFS('Source 2025'!$T:$T,'Source 2025'!$B:$B,$A81,'Source 2025'!$A:$A,"Quantity (units)")</f>
        <v>0</v>
      </c>
      <c r="D81" s="8" t="n">
        <f aca="false">SUMIFS('Source 2026'!$T:$T,'Source 2026'!$B:$B,$A81,'Source 2026'!$A:$A,"Quantity (units)")</f>
        <v>100</v>
      </c>
      <c r="E81" s="8" t="n">
        <f aca="false">D81-C81</f>
        <v>100</v>
      </c>
      <c r="F81" s="9" t="str">
        <f aca="false">IF(AND(C81=0,D81=0),0,IF(C81=0,"New",(D81-C81)/C81))</f>
        <v>New</v>
      </c>
      <c r="G81" s="10" t="n">
        <f aca="false">SUMIFS('Source 2025'!$T:$T,'Source 2025'!$B:$B,$A81,'Source 2025'!$A:$A,"Amount (NIS)")</f>
        <v>0</v>
      </c>
      <c r="H81" s="10" t="n">
        <f aca="false">SUMIFS('Source 2026'!$T:$T,'Source 2026'!$B:$B,$A81,'Source 2026'!$A:$A,"Amount (NIS)")</f>
        <v>752.4</v>
      </c>
      <c r="I81" s="10" t="n">
        <f aca="false">H81-G81</f>
        <v>752.4</v>
      </c>
      <c r="J81" s="9" t="str">
        <f aca="false">IF(AND(G81=0,H81=0),0,IF(G81=0,"New",(H81-G81)/G81))</f>
        <v>New</v>
      </c>
    </row>
    <row r="82" customFormat="false" ht="15" hidden="false" customHeight="false" outlineLevel="0" collapsed="false">
      <c r="A82" s="7" t="s">
        <v>68</v>
      </c>
      <c r="B82" s="7" t="str">
        <f aca="false">IFERROR(INDEX('Source 2026'!$C:$C,MATCH($A82,'Source 2026'!$B:$B,0)),IFERROR(INDEX('Source 2025'!$C:$C,MATCH($A82,'Source 2025'!$B:$B,0)),""))</f>
        <v>פיקה לברך</v>
      </c>
      <c r="C82" s="8" t="n">
        <f aca="false">SUMIFS('Source 2025'!$T:$T,'Source 2025'!$B:$B,$A82,'Source 2025'!$A:$A,"Quantity (units)")</f>
        <v>0</v>
      </c>
      <c r="D82" s="8" t="n">
        <f aca="false">SUMIFS('Source 2026'!$T:$T,'Source 2026'!$B:$B,$A82,'Source 2026'!$A:$A,"Quantity (units)")</f>
        <v>21</v>
      </c>
      <c r="E82" s="8" t="n">
        <f aca="false">D82-C82</f>
        <v>21</v>
      </c>
      <c r="F82" s="9" t="str">
        <f aca="false">IF(AND(C82=0,D82=0),0,IF(C82=0,"New",(D82-C82)/C82))</f>
        <v>New</v>
      </c>
      <c r="G82" s="10" t="n">
        <f aca="false">SUMIFS('Source 2025'!$T:$T,'Source 2025'!$B:$B,$A82,'Source 2025'!$A:$A,"Amount (NIS)")</f>
        <v>0</v>
      </c>
      <c r="H82" s="10" t="n">
        <f aca="false">SUMIFS('Source 2026'!$T:$T,'Source 2026'!$B:$B,$A82,'Source 2026'!$A:$A,"Amount (NIS)")</f>
        <v>749.1</v>
      </c>
      <c r="I82" s="10" t="n">
        <f aca="false">H82-G82</f>
        <v>749.1</v>
      </c>
      <c r="J82" s="9" t="str">
        <f aca="false">IF(AND(G82=0,H82=0),0,IF(G82=0,"New",(H82-G82)/G82))</f>
        <v>New</v>
      </c>
    </row>
    <row r="83" customFormat="false" ht="15" hidden="false" customHeight="false" outlineLevel="0" collapsed="false">
      <c r="A83" s="7" t="s">
        <v>143</v>
      </c>
      <c r="B83" s="7" t="str">
        <f aca="false">IFERROR(INDEX('Source 2026'!$C:$C,MATCH($A83,'Source 2026'!$B:$B,0)),IFERROR(INDEX('Source 2025'!$C:$C,MATCH($A83,'Source 2025'!$B:$B,0)),""))</f>
        <v>בננה לתמיכת אצבעות ז.כרית</v>
      </c>
      <c r="C83" s="8" t="n">
        <f aca="false">SUMIFS('Source 2025'!$T:$T,'Source 2025'!$B:$B,$A83,'Source 2025'!$A:$A,"Quantity (units)")</f>
        <v>0</v>
      </c>
      <c r="D83" s="8" t="n">
        <f aca="false">SUMIFS('Source 2026'!$T:$T,'Source 2026'!$B:$B,$A83,'Source 2026'!$A:$A,"Quantity (units)")</f>
        <v>41</v>
      </c>
      <c r="E83" s="8" t="n">
        <f aca="false">D83-C83</f>
        <v>41</v>
      </c>
      <c r="F83" s="9" t="str">
        <f aca="false">IF(AND(C83=0,D83=0),0,IF(C83=0,"New",(D83-C83)/C83))</f>
        <v>New</v>
      </c>
      <c r="G83" s="10" t="n">
        <f aca="false">SUMIFS('Source 2025'!$T:$T,'Source 2025'!$B:$B,$A83,'Source 2025'!$A:$A,"Amount (NIS)")</f>
        <v>0</v>
      </c>
      <c r="H83" s="10" t="n">
        <f aca="false">SUMIFS('Source 2026'!$T:$T,'Source 2026'!$B:$B,$A83,'Source 2026'!$A:$A,"Amount (NIS)")</f>
        <v>668</v>
      </c>
      <c r="I83" s="10" t="n">
        <f aca="false">H83-G83</f>
        <v>668</v>
      </c>
      <c r="J83" s="9" t="str">
        <f aca="false">IF(AND(G83=0,H83=0),0,IF(G83=0,"New",(H83-G83)/G83))</f>
        <v>New</v>
      </c>
    </row>
    <row r="84" customFormat="false" ht="15" hidden="false" customHeight="false" outlineLevel="0" collapsed="false">
      <c r="A84" s="7" t="s">
        <v>224</v>
      </c>
      <c r="B84" s="7" t="str">
        <f aca="false">IFERROR(INDEX('Source 2026'!$C:$C,MATCH($A84,'Source 2026'!$B:$B,0)),IFERROR(INDEX('Source 2025'!$C:$C,MATCH($A84,'Source 2025'!$B:$B,0)),""))</f>
        <v>סד לקרסול עם כריות אויר</v>
      </c>
      <c r="C84" s="8" t="n">
        <f aca="false">SUMIFS('Source 2025'!$T:$T,'Source 2025'!$B:$B,$A84,'Source 2025'!$A:$A,"Quantity (units)")</f>
        <v>0</v>
      </c>
      <c r="D84" s="8" t="n">
        <f aca="false">SUMIFS('Source 2026'!$T:$T,'Source 2026'!$B:$B,$A84,'Source 2026'!$A:$A,"Quantity (units)")</f>
        <v>7</v>
      </c>
      <c r="E84" s="8" t="n">
        <f aca="false">D84-C84</f>
        <v>7</v>
      </c>
      <c r="F84" s="9" t="str">
        <f aca="false">IF(AND(C84=0,D84=0),0,IF(C84=0,"New",(D84-C84)/C84))</f>
        <v>New</v>
      </c>
      <c r="G84" s="10" t="n">
        <f aca="false">SUMIFS('Source 2025'!$T:$T,'Source 2025'!$B:$B,$A84,'Source 2025'!$A:$A,"Amount (NIS)")</f>
        <v>0</v>
      </c>
      <c r="H84" s="10" t="n">
        <f aca="false">SUMIFS('Source 2026'!$T:$T,'Source 2026'!$B:$B,$A84,'Source 2026'!$A:$A,"Amount (NIS)")</f>
        <v>632.8</v>
      </c>
      <c r="I84" s="10" t="n">
        <f aca="false">H84-G84</f>
        <v>632.8</v>
      </c>
      <c r="J84" s="9" t="str">
        <f aca="false">IF(AND(G84=0,H84=0),0,IF(G84=0,"New",(H84-G84)/G84))</f>
        <v>New</v>
      </c>
    </row>
    <row r="85" customFormat="false" ht="15" hidden="false" customHeight="false" outlineLevel="0" collapsed="false">
      <c r="A85" s="7" t="s">
        <v>146</v>
      </c>
      <c r="B85" s="7" t="str">
        <f aca="false">IFERROR(INDEX('Source 2026'!$C:$C,MATCH($A85,'Source 2026'!$B:$B,0)),IFERROR(INDEX('Source 2025'!$C:$C,MATCH($A85,'Source 2025'!$B:$B,0)),""))</f>
        <v>מפריד הלוקס</v>
      </c>
      <c r="C85" s="8" t="n">
        <f aca="false">SUMIFS('Source 2025'!$T:$T,'Source 2025'!$B:$B,$A85,'Source 2025'!$A:$A,"Quantity (units)")</f>
        <v>0</v>
      </c>
      <c r="D85" s="8" t="n">
        <f aca="false">SUMIFS('Source 2026'!$T:$T,'Source 2026'!$B:$B,$A85,'Source 2026'!$A:$A,"Quantity (units)")</f>
        <v>16</v>
      </c>
      <c r="E85" s="8" t="n">
        <f aca="false">D85-C85</f>
        <v>16</v>
      </c>
      <c r="F85" s="9" t="str">
        <f aca="false">IF(AND(C85=0,D85=0),0,IF(C85=0,"New",(D85-C85)/C85))</f>
        <v>New</v>
      </c>
      <c r="G85" s="10" t="n">
        <f aca="false">SUMIFS('Source 2025'!$T:$T,'Source 2025'!$B:$B,$A85,'Source 2025'!$A:$A,"Amount (NIS)")</f>
        <v>0</v>
      </c>
      <c r="H85" s="10" t="n">
        <f aca="false">SUMIFS('Source 2026'!$T:$T,'Source 2026'!$B:$B,$A85,'Source 2026'!$A:$A,"Amount (NIS)")</f>
        <v>619.2</v>
      </c>
      <c r="I85" s="10" t="n">
        <f aca="false">H85-G85</f>
        <v>619.2</v>
      </c>
      <c r="J85" s="9" t="str">
        <f aca="false">IF(AND(G85=0,H85=0),0,IF(G85=0,"New",(H85-G85)/G85))</f>
        <v>New</v>
      </c>
    </row>
    <row r="86" customFormat="false" ht="15" hidden="false" customHeight="false" outlineLevel="0" collapsed="false">
      <c r="A86" s="7" t="s">
        <v>148</v>
      </c>
      <c r="B86" s="7" t="str">
        <f aca="false">IFERROR(INDEX('Source 2026'!$C:$C,MATCH($A86,'Source 2026'!$B:$B,0)),IFERROR(INDEX('Source 2025'!$C:$C,MATCH($A86,'Source 2025'!$B:$B,0)),""))</f>
        <v>0 כרית חום וקור</v>
      </c>
      <c r="C86" s="8" t="n">
        <f aca="false">SUMIFS('Source 2025'!$T:$T,'Source 2025'!$B:$B,$A86,'Source 2025'!$A:$A,"Quantity (units)")</f>
        <v>0</v>
      </c>
      <c r="D86" s="8" t="n">
        <f aca="false">SUMIFS('Source 2026'!$T:$T,'Source 2026'!$B:$B,$A86,'Source 2026'!$A:$A,"Quantity (units)")</f>
        <v>18</v>
      </c>
      <c r="E86" s="8" t="n">
        <f aca="false">D86-C86</f>
        <v>18</v>
      </c>
      <c r="F86" s="9" t="str">
        <f aca="false">IF(AND(C86=0,D86=0),0,IF(C86=0,"New",(D86-C86)/C86))</f>
        <v>New</v>
      </c>
      <c r="G86" s="10" t="n">
        <f aca="false">SUMIFS('Source 2025'!$T:$T,'Source 2025'!$B:$B,$A86,'Source 2025'!$A:$A,"Amount (NIS)")</f>
        <v>0</v>
      </c>
      <c r="H86" s="10" t="n">
        <f aca="false">SUMIFS('Source 2026'!$T:$T,'Source 2026'!$B:$B,$A86,'Source 2026'!$A:$A,"Amount (NIS)")</f>
        <v>583.7</v>
      </c>
      <c r="I86" s="10" t="n">
        <f aca="false">H86-G86</f>
        <v>583.7</v>
      </c>
      <c r="J86" s="9" t="str">
        <f aca="false">IF(AND(G86=0,H86=0),0,IF(G86=0,"New",(H86-G86)/G86))</f>
        <v>New</v>
      </c>
    </row>
    <row r="87" customFormat="false" ht="15" hidden="false" customHeight="false" outlineLevel="0" collapsed="false">
      <c r="A87" s="7" t="s">
        <v>119</v>
      </c>
      <c r="B87" s="7" t="str">
        <f aca="false">IFERROR(INDEX('Source 2026'!$C:$C,MATCH($A87,'Source 2026'!$B:$B,0)),IFERROR(INDEX('Source 2025'!$C:$C,MATCH($A87,'Source 2025'!$B:$B,0)),""))</f>
        <v>גרב.כסף לסכרתים שחור35-38</v>
      </c>
      <c r="C87" s="8" t="n">
        <f aca="false">SUMIFS('Source 2025'!$T:$T,'Source 2025'!$B:$B,$A87,'Source 2025'!$A:$A,"Quantity (units)")</f>
        <v>0</v>
      </c>
      <c r="D87" s="8" t="n">
        <f aca="false">SUMIFS('Source 2026'!$T:$T,'Source 2026'!$B:$B,$A87,'Source 2026'!$A:$A,"Quantity (units)")</f>
        <v>26</v>
      </c>
      <c r="E87" s="8" t="n">
        <f aca="false">D87-C87</f>
        <v>26</v>
      </c>
      <c r="F87" s="9" t="str">
        <f aca="false">IF(AND(C87=0,D87=0),0,IF(C87=0,"New",(D87-C87)/C87))</f>
        <v>New</v>
      </c>
      <c r="G87" s="10" t="n">
        <f aca="false">SUMIFS('Source 2025'!$T:$T,'Source 2025'!$B:$B,$A87,'Source 2025'!$A:$A,"Amount (NIS)")</f>
        <v>0</v>
      </c>
      <c r="H87" s="10" t="n">
        <f aca="false">SUMIFS('Source 2026'!$T:$T,'Source 2026'!$B:$B,$A87,'Source 2026'!$A:$A,"Amount (NIS)")</f>
        <v>578.2</v>
      </c>
      <c r="I87" s="10" t="n">
        <f aca="false">H87-G87</f>
        <v>578.2</v>
      </c>
      <c r="J87" s="9" t="str">
        <f aca="false">IF(AND(G87=0,H87=0),0,IF(G87=0,"New",(H87-G87)/G87))</f>
        <v>New</v>
      </c>
    </row>
    <row r="88" customFormat="false" ht="15" hidden="false" customHeight="false" outlineLevel="0" collapsed="false">
      <c r="A88" s="7" t="s">
        <v>126</v>
      </c>
      <c r="B88" s="7" t="str">
        <f aca="false">IFERROR(INDEX('Source 2026'!$C:$C,MATCH($A88,'Source 2026'!$B:$B,0)),IFERROR(INDEX('Source 2025'!$C:$C,MATCH($A88,'Source 2025'!$B:$B,0)),""))</f>
        <v>S ימין CTS כפפות</v>
      </c>
      <c r="C88" s="8" t="n">
        <f aca="false">SUMIFS('Source 2025'!$T:$T,'Source 2025'!$B:$B,$A88,'Source 2025'!$A:$A,"Quantity (units)")</f>
        <v>0</v>
      </c>
      <c r="D88" s="8" t="n">
        <f aca="false">SUMIFS('Source 2026'!$T:$T,'Source 2026'!$B:$B,$A88,'Source 2026'!$A:$A,"Quantity (units)")</f>
        <v>8</v>
      </c>
      <c r="E88" s="8" t="n">
        <f aca="false">D88-C88</f>
        <v>8</v>
      </c>
      <c r="F88" s="9" t="str">
        <f aca="false">IF(AND(C88=0,D88=0),0,IF(C88=0,"New",(D88-C88)/C88))</f>
        <v>New</v>
      </c>
      <c r="G88" s="10" t="n">
        <f aca="false">SUMIFS('Source 2025'!$T:$T,'Source 2025'!$B:$B,$A88,'Source 2025'!$A:$A,"Amount (NIS)")</f>
        <v>0</v>
      </c>
      <c r="H88" s="10" t="n">
        <f aca="false">SUMIFS('Source 2026'!$T:$T,'Source 2026'!$B:$B,$A88,'Source 2026'!$A:$A,"Amount (NIS)")</f>
        <v>568</v>
      </c>
      <c r="I88" s="10" t="n">
        <f aca="false">H88-G88</f>
        <v>568</v>
      </c>
      <c r="J88" s="9" t="str">
        <f aca="false">IF(AND(G88=0,H88=0),0,IF(G88=0,"New",(H88-G88)/G88))</f>
        <v>New</v>
      </c>
    </row>
    <row r="89" customFormat="false" ht="15" hidden="false" customHeight="false" outlineLevel="0" collapsed="false">
      <c r="A89" s="7" t="s">
        <v>142</v>
      </c>
      <c r="B89" s="7" t="str">
        <f aca="false">IFERROR(INDEX('Source 2026'!$C:$C,MATCH($A89,'Source 2026'!$B:$B,0)),IFERROR(INDEX('Source 2025'!$C:$C,MATCH($A89,'Source 2025'!$B:$B,0)),""))</f>
        <v>9 מ""ס להתאמהX5 מדבקה גדולה</v>
      </c>
      <c r="C89" s="8" t="n">
        <f aca="false">SUMIFS('Source 2025'!$T:$T,'Source 2025'!$B:$B,$A89,'Source 2025'!$A:$A,"Quantity (units)")</f>
        <v>0</v>
      </c>
      <c r="D89" s="8" t="n">
        <f aca="false">SUMIFS('Source 2026'!$T:$T,'Source 2026'!$B:$B,$A89,'Source 2026'!$A:$A,"Quantity (units)")</f>
        <v>43</v>
      </c>
      <c r="E89" s="8" t="n">
        <f aca="false">D89-C89</f>
        <v>43</v>
      </c>
      <c r="F89" s="9" t="str">
        <f aca="false">IF(AND(C89=0,D89=0),0,IF(C89=0,"New",(D89-C89)/C89))</f>
        <v>New</v>
      </c>
      <c r="G89" s="10" t="n">
        <f aca="false">SUMIFS('Source 2025'!$T:$T,'Source 2025'!$B:$B,$A89,'Source 2025'!$A:$A,"Amount (NIS)")</f>
        <v>0</v>
      </c>
      <c r="H89" s="10" t="n">
        <f aca="false">SUMIFS('Source 2026'!$T:$T,'Source 2026'!$B:$B,$A89,'Source 2026'!$A:$A,"Amount (NIS)")</f>
        <v>556.9</v>
      </c>
      <c r="I89" s="10" t="n">
        <f aca="false">H89-G89</f>
        <v>556.9</v>
      </c>
      <c r="J89" s="9" t="str">
        <f aca="false">IF(AND(G89=0,H89=0),0,IF(G89=0,"New",(H89-G89)/G89))</f>
        <v>New</v>
      </c>
    </row>
    <row r="90" customFormat="false" ht="15" hidden="false" customHeight="false" outlineLevel="0" collapsed="false">
      <c r="A90" s="7" t="s">
        <v>155</v>
      </c>
      <c r="B90" s="7" t="str">
        <f aca="false">IFERROR(INDEX('Source 2026'!$C:$C,MATCH($A90,'Source 2026'!$B:$B,0)),IFERROR(INDEX('Source 2025'!$C:$C,MATCH($A90,'Source 2025'!$B:$B,0)),""))</f>
        <v>0 חגורה למנותחי בית חזה</v>
      </c>
      <c r="C90" s="8" t="n">
        <f aca="false">SUMIFS('Source 2025'!$T:$T,'Source 2025'!$B:$B,$A90,'Source 2025'!$A:$A,"Quantity (units)")</f>
        <v>0</v>
      </c>
      <c r="D90" s="8" t="n">
        <f aca="false">SUMIFS('Source 2026'!$T:$T,'Source 2026'!$B:$B,$A90,'Source 2026'!$A:$A,"Quantity (units)")</f>
        <v>3</v>
      </c>
      <c r="E90" s="8" t="n">
        <f aca="false">D90-C90</f>
        <v>3</v>
      </c>
      <c r="F90" s="9" t="str">
        <f aca="false">IF(AND(C90=0,D90=0),0,IF(C90=0,"New",(D90-C90)/C90))</f>
        <v>New</v>
      </c>
      <c r="G90" s="10" t="n">
        <f aca="false">SUMIFS('Source 2025'!$T:$T,'Source 2025'!$B:$B,$A90,'Source 2025'!$A:$A,"Amount (NIS)")</f>
        <v>0</v>
      </c>
      <c r="H90" s="10" t="n">
        <f aca="false">SUMIFS('Source 2026'!$T:$T,'Source 2026'!$B:$B,$A90,'Source 2026'!$A:$A,"Amount (NIS)")</f>
        <v>480</v>
      </c>
      <c r="I90" s="10" t="n">
        <f aca="false">H90-G90</f>
        <v>480</v>
      </c>
      <c r="J90" s="9" t="str">
        <f aca="false">IF(AND(G90=0,H90=0),0,IF(G90=0,"New",(H90-G90)/G90))</f>
        <v>New</v>
      </c>
    </row>
    <row r="91" customFormat="false" ht="15" hidden="false" customHeight="false" outlineLevel="0" collapsed="false">
      <c r="A91" s="7" t="s">
        <v>109</v>
      </c>
      <c r="B91" s="7" t="str">
        <f aca="false">IFERROR(INDEX('Source 2026'!$C:$C,MATCH($A91,'Source 2026'!$B:$B,0)),IFERROR(INDEX('Source 2025'!$C:$C,MATCH($A91,'Source 2025'!$B:$B,0)),""))</f>
        <v>גרב.כסף לסכרתים שחור35-38</v>
      </c>
      <c r="C91" s="8" t="n">
        <f aca="false">SUMIFS('Source 2025'!$T:$T,'Source 2025'!$B:$B,$A91,'Source 2025'!$A:$A,"Quantity (units)")</f>
        <v>0</v>
      </c>
      <c r="D91" s="8" t="n">
        <f aca="false">SUMIFS('Source 2026'!$T:$T,'Source 2026'!$B:$B,$A91,'Source 2026'!$A:$A,"Quantity (units)")</f>
        <v>25</v>
      </c>
      <c r="E91" s="8" t="n">
        <f aca="false">D91-C91</f>
        <v>25</v>
      </c>
      <c r="F91" s="9" t="str">
        <f aca="false">IF(AND(C91=0,D91=0),0,IF(C91=0,"New",(D91-C91)/C91))</f>
        <v>New</v>
      </c>
      <c r="G91" s="10" t="n">
        <f aca="false">SUMIFS('Source 2025'!$T:$T,'Source 2025'!$B:$B,$A91,'Source 2025'!$A:$A,"Amount (NIS)")</f>
        <v>0</v>
      </c>
      <c r="H91" s="10" t="n">
        <f aca="false">SUMIFS('Source 2026'!$T:$T,'Source 2026'!$B:$B,$A91,'Source 2026'!$A:$A,"Amount (NIS)")</f>
        <v>460</v>
      </c>
      <c r="I91" s="10" t="n">
        <f aca="false">H91-G91</f>
        <v>460</v>
      </c>
      <c r="J91" s="9" t="str">
        <f aca="false">IF(AND(G91=0,H91=0),0,IF(G91=0,"New",(H91-G91)/G91))</f>
        <v>New</v>
      </c>
    </row>
    <row r="92" customFormat="false" ht="15" hidden="false" customHeight="false" outlineLevel="0" collapsed="false">
      <c r="A92" s="7" t="s">
        <v>144</v>
      </c>
      <c r="B92" s="7" t="str">
        <f aca="false">IFERROR(INDEX('Source 2026'!$C:$C,MATCH($A92,'Source 2026'!$B:$B,0)),IFERROR(INDEX('Source 2025'!$C:$C,MATCH($A92,'Source 2025'!$B:$B,0)),""))</f>
        <v>תרסיס דאודורנט לכף הרגל</v>
      </c>
      <c r="C92" s="8" t="n">
        <f aca="false">SUMIFS('Source 2025'!$T:$T,'Source 2025'!$B:$B,$A92,'Source 2025'!$A:$A,"Quantity (units)")</f>
        <v>0</v>
      </c>
      <c r="D92" s="8" t="n">
        <f aca="false">SUMIFS('Source 2026'!$T:$T,'Source 2026'!$B:$B,$A92,'Source 2026'!$A:$A,"Quantity (units)")</f>
        <v>29</v>
      </c>
      <c r="E92" s="8" t="n">
        <f aca="false">D92-C92</f>
        <v>29</v>
      </c>
      <c r="F92" s="9" t="str">
        <f aca="false">IF(AND(C92=0,D92=0),0,IF(C92=0,"New",(D92-C92)/C92))</f>
        <v>New</v>
      </c>
      <c r="G92" s="10" t="n">
        <f aca="false">SUMIFS('Source 2025'!$T:$T,'Source 2025'!$B:$B,$A92,'Source 2025'!$A:$A,"Amount (NIS)")</f>
        <v>0</v>
      </c>
      <c r="H92" s="10" t="n">
        <f aca="false">SUMIFS('Source 2026'!$T:$T,'Source 2026'!$B:$B,$A92,'Source 2026'!$A:$A,"Amount (NIS)")</f>
        <v>429.2</v>
      </c>
      <c r="I92" s="10" t="n">
        <f aca="false">H92-G92</f>
        <v>429.2</v>
      </c>
      <c r="J92" s="9" t="str">
        <f aca="false">IF(AND(G92=0,H92=0),0,IF(G92=0,"New",(H92-G92)/G92))</f>
        <v>New</v>
      </c>
    </row>
    <row r="93" customFormat="false" ht="15" hidden="false" customHeight="false" outlineLevel="0" collapsed="false">
      <c r="A93" s="7" t="s">
        <v>283</v>
      </c>
      <c r="B93" s="7" t="str">
        <f aca="false">IFERROR(INDEX('Source 2026'!$C:$C,MATCH($A93,'Source 2026'!$B:$B,0)),IFERROR(INDEX('Source 2025'!$C:$C,MATCH($A93,'Source 2025'!$B:$B,0)),""))</f>
        <v>לחץ א.הבוניון</v>
      </c>
      <c r="C93" s="8" t="n">
        <f aca="false">SUMIFS('Source 2025'!$T:$T,'Source 2025'!$B:$B,$A93,'Source 2025'!$A:$A,"Quantity (units)")</f>
        <v>0</v>
      </c>
      <c r="D93" s="8" t="n">
        <f aca="false">SUMIFS('Source 2026'!$T:$T,'Source 2026'!$B:$B,$A93,'Source 2026'!$A:$A,"Quantity (units)")</f>
        <v>31</v>
      </c>
      <c r="E93" s="8" t="n">
        <f aca="false">D93-C93</f>
        <v>31</v>
      </c>
      <c r="F93" s="9" t="str">
        <f aca="false">IF(AND(C93=0,D93=0),0,IF(C93=0,"New",(D93-C93)/C93))</f>
        <v>New</v>
      </c>
      <c r="G93" s="10" t="n">
        <f aca="false">SUMIFS('Source 2025'!$T:$T,'Source 2025'!$B:$B,$A93,'Source 2025'!$A:$A,"Amount (NIS)")</f>
        <v>0</v>
      </c>
      <c r="H93" s="10" t="n">
        <f aca="false">SUMIFS('Source 2026'!$T:$T,'Source 2026'!$B:$B,$A93,'Source 2026'!$A:$A,"Amount (NIS)")</f>
        <v>404.8</v>
      </c>
      <c r="I93" s="10" t="n">
        <f aca="false">H93-G93</f>
        <v>404.8</v>
      </c>
      <c r="J93" s="9" t="str">
        <f aca="false">IF(AND(G93=0,H93=0),0,IF(G93=0,"New",(H93-G93)/G93))</f>
        <v>New</v>
      </c>
    </row>
    <row r="94" customFormat="false" ht="15" hidden="false" customHeight="false" outlineLevel="0" collapsed="false">
      <c r="A94" s="7" t="s">
        <v>287</v>
      </c>
      <c r="B94" s="7" t="str">
        <f aca="false">IFERROR(INDEX('Source 2026'!$C:$C,MATCH($A94,'Source 2026'!$B:$B,0)),IFERROR(INDEX('Source 2025'!$C:$C,MATCH($A94,'Source 2025'!$B:$B,0)),""))</f>
        <v>רפידת בולמת זעזועים -זוג</v>
      </c>
      <c r="C94" s="8" t="n">
        <f aca="false">SUMIFS('Source 2025'!$T:$T,'Source 2025'!$B:$B,$A94,'Source 2025'!$A:$A,"Quantity (units)")</f>
        <v>0</v>
      </c>
      <c r="D94" s="8" t="n">
        <f aca="false">SUMIFS('Source 2026'!$T:$T,'Source 2026'!$B:$B,$A94,'Source 2026'!$A:$A,"Quantity (units)")</f>
        <v>44</v>
      </c>
      <c r="E94" s="8" t="n">
        <f aca="false">D94-C94</f>
        <v>44</v>
      </c>
      <c r="F94" s="9" t="str">
        <f aca="false">IF(AND(C94=0,D94=0),0,IF(C94=0,"New",(D94-C94)/C94))</f>
        <v>New</v>
      </c>
      <c r="G94" s="10" t="n">
        <f aca="false">SUMIFS('Source 2025'!$T:$T,'Source 2025'!$B:$B,$A94,'Source 2025'!$A:$A,"Amount (NIS)")</f>
        <v>0</v>
      </c>
      <c r="H94" s="10" t="n">
        <f aca="false">SUMIFS('Source 2026'!$T:$T,'Source 2026'!$B:$B,$A94,'Source 2026'!$A:$A,"Amount (NIS)")</f>
        <v>400.2</v>
      </c>
      <c r="I94" s="10" t="n">
        <f aca="false">H94-G94</f>
        <v>400.2</v>
      </c>
      <c r="J94" s="9" t="str">
        <f aca="false">IF(AND(G94=0,H94=0),0,IF(G94=0,"New",(H94-G94)/G94))</f>
        <v>New</v>
      </c>
    </row>
    <row r="95" customFormat="false" ht="15" hidden="false" customHeight="false" outlineLevel="0" collapsed="false">
      <c r="A95" s="7" t="s">
        <v>125</v>
      </c>
      <c r="B95" s="7" t="str">
        <f aca="false">IFERROR(INDEX('Source 2026'!$C:$C,MATCH($A95,'Source 2026'!$B:$B,0)),IFERROR(INDEX('Source 2025'!$C:$C,MATCH($A95,'Source 2025'!$B:$B,0)),""))</f>
        <v>S מגן ירך</v>
      </c>
      <c r="C95" s="8" t="n">
        <f aca="false">SUMIFS('Source 2025'!$T:$T,'Source 2025'!$B:$B,$A95,'Source 2025'!$A:$A,"Quantity (units)")</f>
        <v>0</v>
      </c>
      <c r="D95" s="8" t="n">
        <f aca="false">SUMIFS('Source 2026'!$T:$T,'Source 2026'!$B:$B,$A95,'Source 2026'!$A:$A,"Quantity (units)")</f>
        <v>21</v>
      </c>
      <c r="E95" s="8" t="n">
        <f aca="false">D95-C95</f>
        <v>21</v>
      </c>
      <c r="F95" s="9" t="str">
        <f aca="false">IF(AND(C95=0,D95=0),0,IF(C95=0,"New",(D95-C95)/C95))</f>
        <v>New</v>
      </c>
      <c r="G95" s="10" t="n">
        <f aca="false">SUMIFS('Source 2025'!$T:$T,'Source 2025'!$B:$B,$A95,'Source 2025'!$A:$A,"Amount (NIS)")</f>
        <v>0</v>
      </c>
      <c r="H95" s="10" t="n">
        <f aca="false">SUMIFS('Source 2026'!$T:$T,'Source 2026'!$B:$B,$A95,'Source 2026'!$A:$A,"Amount (NIS)")</f>
        <v>388.6</v>
      </c>
      <c r="I95" s="10" t="n">
        <f aca="false">H95-G95</f>
        <v>388.6</v>
      </c>
      <c r="J95" s="9" t="str">
        <f aca="false">IF(AND(G95=0,H95=0),0,IF(G95=0,"New",(H95-G95)/G95))</f>
        <v>New</v>
      </c>
    </row>
    <row r="96" customFormat="false" ht="15" hidden="false" customHeight="false" outlineLevel="0" collapsed="false">
      <c r="A96" s="7" t="s">
        <v>97</v>
      </c>
      <c r="B96" s="7" t="str">
        <f aca="false">IFERROR(INDEX('Source 2026'!$C:$C,MATCH($A96,'Source 2026'!$B:$B,0)),IFERROR(INDEX('Source 2025'!$C:$C,MATCH($A96,'Source 2025'!$B:$B,0)),""))</f>
        <v>חגורת גב אפורה</v>
      </c>
      <c r="C96" s="8" t="n">
        <f aca="false">SUMIFS('Source 2025'!$T:$T,'Source 2025'!$B:$B,$A96,'Source 2025'!$A:$A,"Quantity (units)")</f>
        <v>0</v>
      </c>
      <c r="D96" s="8" t="n">
        <f aca="false">SUMIFS('Source 2026'!$T:$T,'Source 2026'!$B:$B,$A96,'Source 2026'!$A:$A,"Quantity (units)")</f>
        <v>5</v>
      </c>
      <c r="E96" s="8" t="n">
        <f aca="false">D96-C96</f>
        <v>5</v>
      </c>
      <c r="F96" s="9" t="str">
        <f aca="false">IF(AND(C96=0,D96=0),0,IF(C96=0,"New",(D96-C96)/C96))</f>
        <v>New</v>
      </c>
      <c r="G96" s="10" t="n">
        <f aca="false">SUMIFS('Source 2025'!$T:$T,'Source 2025'!$B:$B,$A96,'Source 2025'!$A:$A,"Amount (NIS)")</f>
        <v>0</v>
      </c>
      <c r="H96" s="10" t="n">
        <f aca="false">SUMIFS('Source 2026'!$T:$T,'Source 2026'!$B:$B,$A96,'Source 2026'!$A:$A,"Amount (NIS)")</f>
        <v>325</v>
      </c>
      <c r="I96" s="10" t="n">
        <f aca="false">H96-G96</f>
        <v>325</v>
      </c>
      <c r="J96" s="9" t="str">
        <f aca="false">IF(AND(G96=0,H96=0),0,IF(G96=0,"New",(H96-G96)/G96))</f>
        <v>New</v>
      </c>
    </row>
    <row r="97" customFormat="false" ht="15" hidden="false" customHeight="false" outlineLevel="0" collapsed="false">
      <c r="A97" s="7" t="s">
        <v>193</v>
      </c>
      <c r="B97" s="7" t="str">
        <f aca="false">IFERROR(INDEX('Source 2026'!$C:$C,MATCH($A97,'Source 2026'!$B:$B,0)),IFERROR(INDEX('Source 2025'!$C:$C,MATCH($A97,'Source 2025'!$B:$B,0)),""))</f>
        <v>Sמ.ברך מוצלב+ספירלות בצדדים</v>
      </c>
      <c r="C97" s="8" t="n">
        <f aca="false">SUMIFS('Source 2025'!$T:$T,'Source 2025'!$B:$B,$A97,'Source 2025'!$A:$A,"Quantity (units)")</f>
        <v>0</v>
      </c>
      <c r="D97" s="8" t="n">
        <f aca="false">SUMIFS('Source 2026'!$T:$T,'Source 2026'!$B:$B,$A97,'Source 2026'!$A:$A,"Quantity (units)")</f>
        <v>4</v>
      </c>
      <c r="E97" s="8" t="n">
        <f aca="false">D97-C97</f>
        <v>4</v>
      </c>
      <c r="F97" s="9" t="str">
        <f aca="false">IF(AND(C97=0,D97=0),0,IF(C97=0,"New",(D97-C97)/C97))</f>
        <v>New</v>
      </c>
      <c r="G97" s="10" t="n">
        <f aca="false">SUMIFS('Source 2025'!$T:$T,'Source 2025'!$B:$B,$A97,'Source 2025'!$A:$A,"Amount (NIS)")</f>
        <v>0</v>
      </c>
      <c r="H97" s="10" t="n">
        <f aca="false">SUMIFS('Source 2026'!$T:$T,'Source 2026'!$B:$B,$A97,'Source 2026'!$A:$A,"Amount (NIS)")</f>
        <v>309</v>
      </c>
      <c r="I97" s="10" t="n">
        <f aca="false">H97-G97</f>
        <v>309</v>
      </c>
      <c r="J97" s="9" t="str">
        <f aca="false">IF(AND(G97=0,H97=0),0,IF(G97=0,"New",(H97-G97)/G97))</f>
        <v>New</v>
      </c>
    </row>
    <row r="98" customFormat="false" ht="15" hidden="false" customHeight="false" outlineLevel="0" collapsed="false">
      <c r="A98" s="7" t="s">
        <v>181</v>
      </c>
      <c r="B98" s="7" t="str">
        <f aca="false">IFERROR(INDEX('Source 2026'!$C:$C,MATCH($A98,'Source 2026'!$B:$B,0)),IFERROR(INDEX('Source 2025'!$C:$C,MATCH($A98,'Source 2025'!$B:$B,0)),""))</f>
        <v>מדרס מטטרזלי לנעלי עקב</v>
      </c>
      <c r="C98" s="8" t="n">
        <f aca="false">SUMIFS('Source 2025'!$T:$T,'Source 2025'!$B:$B,$A98,'Source 2025'!$A:$A,"Quantity (units)")</f>
        <v>0</v>
      </c>
      <c r="D98" s="8" t="n">
        <f aca="false">SUMIFS('Source 2026'!$T:$T,'Source 2026'!$B:$B,$A98,'Source 2026'!$A:$A,"Quantity (units)")</f>
        <v>17</v>
      </c>
      <c r="E98" s="8" t="n">
        <f aca="false">D98-C98</f>
        <v>17</v>
      </c>
      <c r="F98" s="9" t="str">
        <f aca="false">IF(AND(C98=0,D98=0),0,IF(C98=0,"New",(D98-C98)/C98))</f>
        <v>New</v>
      </c>
      <c r="G98" s="10" t="n">
        <f aca="false">SUMIFS('Source 2025'!$T:$T,'Source 2025'!$B:$B,$A98,'Source 2025'!$A:$A,"Amount (NIS)")</f>
        <v>0</v>
      </c>
      <c r="H98" s="10" t="n">
        <f aca="false">SUMIFS('Source 2026'!$T:$T,'Source 2026'!$B:$B,$A98,'Source 2026'!$A:$A,"Amount (NIS)")</f>
        <v>275.4</v>
      </c>
      <c r="I98" s="10" t="n">
        <f aca="false">H98-G98</f>
        <v>275.4</v>
      </c>
      <c r="J98" s="9" t="str">
        <f aca="false">IF(AND(G98=0,H98=0),0,IF(G98=0,"New",(H98-G98)/G98))</f>
        <v>New</v>
      </c>
    </row>
    <row r="99" customFormat="false" ht="15" hidden="false" customHeight="false" outlineLevel="0" collapsed="false">
      <c r="A99" s="7" t="s">
        <v>112</v>
      </c>
      <c r="B99" s="7" t="str">
        <f aca="false">IFERROR(INDEX('Source 2026'!$C:$C,MATCH($A99,'Source 2026'!$B:$B,0)),IFERROR(INDEX('Source 2025'!$C:$C,MATCH($A99,'Source 2025'!$B:$B,0)),""))</f>
        <v>אמבט לכף הרגל</v>
      </c>
      <c r="C99" s="8" t="n">
        <f aca="false">SUMIFS('Source 2025'!$T:$T,'Source 2025'!$B:$B,$A99,'Source 2025'!$A:$A,"Quantity (units)")</f>
        <v>0</v>
      </c>
      <c r="D99" s="8" t="n">
        <f aca="false">SUMIFS('Source 2026'!$T:$T,'Source 2026'!$B:$B,$A99,'Source 2026'!$A:$A,"Quantity (units)")</f>
        <v>33</v>
      </c>
      <c r="E99" s="8" t="n">
        <f aca="false">D99-C99</f>
        <v>33</v>
      </c>
      <c r="F99" s="9" t="str">
        <f aca="false">IF(AND(C99=0,D99=0),0,IF(C99=0,"New",(D99-C99)/C99))</f>
        <v>New</v>
      </c>
      <c r="G99" s="10" t="n">
        <f aca="false">SUMIFS('Source 2025'!$T:$T,'Source 2025'!$B:$B,$A99,'Source 2025'!$A:$A,"Amount (NIS)")</f>
        <v>0</v>
      </c>
      <c r="H99" s="10" t="n">
        <f aca="false">SUMIFS('Source 2026'!$T:$T,'Source 2026'!$B:$B,$A99,'Source 2026'!$A:$A,"Amount (NIS)")</f>
        <v>270.6</v>
      </c>
      <c r="I99" s="10" t="n">
        <f aca="false">H99-G99</f>
        <v>270.6</v>
      </c>
      <c r="J99" s="9" t="str">
        <f aca="false">IF(AND(G99=0,H99=0),0,IF(G99=0,"New",(H99-G99)/G99))</f>
        <v>New</v>
      </c>
    </row>
    <row r="100" customFormat="false" ht="15" hidden="false" customHeight="false" outlineLevel="0" collapsed="false">
      <c r="A100" s="7" t="s">
        <v>179</v>
      </c>
      <c r="B100" s="7" t="str">
        <f aca="false">IFERROR(INDEX('Source 2026'!$C:$C,MATCH($A100,'Source 2026'!$B:$B,0)),IFERROR(INDEX('Source 2025'!$C:$C,MATCH($A100,'Source 2025'!$B:$B,0)),""))</f>
        <v>חגורת גב +סגירה כפולה</v>
      </c>
      <c r="C100" s="8" t="n">
        <f aca="false">SUMIFS('Source 2025'!$T:$T,'Source 2025'!$B:$B,$A100,'Source 2025'!$A:$A,"Quantity (units)")</f>
        <v>0</v>
      </c>
      <c r="D100" s="8" t="n">
        <f aca="false">SUMIFS('Source 2026'!$T:$T,'Source 2026'!$B:$B,$A100,'Source 2026'!$A:$A,"Quantity (units)")</f>
        <v>4</v>
      </c>
      <c r="E100" s="8" t="n">
        <f aca="false">D100-C100</f>
        <v>4</v>
      </c>
      <c r="F100" s="9" t="str">
        <f aca="false">IF(AND(C100=0,D100=0),0,IF(C100=0,"New",(D100-C100)/C100))</f>
        <v>New</v>
      </c>
      <c r="G100" s="10" t="n">
        <f aca="false">SUMIFS('Source 2025'!$T:$T,'Source 2025'!$B:$B,$A100,'Source 2025'!$A:$A,"Amount (NIS)")</f>
        <v>0</v>
      </c>
      <c r="H100" s="10" t="n">
        <f aca="false">SUMIFS('Source 2026'!$T:$T,'Source 2026'!$B:$B,$A100,'Source 2026'!$A:$A,"Amount (NIS)")</f>
        <v>260</v>
      </c>
      <c r="I100" s="10" t="n">
        <f aca="false">H100-G100</f>
        <v>260</v>
      </c>
      <c r="J100" s="9" t="str">
        <f aca="false">IF(AND(G100=0,H100=0),0,IF(G100=0,"New",(H100-G100)/G100))</f>
        <v>New</v>
      </c>
    </row>
    <row r="101" customFormat="false" ht="15" hidden="false" customHeight="false" outlineLevel="0" collapsed="false">
      <c r="A101" s="7" t="s">
        <v>300</v>
      </c>
      <c r="B101" s="7" t="str">
        <f aca="false">IFERROR(INDEX('Source 2026'!$C:$C,MATCH($A101,'Source 2026'!$B:$B,0)),IFERROR(INDEX('Source 2025'!$C:$C,MATCH($A101,'Source 2025'!$B:$B,0)),""))</f>
        <v>סיליק.לכרית כף הרגל373</v>
      </c>
      <c r="C101" s="8" t="n">
        <f aca="false">SUMIFS('Source 2025'!$T:$T,'Source 2025'!$B:$B,$A101,'Source 2025'!$A:$A,"Quantity (units)")</f>
        <v>0</v>
      </c>
      <c r="D101" s="8" t="n">
        <f aca="false">SUMIFS('Source 2026'!$T:$T,'Source 2026'!$B:$B,$A101,'Source 2026'!$A:$A,"Quantity (units)")</f>
        <v>15</v>
      </c>
      <c r="E101" s="8" t="n">
        <f aca="false">D101-C101</f>
        <v>15</v>
      </c>
      <c r="F101" s="9" t="str">
        <f aca="false">IF(AND(C101=0,D101=0),0,IF(C101=0,"New",(D101-C101)/C101))</f>
        <v>New</v>
      </c>
      <c r="G101" s="10" t="n">
        <f aca="false">SUMIFS('Source 2025'!$T:$T,'Source 2025'!$B:$B,$A101,'Source 2025'!$A:$A,"Amount (NIS)")</f>
        <v>0</v>
      </c>
      <c r="H101" s="10" t="n">
        <f aca="false">SUMIFS('Source 2026'!$T:$T,'Source 2026'!$B:$B,$A101,'Source 2026'!$A:$A,"Amount (NIS)")</f>
        <v>205.9</v>
      </c>
      <c r="I101" s="10" t="n">
        <f aca="false">H101-G101</f>
        <v>205.9</v>
      </c>
      <c r="J101" s="9" t="str">
        <f aca="false">IF(AND(G101=0,H101=0),0,IF(G101=0,"New",(H101-G101)/G101))</f>
        <v>New</v>
      </c>
    </row>
    <row r="102" customFormat="false" ht="15" hidden="false" customHeight="false" outlineLevel="0" collapsed="false">
      <c r="A102" s="7" t="s">
        <v>247</v>
      </c>
      <c r="B102" s="7" t="str">
        <f aca="false">IFERROR(INDEX('Source 2026'!$C:$C,MATCH($A102,'Source 2026'!$B:$B,0)),IFERROR(INDEX('Source 2025'!$C:$C,MATCH($A102,'Source 2025'!$B:$B,0)),""))</f>
        <v>ריפוד סיליק.לעקב תחתון</v>
      </c>
      <c r="C102" s="8" t="n">
        <f aca="false">SUMIFS('Source 2025'!$T:$T,'Source 2025'!$B:$B,$A102,'Source 2025'!$A:$A,"Quantity (units)")</f>
        <v>0</v>
      </c>
      <c r="D102" s="8" t="n">
        <f aca="false">SUMIFS('Source 2026'!$T:$T,'Source 2026'!$B:$B,$A102,'Source 2026'!$A:$A,"Quantity (units)")</f>
        <v>11</v>
      </c>
      <c r="E102" s="8" t="n">
        <f aca="false">D102-C102</f>
        <v>11</v>
      </c>
      <c r="F102" s="9" t="str">
        <f aca="false">IF(AND(C102=0,D102=0),0,IF(C102=0,"New",(D102-C102)/C102))</f>
        <v>New</v>
      </c>
      <c r="G102" s="10" t="n">
        <f aca="false">SUMIFS('Source 2025'!$T:$T,'Source 2025'!$B:$B,$A102,'Source 2025'!$A:$A,"Amount (NIS)")</f>
        <v>0</v>
      </c>
      <c r="H102" s="10" t="n">
        <f aca="false">SUMIFS('Source 2026'!$T:$T,'Source 2026'!$B:$B,$A102,'Source 2026'!$A:$A,"Amount (NIS)")</f>
        <v>171</v>
      </c>
      <c r="I102" s="10" t="n">
        <f aca="false">H102-G102</f>
        <v>171</v>
      </c>
      <c r="J102" s="9" t="str">
        <f aca="false">IF(AND(G102=0,H102=0),0,IF(G102=0,"New",(H102-G102)/G102))</f>
        <v>New</v>
      </c>
    </row>
    <row r="103" customFormat="false" ht="15" hidden="false" customHeight="false" outlineLevel="0" collapsed="false">
      <c r="A103" s="7" t="s">
        <v>383</v>
      </c>
      <c r="B103" s="7" t="str">
        <f aca="false">IFERROR(INDEX('Source 2026'!$C:$C,MATCH($A103,'Source 2026'!$B:$B,0)),IFERROR(INDEX('Source 2025'!$C:$C,MATCH($A103,'Source 2025'!$B:$B,0)),""))</f>
        <v>חגורת בטן</v>
      </c>
      <c r="C103" s="8" t="n">
        <f aca="false">SUMIFS('Source 2025'!$T:$T,'Source 2025'!$B:$B,$A103,'Source 2025'!$A:$A,"Quantity (units)")</f>
        <v>0</v>
      </c>
      <c r="D103" s="8" t="n">
        <f aca="false">SUMIFS('Source 2026'!$T:$T,'Source 2026'!$B:$B,$A103,'Source 2026'!$A:$A,"Quantity (units)")</f>
        <v>5</v>
      </c>
      <c r="E103" s="8" t="n">
        <f aca="false">D103-C103</f>
        <v>5</v>
      </c>
      <c r="F103" s="9" t="str">
        <f aca="false">IF(AND(C103=0,D103=0),0,IF(C103=0,"New",(D103-C103)/C103))</f>
        <v>New</v>
      </c>
      <c r="G103" s="10" t="n">
        <f aca="false">SUMIFS('Source 2025'!$T:$T,'Source 2025'!$B:$B,$A103,'Source 2025'!$A:$A,"Amount (NIS)")</f>
        <v>0</v>
      </c>
      <c r="H103" s="10" t="n">
        <f aca="false">SUMIFS('Source 2026'!$T:$T,'Source 2026'!$B:$B,$A103,'Source 2026'!$A:$A,"Amount (NIS)")</f>
        <v>171</v>
      </c>
      <c r="I103" s="10" t="n">
        <f aca="false">H103-G103</f>
        <v>171</v>
      </c>
      <c r="J103" s="9" t="str">
        <f aca="false">IF(AND(G103=0,H103=0),0,IF(G103=0,"New",(H103-G103)/G103))</f>
        <v>New</v>
      </c>
    </row>
    <row r="104" customFormat="false" ht="15" hidden="false" customHeight="false" outlineLevel="0" collapsed="false">
      <c r="A104" s="7" t="s">
        <v>305</v>
      </c>
      <c r="B104" s="7" t="str">
        <f aca="false">IFERROR(INDEX('Source 2026'!$C:$C,MATCH($A104,'Source 2026'!$B:$B,0)),IFERROR(INDEX('Source 2025'!$C:$C,MATCH($A104,'Source 2025'!$B:$B,0)),""))</f>
        <v>מ.קרסול+עכב סגור+רצועות</v>
      </c>
      <c r="C104" s="8" t="n">
        <f aca="false">SUMIFS('Source 2025'!$T:$T,'Source 2025'!$B:$B,$A104,'Source 2025'!$A:$A,"Quantity (units)")</f>
        <v>0</v>
      </c>
      <c r="D104" s="8" t="n">
        <f aca="false">SUMIFS('Source 2026'!$T:$T,'Source 2026'!$B:$B,$A104,'Source 2026'!$A:$A,"Quantity (units)")</f>
        <v>4</v>
      </c>
      <c r="E104" s="8" t="n">
        <f aca="false">D104-C104</f>
        <v>4</v>
      </c>
      <c r="F104" s="9" t="str">
        <f aca="false">IF(AND(C104=0,D104=0),0,IF(C104=0,"New",(D104-C104)/C104))</f>
        <v>New</v>
      </c>
      <c r="G104" s="10" t="n">
        <f aca="false">SUMIFS('Source 2025'!$T:$T,'Source 2025'!$B:$B,$A104,'Source 2025'!$A:$A,"Amount (NIS)")</f>
        <v>0</v>
      </c>
      <c r="H104" s="10" t="n">
        <f aca="false">SUMIFS('Source 2026'!$T:$T,'Source 2026'!$B:$B,$A104,'Source 2026'!$A:$A,"Amount (NIS)")</f>
        <v>158.1</v>
      </c>
      <c r="I104" s="10" t="n">
        <f aca="false">H104-G104</f>
        <v>158.1</v>
      </c>
      <c r="J104" s="9" t="str">
        <f aca="false">IF(AND(G104=0,H104=0),0,IF(G104=0,"New",(H104-G104)/G104))</f>
        <v>New</v>
      </c>
    </row>
    <row r="105" customFormat="false" ht="15" hidden="false" customHeight="false" outlineLevel="0" collapsed="false">
      <c r="A105" s="7" t="s">
        <v>340</v>
      </c>
      <c r="B105" s="7" t="str">
        <f aca="false">IFERROR(INDEX('Source 2026'!$C:$C,MATCH($A105,'Source 2026'!$B:$B,0)),IFERROR(INDEX('Source 2025'!$C:$C,MATCH($A105,'Source 2025'!$B:$B,0)),""))</f>
        <v>ריפוד סיליקון לעקב אחורי</v>
      </c>
      <c r="C105" s="8" t="n">
        <f aca="false">SUMIFS('Source 2025'!$T:$T,'Source 2025'!$B:$B,$A105,'Source 2025'!$A:$A,"Quantity (units)")</f>
        <v>0</v>
      </c>
      <c r="D105" s="8" t="n">
        <f aca="false">SUMIFS('Source 2026'!$T:$T,'Source 2026'!$B:$B,$A105,'Source 2026'!$A:$A,"Quantity (units)")</f>
        <v>9</v>
      </c>
      <c r="E105" s="8" t="n">
        <f aca="false">D105-C105</f>
        <v>9</v>
      </c>
      <c r="F105" s="9" t="str">
        <f aca="false">IF(AND(C105=0,D105=0),0,IF(C105=0,"New",(D105-C105)/C105))</f>
        <v>New</v>
      </c>
      <c r="G105" s="10" t="n">
        <f aca="false">SUMIFS('Source 2025'!$T:$T,'Source 2025'!$B:$B,$A105,'Source 2025'!$A:$A,"Amount (NIS)")</f>
        <v>0</v>
      </c>
      <c r="H105" s="10" t="n">
        <f aca="false">SUMIFS('Source 2026'!$T:$T,'Source 2026'!$B:$B,$A105,'Source 2026'!$A:$A,"Amount (NIS)")</f>
        <v>135.2</v>
      </c>
      <c r="I105" s="10" t="n">
        <f aca="false">H105-G105</f>
        <v>135.2</v>
      </c>
      <c r="J105" s="9" t="str">
        <f aca="false">IF(AND(G105=0,H105=0),0,IF(G105=0,"New",(H105-G105)/G105))</f>
        <v>New</v>
      </c>
    </row>
    <row r="106" customFormat="false" ht="15" hidden="false" customHeight="false" outlineLevel="0" collapsed="false">
      <c r="A106" s="7" t="s">
        <v>141</v>
      </c>
      <c r="B106" s="7" t="str">
        <f aca="false">IFERROR(INDEX('Source 2026'!$C:$C,MATCH($A106,'Source 2026'!$B:$B,0)),IFERROR(INDEX('Source 2025'!$C:$C,MATCH($A106,'Source 2025'!$B:$B,0)),""))</f>
        <v>ג.כסף לסכרתיים אפור35-38</v>
      </c>
      <c r="C106" s="8" t="n">
        <f aca="false">SUMIFS('Source 2025'!$T:$T,'Source 2025'!$B:$B,$A106,'Source 2025'!$A:$A,"Quantity (units)")</f>
        <v>0</v>
      </c>
      <c r="D106" s="8" t="n">
        <f aca="false">SUMIFS('Source 2026'!$T:$T,'Source 2026'!$B:$B,$A106,'Source 2026'!$A:$A,"Quantity (units)")</f>
        <v>5</v>
      </c>
      <c r="E106" s="8" t="n">
        <f aca="false">D106-C106</f>
        <v>5</v>
      </c>
      <c r="F106" s="9" t="str">
        <f aca="false">IF(AND(C106=0,D106=0),0,IF(C106=0,"New",(D106-C106)/C106))</f>
        <v>New</v>
      </c>
      <c r="G106" s="10" t="n">
        <f aca="false">SUMIFS('Source 2025'!$T:$T,'Source 2025'!$B:$B,$A106,'Source 2025'!$A:$A,"Amount (NIS)")</f>
        <v>0</v>
      </c>
      <c r="H106" s="10" t="n">
        <f aca="false">SUMIFS('Source 2026'!$T:$T,'Source 2026'!$B:$B,$A106,'Source 2026'!$A:$A,"Amount (NIS)")</f>
        <v>118</v>
      </c>
      <c r="I106" s="10" t="n">
        <f aca="false">H106-G106</f>
        <v>118</v>
      </c>
      <c r="J106" s="9" t="str">
        <f aca="false">IF(AND(G106=0,H106=0),0,IF(G106=0,"New",(H106-G106)/G106))</f>
        <v>New</v>
      </c>
    </row>
    <row r="107" customFormat="false" ht="15" hidden="false" customHeight="false" outlineLevel="0" collapsed="false">
      <c r="A107" s="7" t="s">
        <v>326</v>
      </c>
      <c r="B107" s="7" t="str">
        <f aca="false">IFERROR(INDEX('Source 2026'!$C:$C,MATCH($A107,'Source 2026'!$B:$B,0)),IFERROR(INDEX('Source 2025'!$C:$C,MATCH($A107,'Source 2025'!$B:$B,0)),""))</f>
        <v>רצועת טניס אלבו עם פלסטיק</v>
      </c>
      <c r="C107" s="8" t="n">
        <f aca="false">SUMIFS('Source 2025'!$T:$T,'Source 2025'!$B:$B,$A107,'Source 2025'!$A:$A,"Quantity (units)")</f>
        <v>0</v>
      </c>
      <c r="D107" s="8" t="n">
        <f aca="false">SUMIFS('Source 2026'!$T:$T,'Source 2026'!$B:$B,$A107,'Source 2026'!$A:$A,"Quantity (units)")</f>
        <v>2</v>
      </c>
      <c r="E107" s="8" t="n">
        <f aca="false">D107-C107</f>
        <v>2</v>
      </c>
      <c r="F107" s="9" t="str">
        <f aca="false">IF(AND(C107=0,D107=0),0,IF(C107=0,"New",(D107-C107)/C107))</f>
        <v>New</v>
      </c>
      <c r="G107" s="10" t="n">
        <f aca="false">SUMIFS('Source 2025'!$T:$T,'Source 2025'!$B:$B,$A107,'Source 2025'!$A:$A,"Amount (NIS)")</f>
        <v>0</v>
      </c>
      <c r="H107" s="10" t="n">
        <f aca="false">SUMIFS('Source 2026'!$T:$T,'Source 2026'!$B:$B,$A107,'Source 2026'!$A:$A,"Amount (NIS)")</f>
        <v>115.9</v>
      </c>
      <c r="I107" s="10" t="n">
        <f aca="false">H107-G107</f>
        <v>115.9</v>
      </c>
      <c r="J107" s="9" t="str">
        <f aca="false">IF(AND(G107=0,H107=0),0,IF(G107=0,"New",(H107-G107)/G107))</f>
        <v>New</v>
      </c>
    </row>
    <row r="108" customFormat="false" ht="15" hidden="false" customHeight="false" outlineLevel="0" collapsed="false">
      <c r="A108" s="7" t="s">
        <v>194</v>
      </c>
      <c r="B108" s="7" t="str">
        <f aca="false">IFERROR(INDEX('Source 2026'!$C:$C,MATCH($A108,'Source 2026'!$B:$B,0)),IFERROR(INDEX('Source 2025'!$C:$C,MATCH($A108,'Source 2025'!$B:$B,0)),""))</f>
        <v>סכינים למקצוע</v>
      </c>
      <c r="C108" s="8" t="n">
        <f aca="false">SUMIFS('Source 2025'!$T:$T,'Source 2025'!$B:$B,$A108,'Source 2025'!$A:$A,"Quantity (units)")</f>
        <v>0</v>
      </c>
      <c r="D108" s="8" t="n">
        <f aca="false">SUMIFS('Source 2026'!$T:$T,'Source 2026'!$B:$B,$A108,'Source 2026'!$A:$A,"Quantity (units)")</f>
        <v>17</v>
      </c>
      <c r="E108" s="8" t="n">
        <f aca="false">D108-C108</f>
        <v>17</v>
      </c>
      <c r="F108" s="9" t="str">
        <f aca="false">IF(AND(C108=0,D108=0),0,IF(C108=0,"New",(D108-C108)/C108))</f>
        <v>New</v>
      </c>
      <c r="G108" s="10" t="n">
        <f aca="false">SUMIFS('Source 2025'!$T:$T,'Source 2025'!$B:$B,$A108,'Source 2025'!$A:$A,"Amount (NIS)")</f>
        <v>0</v>
      </c>
      <c r="H108" s="10" t="n">
        <f aca="false">SUMIFS('Source 2026'!$T:$T,'Source 2026'!$B:$B,$A108,'Source 2026'!$A:$A,"Amount (NIS)")</f>
        <v>115.6</v>
      </c>
      <c r="I108" s="10" t="n">
        <f aca="false">H108-G108</f>
        <v>115.6</v>
      </c>
      <c r="J108" s="9" t="str">
        <f aca="false">IF(AND(G108=0,H108=0),0,IF(G108=0,"New",(H108-G108)/G108))</f>
        <v>New</v>
      </c>
    </row>
    <row r="109" customFormat="false" ht="15" hidden="false" customHeight="false" outlineLevel="0" collapsed="false">
      <c r="A109" s="7" t="s">
        <v>121</v>
      </c>
      <c r="B109" s="7" t="str">
        <f aca="false">IFERROR(INDEX('Source 2026'!$C:$C,MATCH($A109,'Source 2026'!$B:$B,0)),IFERROR(INDEX('Source 2025'!$C:$C,MATCH($A109,'Source 2025'!$B:$B,0)),""))</f>
        <v>L-XL STRAP4U</v>
      </c>
      <c r="C109" s="8" t="n">
        <f aca="false">SUMIFS('Source 2025'!$T:$T,'Source 2025'!$B:$B,$A109,'Source 2025'!$A:$A,"Quantity (units)")</f>
        <v>0</v>
      </c>
      <c r="D109" s="8" t="n">
        <f aca="false">SUMIFS('Source 2026'!$T:$T,'Source 2026'!$B:$B,$A109,'Source 2026'!$A:$A,"Quantity (units)")</f>
        <v>6</v>
      </c>
      <c r="E109" s="8" t="n">
        <f aca="false">D109-C109</f>
        <v>6</v>
      </c>
      <c r="F109" s="9" t="str">
        <f aca="false">IF(AND(C109=0,D109=0),0,IF(C109=0,"New",(D109-C109)/C109))</f>
        <v>New</v>
      </c>
      <c r="G109" s="10" t="n">
        <f aca="false">SUMIFS('Source 2025'!$T:$T,'Source 2025'!$B:$B,$A109,'Source 2025'!$A:$A,"Amount (NIS)")</f>
        <v>0</v>
      </c>
      <c r="H109" s="10" t="n">
        <f aca="false">SUMIFS('Source 2026'!$T:$T,'Source 2026'!$B:$B,$A109,'Source 2026'!$A:$A,"Amount (NIS)")</f>
        <v>66</v>
      </c>
      <c r="I109" s="10" t="n">
        <f aca="false">H109-G109</f>
        <v>66</v>
      </c>
      <c r="J109" s="9" t="str">
        <f aca="false">IF(AND(G109=0,H109=0),0,IF(G109=0,"New",(H109-G109)/G109))</f>
        <v>New</v>
      </c>
    </row>
    <row r="110" customFormat="false" ht="15" hidden="false" customHeight="false" outlineLevel="0" collapsed="false">
      <c r="A110" s="7" t="s">
        <v>384</v>
      </c>
      <c r="B110" s="7" t="str">
        <f aca="false">IFERROR(INDEX('Source 2026'!$C:$C,MATCH($A110,'Source 2026'!$B:$B,0)),IFERROR(INDEX('Source 2025'!$C:$C,MATCH($A110,'Source 2025'!$B:$B,0)),""))</f>
        <v>מגן ירך</v>
      </c>
      <c r="C110" s="8" t="n">
        <f aca="false">SUMIFS('Source 2025'!$T:$T,'Source 2025'!$B:$B,$A110,'Source 2025'!$A:$A,"Quantity (units)")</f>
        <v>0</v>
      </c>
      <c r="D110" s="8" t="n">
        <f aca="false">SUMIFS('Source 2026'!$T:$T,'Source 2026'!$B:$B,$A110,'Source 2026'!$A:$A,"Quantity (units)")</f>
        <v>3</v>
      </c>
      <c r="E110" s="8" t="n">
        <f aca="false">D110-C110</f>
        <v>3</v>
      </c>
      <c r="F110" s="9" t="str">
        <f aca="false">IF(AND(C110=0,D110=0),0,IF(C110=0,"New",(D110-C110)/C110))</f>
        <v>New</v>
      </c>
      <c r="G110" s="10" t="n">
        <f aca="false">SUMIFS('Source 2025'!$T:$T,'Source 2025'!$B:$B,$A110,'Source 2025'!$A:$A,"Amount (NIS)")</f>
        <v>0</v>
      </c>
      <c r="H110" s="10" t="n">
        <f aca="false">SUMIFS('Source 2026'!$T:$T,'Source 2026'!$B:$B,$A110,'Source 2026'!$A:$A,"Amount (NIS)")</f>
        <v>61.5</v>
      </c>
      <c r="I110" s="10" t="n">
        <f aca="false">H110-G110</f>
        <v>61.5</v>
      </c>
      <c r="J110" s="9" t="str">
        <f aca="false">IF(AND(G110=0,H110=0),0,IF(G110=0,"New",(H110-G110)/G110))</f>
        <v>New</v>
      </c>
    </row>
    <row r="111" customFormat="false" ht="15" hidden="false" customHeight="false" outlineLevel="0" collapsed="false">
      <c r="A111" s="7" t="s">
        <v>183</v>
      </c>
      <c r="B111" s="7" t="str">
        <f aca="false">IFERROR(INDEX('Source 2026'!$C:$C,MATCH($A111,'Source 2026'!$B:$B,0)),IFERROR(INDEX('Source 2025'!$C:$C,MATCH($A111,'Source 2025'!$B:$B,0)),""))</f>
        <v>גרבי כסף לסכרת מידה</v>
      </c>
      <c r="C111" s="8" t="n">
        <f aca="false">SUMIFS('Source 2025'!$T:$T,'Source 2025'!$B:$B,$A111,'Source 2025'!$A:$A,"Quantity (units)")</f>
        <v>0</v>
      </c>
      <c r="D111" s="8" t="n">
        <f aca="false">SUMIFS('Source 2026'!$T:$T,'Source 2026'!$B:$B,$A111,'Source 2026'!$A:$A,"Quantity (units)")</f>
        <v>3</v>
      </c>
      <c r="E111" s="8" t="n">
        <f aca="false">D111-C111</f>
        <v>3</v>
      </c>
      <c r="F111" s="9" t="str">
        <f aca="false">IF(AND(C111=0,D111=0),0,IF(C111=0,"New",(D111-C111)/C111))</f>
        <v>New</v>
      </c>
      <c r="G111" s="10" t="n">
        <f aca="false">SUMIFS('Source 2025'!$T:$T,'Source 2025'!$B:$B,$A111,'Source 2025'!$A:$A,"Amount (NIS)")</f>
        <v>0</v>
      </c>
      <c r="H111" s="10" t="n">
        <f aca="false">SUMIFS('Source 2026'!$T:$T,'Source 2026'!$B:$B,$A111,'Source 2026'!$A:$A,"Amount (NIS)")</f>
        <v>53.1</v>
      </c>
      <c r="I111" s="10" t="n">
        <f aca="false">H111-G111</f>
        <v>53.1</v>
      </c>
      <c r="J111" s="9" t="str">
        <f aca="false">IF(AND(G111=0,H111=0),0,IF(G111=0,"New",(H111-G111)/G111))</f>
        <v>New</v>
      </c>
    </row>
    <row r="112" customFormat="false" ht="15" hidden="false" customHeight="false" outlineLevel="0" collapsed="false">
      <c r="A112" s="7" t="s">
        <v>210</v>
      </c>
      <c r="B112" s="7" t="str">
        <f aca="false">IFERROR(INDEX('Source 2026'!$C:$C,MATCH($A112,'Source 2026'!$B:$B,0)),IFERROR(INDEX('Source 2025'!$C:$C,MATCH($A112,'Source 2025'!$B:$B,0)),""))</f>
        <v>L-מדרס סיליקון לנעלי עקב</v>
      </c>
      <c r="C112" s="8" t="n">
        <f aca="false">SUMIFS('Source 2025'!$T:$T,'Source 2025'!$B:$B,$A112,'Source 2025'!$A:$A,"Quantity (units)")</f>
        <v>0</v>
      </c>
      <c r="D112" s="8" t="n">
        <f aca="false">SUMIFS('Source 2026'!$T:$T,'Source 2026'!$B:$B,$A112,'Source 2026'!$A:$A,"Quantity (units)")</f>
        <v>1</v>
      </c>
      <c r="E112" s="8" t="n">
        <f aca="false">D112-C112</f>
        <v>1</v>
      </c>
      <c r="F112" s="9" t="str">
        <f aca="false">IF(AND(C112=0,D112=0),0,IF(C112=0,"New",(D112-C112)/C112))</f>
        <v>New</v>
      </c>
      <c r="G112" s="10" t="n">
        <f aca="false">SUMIFS('Source 2025'!$T:$T,'Source 2025'!$B:$B,$A112,'Source 2025'!$A:$A,"Amount (NIS)")</f>
        <v>0</v>
      </c>
      <c r="H112" s="10" t="n">
        <f aca="false">SUMIFS('Source 2026'!$T:$T,'Source 2026'!$B:$B,$A112,'Source 2026'!$A:$A,"Amount (NIS)")</f>
        <v>32.1</v>
      </c>
      <c r="I112" s="10" t="n">
        <f aca="false">H112-G112</f>
        <v>32.1</v>
      </c>
      <c r="J112" s="9" t="str">
        <f aca="false">IF(AND(G112=0,H112=0),0,IF(G112=0,"New",(H112-G112)/G112))</f>
        <v>New</v>
      </c>
    </row>
    <row r="114" customFormat="false" ht="15" hidden="false" customHeight="false" outlineLevel="0" collapsed="false">
      <c r="A114" s="11"/>
      <c r="B114" s="12" t="s">
        <v>257</v>
      </c>
      <c r="C114" s="13" t="n">
        <f aca="false">SUM(C6:C112)</f>
        <v>0</v>
      </c>
      <c r="D114" s="13" t="n">
        <f aca="false">SUM(D6:D112)</f>
        <v>10037</v>
      </c>
      <c r="E114" s="13" t="n">
        <f aca="false">SUM(E6:E112)</f>
        <v>10037</v>
      </c>
      <c r="F114" s="14" t="str">
        <f aca="false">IF(C114=0,"N/A",E114/C114)</f>
        <v>N/A</v>
      </c>
      <c r="G114" s="15" t="n">
        <f aca="false">SUM(G6:G112)</f>
        <v>0</v>
      </c>
      <c r="H114" s="15" t="n">
        <f aca="false">SUM(H6:H112)</f>
        <v>307514.4</v>
      </c>
      <c r="I114" s="15" t="n">
        <f aca="false">SUM(I6:I112)</f>
        <v>307514.4</v>
      </c>
      <c r="J114" s="14" t="str">
        <f aca="false">IF(G114=0,"N/A",I114/G114)</f>
        <v>N/A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69.75" hidden="false" customHeight="true" outlineLevel="0" collapsed="false">
      <c r="A3" s="4" t="s">
        <v>386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A5" s="5" t="s">
        <v>33</v>
      </c>
      <c r="B5" s="5" t="s">
        <v>34</v>
      </c>
      <c r="C5" s="5" t="s">
        <v>6</v>
      </c>
      <c r="D5" s="5" t="s">
        <v>7</v>
      </c>
      <c r="E5" s="5" t="s">
        <v>35</v>
      </c>
      <c r="F5" s="5" t="s">
        <v>36</v>
      </c>
      <c r="G5" s="5" t="s">
        <v>9</v>
      </c>
      <c r="H5" s="5" t="s">
        <v>10</v>
      </c>
      <c r="I5" s="5" t="s">
        <v>37</v>
      </c>
      <c r="J5" s="5" t="s">
        <v>11</v>
      </c>
    </row>
    <row r="6" customFormat="false" ht="15" hidden="false" customHeight="false" outlineLevel="0" collapsed="false">
      <c r="A6" s="7" t="s">
        <v>124</v>
      </c>
      <c r="B6" s="7" t="str">
        <f aca="false">IFERROR(INDEX('Source 2026'!$C:$C,MATCH($A6,'Source 2026'!$B:$B,0)),IFERROR(INDEX('Source 2025'!$C:$C,MATCH($A6,'Source 2025'!$B:$B,0)),""))</f>
        <v>S-M חבק יד עם צמדןחום</v>
      </c>
      <c r="C6" s="8" t="n">
        <f aca="false">SUMIFS('Source 2025'!$U:$U,'Source 2025'!$B:$B,$A6,'Source 2025'!$A:$A,"Quantity (units)")</f>
        <v>0</v>
      </c>
      <c r="D6" s="8" t="n">
        <f aca="false">SUMIFS('Source 2026'!$U:$U,'Source 2026'!$B:$B,$A6,'Source 2026'!$A:$A,"Quantity (units)")</f>
        <v>-20</v>
      </c>
      <c r="E6" s="8" t="n">
        <f aca="false">D6-C6</f>
        <v>-20</v>
      </c>
      <c r="F6" s="9" t="str">
        <f aca="false">IF(AND(C6=0,D6=0),0,IF(C6=0,"New",(D6-C6)/C6))</f>
        <v>New</v>
      </c>
      <c r="G6" s="10" t="n">
        <f aca="false">SUMIFS('Source 2025'!$U:$U,'Source 2025'!$B:$B,$A6,'Source 2025'!$A:$A,"Amount (NIS)")</f>
        <v>0</v>
      </c>
      <c r="H6" s="10" t="n">
        <f aca="false">SUMIFS('Source 2026'!$U:$U,'Source 2026'!$B:$B,$A6,'Source 2026'!$A:$A,"Amount (NIS)")</f>
        <v>-948.6</v>
      </c>
      <c r="I6" s="10" t="n">
        <f aca="false">H6-G6</f>
        <v>-948.6</v>
      </c>
      <c r="J6" s="9" t="str">
        <f aca="false">IF(AND(G6=0,H6=0),0,IF(G6=0,"New",(H6-G6)/G6))</f>
        <v>New</v>
      </c>
    </row>
    <row r="7" customFormat="false" ht="15" hidden="false" customHeight="false" outlineLevel="0" collapsed="false">
      <c r="A7" s="7" t="s">
        <v>74</v>
      </c>
      <c r="B7" s="7" t="str">
        <f aca="false">IFERROR(INDEX('Source 2026'!$C:$C,MATCH($A7,'Source 2026'!$B:$B,0)),IFERROR(INDEX('Source 2025'!$C:$C,MATCH($A7,'Source 2025'!$B:$B,0)),""))</f>
        <v>L מגן מרפק רגיל לבן</v>
      </c>
      <c r="C7" s="8" t="n">
        <f aca="false">SUMIFS('Source 2025'!$U:$U,'Source 2025'!$B:$B,$A7,'Source 2025'!$A:$A,"Quantity (units)")</f>
        <v>0</v>
      </c>
      <c r="D7" s="8" t="n">
        <f aca="false">SUMIFS('Source 2026'!$U:$U,'Source 2026'!$B:$B,$A7,'Source 2026'!$A:$A,"Quantity (units)")</f>
        <v>-23</v>
      </c>
      <c r="E7" s="8" t="n">
        <f aca="false">D7-C7</f>
        <v>-23</v>
      </c>
      <c r="F7" s="9" t="str">
        <f aca="false">IF(AND(C7=0,D7=0),0,IF(C7=0,"New",(D7-C7)/C7))</f>
        <v>New</v>
      </c>
      <c r="G7" s="10" t="n">
        <f aca="false">SUMIFS('Source 2025'!$U:$U,'Source 2025'!$B:$B,$A7,'Source 2025'!$A:$A,"Amount (NIS)")</f>
        <v>0</v>
      </c>
      <c r="H7" s="10" t="n">
        <f aca="false">SUMIFS('Source 2026'!$U:$U,'Source 2026'!$B:$B,$A7,'Source 2026'!$A:$A,"Amount (NIS)")</f>
        <v>-947.4</v>
      </c>
      <c r="I7" s="10" t="n">
        <f aca="false">H7-G7</f>
        <v>-947.4</v>
      </c>
      <c r="J7" s="9" t="str">
        <f aca="false">IF(AND(G7=0,H7=0),0,IF(G7=0,"New",(H7-G7)/G7))</f>
        <v>New</v>
      </c>
    </row>
    <row r="8" customFormat="false" ht="15" hidden="false" customHeight="false" outlineLevel="0" collapsed="false">
      <c r="A8" s="7" t="s">
        <v>116</v>
      </c>
      <c r="B8" s="7" t="str">
        <f aca="false">IFERROR(INDEX('Source 2026'!$C:$C,MATCH($A8,'Source 2026'!$B:$B,0)),IFERROR(INDEX('Source 2025'!$C:$C,MATCH($A8,'Source 2025'!$B:$B,0)),""))</f>
        <v>S חגורה למנותחי בית החזה</v>
      </c>
      <c r="C8" s="8" t="n">
        <f aca="false">SUMIFS('Source 2025'!$U:$U,'Source 2025'!$B:$B,$A8,'Source 2025'!$A:$A,"Quantity (units)")</f>
        <v>-3</v>
      </c>
      <c r="D8" s="8" t="n">
        <f aca="false">SUMIFS('Source 2026'!$U:$U,'Source 2026'!$B:$B,$A8,'Source 2026'!$A:$A,"Quantity (units)")</f>
        <v>0</v>
      </c>
      <c r="E8" s="8" t="n">
        <f aca="false">D8-C8</f>
        <v>3</v>
      </c>
      <c r="F8" s="9" t="n">
        <f aca="false">IF(AND(C8=0,D8=0),0,IF(C8=0,"New",(D8-C8)/C8))</f>
        <v>-1</v>
      </c>
      <c r="G8" s="10" t="n">
        <f aca="false">SUMIFS('Source 2025'!$U:$U,'Source 2025'!$B:$B,$A8,'Source 2025'!$A:$A,"Amount (NIS)")</f>
        <v>-627.9</v>
      </c>
      <c r="H8" s="10" t="n">
        <f aca="false">SUMIFS('Source 2026'!$U:$U,'Source 2026'!$B:$B,$A8,'Source 2026'!$A:$A,"Amount (NIS)")</f>
        <v>0</v>
      </c>
      <c r="I8" s="10" t="n">
        <f aca="false">H8-G8</f>
        <v>627.9</v>
      </c>
      <c r="J8" s="9" t="n">
        <f aca="false">IF(AND(G8=0,H8=0),0,IF(G8=0,"New",(H8-G8)/G8))</f>
        <v>-1</v>
      </c>
    </row>
    <row r="9" customFormat="false" ht="15" hidden="false" customHeight="false" outlineLevel="0" collapsed="false">
      <c r="A9" s="7" t="s">
        <v>42</v>
      </c>
      <c r="B9" s="7" t="str">
        <f aca="false">IFERROR(INDEX('Source 2026'!$C:$C,MATCH($A9,'Source 2026'!$B:$B,0)),IFERROR(INDEX('Source 2025'!$C:$C,MATCH($A9,'Source 2025'!$B:$B,0)),""))</f>
        <v>L סד ליד דו צדדי לאחר שבר</v>
      </c>
      <c r="C9" s="8" t="n">
        <f aca="false">SUMIFS('Source 2025'!$U:$U,'Source 2025'!$B:$B,$A9,'Source 2025'!$A:$A,"Quantity (units)")</f>
        <v>0</v>
      </c>
      <c r="D9" s="8" t="n">
        <f aca="false">SUMIFS('Source 2026'!$U:$U,'Source 2026'!$B:$B,$A9,'Source 2026'!$A:$A,"Quantity (units)")</f>
        <v>-4</v>
      </c>
      <c r="E9" s="8" t="n">
        <f aca="false">D9-C9</f>
        <v>-4</v>
      </c>
      <c r="F9" s="9" t="str">
        <f aca="false">IF(AND(C9=0,D9=0),0,IF(C9=0,"New",(D9-C9)/C9))</f>
        <v>New</v>
      </c>
      <c r="G9" s="10" t="n">
        <f aca="false">SUMIFS('Source 2025'!$U:$U,'Source 2025'!$B:$B,$A9,'Source 2025'!$A:$A,"Amount (NIS)")</f>
        <v>0</v>
      </c>
      <c r="H9" s="10" t="n">
        <f aca="false">SUMIFS('Source 2026'!$U:$U,'Source 2026'!$B:$B,$A9,'Source 2026'!$A:$A,"Amount (NIS)")</f>
        <v>-549.7</v>
      </c>
      <c r="I9" s="10" t="n">
        <f aca="false">H9-G9</f>
        <v>-549.7</v>
      </c>
      <c r="J9" s="9" t="str">
        <f aca="false">IF(AND(G9=0,H9=0),0,IF(G9=0,"New",(H9-G9)/G9))</f>
        <v>New</v>
      </c>
    </row>
    <row r="10" customFormat="false" ht="15" hidden="false" customHeight="false" outlineLevel="0" collapsed="false">
      <c r="A10" s="7" t="s">
        <v>65</v>
      </c>
      <c r="B10" s="7" t="str">
        <f aca="false">IFERROR(INDEX('Source 2026'!$C:$C,MATCH($A10,'Source 2026'!$B:$B,0)),IFERROR(INDEX('Source 2025'!$C:$C,MATCH($A10,'Source 2025'!$B:$B,0)),""))</f>
        <v>M 'מגן מרפק בז</v>
      </c>
      <c r="C10" s="8" t="n">
        <f aca="false">SUMIFS('Source 2025'!$U:$U,'Source 2025'!$B:$B,$A10,'Source 2025'!$A:$A,"Quantity (units)")</f>
        <v>0</v>
      </c>
      <c r="D10" s="8" t="n">
        <f aca="false">SUMIFS('Source 2026'!$U:$U,'Source 2026'!$B:$B,$A10,'Source 2026'!$A:$A,"Quantity (units)")</f>
        <v>-12</v>
      </c>
      <c r="E10" s="8" t="n">
        <f aca="false">D10-C10</f>
        <v>-12</v>
      </c>
      <c r="F10" s="9" t="str">
        <f aca="false">IF(AND(C10=0,D10=0),0,IF(C10=0,"New",(D10-C10)/C10))</f>
        <v>New</v>
      </c>
      <c r="G10" s="10" t="n">
        <f aca="false">SUMIFS('Source 2025'!$U:$U,'Source 2025'!$B:$B,$A10,'Source 2025'!$A:$A,"Amount (NIS)")</f>
        <v>0</v>
      </c>
      <c r="H10" s="10" t="n">
        <f aca="false">SUMIFS('Source 2026'!$U:$U,'Source 2026'!$B:$B,$A10,'Source 2026'!$A:$A,"Amount (NIS)")</f>
        <v>-494.3</v>
      </c>
      <c r="I10" s="10" t="n">
        <f aca="false">H10-G10</f>
        <v>-494.3</v>
      </c>
      <c r="J10" s="9" t="str">
        <f aca="false">IF(AND(G10=0,H10=0),0,IF(G10=0,"New",(H10-G10)/G10))</f>
        <v>New</v>
      </c>
    </row>
    <row r="11" customFormat="false" ht="15" hidden="false" customHeight="false" outlineLevel="0" collapsed="false">
      <c r="A11" s="7" t="s">
        <v>44</v>
      </c>
      <c r="B11" s="7" t="str">
        <f aca="false">IFERROR(INDEX('Source 2026'!$C:$C,MATCH($A11,'Source 2026'!$B:$B,0)),IFERROR(INDEX('Source 2025'!$C:$C,MATCH($A11,'Source 2025'!$B:$B,0)),""))</f>
        <v>S  חבק יד ארוך</v>
      </c>
      <c r="C11" s="8" t="n">
        <f aca="false">SUMIFS('Source 2025'!$U:$U,'Source 2025'!$B:$B,$A11,'Source 2025'!$A:$A,"Quantity (units)")</f>
        <v>0</v>
      </c>
      <c r="D11" s="8" t="n">
        <f aca="false">SUMIFS('Source 2026'!$U:$U,'Source 2026'!$B:$B,$A11,'Source 2026'!$A:$A,"Quantity (units)")</f>
        <v>-9</v>
      </c>
      <c r="E11" s="8" t="n">
        <f aca="false">D11-C11</f>
        <v>-9</v>
      </c>
      <c r="F11" s="9" t="str">
        <f aca="false">IF(AND(C11=0,D11=0),0,IF(C11=0,"New",(D11-C11)/C11))</f>
        <v>New</v>
      </c>
      <c r="G11" s="10" t="n">
        <f aca="false">SUMIFS('Source 2025'!$U:$U,'Source 2025'!$B:$B,$A11,'Source 2025'!$A:$A,"Amount (NIS)")</f>
        <v>0</v>
      </c>
      <c r="H11" s="10" t="n">
        <f aca="false">SUMIFS('Source 2026'!$U:$U,'Source 2026'!$B:$B,$A11,'Source 2026'!$A:$A,"Amount (NIS)")</f>
        <v>-477.6</v>
      </c>
      <c r="I11" s="10" t="n">
        <f aca="false">H11-G11</f>
        <v>-477.6</v>
      </c>
      <c r="J11" s="9" t="str">
        <f aca="false">IF(AND(G11=0,H11=0),0,IF(G11=0,"New",(H11-G11)/G11))</f>
        <v>New</v>
      </c>
    </row>
    <row r="12" customFormat="false" ht="15" hidden="false" customHeight="false" outlineLevel="0" collapsed="false">
      <c r="A12" s="7" t="s">
        <v>173</v>
      </c>
      <c r="B12" s="7" t="str">
        <f aca="false">IFERROR(INDEX('Source 2026'!$C:$C,MATCH($A12,'Source 2026'!$B:$B,0)),IFERROR(INDEX('Source 2025'!$C:$C,MATCH($A12,'Source 2025'!$B:$B,0)),""))</f>
        <v>S ח.גב סג. כפולה שחור+אדום</v>
      </c>
      <c r="C12" s="8" t="n">
        <f aca="false">SUMIFS('Source 2025'!$U:$U,'Source 2025'!$B:$B,$A12,'Source 2025'!$A:$A,"Quantity (units)")</f>
        <v>-3</v>
      </c>
      <c r="D12" s="8" t="n">
        <f aca="false">SUMIFS('Source 2026'!$U:$U,'Source 2026'!$B:$B,$A12,'Source 2026'!$A:$A,"Quantity (units)")</f>
        <v>0</v>
      </c>
      <c r="E12" s="8" t="n">
        <f aca="false">D12-C12</f>
        <v>3</v>
      </c>
      <c r="F12" s="9" t="n">
        <f aca="false">IF(AND(C12=0,D12=0),0,IF(C12=0,"New",(D12-C12)/C12))</f>
        <v>-1</v>
      </c>
      <c r="G12" s="10" t="n">
        <f aca="false">SUMIFS('Source 2025'!$U:$U,'Source 2025'!$B:$B,$A12,'Source 2025'!$A:$A,"Amount (NIS)")</f>
        <v>-434.7</v>
      </c>
      <c r="H12" s="10" t="n">
        <f aca="false">SUMIFS('Source 2026'!$U:$U,'Source 2026'!$B:$B,$A12,'Source 2026'!$A:$A,"Amount (NIS)")</f>
        <v>0</v>
      </c>
      <c r="I12" s="10" t="n">
        <f aca="false">H12-G12</f>
        <v>434.7</v>
      </c>
      <c r="J12" s="9" t="n">
        <f aca="false">IF(AND(G12=0,H12=0),0,IF(G12=0,"New",(H12-G12)/G12))</f>
        <v>-1</v>
      </c>
    </row>
    <row r="13" customFormat="false" ht="15" hidden="false" customHeight="false" outlineLevel="0" collapsed="false">
      <c r="A13" s="7" t="s">
        <v>48</v>
      </c>
      <c r="B13" s="7" t="str">
        <f aca="false">IFERROR(INDEX('Source 2026'!$C:$C,MATCH($A13,'Source 2026'!$B:$B,0)),IFERROR(INDEX('Source 2025'!$C:$C,MATCH($A13,'Source 2025'!$B:$B,0)),""))</f>
        <v>מישר כתפיים אקטיב</v>
      </c>
      <c r="C13" s="8" t="n">
        <f aca="false">SUMIFS('Source 2025'!$U:$U,'Source 2025'!$B:$B,$A13,'Source 2025'!$A:$A,"Quantity (units)")</f>
        <v>0</v>
      </c>
      <c r="D13" s="8" t="n">
        <f aca="false">SUMIFS('Source 2026'!$U:$U,'Source 2026'!$B:$B,$A13,'Source 2026'!$A:$A,"Quantity (units)")</f>
        <v>-3</v>
      </c>
      <c r="E13" s="8" t="n">
        <f aca="false">D13-C13</f>
        <v>-3</v>
      </c>
      <c r="F13" s="9" t="str">
        <f aca="false">IF(AND(C13=0,D13=0),0,IF(C13=0,"New",(D13-C13)/C13))</f>
        <v>New</v>
      </c>
      <c r="G13" s="10" t="n">
        <f aca="false">SUMIFS('Source 2025'!$U:$U,'Source 2025'!$B:$B,$A13,'Source 2025'!$A:$A,"Amount (NIS)")</f>
        <v>0</v>
      </c>
      <c r="H13" s="10" t="n">
        <f aca="false">SUMIFS('Source 2026'!$U:$U,'Source 2026'!$B:$B,$A13,'Source 2026'!$A:$A,"Amount (NIS)")</f>
        <v>-318.5</v>
      </c>
      <c r="I13" s="10" t="n">
        <f aca="false">H13-G13</f>
        <v>-318.5</v>
      </c>
      <c r="J13" s="9" t="str">
        <f aca="false">IF(AND(G13=0,H13=0),0,IF(G13=0,"New",(H13-G13)/G13))</f>
        <v>New</v>
      </c>
    </row>
    <row r="14" customFormat="false" ht="15" hidden="false" customHeight="false" outlineLevel="0" collapsed="false">
      <c r="A14" s="7" t="s">
        <v>61</v>
      </c>
      <c r="B14" s="7" t="str">
        <f aca="false">IFERROR(INDEX('Source 2026'!$C:$C,MATCH($A14,'Source 2026'!$B:$B,0)),IFERROR(INDEX('Source 2025'!$C:$C,MATCH($A14,'Source 2025'!$B:$B,0)),""))</f>
        <v>חגורת גב אפורה</v>
      </c>
      <c r="C14" s="8" t="n">
        <f aca="false">SUMIFS('Source 2025'!$U:$U,'Source 2025'!$B:$B,$A14,'Source 2025'!$A:$A,"Quantity (units)")</f>
        <v>0</v>
      </c>
      <c r="D14" s="8" t="n">
        <f aca="false">SUMIFS('Source 2026'!$U:$U,'Source 2026'!$B:$B,$A14,'Source 2026'!$A:$A,"Quantity (units)")</f>
        <v>-2</v>
      </c>
      <c r="E14" s="8" t="n">
        <f aca="false">D14-C14</f>
        <v>-2</v>
      </c>
      <c r="F14" s="9" t="str">
        <f aca="false">IF(AND(C14=0,D14=0),0,IF(C14=0,"New",(D14-C14)/C14))</f>
        <v>New</v>
      </c>
      <c r="G14" s="10" t="n">
        <f aca="false">SUMIFS('Source 2025'!$U:$U,'Source 2025'!$B:$B,$A14,'Source 2025'!$A:$A,"Amount (NIS)")</f>
        <v>0</v>
      </c>
      <c r="H14" s="10" t="n">
        <f aca="false">SUMIFS('Source 2026'!$U:$U,'Source 2026'!$B:$B,$A14,'Source 2026'!$A:$A,"Amount (NIS)")</f>
        <v>-312.4</v>
      </c>
      <c r="I14" s="10" t="n">
        <f aca="false">H14-G14</f>
        <v>-312.4</v>
      </c>
      <c r="J14" s="9" t="str">
        <f aca="false">IF(AND(G14=0,H14=0),0,IF(G14=0,"New",(H14-G14)/G14))</f>
        <v>New</v>
      </c>
    </row>
    <row r="15" customFormat="false" ht="15" hidden="false" customHeight="false" outlineLevel="0" collapsed="false">
      <c r="A15" s="7" t="s">
        <v>54</v>
      </c>
      <c r="B15" s="7" t="str">
        <f aca="false">IFERROR(INDEX('Source 2026'!$C:$C,MATCH($A15,'Source 2026'!$B:$B,0)),IFERROR(INDEX('Source 2025'!$C:$C,MATCH($A15,'Source 2025'!$B:$B,0)),""))</f>
        <v>גב אפורה</v>
      </c>
      <c r="C15" s="8" t="n">
        <f aca="false">SUMIFS('Source 2025'!$U:$U,'Source 2025'!$B:$B,$A15,'Source 2025'!$A:$A,"Quantity (units)")</f>
        <v>0</v>
      </c>
      <c r="D15" s="8" t="n">
        <f aca="false">SUMIFS('Source 2026'!$U:$U,'Source 2026'!$B:$B,$A15,'Source 2026'!$A:$A,"Quantity (units)")</f>
        <v>-2</v>
      </c>
      <c r="E15" s="8" t="n">
        <f aca="false">D15-C15</f>
        <v>-2</v>
      </c>
      <c r="F15" s="9" t="str">
        <f aca="false">IF(AND(C15=0,D15=0),0,IF(C15=0,"New",(D15-C15)/C15))</f>
        <v>New</v>
      </c>
      <c r="G15" s="10" t="n">
        <f aca="false">SUMIFS('Source 2025'!$U:$U,'Source 2025'!$B:$B,$A15,'Source 2025'!$A:$A,"Amount (NIS)")</f>
        <v>0</v>
      </c>
      <c r="H15" s="10" t="n">
        <f aca="false">SUMIFS('Source 2026'!$U:$U,'Source 2026'!$B:$B,$A15,'Source 2026'!$A:$A,"Amount (NIS)")</f>
        <v>-312.4</v>
      </c>
      <c r="I15" s="10" t="n">
        <f aca="false">H15-G15</f>
        <v>-312.4</v>
      </c>
      <c r="J15" s="9" t="str">
        <f aca="false">IF(AND(G15=0,H15=0),0,IF(G15=0,"New",(H15-G15)/G15))</f>
        <v>New</v>
      </c>
    </row>
    <row r="16" customFormat="false" ht="15" hidden="false" customHeight="false" outlineLevel="0" collapsed="false">
      <c r="A16" s="7" t="s">
        <v>153</v>
      </c>
      <c r="B16" s="7" t="str">
        <f aca="false">IFERROR(INDEX('Source 2026'!$C:$C,MATCH($A16,'Source 2026'!$B:$B,0)),IFERROR(INDEX('Source 2025'!$C:$C,MATCH($A16,'Source 2025'!$B:$B,0)),""))</f>
        <v>S-M סד לאגודל</v>
      </c>
      <c r="C16" s="8" t="n">
        <f aca="false">SUMIFS('Source 2025'!$U:$U,'Source 2025'!$B:$B,$A16,'Source 2025'!$A:$A,"Quantity (units)")</f>
        <v>0</v>
      </c>
      <c r="D16" s="8" t="n">
        <f aca="false">SUMIFS('Source 2026'!$U:$U,'Source 2026'!$B:$B,$A16,'Source 2026'!$A:$A,"Quantity (units)")</f>
        <v>-3</v>
      </c>
      <c r="E16" s="8" t="n">
        <f aca="false">D16-C16</f>
        <v>-3</v>
      </c>
      <c r="F16" s="9" t="str">
        <f aca="false">IF(AND(C16=0,D16=0),0,IF(C16=0,"New",(D16-C16)/C16))</f>
        <v>New</v>
      </c>
      <c r="G16" s="10" t="n">
        <f aca="false">SUMIFS('Source 2025'!$U:$U,'Source 2025'!$B:$B,$A16,'Source 2025'!$A:$A,"Amount (NIS)")</f>
        <v>0</v>
      </c>
      <c r="H16" s="10" t="n">
        <f aca="false">SUMIFS('Source 2026'!$U:$U,'Source 2026'!$B:$B,$A16,'Source 2026'!$A:$A,"Amount (NIS)")</f>
        <v>-281</v>
      </c>
      <c r="I16" s="10" t="n">
        <f aca="false">H16-G16</f>
        <v>-281</v>
      </c>
      <c r="J16" s="9" t="str">
        <f aca="false">IF(AND(G16=0,H16=0),0,IF(G16=0,"New",(H16-G16)/G16))</f>
        <v>New</v>
      </c>
    </row>
    <row r="17" customFormat="false" ht="15" hidden="false" customHeight="false" outlineLevel="0" collapsed="false">
      <c r="A17" s="7" t="s">
        <v>43</v>
      </c>
      <c r="B17" s="7" t="str">
        <f aca="false">IFERROR(INDEX('Source 2026'!$C:$C,MATCH($A17,'Source 2026'!$B:$B,0)),IFERROR(INDEX('Source 2025'!$C:$C,MATCH($A17,'Source 2025'!$B:$B,0)),""))</f>
        <v>S מגן קרסול חום</v>
      </c>
      <c r="C17" s="8" t="n">
        <f aca="false">SUMIFS('Source 2025'!$U:$U,'Source 2025'!$B:$B,$A17,'Source 2025'!$A:$A,"Quantity (units)")</f>
        <v>-2</v>
      </c>
      <c r="D17" s="8" t="n">
        <f aca="false">SUMIFS('Source 2026'!$U:$U,'Source 2026'!$B:$B,$A17,'Source 2026'!$A:$A,"Quantity (units)")</f>
        <v>-8</v>
      </c>
      <c r="E17" s="8" t="n">
        <f aca="false">D17-C17</f>
        <v>-6</v>
      </c>
      <c r="F17" s="9" t="n">
        <f aca="false">IF(AND(C17=0,D17=0),0,IF(C17=0,"New",(D17-C17)/C17))</f>
        <v>3</v>
      </c>
      <c r="G17" s="10" t="n">
        <f aca="false">SUMIFS('Source 2025'!$U:$U,'Source 2025'!$B:$B,$A17,'Source 2025'!$A:$A,"Amount (NIS)")</f>
        <v>-82.4</v>
      </c>
      <c r="H17" s="10" t="n">
        <f aca="false">SUMIFS('Source 2026'!$U:$U,'Source 2026'!$B:$B,$A17,'Source 2026'!$A:$A,"Amount (NIS)")</f>
        <v>-329.6</v>
      </c>
      <c r="I17" s="10" t="n">
        <f aca="false">H17-G17</f>
        <v>-247.2</v>
      </c>
      <c r="J17" s="9" t="n">
        <f aca="false">IF(AND(G17=0,H17=0),0,IF(G17=0,"New",(H17-G17)/G17))</f>
        <v>3</v>
      </c>
    </row>
    <row r="18" customFormat="false" ht="15" hidden="false" customHeight="false" outlineLevel="0" collapsed="false">
      <c r="A18" s="7" t="s">
        <v>62</v>
      </c>
      <c r="B18" s="7" t="str">
        <f aca="false">IFERROR(INDEX('Source 2026'!$C:$C,MATCH($A18,'Source 2026'!$B:$B,0)),IFERROR(INDEX('Source 2025'!$C:$C,MATCH($A18,'Source 2025'!$B:$B,0)),""))</f>
        <v>L (מתלה ליד )כיס</v>
      </c>
      <c r="C18" s="8" t="n">
        <f aca="false">SUMIFS('Source 2025'!$U:$U,'Source 2025'!$B:$B,$A18,'Source 2025'!$A:$A,"Quantity (units)")</f>
        <v>-1</v>
      </c>
      <c r="D18" s="8" t="n">
        <f aca="false">SUMIFS('Source 2026'!$U:$U,'Source 2026'!$B:$B,$A18,'Source 2026'!$A:$A,"Quantity (units)")</f>
        <v>-4</v>
      </c>
      <c r="E18" s="8" t="n">
        <f aca="false">D18-C18</f>
        <v>-3</v>
      </c>
      <c r="F18" s="9" t="n">
        <f aca="false">IF(AND(C18=0,D18=0),0,IF(C18=0,"New",(D18-C18)/C18))</f>
        <v>3</v>
      </c>
      <c r="G18" s="10" t="n">
        <f aca="false">SUMIFS('Source 2025'!$U:$U,'Source 2025'!$B:$B,$A18,'Source 2025'!$A:$A,"Amount (NIS)")</f>
        <v>-75.6</v>
      </c>
      <c r="H18" s="10" t="n">
        <f aca="false">SUMIFS('Source 2026'!$U:$U,'Source 2026'!$B:$B,$A18,'Source 2026'!$A:$A,"Amount (NIS)")</f>
        <v>-302.3</v>
      </c>
      <c r="I18" s="10" t="n">
        <f aca="false">H18-G18</f>
        <v>-226.7</v>
      </c>
      <c r="J18" s="9" t="n">
        <f aca="false">IF(AND(G18=0,H18=0),0,IF(G18=0,"New",(H18-G18)/G18))</f>
        <v>2.99867724867725</v>
      </c>
    </row>
    <row r="19" customFormat="false" ht="15" hidden="false" customHeight="false" outlineLevel="0" collapsed="false">
      <c r="A19" s="7" t="s">
        <v>265</v>
      </c>
      <c r="B19" s="7" t="str">
        <f aca="false">IFERROR(INDEX('Source 2026'!$C:$C,MATCH($A19,'Source 2026'!$B:$B,0)),IFERROR(INDEX('Source 2025'!$C:$C,MATCH($A19,'Source 2025'!$B:$B,0)),""))</f>
        <v>מדרס ג'ל לגבר</v>
      </c>
      <c r="C19" s="8" t="n">
        <f aca="false">SUMIFS('Source 2025'!$U:$U,'Source 2025'!$B:$B,$A19,'Source 2025'!$A:$A,"Quantity (units)")</f>
        <v>-2</v>
      </c>
      <c r="D19" s="8" t="n">
        <f aca="false">SUMIFS('Source 2026'!$U:$U,'Source 2026'!$B:$B,$A19,'Source 2026'!$A:$A,"Quantity (units)")</f>
        <v>0</v>
      </c>
      <c r="E19" s="8" t="n">
        <f aca="false">D19-C19</f>
        <v>2</v>
      </c>
      <c r="F19" s="9" t="n">
        <f aca="false">IF(AND(C19=0,D19=0),0,IF(C19=0,"New",(D19-C19)/C19))</f>
        <v>-1</v>
      </c>
      <c r="G19" s="10" t="n">
        <f aca="false">SUMIFS('Source 2025'!$U:$U,'Source 2025'!$B:$B,$A19,'Source 2025'!$A:$A,"Amount (NIS)")</f>
        <v>-189.9</v>
      </c>
      <c r="H19" s="10" t="n">
        <f aca="false">SUMIFS('Source 2026'!$U:$U,'Source 2026'!$B:$B,$A19,'Source 2026'!$A:$A,"Amount (NIS)")</f>
        <v>0</v>
      </c>
      <c r="I19" s="10" t="n">
        <f aca="false">H19-G19</f>
        <v>189.9</v>
      </c>
      <c r="J19" s="9" t="n">
        <f aca="false">IF(AND(G19=0,H19=0),0,IF(G19=0,"New",(H19-G19)/G19))</f>
        <v>-1</v>
      </c>
    </row>
    <row r="20" customFormat="false" ht="15" hidden="false" customHeight="false" outlineLevel="0" collapsed="false">
      <c r="A20" s="7" t="s">
        <v>281</v>
      </c>
      <c r="B20" s="7" t="str">
        <f aca="false">IFERROR(INDEX('Source 2026'!$C:$C,MATCH($A20,'Source 2026'!$B:$B,0)),IFERROR(INDEX('Source 2025'!$C:$C,MATCH($A20,'Source 2025'!$B:$B,0)),""))</f>
        <v>M מדרס ג'ל ספורט לגבר</v>
      </c>
      <c r="C20" s="8" t="n">
        <f aca="false">SUMIFS('Source 2025'!$U:$U,'Source 2025'!$B:$B,$A20,'Source 2025'!$A:$A,"Quantity (units)")</f>
        <v>-2</v>
      </c>
      <c r="D20" s="8" t="n">
        <f aca="false">SUMIFS('Source 2026'!$U:$U,'Source 2026'!$B:$B,$A20,'Source 2026'!$A:$A,"Quantity (units)")</f>
        <v>0</v>
      </c>
      <c r="E20" s="8" t="n">
        <f aca="false">D20-C20</f>
        <v>2</v>
      </c>
      <c r="F20" s="9" t="n">
        <f aca="false">IF(AND(C20=0,D20=0),0,IF(C20=0,"New",(D20-C20)/C20))</f>
        <v>-1</v>
      </c>
      <c r="G20" s="10" t="n">
        <f aca="false">SUMIFS('Source 2025'!$U:$U,'Source 2025'!$B:$B,$A20,'Source 2025'!$A:$A,"Amount (NIS)")</f>
        <v>-189.4</v>
      </c>
      <c r="H20" s="10" t="n">
        <f aca="false">SUMIFS('Source 2026'!$U:$U,'Source 2026'!$B:$B,$A20,'Source 2026'!$A:$A,"Amount (NIS)")</f>
        <v>0</v>
      </c>
      <c r="I20" s="10" t="n">
        <f aca="false">H20-G20</f>
        <v>189.4</v>
      </c>
      <c r="J20" s="9" t="n">
        <f aca="false">IF(AND(G20=0,H20=0),0,IF(G20=0,"New",(H20-G20)/G20))</f>
        <v>-1</v>
      </c>
    </row>
    <row r="21" customFormat="false" ht="15" hidden="false" customHeight="false" outlineLevel="0" collapsed="false">
      <c r="A21" s="7" t="s">
        <v>387</v>
      </c>
      <c r="B21" s="7" t="str">
        <f aca="false">IFERROR(INDEX('Source 2026'!$C:$C,MATCH($A21,'Source 2026'!$B:$B,0)),IFERROR(INDEX('Source 2025'!$C:$C,MATCH($A21,'Source 2025'!$B:$B,0)),""))</f>
        <v>הגנה לכף הרגל</v>
      </c>
      <c r="C21" s="8" t="n">
        <f aca="false">SUMIFS('Source 2025'!$U:$U,'Source 2025'!$B:$B,$A21,'Source 2025'!$A:$A,"Quantity (units)")</f>
        <v>-5</v>
      </c>
      <c r="D21" s="8" t="n">
        <f aca="false">SUMIFS('Source 2026'!$U:$U,'Source 2026'!$B:$B,$A21,'Source 2026'!$A:$A,"Quantity (units)")</f>
        <v>0</v>
      </c>
      <c r="E21" s="8" t="n">
        <f aca="false">D21-C21</f>
        <v>5</v>
      </c>
      <c r="F21" s="9" t="n">
        <f aca="false">IF(AND(C21=0,D21=0),0,IF(C21=0,"New",(D21-C21)/C21))</f>
        <v>-1</v>
      </c>
      <c r="G21" s="10" t="n">
        <f aca="false">SUMIFS('Source 2025'!$U:$U,'Source 2025'!$B:$B,$A21,'Source 2025'!$A:$A,"Amount (NIS)")</f>
        <v>-165.6</v>
      </c>
      <c r="H21" s="10" t="n">
        <f aca="false">SUMIFS('Source 2026'!$U:$U,'Source 2026'!$B:$B,$A21,'Source 2026'!$A:$A,"Amount (NIS)")</f>
        <v>0</v>
      </c>
      <c r="I21" s="10" t="n">
        <f aca="false">H21-G21</f>
        <v>165.6</v>
      </c>
      <c r="J21" s="9" t="n">
        <f aca="false">IF(AND(G21=0,H21=0),0,IF(G21=0,"New",(H21-G21)/G21))</f>
        <v>-1</v>
      </c>
    </row>
    <row r="22" customFormat="false" ht="15" hidden="false" customHeight="false" outlineLevel="0" collapsed="false">
      <c r="A22" s="7" t="s">
        <v>56</v>
      </c>
      <c r="B22" s="7" t="str">
        <f aca="false">IFERROR(INDEX('Source 2026'!$C:$C,MATCH($A22,'Source 2026'!$B:$B,0)),IFERROR(INDEX('Source 2025'!$C:$C,MATCH($A22,'Source 2025'!$B:$B,0)),""))</f>
        <v>S מגן קרסול לבן</v>
      </c>
      <c r="C22" s="8" t="n">
        <f aca="false">SUMIFS('Source 2025'!$U:$U,'Source 2025'!$B:$B,$A22,'Source 2025'!$A:$A,"Quantity (units)")</f>
        <v>0</v>
      </c>
      <c r="D22" s="8" t="n">
        <f aca="false">SUMIFS('Source 2026'!$U:$U,'Source 2026'!$B:$B,$A22,'Source 2026'!$A:$A,"Quantity (units)")</f>
        <v>-4</v>
      </c>
      <c r="E22" s="8" t="n">
        <f aca="false">D22-C22</f>
        <v>-4</v>
      </c>
      <c r="F22" s="9" t="str">
        <f aca="false">IF(AND(C22=0,D22=0),0,IF(C22=0,"New",(D22-C22)/C22))</f>
        <v>New</v>
      </c>
      <c r="G22" s="10" t="n">
        <f aca="false">SUMIFS('Source 2025'!$U:$U,'Source 2025'!$B:$B,$A22,'Source 2025'!$A:$A,"Amount (NIS)")</f>
        <v>0</v>
      </c>
      <c r="H22" s="10" t="n">
        <f aca="false">SUMIFS('Source 2026'!$U:$U,'Source 2026'!$B:$B,$A22,'Source 2026'!$A:$A,"Amount (NIS)")</f>
        <v>-164.8</v>
      </c>
      <c r="I22" s="10" t="n">
        <f aca="false">H22-G22</f>
        <v>-164.8</v>
      </c>
      <c r="J22" s="9" t="str">
        <f aca="false">IF(AND(G22=0,H22=0),0,IF(G22=0,"New",(H22-G22)/G22))</f>
        <v>New</v>
      </c>
    </row>
    <row r="23" customFormat="false" ht="15" hidden="false" customHeight="false" outlineLevel="0" collapsed="false">
      <c r="A23" s="7" t="s">
        <v>108</v>
      </c>
      <c r="B23" s="7" t="str">
        <f aca="false">IFERROR(INDEX('Source 2026'!$C:$C,MATCH($A23,'Source 2026'!$B:$B,0)),IFERROR(INDEX('Source 2025'!$C:$C,MATCH($A23,'Source 2025'!$B:$B,0)),""))</f>
        <v>גב אפורה</v>
      </c>
      <c r="C23" s="8" t="n">
        <f aca="false">SUMIFS('Source 2025'!$U:$U,'Source 2025'!$B:$B,$A23,'Source 2025'!$A:$A,"Quantity (units)")</f>
        <v>-1</v>
      </c>
      <c r="D23" s="8" t="n">
        <f aca="false">SUMIFS('Source 2026'!$U:$U,'Source 2026'!$B:$B,$A23,'Source 2026'!$A:$A,"Quantity (units)")</f>
        <v>0</v>
      </c>
      <c r="E23" s="8" t="n">
        <f aca="false">D23-C23</f>
        <v>1</v>
      </c>
      <c r="F23" s="9" t="n">
        <f aca="false">IF(AND(C23=0,D23=0),0,IF(C23=0,"New",(D23-C23)/C23))</f>
        <v>-1</v>
      </c>
      <c r="G23" s="10" t="n">
        <f aca="false">SUMIFS('Source 2025'!$U:$U,'Source 2025'!$B:$B,$A23,'Source 2025'!$A:$A,"Amount (NIS)")</f>
        <v>-156.2</v>
      </c>
      <c r="H23" s="10" t="n">
        <f aca="false">SUMIFS('Source 2026'!$U:$U,'Source 2026'!$B:$B,$A23,'Source 2026'!$A:$A,"Amount (NIS)")</f>
        <v>0</v>
      </c>
      <c r="I23" s="10" t="n">
        <f aca="false">H23-G23</f>
        <v>156.2</v>
      </c>
      <c r="J23" s="9" t="n">
        <f aca="false">IF(AND(G23=0,H23=0),0,IF(G23=0,"New",(H23-G23)/G23))</f>
        <v>-1</v>
      </c>
    </row>
    <row r="24" customFormat="false" ht="15" hidden="false" customHeight="false" outlineLevel="0" collapsed="false">
      <c r="A24" s="7" t="s">
        <v>51</v>
      </c>
      <c r="B24" s="7" t="str">
        <f aca="false">IFERROR(INDEX('Source 2026'!$C:$C,MATCH($A24,'Source 2026'!$B:$B,0)),IFERROR(INDEX('Source 2025'!$C:$C,MATCH($A24,'Source 2025'!$B:$B,0)),""))</f>
        <v>Sמגן ברך ארוך לבן</v>
      </c>
      <c r="C24" s="8" t="n">
        <f aca="false">SUMIFS('Source 2025'!$U:$U,'Source 2025'!$B:$B,$A24,'Source 2025'!$A:$A,"Quantity (units)")</f>
        <v>0</v>
      </c>
      <c r="D24" s="8" t="n">
        <f aca="false">SUMIFS('Source 2026'!$U:$U,'Source 2026'!$B:$B,$A24,'Source 2026'!$A:$A,"Quantity (units)")</f>
        <v>-3</v>
      </c>
      <c r="E24" s="8" t="n">
        <f aca="false">D24-C24</f>
        <v>-3</v>
      </c>
      <c r="F24" s="9" t="str">
        <f aca="false">IF(AND(C24=0,D24=0),0,IF(C24=0,"New",(D24-C24)/C24))</f>
        <v>New</v>
      </c>
      <c r="G24" s="10" t="n">
        <f aca="false">SUMIFS('Source 2025'!$U:$U,'Source 2025'!$B:$B,$A24,'Source 2025'!$A:$A,"Amount (NIS)")</f>
        <v>0</v>
      </c>
      <c r="H24" s="10" t="n">
        <f aca="false">SUMIFS('Source 2026'!$U:$U,'Source 2026'!$B:$B,$A24,'Source 2026'!$A:$A,"Amount (NIS)")</f>
        <v>-149.7</v>
      </c>
      <c r="I24" s="10" t="n">
        <f aca="false">H24-G24</f>
        <v>-149.7</v>
      </c>
      <c r="J24" s="9" t="str">
        <f aca="false">IF(AND(G24=0,H24=0),0,IF(G24=0,"New",(H24-G24)/G24))</f>
        <v>New</v>
      </c>
    </row>
    <row r="25" customFormat="false" ht="15" hidden="false" customHeight="false" outlineLevel="0" collapsed="false">
      <c r="A25" s="7" t="s">
        <v>57</v>
      </c>
      <c r="B25" s="7" t="str">
        <f aca="false">IFERROR(INDEX('Source 2026'!$C:$C,MATCH($A25,'Source 2026'!$B:$B,0)),IFERROR(INDEX('Source 2025'!$C:$C,MATCH($A25,'Source 2025'!$B:$B,0)),""))</f>
        <v>S""חגורת בטן""אורירית</v>
      </c>
      <c r="C25" s="8" t="n">
        <f aca="false">SUMIFS('Source 2025'!$U:$U,'Source 2025'!$B:$B,$A25,'Source 2025'!$A:$A,"Quantity (units)")</f>
        <v>-5</v>
      </c>
      <c r="D25" s="8" t="n">
        <f aca="false">SUMIFS('Source 2026'!$U:$U,'Source 2026'!$B:$B,$A25,'Source 2026'!$A:$A,"Quantity (units)")</f>
        <v>-4</v>
      </c>
      <c r="E25" s="8" t="n">
        <f aca="false">D25-C25</f>
        <v>1</v>
      </c>
      <c r="F25" s="9" t="n">
        <f aca="false">IF(AND(C25=0,D25=0),0,IF(C25=0,"New",(D25-C25)/C25))</f>
        <v>-0.2</v>
      </c>
      <c r="G25" s="10" t="n">
        <f aca="false">SUMIFS('Source 2025'!$U:$U,'Source 2025'!$B:$B,$A25,'Source 2025'!$A:$A,"Amount (NIS)")</f>
        <v>-718.5</v>
      </c>
      <c r="H25" s="10" t="n">
        <f aca="false">SUMIFS('Source 2026'!$U:$U,'Source 2026'!$B:$B,$A25,'Source 2026'!$A:$A,"Amount (NIS)")</f>
        <v>-574.8</v>
      </c>
      <c r="I25" s="10" t="n">
        <f aca="false">H25-G25</f>
        <v>143.7</v>
      </c>
      <c r="J25" s="9" t="n">
        <f aca="false">IF(AND(G25=0,H25=0),0,IF(G25=0,"New",(H25-G25)/G25))</f>
        <v>-0.2</v>
      </c>
    </row>
    <row r="26" customFormat="false" ht="15" hidden="false" customHeight="false" outlineLevel="0" collapsed="false">
      <c r="A26" s="7" t="s">
        <v>100</v>
      </c>
      <c r="B26" s="7" t="str">
        <f aca="false">IFERROR(INDEX('Source 2026'!$C:$C,MATCH($A26,'Source 2026'!$B:$B,0)),IFERROR(INDEX('Source 2025'!$C:$C,MATCH($A26,'Source 2025'!$B:$B,0)),""))</f>
        <v>L חבק יד מתכוון עם צמדן</v>
      </c>
      <c r="C26" s="8" t="n">
        <f aca="false">SUMIFS('Source 2025'!$U:$U,'Source 2025'!$B:$B,$A26,'Source 2025'!$A:$A,"Quantity (units)")</f>
        <v>0</v>
      </c>
      <c r="D26" s="8" t="n">
        <f aca="false">SUMIFS('Source 2026'!$U:$U,'Source 2026'!$B:$B,$A26,'Source 2026'!$A:$A,"Quantity (units)")</f>
        <v>-3</v>
      </c>
      <c r="E26" s="8" t="n">
        <f aca="false">D26-C26</f>
        <v>-3</v>
      </c>
      <c r="F26" s="9" t="str">
        <f aca="false">IF(AND(C26=0,D26=0),0,IF(C26=0,"New",(D26-C26)/C26))</f>
        <v>New</v>
      </c>
      <c r="G26" s="10" t="n">
        <f aca="false">SUMIFS('Source 2025'!$U:$U,'Source 2025'!$B:$B,$A26,'Source 2025'!$A:$A,"Amount (NIS)")</f>
        <v>0</v>
      </c>
      <c r="H26" s="10" t="n">
        <f aca="false">SUMIFS('Source 2026'!$U:$U,'Source 2026'!$B:$B,$A26,'Source 2026'!$A:$A,"Amount (NIS)")</f>
        <v>-132.9</v>
      </c>
      <c r="I26" s="10" t="n">
        <f aca="false">H26-G26</f>
        <v>-132.9</v>
      </c>
      <c r="J26" s="9" t="str">
        <f aca="false">IF(AND(G26=0,H26=0),0,IF(G26=0,"New",(H26-G26)/G26))</f>
        <v>New</v>
      </c>
    </row>
    <row r="27" customFormat="false" ht="15" hidden="false" customHeight="false" outlineLevel="0" collapsed="false">
      <c r="A27" s="7" t="s">
        <v>89</v>
      </c>
      <c r="B27" s="7" t="str">
        <f aca="false">IFERROR(INDEX('Source 2026'!$C:$C,MATCH($A27,'Source 2026'!$B:$B,0)),IFERROR(INDEX('Source 2025'!$C:$C,MATCH($A27,'Source 2025'!$B:$B,0)),""))</f>
        <v>מדרס אורטופ.מתכוון35-36</v>
      </c>
      <c r="C27" s="8" t="n">
        <f aca="false">SUMIFS('Source 2025'!$U:$U,'Source 2025'!$B:$B,$A27,'Source 2025'!$A:$A,"Quantity (units)")</f>
        <v>-1</v>
      </c>
      <c r="D27" s="8" t="n">
        <f aca="false">SUMIFS('Source 2026'!$U:$U,'Source 2026'!$B:$B,$A27,'Source 2026'!$A:$A,"Quantity (units)")</f>
        <v>0</v>
      </c>
      <c r="E27" s="8" t="n">
        <f aca="false">D27-C27</f>
        <v>1</v>
      </c>
      <c r="F27" s="9" t="n">
        <f aca="false">IF(AND(C27=0,D27=0),0,IF(C27=0,"New",(D27-C27)/C27))</f>
        <v>-1</v>
      </c>
      <c r="G27" s="10" t="n">
        <f aca="false">SUMIFS('Source 2025'!$U:$U,'Source 2025'!$B:$B,$A27,'Source 2025'!$A:$A,"Amount (NIS)")</f>
        <v>-124.9</v>
      </c>
      <c r="H27" s="10" t="n">
        <f aca="false">SUMIFS('Source 2026'!$U:$U,'Source 2026'!$B:$B,$A27,'Source 2026'!$A:$A,"Amount (NIS)")</f>
        <v>0</v>
      </c>
      <c r="I27" s="10" t="n">
        <f aca="false">H27-G27</f>
        <v>124.9</v>
      </c>
      <c r="J27" s="9" t="n">
        <f aca="false">IF(AND(G27=0,H27=0),0,IF(G27=0,"New",(H27-G27)/G27))</f>
        <v>-1</v>
      </c>
    </row>
    <row r="28" customFormat="false" ht="15" hidden="false" customHeight="false" outlineLevel="0" collapsed="false">
      <c r="A28" s="7" t="s">
        <v>59</v>
      </c>
      <c r="B28" s="7" t="str">
        <f aca="false">IFERROR(INDEX('Source 2026'!$C:$C,MATCH($A28,'Source 2026'!$B:$B,0)),IFERROR(INDEX('Source 2025'!$C:$C,MATCH($A28,'Source 2025'!$B:$B,0)),""))</f>
        <v>יד אגודלי</v>
      </c>
      <c r="C28" s="8" t="n">
        <f aca="false">SUMIFS('Source 2025'!$U:$U,'Source 2025'!$B:$B,$A28,'Source 2025'!$A:$A,"Quantity (units)")</f>
        <v>0</v>
      </c>
      <c r="D28" s="8" t="n">
        <f aca="false">SUMIFS('Source 2026'!$U:$U,'Source 2026'!$B:$B,$A28,'Source 2026'!$A:$A,"Quantity (units)")</f>
        <v>-2</v>
      </c>
      <c r="E28" s="8" t="n">
        <f aca="false">D28-C28</f>
        <v>-2</v>
      </c>
      <c r="F28" s="9" t="str">
        <f aca="false">IF(AND(C28=0,D28=0),0,IF(C28=0,"New",(D28-C28)/C28))</f>
        <v>New</v>
      </c>
      <c r="G28" s="10" t="n">
        <f aca="false">SUMIFS('Source 2025'!$U:$U,'Source 2025'!$B:$B,$A28,'Source 2025'!$A:$A,"Amount (NIS)")</f>
        <v>0</v>
      </c>
      <c r="H28" s="10" t="n">
        <f aca="false">SUMIFS('Source 2026'!$U:$U,'Source 2026'!$B:$B,$A28,'Source 2026'!$A:$A,"Amount (NIS)")</f>
        <v>-124.9</v>
      </c>
      <c r="I28" s="10" t="n">
        <f aca="false">H28-G28</f>
        <v>-124.9</v>
      </c>
      <c r="J28" s="9" t="str">
        <f aca="false">IF(AND(G28=0,H28=0),0,IF(G28=0,"New",(H28-G28)/G28))</f>
        <v>New</v>
      </c>
    </row>
    <row r="29" customFormat="false" ht="15" hidden="false" customHeight="false" outlineLevel="0" collapsed="false">
      <c r="A29" s="7" t="s">
        <v>53</v>
      </c>
      <c r="B29" s="7" t="str">
        <f aca="false">IFERROR(INDEX('Source 2026'!$C:$C,MATCH($A29,'Source 2026'!$B:$B,0)),IFERROR(INDEX('Source 2025'!$C:$C,MATCH($A29,'Source 2025'!$B:$B,0)),""))</f>
        <v>סד ליד דו צדדי</v>
      </c>
      <c r="C29" s="8" t="n">
        <f aca="false">SUMIFS('Source 2025'!$U:$U,'Source 2025'!$B:$B,$A29,'Source 2025'!$A:$A,"Quantity (units)")</f>
        <v>0</v>
      </c>
      <c r="D29" s="8" t="n">
        <f aca="false">SUMIFS('Source 2026'!$U:$U,'Source 2026'!$B:$B,$A29,'Source 2026'!$A:$A,"Quantity (units)")</f>
        <v>-1</v>
      </c>
      <c r="E29" s="8" t="n">
        <f aca="false">D29-C29</f>
        <v>-1</v>
      </c>
      <c r="F29" s="9" t="str">
        <f aca="false">IF(AND(C29=0,D29=0),0,IF(C29=0,"New",(D29-C29)/C29))</f>
        <v>New</v>
      </c>
      <c r="G29" s="10" t="n">
        <f aca="false">SUMIFS('Source 2025'!$U:$U,'Source 2025'!$B:$B,$A29,'Source 2025'!$A:$A,"Amount (NIS)")</f>
        <v>0</v>
      </c>
      <c r="H29" s="10" t="n">
        <f aca="false">SUMIFS('Source 2026'!$U:$U,'Source 2026'!$B:$B,$A29,'Source 2026'!$A:$A,"Amount (NIS)")</f>
        <v>-106.2</v>
      </c>
      <c r="I29" s="10" t="n">
        <f aca="false">H29-G29</f>
        <v>-106.2</v>
      </c>
      <c r="J29" s="9" t="str">
        <f aca="false">IF(AND(G29=0,H29=0),0,IF(G29=0,"New",(H29-G29)/G29))</f>
        <v>New</v>
      </c>
    </row>
    <row r="30" customFormat="false" ht="15" hidden="false" customHeight="false" outlineLevel="0" collapsed="false">
      <c r="A30" s="7" t="s">
        <v>211</v>
      </c>
      <c r="B30" s="7" t="str">
        <f aca="false">IFERROR(INDEX('Source 2026'!$C:$C,MATCH($A30,'Source 2026'!$B:$B,0)),IFERROR(INDEX('Source 2025'!$C:$C,MATCH($A30,'Source 2025'!$B:$B,0)),""))</f>
        <v>נגד פטרת הציפורן</v>
      </c>
      <c r="C30" s="8" t="n">
        <f aca="false">SUMIFS('Source 2025'!$U:$U,'Source 2025'!$B:$B,$A30,'Source 2025'!$A:$A,"Quantity (units)")</f>
        <v>-2</v>
      </c>
      <c r="D30" s="8" t="n">
        <f aca="false">SUMIFS('Source 2026'!$U:$U,'Source 2026'!$B:$B,$A30,'Source 2026'!$A:$A,"Quantity (units)")</f>
        <v>0</v>
      </c>
      <c r="E30" s="8" t="n">
        <f aca="false">D30-C30</f>
        <v>2</v>
      </c>
      <c r="F30" s="9" t="n">
        <f aca="false">IF(AND(C30=0,D30=0),0,IF(C30=0,"New",(D30-C30)/C30))</f>
        <v>-1</v>
      </c>
      <c r="G30" s="10" t="n">
        <f aca="false">SUMIFS('Source 2025'!$U:$U,'Source 2025'!$B:$B,$A30,'Source 2025'!$A:$A,"Amount (NIS)")</f>
        <v>-94.4</v>
      </c>
      <c r="H30" s="10" t="n">
        <f aca="false">SUMIFS('Source 2026'!$U:$U,'Source 2026'!$B:$B,$A30,'Source 2026'!$A:$A,"Amount (NIS)")</f>
        <v>0</v>
      </c>
      <c r="I30" s="10" t="n">
        <f aca="false">H30-G30</f>
        <v>94.4</v>
      </c>
      <c r="J30" s="9" t="n">
        <f aca="false">IF(AND(G30=0,H30=0),0,IF(G30=0,"New",(H30-G30)/G30))</f>
        <v>-1</v>
      </c>
    </row>
    <row r="31" customFormat="false" ht="15" hidden="false" customHeight="false" outlineLevel="0" collapsed="false">
      <c r="A31" s="7" t="s">
        <v>91</v>
      </c>
      <c r="B31" s="7" t="str">
        <f aca="false">IFERROR(INDEX('Source 2026'!$C:$C,MATCH($A31,'Source 2026'!$B:$B,0)),IFERROR(INDEX('Source 2025'!$C:$C,MATCH($A31,'Source 2025'!$B:$B,0)),""))</f>
        <v>בליסטר פלסטר</v>
      </c>
      <c r="C31" s="8" t="n">
        <f aca="false">SUMIFS('Source 2025'!$U:$U,'Source 2025'!$B:$B,$A31,'Source 2025'!$A:$A,"Quantity (units)")</f>
        <v>0</v>
      </c>
      <c r="D31" s="8" t="n">
        <f aca="false">SUMIFS('Source 2026'!$U:$U,'Source 2026'!$B:$B,$A31,'Source 2026'!$A:$A,"Quantity (units)")</f>
        <v>-3</v>
      </c>
      <c r="E31" s="8" t="n">
        <f aca="false">D31-C31</f>
        <v>-3</v>
      </c>
      <c r="F31" s="9" t="str">
        <f aca="false">IF(AND(C31=0,D31=0),0,IF(C31=0,"New",(D31-C31)/C31))</f>
        <v>New</v>
      </c>
      <c r="G31" s="10" t="n">
        <f aca="false">SUMIFS('Source 2025'!$U:$U,'Source 2025'!$B:$B,$A31,'Source 2025'!$A:$A,"Amount (NIS)")</f>
        <v>0</v>
      </c>
      <c r="H31" s="10" t="n">
        <f aca="false">SUMIFS('Source 2026'!$U:$U,'Source 2026'!$B:$B,$A31,'Source 2026'!$A:$A,"Amount (NIS)")</f>
        <v>-78.6</v>
      </c>
      <c r="I31" s="10" t="n">
        <f aca="false">H31-G31</f>
        <v>-78.6</v>
      </c>
      <c r="J31" s="9" t="str">
        <f aca="false">IF(AND(G31=0,H31=0),0,IF(G31=0,"New",(H31-G31)/G31))</f>
        <v>New</v>
      </c>
    </row>
    <row r="32" customFormat="false" ht="15" hidden="false" customHeight="false" outlineLevel="0" collapsed="false">
      <c r="A32" s="7" t="s">
        <v>269</v>
      </c>
      <c r="B32" s="7" t="str">
        <f aca="false">IFERROR(INDEX('Source 2026'!$C:$C,MATCH($A32,'Source 2026'!$B:$B,0)),IFERROR(INDEX('Source 2025'!$C:$C,MATCH($A32,'Source 2025'!$B:$B,0)),""))</f>
        <v>שרוול מסיליקון לאצבע</v>
      </c>
      <c r="C32" s="8" t="n">
        <f aca="false">SUMIFS('Source 2025'!$U:$U,'Source 2025'!$B:$B,$A32,'Source 2025'!$A:$A,"Quantity (units)")</f>
        <v>0</v>
      </c>
      <c r="D32" s="8" t="n">
        <f aca="false">SUMIFS('Source 2026'!$U:$U,'Source 2026'!$B:$B,$A32,'Source 2026'!$A:$A,"Quantity (units)")</f>
        <v>-3</v>
      </c>
      <c r="E32" s="8" t="n">
        <f aca="false">D32-C32</f>
        <v>-3</v>
      </c>
      <c r="F32" s="9" t="str">
        <f aca="false">IF(AND(C32=0,D32=0),0,IF(C32=0,"New",(D32-C32)/C32))</f>
        <v>New</v>
      </c>
      <c r="G32" s="10" t="n">
        <f aca="false">SUMIFS('Source 2025'!$U:$U,'Source 2025'!$B:$B,$A32,'Source 2025'!$A:$A,"Amount (NIS)")</f>
        <v>0</v>
      </c>
      <c r="H32" s="10" t="n">
        <f aca="false">SUMIFS('Source 2026'!$U:$U,'Source 2026'!$B:$B,$A32,'Source 2026'!$A:$A,"Amount (NIS)")</f>
        <v>-74.8</v>
      </c>
      <c r="I32" s="10" t="n">
        <f aca="false">H32-G32</f>
        <v>-74.8</v>
      </c>
      <c r="J32" s="9" t="str">
        <f aca="false">IF(AND(G32=0,H32=0),0,IF(G32=0,"New",(H32-G32)/G32))</f>
        <v>New</v>
      </c>
    </row>
    <row r="33" customFormat="false" ht="15" hidden="false" customHeight="false" outlineLevel="0" collapsed="false">
      <c r="A33" s="7" t="s">
        <v>284</v>
      </c>
      <c r="B33" s="7" t="str">
        <f aca="false">IFERROR(INDEX('Source 2026'!$C:$C,MATCH($A33,'Source 2026'!$B:$B,0)),IFERROR(INDEX('Source 2025'!$C:$C,MATCH($A33,'Source 2025'!$B:$B,0)),""))</f>
        <v>לחץ מיבלת2יח</v>
      </c>
      <c r="C33" s="8" t="n">
        <f aca="false">SUMIFS('Source 2025'!$U:$U,'Source 2025'!$B:$B,$A33,'Source 2025'!$A:$A,"Quantity (units)")</f>
        <v>0</v>
      </c>
      <c r="D33" s="8" t="n">
        <f aca="false">SUMIFS('Source 2026'!$U:$U,'Source 2026'!$B:$B,$A33,'Source 2026'!$A:$A,"Quantity (units)")</f>
        <v>-3</v>
      </c>
      <c r="E33" s="8" t="n">
        <f aca="false">D33-C33</f>
        <v>-3</v>
      </c>
      <c r="F33" s="9" t="str">
        <f aca="false">IF(AND(C33=0,D33=0),0,IF(C33=0,"New",(D33-C33)/C33))</f>
        <v>New</v>
      </c>
      <c r="G33" s="10" t="n">
        <f aca="false">SUMIFS('Source 2025'!$U:$U,'Source 2025'!$B:$B,$A33,'Source 2025'!$A:$A,"Amount (NIS)")</f>
        <v>0</v>
      </c>
      <c r="H33" s="10" t="n">
        <f aca="false">SUMIFS('Source 2026'!$U:$U,'Source 2026'!$B:$B,$A33,'Source 2026'!$A:$A,"Amount (NIS)")</f>
        <v>-67.3</v>
      </c>
      <c r="I33" s="10" t="n">
        <f aca="false">H33-G33</f>
        <v>-67.3</v>
      </c>
      <c r="J33" s="9" t="str">
        <f aca="false">IF(AND(G33=0,H33=0),0,IF(G33=0,"New",(H33-G33)/G33))</f>
        <v>New</v>
      </c>
    </row>
    <row r="34" customFormat="false" ht="15" hidden="false" customHeight="false" outlineLevel="0" collapsed="false">
      <c r="A34" s="7" t="s">
        <v>47</v>
      </c>
      <c r="B34" s="7" t="str">
        <f aca="false">IFERROR(INDEX('Source 2026'!$C:$C,MATCH($A34,'Source 2026'!$B:$B,0)),IFERROR(INDEX('Source 2025'!$C:$C,MATCH($A34,'Source 2025'!$B:$B,0)),""))</f>
        <v>M מגן קרסול עקב סגור</v>
      </c>
      <c r="C34" s="8" t="n">
        <f aca="false">SUMIFS('Source 2025'!$U:$U,'Source 2025'!$B:$B,$A34,'Source 2025'!$A:$A,"Quantity (units)")</f>
        <v>-4</v>
      </c>
      <c r="D34" s="8" t="n">
        <f aca="false">SUMIFS('Source 2026'!$U:$U,'Source 2026'!$B:$B,$A34,'Source 2026'!$A:$A,"Quantity (units)")</f>
        <v>-3</v>
      </c>
      <c r="E34" s="8" t="n">
        <f aca="false">D34-C34</f>
        <v>1</v>
      </c>
      <c r="F34" s="9" t="n">
        <f aca="false">IF(AND(C34=0,D34=0),0,IF(C34=0,"New",(D34-C34)/C34))</f>
        <v>-0.25</v>
      </c>
      <c r="G34" s="10" t="n">
        <f aca="false">SUMIFS('Source 2025'!$U:$U,'Source 2025'!$B:$B,$A34,'Source 2025'!$A:$A,"Amount (NIS)")</f>
        <v>-249.7</v>
      </c>
      <c r="H34" s="10" t="n">
        <f aca="false">SUMIFS('Source 2026'!$U:$U,'Source 2026'!$B:$B,$A34,'Source 2026'!$A:$A,"Amount (NIS)")</f>
        <v>-187.3</v>
      </c>
      <c r="I34" s="10" t="n">
        <f aca="false">H34-G34</f>
        <v>62.4</v>
      </c>
      <c r="J34" s="9" t="n">
        <f aca="false">IF(AND(G34=0,H34=0),0,IF(G34=0,"New",(H34-G34)/G34))</f>
        <v>-0.249899879855827</v>
      </c>
    </row>
    <row r="35" customFormat="false" ht="15" hidden="false" customHeight="false" outlineLevel="0" collapsed="false">
      <c r="A35" s="7" t="s">
        <v>60</v>
      </c>
      <c r="B35" s="7" t="str">
        <f aca="false">IFERROR(INDEX('Source 2026'!$C:$C,MATCH($A35,'Source 2026'!$B:$B,0)),IFERROR(INDEX('Source 2025'!$C:$C,MATCH($A35,'Source 2025'!$B:$B,0)),""))</f>
        <v>יד אגודלי</v>
      </c>
      <c r="C35" s="8" t="n">
        <f aca="false">SUMIFS('Source 2025'!$U:$U,'Source 2025'!$B:$B,$A35,'Source 2025'!$A:$A,"Quantity (units)")</f>
        <v>0</v>
      </c>
      <c r="D35" s="8" t="n">
        <f aca="false">SUMIFS('Source 2026'!$U:$U,'Source 2026'!$B:$B,$A35,'Source 2026'!$A:$A,"Quantity (units)")</f>
        <v>-1</v>
      </c>
      <c r="E35" s="8" t="n">
        <f aca="false">D35-C35</f>
        <v>-1</v>
      </c>
      <c r="F35" s="9" t="str">
        <f aca="false">IF(AND(C35=0,D35=0),0,IF(C35=0,"New",(D35-C35)/C35))</f>
        <v>New</v>
      </c>
      <c r="G35" s="10" t="n">
        <f aca="false">SUMIFS('Source 2025'!$U:$U,'Source 2025'!$B:$B,$A35,'Source 2025'!$A:$A,"Amount (NIS)")</f>
        <v>0</v>
      </c>
      <c r="H35" s="10" t="n">
        <f aca="false">SUMIFS('Source 2026'!$U:$U,'Source 2026'!$B:$B,$A35,'Source 2026'!$A:$A,"Amount (NIS)")</f>
        <v>-62.4</v>
      </c>
      <c r="I35" s="10" t="n">
        <f aca="false">H35-G35</f>
        <v>-62.4</v>
      </c>
      <c r="J35" s="9" t="str">
        <f aca="false">IF(AND(G35=0,H35=0),0,IF(G35=0,"New",(H35-G35)/G35))</f>
        <v>New</v>
      </c>
    </row>
    <row r="36" customFormat="false" ht="15" hidden="false" customHeight="false" outlineLevel="0" collapsed="false">
      <c r="A36" s="7" t="s">
        <v>169</v>
      </c>
      <c r="B36" s="7" t="str">
        <f aca="false">IFERROR(INDEX('Source 2026'!$C:$C,MATCH($A36,'Source 2026'!$B:$B,0)),IFERROR(INDEX('Source 2025'!$C:$C,MATCH($A36,'Source 2025'!$B:$B,0)),""))</f>
        <v>S-Lטבעת אלסטית מסיליקון</v>
      </c>
      <c r="C36" s="8" t="n">
        <f aca="false">SUMIFS('Source 2025'!$U:$U,'Source 2025'!$B:$B,$A36,'Source 2025'!$A:$A,"Quantity (units)")</f>
        <v>0</v>
      </c>
      <c r="D36" s="8" t="n">
        <f aca="false">SUMIFS('Source 2026'!$U:$U,'Source 2026'!$B:$B,$A36,'Source 2026'!$A:$A,"Quantity (units)")</f>
        <v>-3</v>
      </c>
      <c r="E36" s="8" t="n">
        <f aca="false">D36-C36</f>
        <v>-3</v>
      </c>
      <c r="F36" s="9" t="str">
        <f aca="false">IF(AND(C36=0,D36=0),0,IF(C36=0,"New",(D36-C36)/C36))</f>
        <v>New</v>
      </c>
      <c r="G36" s="10" t="n">
        <f aca="false">SUMIFS('Source 2025'!$U:$U,'Source 2025'!$B:$B,$A36,'Source 2025'!$A:$A,"Amount (NIS)")</f>
        <v>0</v>
      </c>
      <c r="H36" s="10" t="n">
        <f aca="false">SUMIFS('Source 2026'!$U:$U,'Source 2026'!$B:$B,$A36,'Source 2026'!$A:$A,"Amount (NIS)")</f>
        <v>-56.1</v>
      </c>
      <c r="I36" s="10" t="n">
        <f aca="false">H36-G36</f>
        <v>-56.1</v>
      </c>
      <c r="J36" s="9" t="str">
        <f aca="false">IF(AND(G36=0,H36=0),0,IF(G36=0,"New",(H36-G36)/G36))</f>
        <v>New</v>
      </c>
    </row>
    <row r="37" customFormat="false" ht="15" hidden="false" customHeight="false" outlineLevel="0" collapsed="false">
      <c r="A37" s="7" t="s">
        <v>49</v>
      </c>
      <c r="B37" s="7" t="str">
        <f aca="false">IFERROR(INDEX('Source 2026'!$C:$C,MATCH($A37,'Source 2026'!$B:$B,0)),IFERROR(INDEX('Source 2025'!$C:$C,MATCH($A37,'Source 2025'!$B:$B,0)),""))</f>
        <v>S מגן ברך חום</v>
      </c>
      <c r="C37" s="8" t="n">
        <f aca="false">SUMIFS('Source 2025'!$U:$U,'Source 2025'!$B:$B,$A37,'Source 2025'!$A:$A,"Quantity (units)")</f>
        <v>0</v>
      </c>
      <c r="D37" s="8" t="n">
        <f aca="false">SUMIFS('Source 2026'!$U:$U,'Source 2026'!$B:$B,$A37,'Source 2026'!$A:$A,"Quantity (units)")</f>
        <v>-1</v>
      </c>
      <c r="E37" s="8" t="n">
        <f aca="false">D37-C37</f>
        <v>-1</v>
      </c>
      <c r="F37" s="9" t="str">
        <f aca="false">IF(AND(C37=0,D37=0),0,IF(C37=0,"New",(D37-C37)/C37))</f>
        <v>New</v>
      </c>
      <c r="G37" s="10" t="n">
        <f aca="false">SUMIFS('Source 2025'!$U:$U,'Source 2025'!$B:$B,$A37,'Source 2025'!$A:$A,"Amount (NIS)")</f>
        <v>0</v>
      </c>
      <c r="H37" s="10" t="n">
        <f aca="false">SUMIFS('Source 2026'!$U:$U,'Source 2026'!$B:$B,$A37,'Source 2026'!$A:$A,"Amount (NIS)")</f>
        <v>-41.2</v>
      </c>
      <c r="I37" s="10" t="n">
        <f aca="false">H37-G37</f>
        <v>-41.2</v>
      </c>
      <c r="J37" s="9" t="str">
        <f aca="false">IF(AND(G37=0,H37=0),0,IF(G37=0,"New",(H37-G37)/G37))</f>
        <v>New</v>
      </c>
    </row>
    <row r="38" customFormat="false" ht="15" hidden="false" customHeight="false" outlineLevel="0" collapsed="false">
      <c r="A38" s="7" t="s">
        <v>243</v>
      </c>
      <c r="B38" s="7" t="str">
        <f aca="false">IFERROR(INDEX('Source 2026'!$C:$C,MATCH($A38,'Source 2026'!$B:$B,0)),IFERROR(INDEX('Source 2025'!$C:$C,MATCH($A38,'Source 2025'!$B:$B,0)),""))</f>
        <v>בקט.לנעל120</v>
      </c>
      <c r="C38" s="8" t="n">
        <f aca="false">SUMIFS('Source 2025'!$U:$U,'Source 2025'!$B:$B,$A38,'Source 2025'!$A:$A,"Quantity (units)")</f>
        <v>-1</v>
      </c>
      <c r="D38" s="8" t="n">
        <f aca="false">SUMIFS('Source 2026'!$U:$U,'Source 2026'!$B:$B,$A38,'Source 2026'!$A:$A,"Quantity (units)")</f>
        <v>0</v>
      </c>
      <c r="E38" s="8" t="n">
        <f aca="false">D38-C38</f>
        <v>1</v>
      </c>
      <c r="F38" s="9" t="n">
        <f aca="false">IF(AND(C38=0,D38=0),0,IF(C38=0,"New",(D38-C38)/C38))</f>
        <v>-1</v>
      </c>
      <c r="G38" s="10" t="n">
        <f aca="false">SUMIFS('Source 2025'!$U:$U,'Source 2025'!$B:$B,$A38,'Source 2025'!$A:$A,"Amount (NIS)")</f>
        <v>-36.5</v>
      </c>
      <c r="H38" s="10" t="n">
        <f aca="false">SUMIFS('Source 2026'!$U:$U,'Source 2026'!$B:$B,$A38,'Source 2026'!$A:$A,"Amount (NIS)")</f>
        <v>0</v>
      </c>
      <c r="I38" s="10" t="n">
        <f aca="false">H38-G38</f>
        <v>36.5</v>
      </c>
      <c r="J38" s="9" t="n">
        <f aca="false">IF(AND(G38=0,H38=0),0,IF(G38=0,"New",(H38-G38)/G38))</f>
        <v>-1</v>
      </c>
    </row>
    <row r="39" customFormat="false" ht="15" hidden="false" customHeight="false" outlineLevel="0" collapsed="false">
      <c r="A39" s="7" t="s">
        <v>238</v>
      </c>
      <c r="B39" s="7" t="str">
        <f aca="false">IFERROR(INDEX('Source 2026'!$C:$C,MATCH($A39,'Source 2026'!$B:$B,0)),IFERROR(INDEX('Source 2025'!$C:$C,MATCH($A39,'Source 2025'!$B:$B,0)),""))</f>
        <v>120 תתתרסיס מרענן לרגל</v>
      </c>
      <c r="C39" s="8" t="n">
        <f aca="false">SUMIFS('Source 2025'!$U:$U,'Source 2025'!$B:$B,$A39,'Source 2025'!$A:$A,"Quantity (units)")</f>
        <v>-1</v>
      </c>
      <c r="D39" s="8" t="n">
        <f aca="false">SUMIFS('Source 2026'!$U:$U,'Source 2026'!$B:$B,$A39,'Source 2026'!$A:$A,"Quantity (units)")</f>
        <v>0</v>
      </c>
      <c r="E39" s="8" t="n">
        <f aca="false">D39-C39</f>
        <v>1</v>
      </c>
      <c r="F39" s="9" t="n">
        <f aca="false">IF(AND(C39=0,D39=0),0,IF(C39=0,"New",(D39-C39)/C39))</f>
        <v>-1</v>
      </c>
      <c r="G39" s="10" t="n">
        <f aca="false">SUMIFS('Source 2025'!$U:$U,'Source 2025'!$B:$B,$A39,'Source 2025'!$A:$A,"Amount (NIS)")</f>
        <v>-36.5</v>
      </c>
      <c r="H39" s="10" t="n">
        <f aca="false">SUMIFS('Source 2026'!$U:$U,'Source 2026'!$B:$B,$A39,'Source 2026'!$A:$A,"Amount (NIS)")</f>
        <v>0</v>
      </c>
      <c r="I39" s="10" t="n">
        <f aca="false">H39-G39</f>
        <v>36.5</v>
      </c>
      <c r="J39" s="9" t="n">
        <f aca="false">IF(AND(G39=0,H39=0),0,IF(G39=0,"New",(H39-G39)/G39))</f>
        <v>-1</v>
      </c>
    </row>
    <row r="40" customFormat="false" ht="15" hidden="false" customHeight="false" outlineLevel="0" collapsed="false">
      <c r="A40" s="7" t="s">
        <v>388</v>
      </c>
      <c r="B40" s="7" t="str">
        <f aca="false">IFERROR(INDEX('Source 2026'!$C:$C,MATCH($A40,'Source 2026'!$B:$B,0)),IFERROR(INDEX('Source 2025'!$C:$C,MATCH($A40,'Source 2025'!$B:$B,0)),""))</f>
        <v>דאודורנט לכף הרגל</v>
      </c>
      <c r="C40" s="8" t="n">
        <f aca="false">SUMIFS('Source 2025'!$U:$U,'Source 2025'!$B:$B,$A40,'Source 2025'!$A:$A,"Quantity (units)")</f>
        <v>-1</v>
      </c>
      <c r="D40" s="8" t="n">
        <f aca="false">SUMIFS('Source 2026'!$U:$U,'Source 2026'!$B:$B,$A40,'Source 2026'!$A:$A,"Quantity (units)")</f>
        <v>0</v>
      </c>
      <c r="E40" s="8" t="n">
        <f aca="false">D40-C40</f>
        <v>1</v>
      </c>
      <c r="F40" s="9" t="n">
        <f aca="false">IF(AND(C40=0,D40=0),0,IF(C40=0,"New",(D40-C40)/C40))</f>
        <v>-1</v>
      </c>
      <c r="G40" s="10" t="n">
        <f aca="false">SUMIFS('Source 2025'!$U:$U,'Source 2025'!$B:$B,$A40,'Source 2025'!$A:$A,"Amount (NIS)")</f>
        <v>-29.7</v>
      </c>
      <c r="H40" s="10" t="n">
        <f aca="false">SUMIFS('Source 2026'!$U:$U,'Source 2026'!$B:$B,$A40,'Source 2026'!$A:$A,"Amount (NIS)")</f>
        <v>0</v>
      </c>
      <c r="I40" s="10" t="n">
        <f aca="false">H40-G40</f>
        <v>29.7</v>
      </c>
      <c r="J40" s="9" t="n">
        <f aca="false">IF(AND(G40=0,H40=0),0,IF(G40=0,"New",(H40-G40)/G40))</f>
        <v>-1</v>
      </c>
    </row>
    <row r="41" customFormat="false" ht="15" hidden="false" customHeight="false" outlineLevel="0" collapsed="false">
      <c r="A41" s="7" t="s">
        <v>389</v>
      </c>
      <c r="B41" s="7" t="str">
        <f aca="false">IFERROR(INDEX('Source 2026'!$C:$C,MATCH($A41,'Source 2026'!$B:$B,0)),IFERROR(INDEX('Source 2025'!$C:$C,MATCH($A41,'Source 2025'!$B:$B,0)),""))</f>
        <v>מירוק גרגרי פילינג</v>
      </c>
      <c r="C41" s="8" t="n">
        <f aca="false">SUMIFS('Source 2025'!$U:$U,'Source 2025'!$B:$B,$A41,'Source 2025'!$A:$A,"Quantity (units)")</f>
        <v>-1</v>
      </c>
      <c r="D41" s="8" t="n">
        <f aca="false">SUMIFS('Source 2026'!$U:$U,'Source 2026'!$B:$B,$A41,'Source 2026'!$A:$A,"Quantity (units)")</f>
        <v>0</v>
      </c>
      <c r="E41" s="8" t="n">
        <f aca="false">D41-C41</f>
        <v>1</v>
      </c>
      <c r="F41" s="9" t="n">
        <f aca="false">IF(AND(C41=0,D41=0),0,IF(C41=0,"New",(D41-C41)/C41))</f>
        <v>-1</v>
      </c>
      <c r="G41" s="10" t="n">
        <f aca="false">SUMIFS('Source 2025'!$U:$U,'Source 2025'!$B:$B,$A41,'Source 2025'!$A:$A,"Amount (NIS)")</f>
        <v>-29.7</v>
      </c>
      <c r="H41" s="10" t="n">
        <f aca="false">SUMIFS('Source 2026'!$U:$U,'Source 2026'!$B:$B,$A41,'Source 2026'!$A:$A,"Amount (NIS)")</f>
        <v>0</v>
      </c>
      <c r="I41" s="10" t="n">
        <f aca="false">H41-G41</f>
        <v>29.7</v>
      </c>
      <c r="J41" s="9" t="n">
        <f aca="false">IF(AND(G41=0,H41=0),0,IF(G41=0,"New",(H41-G41)/G41))</f>
        <v>-1</v>
      </c>
    </row>
    <row r="42" customFormat="false" ht="15" hidden="false" customHeight="false" outlineLevel="0" collapsed="false">
      <c r="A42" s="7" t="s">
        <v>110</v>
      </c>
      <c r="B42" s="7" t="str">
        <f aca="false">IFERROR(INDEX('Source 2026'!$C:$C,MATCH($A42,'Source 2026'!$B:$B,0)),IFERROR(INDEX('Source 2025'!$C:$C,MATCH($A42,'Source 2025'!$B:$B,0)),""))</f>
        <v>חבק טניס</v>
      </c>
      <c r="C42" s="8" t="n">
        <f aca="false">SUMIFS('Source 2025'!$U:$U,'Source 2025'!$B:$B,$A42,'Source 2025'!$A:$A,"Quantity (units)")</f>
        <v>-2</v>
      </c>
      <c r="D42" s="8" t="n">
        <f aca="false">SUMIFS('Source 2026'!$U:$U,'Source 2026'!$B:$B,$A42,'Source 2026'!$A:$A,"Quantity (units)")</f>
        <v>-2</v>
      </c>
      <c r="E42" s="8" t="n">
        <f aca="false">D42-C42</f>
        <v>0</v>
      </c>
      <c r="F42" s="9" t="n">
        <f aca="false">IF(AND(C42=0,D42=0),0,IF(C42=0,"New",(D42-C42)/C42))</f>
        <v>-0</v>
      </c>
      <c r="G42" s="10" t="n">
        <f aca="false">SUMIFS('Source 2025'!$U:$U,'Source 2025'!$B:$B,$A42,'Source 2025'!$A:$A,"Amount (NIS)")</f>
        <v>-88.1</v>
      </c>
      <c r="H42" s="10" t="n">
        <f aca="false">SUMIFS('Source 2026'!$U:$U,'Source 2026'!$B:$B,$A42,'Source 2026'!$A:$A,"Amount (NIS)")</f>
        <v>-106.1</v>
      </c>
      <c r="I42" s="10" t="n">
        <f aca="false">H42-G42</f>
        <v>-18</v>
      </c>
      <c r="J42" s="9" t="n">
        <f aca="false">IF(AND(G42=0,H42=0),0,IF(G42=0,"New",(H42-G42)/G42))</f>
        <v>0.204313280363224</v>
      </c>
    </row>
    <row r="43" customFormat="false" ht="15" hidden="false" customHeight="false" outlineLevel="0" collapsed="false">
      <c r="A43" s="7" t="s">
        <v>190</v>
      </c>
      <c r="B43" s="7" t="str">
        <f aca="false">IFERROR(INDEX('Source 2026'!$C:$C,MATCH($A43,'Source 2026'!$B:$B,0)),IFERROR(INDEX('Source 2025'!$C:$C,MATCH($A43,'Source 2025'!$B:$B,0)),""))</f>
        <v>M'חגורת גב+סגירה כפו בז</v>
      </c>
      <c r="C43" s="8" t="n">
        <f aca="false">SUMIFS('Source 2025'!$U:$U,'Source 2025'!$B:$B,$A43,'Source 2025'!$A:$A,"Quantity (units)")</f>
        <v>-1</v>
      </c>
      <c r="D43" s="8" t="n">
        <f aca="false">SUMIFS('Source 2026'!$U:$U,'Source 2026'!$B:$B,$A43,'Source 2026'!$A:$A,"Quantity (units)")</f>
        <v>-1</v>
      </c>
      <c r="E43" s="8" t="n">
        <f aca="false">D43-C43</f>
        <v>0</v>
      </c>
      <c r="F43" s="9" t="n">
        <f aca="false">IF(AND(C43=0,D43=0),0,IF(C43=0,"New",(D43-C43)/C43))</f>
        <v>-0</v>
      </c>
      <c r="G43" s="10" t="n">
        <f aca="false">SUMIFS('Source 2025'!$U:$U,'Source 2025'!$B:$B,$A43,'Source 2025'!$A:$A,"Amount (NIS)")</f>
        <v>-148.1</v>
      </c>
      <c r="H43" s="10" t="n">
        <f aca="false">SUMIFS('Source 2026'!$U:$U,'Source 2026'!$B:$B,$A43,'Source 2026'!$A:$A,"Amount (NIS)")</f>
        <v>-148.1</v>
      </c>
      <c r="I43" s="10" t="n">
        <f aca="false">H43-G43</f>
        <v>0</v>
      </c>
      <c r="J43" s="9" t="n">
        <f aca="false">IF(AND(G43=0,H43=0),0,IF(G43=0,"New",(H43-G43)/G43))</f>
        <v>-0</v>
      </c>
    </row>
    <row r="44" customFormat="false" ht="15" hidden="false" customHeight="false" outlineLevel="0" collapsed="false">
      <c r="A44" s="7" t="s">
        <v>84</v>
      </c>
      <c r="B44" s="7" t="str">
        <f aca="false">IFERROR(INDEX('Source 2026'!$C:$C,MATCH($A44,'Source 2026'!$B:$B,0)),IFERROR(INDEX('Source 2025'!$C:$C,MATCH($A44,'Source 2025'!$B:$B,0)),""))</f>
        <v>Sמיישר כתף יציב יישור גב צר</v>
      </c>
      <c r="C44" s="8" t="n">
        <f aca="false">SUMIFS('Source 2025'!$U:$U,'Source 2025'!$B:$B,$A44,'Source 2025'!$A:$A,"Quantity (units)")</f>
        <v>-1</v>
      </c>
      <c r="D44" s="8" t="n">
        <f aca="false">SUMIFS('Source 2026'!$U:$U,'Source 2026'!$B:$B,$A44,'Source 2026'!$A:$A,"Quantity (units)")</f>
        <v>-1</v>
      </c>
      <c r="E44" s="8" t="n">
        <f aca="false">D44-C44</f>
        <v>0</v>
      </c>
      <c r="F44" s="9" t="n">
        <f aca="false">IF(AND(C44=0,D44=0),0,IF(C44=0,"New",(D44-C44)/C44))</f>
        <v>-0</v>
      </c>
      <c r="G44" s="10" t="n">
        <f aca="false">SUMIFS('Source 2025'!$U:$U,'Source 2025'!$B:$B,$A44,'Source 2025'!$A:$A,"Amount (NIS)")</f>
        <v>-218.7</v>
      </c>
      <c r="H44" s="10" t="n">
        <f aca="false">SUMIFS('Source 2026'!$U:$U,'Source 2026'!$B:$B,$A44,'Source 2026'!$A:$A,"Amount (NIS)")</f>
        <v>-218.7</v>
      </c>
      <c r="I44" s="10" t="n">
        <f aca="false">H44-G44</f>
        <v>0</v>
      </c>
      <c r="J44" s="9" t="n">
        <f aca="false">IF(AND(G44=0,H44=0),0,IF(G44=0,"New",(H44-G44)/G44))</f>
        <v>-0</v>
      </c>
    </row>
    <row r="46" customFormat="false" ht="15" hidden="false" customHeight="false" outlineLevel="0" collapsed="false">
      <c r="A46" s="11"/>
      <c r="B46" s="12" t="s">
        <v>257</v>
      </c>
      <c r="C46" s="13" t="n">
        <f aca="false">SUM(C6:C44)</f>
        <v>-39</v>
      </c>
      <c r="D46" s="13" t="n">
        <f aca="false">SUM(D6:D44)</f>
        <v>-128</v>
      </c>
      <c r="E46" s="13" t="n">
        <f aca="false">SUM(E6:E44)</f>
        <v>-89</v>
      </c>
      <c r="F46" s="14" t="n">
        <f aca="false">IF(C46=0,"N/A",E46/C46)</f>
        <v>2.28205128205128</v>
      </c>
      <c r="G46" s="15" t="n">
        <f aca="false">SUM(G6:G44)</f>
        <v>-3696.5</v>
      </c>
      <c r="H46" s="15" t="n">
        <f aca="false">SUM(H6:H44)</f>
        <v>-7567.7</v>
      </c>
      <c r="I46" s="15" t="n">
        <f aca="false">SUM(I6:I44)</f>
        <v>-3871.2</v>
      </c>
      <c r="J46" s="14" t="n">
        <f aca="false">IF(G46=0,"N/A",I46/G46)</f>
        <v>1.04726092249425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21" min="4" style="0" width="13"/>
  </cols>
  <sheetData>
    <row r="1" customFormat="false" ht="14.15" hidden="false" customHeight="false" outlineLevel="0" collapsed="false">
      <c r="A1" s="17" t="s">
        <v>390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customFormat="false" ht="26.85" hidden="false" customHeight="false" outlineLevel="0" collapsed="false">
      <c r="A2" s="18" t="s">
        <v>391</v>
      </c>
      <c r="B2" s="18" t="s">
        <v>392</v>
      </c>
      <c r="C2" s="18" t="s">
        <v>393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  <c r="O2" s="18" t="s">
        <v>23</v>
      </c>
      <c r="P2" s="18" t="s">
        <v>24</v>
      </c>
      <c r="Q2" s="18" t="s">
        <v>25</v>
      </c>
      <c r="R2" s="18" t="s">
        <v>27</v>
      </c>
      <c r="S2" s="18" t="s">
        <v>28</v>
      </c>
      <c r="T2" s="18" t="s">
        <v>29</v>
      </c>
      <c r="U2" s="18" t="s">
        <v>30</v>
      </c>
    </row>
    <row r="3" customFormat="false" ht="15" hidden="false" customHeight="false" outlineLevel="0" collapsed="false">
      <c r="A3" s="7" t="s">
        <v>394</v>
      </c>
      <c r="B3" s="7" t="s">
        <v>82</v>
      </c>
      <c r="C3" s="7" t="s">
        <v>395</v>
      </c>
      <c r="D3" s="10" t="n">
        <v>0</v>
      </c>
      <c r="E3" s="10" t="n">
        <v>0</v>
      </c>
      <c r="F3" s="10" t="n">
        <v>7481.9</v>
      </c>
      <c r="G3" s="10" t="n">
        <v>0</v>
      </c>
      <c r="H3" s="10" t="n">
        <v>0</v>
      </c>
      <c r="I3" s="10" t="n">
        <v>25066.4</v>
      </c>
      <c r="J3" s="10" t="n">
        <v>0</v>
      </c>
      <c r="K3" s="10" t="n">
        <v>264.2</v>
      </c>
      <c r="L3" s="10" t="n">
        <v>0</v>
      </c>
      <c r="M3" s="10" t="n">
        <v>0</v>
      </c>
      <c r="N3" s="10" t="n">
        <v>-23.6</v>
      </c>
      <c r="O3" s="10" t="n">
        <v>0</v>
      </c>
      <c r="P3" s="10" t="n">
        <v>-172</v>
      </c>
      <c r="Q3" s="10" t="n">
        <v>22376.6</v>
      </c>
      <c r="R3" s="10" t="n">
        <v>2621.3</v>
      </c>
      <c r="S3" s="10" t="n">
        <v>0</v>
      </c>
      <c r="T3" s="10" t="n">
        <v>0</v>
      </c>
      <c r="U3" s="10" t="n">
        <v>0</v>
      </c>
    </row>
    <row r="4" customFormat="false" ht="15" hidden="false" customHeight="false" outlineLevel="0" collapsed="false">
      <c r="A4" s="7" t="s">
        <v>394</v>
      </c>
      <c r="B4" s="7" t="s">
        <v>82</v>
      </c>
      <c r="C4" s="7" t="s">
        <v>396</v>
      </c>
      <c r="D4" s="10" t="n">
        <v>0</v>
      </c>
      <c r="E4" s="10" t="n">
        <v>0</v>
      </c>
      <c r="F4" s="10" t="n">
        <v>10290.8</v>
      </c>
      <c r="G4" s="10" t="n">
        <v>0</v>
      </c>
      <c r="H4" s="10" t="n">
        <v>0</v>
      </c>
      <c r="I4" s="10" t="n">
        <v>29622.5</v>
      </c>
      <c r="J4" s="10" t="n">
        <v>0</v>
      </c>
      <c r="K4" s="10" t="n">
        <v>109.2</v>
      </c>
      <c r="L4" s="10" t="n">
        <v>0</v>
      </c>
      <c r="M4" s="10" t="n">
        <v>0</v>
      </c>
      <c r="N4" s="10" t="n">
        <v>-26</v>
      </c>
      <c r="O4" s="10" t="n">
        <v>49.1</v>
      </c>
      <c r="P4" s="10" t="n">
        <v>-302.8</v>
      </c>
      <c r="Q4" s="10" t="n">
        <v>25972.9</v>
      </c>
      <c r="R4" s="10" t="n">
        <v>3820.2</v>
      </c>
      <c r="S4" s="10" t="n">
        <v>0</v>
      </c>
      <c r="T4" s="10" t="n">
        <v>0</v>
      </c>
      <c r="U4" s="10" t="n">
        <v>0</v>
      </c>
    </row>
    <row r="5" customFormat="false" ht="15" hidden="false" customHeight="false" outlineLevel="0" collapsed="false">
      <c r="A5" s="7" t="s">
        <v>394</v>
      </c>
      <c r="B5" s="7" t="s">
        <v>293</v>
      </c>
      <c r="C5" s="7" t="s">
        <v>397</v>
      </c>
      <c r="D5" s="10" t="n">
        <v>0</v>
      </c>
      <c r="E5" s="10" t="n">
        <v>0</v>
      </c>
      <c r="F5" s="10" t="n">
        <v>2239.4</v>
      </c>
      <c r="G5" s="10" t="n">
        <v>0</v>
      </c>
      <c r="H5" s="10" t="n">
        <v>0</v>
      </c>
      <c r="I5" s="10" t="n">
        <v>843.4</v>
      </c>
      <c r="J5" s="10" t="n">
        <v>0</v>
      </c>
      <c r="K5" s="10" t="n">
        <v>57.8</v>
      </c>
      <c r="L5" s="10" t="n">
        <v>0</v>
      </c>
      <c r="M5" s="10" t="n">
        <v>0</v>
      </c>
      <c r="N5" s="10" t="n">
        <v>-8.5</v>
      </c>
      <c r="O5" s="10" t="n">
        <v>101</v>
      </c>
      <c r="P5" s="10" t="n">
        <v>-14.4</v>
      </c>
      <c r="Q5" s="10" t="n">
        <v>0</v>
      </c>
      <c r="R5" s="10" t="n">
        <v>707.6</v>
      </c>
      <c r="S5" s="10" t="n">
        <v>0</v>
      </c>
      <c r="T5" s="10" t="n">
        <v>0</v>
      </c>
      <c r="U5" s="10" t="n">
        <v>0</v>
      </c>
    </row>
    <row r="6" customFormat="false" ht="15" hidden="false" customHeight="false" outlineLevel="0" collapsed="false">
      <c r="A6" s="7" t="s">
        <v>394</v>
      </c>
      <c r="B6" s="7" t="s">
        <v>308</v>
      </c>
      <c r="C6" s="7" t="s">
        <v>398</v>
      </c>
      <c r="D6" s="10" t="n">
        <v>0</v>
      </c>
      <c r="E6" s="10" t="n">
        <v>0</v>
      </c>
      <c r="F6" s="10" t="n">
        <v>1089.5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</row>
    <row r="7" customFormat="false" ht="15" hidden="false" customHeight="false" outlineLevel="0" collapsed="false">
      <c r="A7" s="7" t="s">
        <v>394</v>
      </c>
      <c r="B7" s="7" t="s">
        <v>337</v>
      </c>
      <c r="C7" s="7" t="s">
        <v>399</v>
      </c>
      <c r="D7" s="10" t="n">
        <v>0</v>
      </c>
      <c r="E7" s="10" t="n">
        <v>0</v>
      </c>
      <c r="F7" s="10" t="n">
        <v>318.7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</row>
    <row r="8" customFormat="false" ht="15" hidden="false" customHeight="false" outlineLevel="0" collapsed="false">
      <c r="A8" s="7" t="s">
        <v>394</v>
      </c>
      <c r="B8" s="7" t="s">
        <v>341</v>
      </c>
      <c r="C8" s="7" t="s">
        <v>400</v>
      </c>
      <c r="D8" s="10" t="n">
        <v>0</v>
      </c>
      <c r="E8" s="10" t="n">
        <v>0</v>
      </c>
      <c r="F8" s="10" t="n">
        <v>301.4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</row>
    <row r="9" customFormat="false" ht="15" hidden="false" customHeight="false" outlineLevel="0" collapsed="false">
      <c r="A9" s="7" t="s">
        <v>394</v>
      </c>
      <c r="B9" s="7" t="s">
        <v>336</v>
      </c>
      <c r="C9" s="7" t="s">
        <v>401</v>
      </c>
      <c r="D9" s="10" t="n">
        <v>0</v>
      </c>
      <c r="E9" s="10" t="n">
        <v>0</v>
      </c>
      <c r="F9" s="10" t="n">
        <v>719.1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</row>
    <row r="10" customFormat="false" ht="15" hidden="false" customHeight="false" outlineLevel="0" collapsed="false">
      <c r="A10" s="7" t="s">
        <v>394</v>
      </c>
      <c r="B10" s="7" t="s">
        <v>143</v>
      </c>
      <c r="C10" s="7" t="s">
        <v>402</v>
      </c>
      <c r="D10" s="10" t="n">
        <v>0</v>
      </c>
      <c r="E10" s="10" t="n">
        <v>0</v>
      </c>
      <c r="F10" s="10" t="n">
        <v>3246.9</v>
      </c>
      <c r="G10" s="10" t="n">
        <v>0</v>
      </c>
      <c r="H10" s="10" t="n">
        <v>0</v>
      </c>
      <c r="I10" s="10" t="n">
        <v>5544.2</v>
      </c>
      <c r="J10" s="10" t="n">
        <v>0</v>
      </c>
      <c r="K10" s="10" t="n">
        <v>165.1</v>
      </c>
      <c r="L10" s="10" t="n">
        <v>0</v>
      </c>
      <c r="M10" s="10" t="n">
        <v>0</v>
      </c>
      <c r="N10" s="10" t="n">
        <v>-26</v>
      </c>
      <c r="O10" s="10" t="n">
        <v>0</v>
      </c>
      <c r="P10" s="10" t="n">
        <v>-94.3</v>
      </c>
      <c r="Q10" s="10" t="n">
        <v>4320.4</v>
      </c>
      <c r="R10" s="10" t="n">
        <v>1179</v>
      </c>
      <c r="S10" s="10" t="n">
        <v>0</v>
      </c>
      <c r="T10" s="10" t="n">
        <v>0</v>
      </c>
      <c r="U10" s="10" t="n">
        <v>0</v>
      </c>
    </row>
    <row r="11" customFormat="false" ht="15" hidden="false" customHeight="false" outlineLevel="0" collapsed="false">
      <c r="A11" s="7" t="s">
        <v>394</v>
      </c>
      <c r="B11" s="7" t="s">
        <v>91</v>
      </c>
      <c r="C11" s="7" t="s">
        <v>403</v>
      </c>
      <c r="D11" s="10" t="n">
        <v>0</v>
      </c>
      <c r="E11" s="10" t="n">
        <v>0</v>
      </c>
      <c r="F11" s="10" t="n">
        <v>5509.9</v>
      </c>
      <c r="G11" s="10" t="n">
        <v>0</v>
      </c>
      <c r="H11" s="10" t="n">
        <v>708.9</v>
      </c>
      <c r="I11" s="10" t="n">
        <v>36835</v>
      </c>
      <c r="J11" s="10" t="n">
        <v>0</v>
      </c>
      <c r="K11" s="10" t="n">
        <v>383.4</v>
      </c>
      <c r="L11" s="10" t="n">
        <v>-19.2</v>
      </c>
      <c r="M11" s="10" t="n">
        <v>58.9</v>
      </c>
      <c r="N11" s="10" t="n">
        <v>10.9</v>
      </c>
      <c r="O11" s="10" t="n">
        <v>0</v>
      </c>
      <c r="P11" s="10" t="n">
        <v>-95.9</v>
      </c>
      <c r="Q11" s="10" t="n">
        <v>33927.9</v>
      </c>
      <c r="R11" s="10" t="n">
        <v>2568.9</v>
      </c>
      <c r="S11" s="10" t="n">
        <v>0</v>
      </c>
      <c r="T11" s="10" t="n">
        <v>0</v>
      </c>
      <c r="U11" s="10" t="n">
        <v>0</v>
      </c>
    </row>
    <row r="12" customFormat="false" ht="15" hidden="false" customHeight="false" outlineLevel="0" collapsed="false">
      <c r="A12" s="7" t="s">
        <v>394</v>
      </c>
      <c r="B12" s="7" t="s">
        <v>119</v>
      </c>
      <c r="C12" s="7" t="s">
        <v>404</v>
      </c>
      <c r="D12" s="10" t="n">
        <v>0</v>
      </c>
      <c r="E12" s="10" t="n">
        <v>0</v>
      </c>
      <c r="F12" s="10" t="n">
        <v>614.1</v>
      </c>
      <c r="G12" s="10" t="n">
        <v>0</v>
      </c>
      <c r="H12" s="10" t="n">
        <v>0</v>
      </c>
      <c r="I12" s="10" t="n">
        <v>882.1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-62.9</v>
      </c>
      <c r="Q12" s="10" t="n">
        <v>882.1</v>
      </c>
      <c r="R12" s="10" t="n">
        <v>62.9</v>
      </c>
      <c r="S12" s="10" t="n">
        <v>0</v>
      </c>
      <c r="T12" s="10" t="n">
        <v>0</v>
      </c>
      <c r="U12" s="10" t="n">
        <v>0</v>
      </c>
    </row>
    <row r="13" customFormat="false" ht="15" hidden="false" customHeight="false" outlineLevel="0" collapsed="false">
      <c r="A13" s="7" t="s">
        <v>394</v>
      </c>
      <c r="B13" s="7" t="s">
        <v>119</v>
      </c>
      <c r="C13" s="7" t="s">
        <v>405</v>
      </c>
      <c r="D13" s="10" t="n">
        <v>0</v>
      </c>
      <c r="E13" s="10" t="n">
        <v>0</v>
      </c>
      <c r="F13" s="10" t="n">
        <v>1277.4</v>
      </c>
      <c r="G13" s="10" t="n">
        <v>0</v>
      </c>
      <c r="H13" s="10" t="n">
        <v>0</v>
      </c>
      <c r="I13" s="10" t="n">
        <v>2619.5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2179.1</v>
      </c>
      <c r="R13" s="10" t="n">
        <v>440.4</v>
      </c>
      <c r="S13" s="10" t="n">
        <v>0</v>
      </c>
      <c r="T13" s="10" t="n">
        <v>0</v>
      </c>
      <c r="U13" s="10" t="n">
        <v>0</v>
      </c>
    </row>
    <row r="14" customFormat="false" ht="15" hidden="false" customHeight="false" outlineLevel="0" collapsed="false">
      <c r="A14" s="7" t="s">
        <v>394</v>
      </c>
      <c r="B14" s="7" t="s">
        <v>119</v>
      </c>
      <c r="C14" s="7" t="s">
        <v>406</v>
      </c>
      <c r="D14" s="10" t="n">
        <v>0</v>
      </c>
      <c r="E14" s="10" t="n">
        <v>0</v>
      </c>
      <c r="F14" s="10" t="n">
        <v>2296</v>
      </c>
      <c r="G14" s="10" t="n">
        <v>0</v>
      </c>
      <c r="H14" s="10" t="n">
        <v>0</v>
      </c>
      <c r="I14" s="10" t="n">
        <v>3357.9</v>
      </c>
      <c r="J14" s="10" t="n">
        <v>0</v>
      </c>
      <c r="K14" s="10" t="n">
        <v>157.3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-94.4</v>
      </c>
      <c r="Q14" s="10" t="n">
        <v>2791.6</v>
      </c>
      <c r="R14" s="10" t="n">
        <v>503.4</v>
      </c>
      <c r="S14" s="10" t="n">
        <v>0</v>
      </c>
      <c r="T14" s="10" t="n">
        <v>0</v>
      </c>
      <c r="U14" s="10" t="n">
        <v>0</v>
      </c>
    </row>
    <row r="15" customFormat="false" ht="15" hidden="false" customHeight="false" outlineLevel="0" collapsed="false">
      <c r="A15" s="7" t="s">
        <v>394</v>
      </c>
      <c r="B15" s="7" t="s">
        <v>141</v>
      </c>
      <c r="C15" s="7" t="s">
        <v>407</v>
      </c>
      <c r="D15" s="10" t="n">
        <v>0</v>
      </c>
      <c r="E15" s="10" t="n">
        <v>0</v>
      </c>
      <c r="F15" s="10" t="n">
        <v>51</v>
      </c>
      <c r="G15" s="10" t="n">
        <v>0</v>
      </c>
      <c r="H15" s="10" t="n">
        <v>0</v>
      </c>
      <c r="I15" s="10" t="n">
        <v>707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644.1</v>
      </c>
      <c r="R15" s="10" t="n">
        <v>62.9</v>
      </c>
      <c r="S15" s="10" t="n">
        <v>0</v>
      </c>
      <c r="T15" s="10" t="n">
        <v>0</v>
      </c>
      <c r="U15" s="10" t="n">
        <v>0</v>
      </c>
    </row>
    <row r="16" customFormat="false" ht="15" hidden="false" customHeight="false" outlineLevel="0" collapsed="false">
      <c r="A16" s="7" t="s">
        <v>394</v>
      </c>
      <c r="B16" s="7" t="s">
        <v>141</v>
      </c>
      <c r="C16" s="7" t="s">
        <v>408</v>
      </c>
      <c r="D16" s="10" t="n">
        <v>0</v>
      </c>
      <c r="E16" s="10" t="n">
        <v>0</v>
      </c>
      <c r="F16" s="10" t="n">
        <v>549.5</v>
      </c>
      <c r="G16" s="10" t="n">
        <v>0</v>
      </c>
      <c r="H16" s="10" t="n">
        <v>0</v>
      </c>
      <c r="I16" s="10" t="n">
        <v>1580.4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-62.9</v>
      </c>
      <c r="Q16" s="10" t="n">
        <v>1517.5</v>
      </c>
      <c r="R16" s="10" t="n">
        <v>125.8</v>
      </c>
      <c r="S16" s="10" t="n">
        <v>0</v>
      </c>
      <c r="T16" s="10" t="n">
        <v>0</v>
      </c>
      <c r="U16" s="10" t="n">
        <v>0</v>
      </c>
    </row>
    <row r="17" customFormat="false" ht="15" hidden="false" customHeight="false" outlineLevel="0" collapsed="false">
      <c r="A17" s="7" t="s">
        <v>394</v>
      </c>
      <c r="B17" s="7" t="s">
        <v>183</v>
      </c>
      <c r="C17" s="7" t="s">
        <v>409</v>
      </c>
      <c r="D17" s="10" t="n">
        <v>0</v>
      </c>
      <c r="E17" s="10" t="n">
        <v>0</v>
      </c>
      <c r="F17" s="10" t="n">
        <v>384.1</v>
      </c>
      <c r="G17" s="10" t="n">
        <v>0</v>
      </c>
      <c r="H17" s="10" t="n">
        <v>0</v>
      </c>
      <c r="I17" s="10" t="n">
        <v>1227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-78.3</v>
      </c>
      <c r="Q17" s="10" t="n">
        <v>1147.9</v>
      </c>
      <c r="R17" s="10" t="n">
        <v>157.3</v>
      </c>
      <c r="S17" s="10" t="n">
        <v>0</v>
      </c>
      <c r="T17" s="10" t="n">
        <v>0</v>
      </c>
      <c r="U17" s="10" t="n">
        <v>0</v>
      </c>
    </row>
    <row r="18" customFormat="false" ht="15" hidden="false" customHeight="false" outlineLevel="0" collapsed="false">
      <c r="A18" s="7" t="s">
        <v>394</v>
      </c>
      <c r="B18" s="7" t="s">
        <v>168</v>
      </c>
      <c r="C18" s="7" t="s">
        <v>410</v>
      </c>
      <c r="D18" s="10" t="n">
        <v>0</v>
      </c>
      <c r="E18" s="10" t="n">
        <v>0</v>
      </c>
      <c r="F18" s="10" t="n">
        <v>198.9</v>
      </c>
      <c r="G18" s="10" t="n">
        <v>0</v>
      </c>
      <c r="H18" s="10" t="n">
        <v>0</v>
      </c>
      <c r="I18" s="10" t="n">
        <v>794.6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146.1</v>
      </c>
      <c r="O18" s="10" t="n">
        <v>0</v>
      </c>
      <c r="P18" s="10" t="n">
        <v>-94.4</v>
      </c>
      <c r="Q18" s="10" t="n">
        <v>585.7</v>
      </c>
      <c r="R18" s="10" t="n">
        <v>157.3</v>
      </c>
      <c r="S18" s="10" t="n">
        <v>0</v>
      </c>
      <c r="T18" s="10" t="n">
        <v>0</v>
      </c>
      <c r="U18" s="10" t="n">
        <v>0</v>
      </c>
    </row>
    <row r="19" customFormat="false" ht="15" hidden="false" customHeight="false" outlineLevel="0" collapsed="false">
      <c r="A19" s="7" t="s">
        <v>394</v>
      </c>
      <c r="B19" s="7" t="s">
        <v>168</v>
      </c>
      <c r="C19" s="7" t="s">
        <v>411</v>
      </c>
      <c r="D19" s="10" t="n">
        <v>0</v>
      </c>
      <c r="E19" s="10" t="n">
        <v>0</v>
      </c>
      <c r="F19" s="10" t="n">
        <v>559.9</v>
      </c>
      <c r="G19" s="10" t="n">
        <v>0</v>
      </c>
      <c r="H19" s="10" t="n">
        <v>0</v>
      </c>
      <c r="I19" s="10" t="n">
        <v>1522.3</v>
      </c>
      <c r="J19" s="10" t="n">
        <v>0</v>
      </c>
      <c r="K19" s="10" t="n">
        <v>283.1</v>
      </c>
      <c r="L19" s="10" t="n">
        <v>-31.5</v>
      </c>
      <c r="M19" s="10" t="n">
        <v>0</v>
      </c>
      <c r="N19" s="10" t="n">
        <v>0</v>
      </c>
      <c r="O19" s="10" t="n">
        <v>0</v>
      </c>
      <c r="P19" s="10" t="n">
        <v>-192.1</v>
      </c>
      <c r="Q19" s="10" t="n">
        <v>1022.4</v>
      </c>
      <c r="R19" s="10" t="n">
        <v>440.4</v>
      </c>
      <c r="S19" s="10" t="n">
        <v>0</v>
      </c>
      <c r="T19" s="10" t="n">
        <v>0</v>
      </c>
      <c r="U19" s="10" t="n">
        <v>0</v>
      </c>
    </row>
    <row r="20" customFormat="false" ht="15" hidden="false" customHeight="false" outlineLevel="0" collapsed="false">
      <c r="A20" s="7" t="s">
        <v>394</v>
      </c>
      <c r="B20" s="7" t="s">
        <v>168</v>
      </c>
      <c r="C20" s="7" t="s">
        <v>412</v>
      </c>
      <c r="D20" s="10" t="n">
        <v>0</v>
      </c>
      <c r="E20" s="10" t="n">
        <v>0</v>
      </c>
      <c r="F20" s="10" t="n">
        <v>601.1</v>
      </c>
      <c r="G20" s="10" t="n">
        <v>0</v>
      </c>
      <c r="H20" s="10" t="n">
        <v>0</v>
      </c>
      <c r="I20" s="10" t="n">
        <v>992.3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992.3</v>
      </c>
      <c r="R20" s="10" t="n">
        <v>0</v>
      </c>
      <c r="S20" s="10" t="n">
        <v>0</v>
      </c>
      <c r="T20" s="10" t="n">
        <v>0</v>
      </c>
      <c r="U20" s="10" t="n">
        <v>0</v>
      </c>
    </row>
    <row r="21" customFormat="false" ht="15" hidden="false" customHeight="false" outlineLevel="0" collapsed="false">
      <c r="A21" s="7" t="s">
        <v>394</v>
      </c>
      <c r="B21" s="7" t="s">
        <v>248</v>
      </c>
      <c r="C21" s="7" t="s">
        <v>413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-28.4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-28.4</v>
      </c>
      <c r="R21" s="10" t="n">
        <v>0</v>
      </c>
      <c r="S21" s="10" t="n">
        <v>0</v>
      </c>
      <c r="T21" s="10" t="n">
        <v>0</v>
      </c>
      <c r="U21" s="10" t="n">
        <v>0</v>
      </c>
    </row>
    <row r="22" customFormat="false" ht="15" hidden="false" customHeight="false" outlineLevel="0" collapsed="false">
      <c r="A22" s="7" t="s">
        <v>394</v>
      </c>
      <c r="B22" s="7" t="s">
        <v>109</v>
      </c>
      <c r="C22" s="7" t="s">
        <v>404</v>
      </c>
      <c r="D22" s="10" t="n">
        <v>0</v>
      </c>
      <c r="E22" s="10" t="n">
        <v>0</v>
      </c>
      <c r="F22" s="10" t="n">
        <v>1326.5</v>
      </c>
      <c r="G22" s="10" t="n">
        <v>0</v>
      </c>
      <c r="H22" s="10" t="n">
        <v>0</v>
      </c>
      <c r="I22" s="10" t="n">
        <v>1976.9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262</v>
      </c>
      <c r="O22" s="10" t="n">
        <v>0</v>
      </c>
      <c r="P22" s="10" t="n">
        <v>0</v>
      </c>
      <c r="Q22" s="10" t="n">
        <v>1714.9</v>
      </c>
      <c r="R22" s="10" t="n">
        <v>0</v>
      </c>
      <c r="S22" s="10" t="n">
        <v>0</v>
      </c>
      <c r="T22" s="10" t="n">
        <v>0</v>
      </c>
      <c r="U22" s="10" t="n">
        <v>0</v>
      </c>
    </row>
    <row r="23" customFormat="false" ht="15" hidden="false" customHeight="false" outlineLevel="0" collapsed="false">
      <c r="A23" s="7" t="s">
        <v>394</v>
      </c>
      <c r="B23" s="7" t="s">
        <v>109</v>
      </c>
      <c r="C23" s="7" t="s">
        <v>414</v>
      </c>
      <c r="D23" s="10" t="n">
        <v>0</v>
      </c>
      <c r="E23" s="10" t="n">
        <v>0</v>
      </c>
      <c r="F23" s="10" t="n">
        <v>2306.8</v>
      </c>
      <c r="G23" s="10" t="n">
        <v>0</v>
      </c>
      <c r="H23" s="10" t="n">
        <v>718.2</v>
      </c>
      <c r="I23" s="10" t="n">
        <v>3893.6</v>
      </c>
      <c r="J23" s="10" t="n">
        <v>0</v>
      </c>
      <c r="K23" s="10" t="n">
        <v>144.1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3293.1</v>
      </c>
      <c r="R23" s="10" t="n">
        <v>456.4</v>
      </c>
      <c r="S23" s="10" t="n">
        <v>96.1</v>
      </c>
      <c r="T23" s="10" t="n">
        <v>0</v>
      </c>
      <c r="U23" s="10" t="n">
        <v>0</v>
      </c>
    </row>
    <row r="24" customFormat="false" ht="15" hidden="false" customHeight="false" outlineLevel="0" collapsed="false">
      <c r="A24" s="7" t="s">
        <v>394</v>
      </c>
      <c r="B24" s="7" t="s">
        <v>109</v>
      </c>
      <c r="C24" s="7" t="s">
        <v>415</v>
      </c>
      <c r="D24" s="10" t="n">
        <v>0</v>
      </c>
      <c r="E24" s="10" t="n">
        <v>0</v>
      </c>
      <c r="F24" s="10" t="n">
        <v>3750.6</v>
      </c>
      <c r="G24" s="10" t="n">
        <v>0</v>
      </c>
      <c r="H24" s="10" t="n">
        <v>827.4</v>
      </c>
      <c r="I24" s="10" t="n">
        <v>4724.4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4724.4</v>
      </c>
      <c r="R24" s="10" t="n">
        <v>0</v>
      </c>
      <c r="S24" s="10" t="n">
        <v>0</v>
      </c>
      <c r="T24" s="10" t="n">
        <v>0</v>
      </c>
      <c r="U24" s="10" t="n">
        <v>0</v>
      </c>
    </row>
    <row r="25" customFormat="false" ht="15" hidden="false" customHeight="false" outlineLevel="0" collapsed="false">
      <c r="A25" s="7" t="s">
        <v>394</v>
      </c>
      <c r="B25" s="7" t="s">
        <v>120</v>
      </c>
      <c r="C25" s="7" t="s">
        <v>416</v>
      </c>
      <c r="D25" s="10" t="n">
        <v>0</v>
      </c>
      <c r="E25" s="10" t="n">
        <v>0</v>
      </c>
      <c r="F25" s="10" t="n">
        <v>328.9</v>
      </c>
      <c r="G25" s="10" t="n">
        <v>0</v>
      </c>
      <c r="H25" s="10" t="n">
        <v>97.3</v>
      </c>
      <c r="I25" s="10" t="n">
        <v>939.9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939.9</v>
      </c>
      <c r="R25" s="10" t="n">
        <v>0</v>
      </c>
      <c r="S25" s="10" t="n">
        <v>0</v>
      </c>
      <c r="T25" s="10" t="n">
        <v>0</v>
      </c>
      <c r="U25" s="10" t="n">
        <v>0</v>
      </c>
    </row>
    <row r="26" customFormat="false" ht="15" hidden="false" customHeight="false" outlineLevel="0" collapsed="false">
      <c r="A26" s="7" t="s">
        <v>394</v>
      </c>
      <c r="B26" s="7" t="s">
        <v>120</v>
      </c>
      <c r="C26" s="7" t="s">
        <v>417</v>
      </c>
      <c r="D26" s="10" t="n">
        <v>0</v>
      </c>
      <c r="E26" s="10" t="n">
        <v>0</v>
      </c>
      <c r="F26" s="10" t="n">
        <v>689.3</v>
      </c>
      <c r="G26" s="10" t="n">
        <v>0</v>
      </c>
      <c r="H26" s="10" t="n">
        <v>91.2</v>
      </c>
      <c r="I26" s="10" t="n">
        <v>1262.2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1262.2</v>
      </c>
      <c r="R26" s="10" t="n">
        <v>0</v>
      </c>
      <c r="S26" s="10" t="n">
        <v>0</v>
      </c>
      <c r="T26" s="10" t="n">
        <v>0</v>
      </c>
      <c r="U26" s="10" t="n">
        <v>0</v>
      </c>
    </row>
    <row r="27" customFormat="false" ht="15" hidden="false" customHeight="false" outlineLevel="0" collapsed="false">
      <c r="A27" s="7" t="s">
        <v>394</v>
      </c>
      <c r="B27" s="7" t="s">
        <v>120</v>
      </c>
      <c r="C27" s="7" t="s">
        <v>418</v>
      </c>
      <c r="D27" s="10" t="n">
        <v>0</v>
      </c>
      <c r="E27" s="10" t="n">
        <v>0</v>
      </c>
      <c r="F27" s="10" t="n">
        <v>622.5</v>
      </c>
      <c r="G27" s="10" t="n">
        <v>0</v>
      </c>
      <c r="H27" s="10" t="n">
        <v>318.3</v>
      </c>
      <c r="I27" s="10" t="n">
        <v>1393.7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1297.6</v>
      </c>
      <c r="R27" s="10" t="n">
        <v>96.1</v>
      </c>
      <c r="S27" s="10" t="n">
        <v>0</v>
      </c>
      <c r="T27" s="10" t="n">
        <v>0</v>
      </c>
      <c r="U27" s="10" t="n">
        <v>0</v>
      </c>
    </row>
    <row r="28" customFormat="false" ht="15" hidden="false" customHeight="false" outlineLevel="0" collapsed="false">
      <c r="A28" s="7" t="s">
        <v>394</v>
      </c>
      <c r="B28" s="7" t="s">
        <v>177</v>
      </c>
      <c r="C28" s="7" t="s">
        <v>419</v>
      </c>
      <c r="D28" s="10" t="n">
        <v>0</v>
      </c>
      <c r="E28" s="10" t="n">
        <v>0</v>
      </c>
      <c r="F28" s="10" t="n">
        <v>843.2</v>
      </c>
      <c r="G28" s="10" t="n">
        <v>0</v>
      </c>
      <c r="H28" s="10" t="n">
        <v>0</v>
      </c>
      <c r="I28" s="10" t="n">
        <v>657.2</v>
      </c>
      <c r="J28" s="10" t="n">
        <v>0</v>
      </c>
      <c r="K28" s="10" t="n">
        <v>120.1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-72.1</v>
      </c>
      <c r="Q28" s="10" t="n">
        <v>561.1</v>
      </c>
      <c r="R28" s="10" t="n">
        <v>48</v>
      </c>
      <c r="S28" s="10" t="n">
        <v>0</v>
      </c>
      <c r="T28" s="10" t="n">
        <v>0</v>
      </c>
      <c r="U28" s="10" t="n">
        <v>0</v>
      </c>
    </row>
    <row r="29" customFormat="false" ht="15" hidden="false" customHeight="false" outlineLevel="0" collapsed="false">
      <c r="A29" s="7" t="s">
        <v>394</v>
      </c>
      <c r="B29" s="7" t="s">
        <v>177</v>
      </c>
      <c r="C29" s="7" t="s">
        <v>420</v>
      </c>
      <c r="D29" s="10" t="n">
        <v>0</v>
      </c>
      <c r="E29" s="10" t="n">
        <v>0</v>
      </c>
      <c r="F29" s="10" t="n">
        <v>1538.3</v>
      </c>
      <c r="G29" s="10" t="n">
        <v>0</v>
      </c>
      <c r="H29" s="10" t="n">
        <v>22.3</v>
      </c>
      <c r="I29" s="10" t="n">
        <v>1961.1</v>
      </c>
      <c r="J29" s="10" t="n">
        <v>0</v>
      </c>
      <c r="K29" s="10" t="n">
        <v>120.1</v>
      </c>
      <c r="L29" s="10" t="n">
        <v>-24</v>
      </c>
      <c r="M29" s="10" t="n">
        <v>0</v>
      </c>
      <c r="N29" s="10" t="n">
        <v>0</v>
      </c>
      <c r="O29" s="10" t="n">
        <v>0</v>
      </c>
      <c r="P29" s="10" t="n">
        <v>-61.5</v>
      </c>
      <c r="Q29" s="10" t="n">
        <v>1734.3</v>
      </c>
      <c r="R29" s="10" t="n">
        <v>192.2</v>
      </c>
      <c r="S29" s="10" t="n">
        <v>96.1</v>
      </c>
      <c r="T29" s="10" t="n">
        <v>0</v>
      </c>
      <c r="U29" s="10" t="n">
        <v>0</v>
      </c>
    </row>
    <row r="30" customFormat="false" ht="15" hidden="false" customHeight="false" outlineLevel="0" collapsed="false">
      <c r="A30" s="7" t="s">
        <v>394</v>
      </c>
      <c r="B30" s="7" t="s">
        <v>177</v>
      </c>
      <c r="C30" s="7" t="s">
        <v>421</v>
      </c>
      <c r="D30" s="10" t="n">
        <v>0</v>
      </c>
      <c r="E30" s="10" t="n">
        <v>0</v>
      </c>
      <c r="F30" s="10" t="n">
        <v>1227</v>
      </c>
      <c r="G30" s="10" t="n">
        <v>0</v>
      </c>
      <c r="H30" s="10" t="n">
        <v>689.4</v>
      </c>
      <c r="I30" s="10" t="n">
        <v>2041.3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-61.5</v>
      </c>
      <c r="Q30" s="10" t="n">
        <v>1886.6</v>
      </c>
      <c r="R30" s="10" t="n">
        <v>216.2</v>
      </c>
      <c r="S30" s="10" t="n">
        <v>0</v>
      </c>
      <c r="T30" s="10" t="n">
        <v>0</v>
      </c>
      <c r="U30" s="10" t="n">
        <v>0</v>
      </c>
    </row>
    <row r="31" customFormat="false" ht="15" hidden="false" customHeight="false" outlineLevel="0" collapsed="false">
      <c r="A31" s="7" t="s">
        <v>394</v>
      </c>
      <c r="B31" s="7" t="s">
        <v>243</v>
      </c>
      <c r="C31" s="7" t="s">
        <v>422</v>
      </c>
      <c r="D31" s="10" t="n">
        <v>0</v>
      </c>
      <c r="E31" s="10" t="n">
        <v>0</v>
      </c>
      <c r="F31" s="10" t="n">
        <v>-136.8</v>
      </c>
      <c r="G31" s="10" t="n">
        <v>0</v>
      </c>
      <c r="H31" s="10" t="n">
        <v>0</v>
      </c>
      <c r="I31" s="10" t="n">
        <v>29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-50.8</v>
      </c>
      <c r="Q31" s="10" t="n">
        <v>-47.1</v>
      </c>
      <c r="R31" s="10" t="n">
        <v>126.9</v>
      </c>
      <c r="S31" s="10" t="n">
        <v>0</v>
      </c>
      <c r="T31" s="10" t="n">
        <v>0</v>
      </c>
      <c r="U31" s="10" t="n">
        <v>-36.5</v>
      </c>
    </row>
    <row r="32" customFormat="false" ht="15" hidden="false" customHeight="false" outlineLevel="0" collapsed="false">
      <c r="A32" s="7" t="s">
        <v>394</v>
      </c>
      <c r="B32" s="7" t="s">
        <v>213</v>
      </c>
      <c r="C32" s="7" t="s">
        <v>423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-158.8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-158.8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</row>
    <row r="33" customFormat="false" ht="15" hidden="false" customHeight="false" outlineLevel="0" collapsed="false">
      <c r="A33" s="7" t="s">
        <v>394</v>
      </c>
      <c r="B33" s="7" t="s">
        <v>213</v>
      </c>
      <c r="C33" s="7" t="s">
        <v>424</v>
      </c>
      <c r="D33" s="10" t="n">
        <v>0</v>
      </c>
      <c r="E33" s="10" t="n">
        <v>0</v>
      </c>
      <c r="F33" s="10" t="n">
        <v>-170.1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</row>
    <row r="34" customFormat="false" ht="15" hidden="false" customHeight="false" outlineLevel="0" collapsed="false">
      <c r="A34" s="7" t="s">
        <v>394</v>
      </c>
      <c r="B34" s="7" t="s">
        <v>213</v>
      </c>
      <c r="C34" s="7" t="s">
        <v>425</v>
      </c>
      <c r="D34" s="10" t="n">
        <v>0</v>
      </c>
      <c r="E34" s="10" t="n">
        <v>0</v>
      </c>
      <c r="F34" s="10" t="n">
        <v>170.1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</row>
    <row r="35" customFormat="false" ht="15" hidden="false" customHeight="false" outlineLevel="0" collapsed="false">
      <c r="A35" s="7" t="s">
        <v>394</v>
      </c>
      <c r="B35" s="7" t="s">
        <v>213</v>
      </c>
      <c r="C35" s="7" t="s">
        <v>426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-147.4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-147.4</v>
      </c>
      <c r="R35" s="10" t="n">
        <v>0</v>
      </c>
      <c r="S35" s="10" t="n">
        <v>0</v>
      </c>
      <c r="T35" s="10" t="n">
        <v>0</v>
      </c>
      <c r="U35" s="10" t="n">
        <v>0</v>
      </c>
    </row>
    <row r="36" customFormat="false" ht="15" hidden="false" customHeight="false" outlineLevel="0" collapsed="false">
      <c r="A36" s="7" t="s">
        <v>394</v>
      </c>
      <c r="B36" s="7" t="s">
        <v>173</v>
      </c>
      <c r="C36" s="7" t="s">
        <v>427</v>
      </c>
      <c r="D36" s="10" t="n">
        <v>0</v>
      </c>
      <c r="E36" s="10" t="n">
        <v>0</v>
      </c>
      <c r="F36" s="10" t="n">
        <v>405.8</v>
      </c>
      <c r="G36" s="10" t="n">
        <v>0</v>
      </c>
      <c r="H36" s="10" t="n">
        <v>0</v>
      </c>
      <c r="I36" s="10" t="n">
        <v>798.1</v>
      </c>
      <c r="J36" s="10" t="n">
        <v>0</v>
      </c>
      <c r="K36" s="10" t="n">
        <v>198.5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-694.6</v>
      </c>
      <c r="Q36" s="10" t="n">
        <v>202.7</v>
      </c>
      <c r="R36" s="10" t="n">
        <v>1091.5</v>
      </c>
      <c r="S36" s="10" t="n">
        <v>0</v>
      </c>
      <c r="T36" s="10" t="n">
        <v>0</v>
      </c>
      <c r="U36" s="10" t="n">
        <v>-144.9</v>
      </c>
    </row>
    <row r="37" customFormat="false" ht="15" hidden="false" customHeight="false" outlineLevel="0" collapsed="false">
      <c r="A37" s="7" t="s">
        <v>394</v>
      </c>
      <c r="B37" s="7" t="s">
        <v>173</v>
      </c>
      <c r="C37" s="7" t="s">
        <v>428</v>
      </c>
      <c r="D37" s="10" t="n">
        <v>0</v>
      </c>
      <c r="E37" s="10" t="n">
        <v>0</v>
      </c>
      <c r="F37" s="10" t="n">
        <v>195.7</v>
      </c>
      <c r="G37" s="10" t="n">
        <v>0</v>
      </c>
      <c r="H37" s="10" t="n">
        <v>0</v>
      </c>
      <c r="I37" s="10" t="n">
        <v>-563.1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-1091.5</v>
      </c>
      <c r="Q37" s="10" t="n">
        <v>-265.4</v>
      </c>
      <c r="R37" s="10" t="n">
        <v>793.8</v>
      </c>
      <c r="S37" s="10" t="n">
        <v>0</v>
      </c>
      <c r="T37" s="10" t="n">
        <v>0</v>
      </c>
      <c r="U37" s="10" t="n">
        <v>0</v>
      </c>
    </row>
    <row r="38" customFormat="false" ht="15" hidden="false" customHeight="false" outlineLevel="0" collapsed="false">
      <c r="A38" s="7" t="s">
        <v>394</v>
      </c>
      <c r="B38" s="7" t="s">
        <v>173</v>
      </c>
      <c r="C38" s="7" t="s">
        <v>429</v>
      </c>
      <c r="D38" s="10" t="n">
        <v>0</v>
      </c>
      <c r="E38" s="10" t="n">
        <v>0</v>
      </c>
      <c r="F38" s="10" t="n">
        <v>413</v>
      </c>
      <c r="G38" s="10" t="n">
        <v>0</v>
      </c>
      <c r="H38" s="10" t="n">
        <v>0</v>
      </c>
      <c r="I38" s="10" t="n">
        <v>47.4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-496.2</v>
      </c>
      <c r="Q38" s="10" t="n">
        <v>-151.1</v>
      </c>
      <c r="R38" s="10" t="n">
        <v>694.6</v>
      </c>
      <c r="S38" s="10" t="n">
        <v>0</v>
      </c>
      <c r="T38" s="10" t="n">
        <v>0</v>
      </c>
      <c r="U38" s="10" t="n">
        <v>-144.9</v>
      </c>
    </row>
    <row r="39" customFormat="false" ht="15" hidden="false" customHeight="false" outlineLevel="0" collapsed="false">
      <c r="A39" s="7" t="s">
        <v>394</v>
      </c>
      <c r="B39" s="7" t="s">
        <v>173</v>
      </c>
      <c r="C39" s="7" t="s">
        <v>430</v>
      </c>
      <c r="D39" s="10" t="n">
        <v>0</v>
      </c>
      <c r="E39" s="10" t="n">
        <v>0</v>
      </c>
      <c r="F39" s="10" t="n">
        <v>611.5</v>
      </c>
      <c r="G39" s="10" t="n">
        <v>0</v>
      </c>
      <c r="H39" s="10" t="n">
        <v>0</v>
      </c>
      <c r="I39" s="10" t="n">
        <v>-597.5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108.7</v>
      </c>
      <c r="O39" s="10" t="n">
        <v>0</v>
      </c>
      <c r="P39" s="10" t="n">
        <v>-793.8</v>
      </c>
      <c r="Q39" s="10" t="n">
        <v>-507.7</v>
      </c>
      <c r="R39" s="10" t="n">
        <v>595.4</v>
      </c>
      <c r="S39" s="10" t="n">
        <v>0</v>
      </c>
      <c r="T39" s="10" t="n">
        <v>0</v>
      </c>
      <c r="U39" s="10" t="n">
        <v>0</v>
      </c>
    </row>
    <row r="40" customFormat="false" ht="15" hidden="false" customHeight="false" outlineLevel="0" collapsed="false">
      <c r="A40" s="7" t="s">
        <v>394</v>
      </c>
      <c r="B40" s="7" t="s">
        <v>173</v>
      </c>
      <c r="C40" s="7" t="s">
        <v>431</v>
      </c>
      <c r="D40" s="10" t="n">
        <v>0</v>
      </c>
      <c r="E40" s="10" t="n">
        <v>0</v>
      </c>
      <c r="F40" s="10" t="n">
        <v>615.9</v>
      </c>
      <c r="G40" s="10" t="n">
        <v>0</v>
      </c>
      <c r="H40" s="10" t="n">
        <v>0</v>
      </c>
      <c r="I40" s="10" t="n">
        <v>276.4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-496.2</v>
      </c>
      <c r="Q40" s="10" t="n">
        <v>276.4</v>
      </c>
      <c r="R40" s="10" t="n">
        <v>496.2</v>
      </c>
      <c r="S40" s="10" t="n">
        <v>0</v>
      </c>
      <c r="T40" s="10" t="n">
        <v>0</v>
      </c>
      <c r="U40" s="10" t="n">
        <v>-144.9</v>
      </c>
    </row>
    <row r="41" customFormat="false" ht="15" hidden="false" customHeight="false" outlineLevel="0" collapsed="false">
      <c r="A41" s="7" t="s">
        <v>394</v>
      </c>
      <c r="B41" s="7" t="s">
        <v>249</v>
      </c>
      <c r="C41" s="7" t="s">
        <v>432</v>
      </c>
      <c r="D41" s="10" t="n">
        <v>0</v>
      </c>
      <c r="E41" s="10" t="n">
        <v>0</v>
      </c>
      <c r="F41" s="10" t="n">
        <v>262.4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</row>
    <row r="42" customFormat="false" ht="15" hidden="false" customHeight="false" outlineLevel="0" collapsed="false">
      <c r="A42" s="7" t="s">
        <v>394</v>
      </c>
      <c r="B42" s="7" t="s">
        <v>249</v>
      </c>
      <c r="C42" s="7" t="s">
        <v>433</v>
      </c>
      <c r="D42" s="10" t="n">
        <v>0</v>
      </c>
      <c r="E42" s="10" t="n">
        <v>0</v>
      </c>
      <c r="F42" s="10" t="n">
        <v>975.1</v>
      </c>
      <c r="G42" s="10" t="n">
        <v>0</v>
      </c>
      <c r="H42" s="10" t="n">
        <v>0</v>
      </c>
      <c r="I42" s="10" t="n">
        <v>244.2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-244.2</v>
      </c>
      <c r="Q42" s="10" t="n">
        <v>0</v>
      </c>
      <c r="R42" s="10" t="n">
        <v>488.4</v>
      </c>
      <c r="S42" s="10" t="n">
        <v>0</v>
      </c>
      <c r="T42" s="10" t="n">
        <v>0</v>
      </c>
      <c r="U42" s="10" t="n">
        <v>0</v>
      </c>
    </row>
    <row r="43" customFormat="false" ht="15" hidden="false" customHeight="false" outlineLevel="0" collapsed="false">
      <c r="A43" s="7" t="s">
        <v>394</v>
      </c>
      <c r="B43" s="7" t="s">
        <v>249</v>
      </c>
      <c r="C43" s="7" t="s">
        <v>434</v>
      </c>
      <c r="D43" s="10" t="n">
        <v>0</v>
      </c>
      <c r="E43" s="10" t="n">
        <v>0</v>
      </c>
      <c r="F43" s="10" t="n">
        <v>2.5</v>
      </c>
      <c r="G43" s="10" t="n">
        <v>0</v>
      </c>
      <c r="H43" s="10" t="n">
        <v>0</v>
      </c>
      <c r="I43" s="10" t="n">
        <v>488.4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488.4</v>
      </c>
      <c r="S43" s="10" t="n">
        <v>0</v>
      </c>
      <c r="T43" s="10" t="n">
        <v>0</v>
      </c>
      <c r="U43" s="10" t="n">
        <v>0</v>
      </c>
    </row>
    <row r="44" customFormat="false" ht="15" hidden="false" customHeight="false" outlineLevel="0" collapsed="false">
      <c r="A44" s="7" t="s">
        <v>394</v>
      </c>
      <c r="B44" s="7" t="s">
        <v>249</v>
      </c>
      <c r="C44" s="7" t="s">
        <v>435</v>
      </c>
      <c r="D44" s="10" t="n">
        <v>0</v>
      </c>
      <c r="E44" s="10" t="n">
        <v>0</v>
      </c>
      <c r="F44" s="10" t="n">
        <v>975.1</v>
      </c>
      <c r="G44" s="10" t="n">
        <v>0</v>
      </c>
      <c r="H44" s="10" t="n">
        <v>0</v>
      </c>
      <c r="I44" s="10" t="n">
        <v>-215.4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-215.4</v>
      </c>
      <c r="R44" s="10" t="n">
        <v>0</v>
      </c>
      <c r="S44" s="10" t="n">
        <v>0</v>
      </c>
      <c r="T44" s="10" t="n">
        <v>0</v>
      </c>
      <c r="U44" s="10" t="n">
        <v>0</v>
      </c>
    </row>
    <row r="45" customFormat="false" ht="15" hidden="false" customHeight="false" outlineLevel="0" collapsed="false">
      <c r="A45" s="7" t="s">
        <v>394</v>
      </c>
      <c r="B45" s="7" t="s">
        <v>249</v>
      </c>
      <c r="C45" s="7" t="s">
        <v>436</v>
      </c>
      <c r="D45" s="10" t="n">
        <v>0</v>
      </c>
      <c r="E45" s="10" t="n">
        <v>0</v>
      </c>
      <c r="F45" s="10" t="n">
        <v>19.8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</row>
    <row r="46" customFormat="false" ht="15" hidden="false" customHeight="false" outlineLevel="0" collapsed="false">
      <c r="A46" s="7" t="s">
        <v>394</v>
      </c>
      <c r="B46" s="7" t="s">
        <v>311</v>
      </c>
      <c r="C46" s="7" t="s">
        <v>437</v>
      </c>
      <c r="D46" s="10" t="n">
        <v>0</v>
      </c>
      <c r="E46" s="10" t="n">
        <v>0</v>
      </c>
      <c r="F46" s="10" t="n">
        <v>231.6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</row>
    <row r="47" customFormat="false" ht="15" hidden="false" customHeight="false" outlineLevel="0" collapsed="false">
      <c r="A47" s="7" t="s">
        <v>394</v>
      </c>
      <c r="B47" s="7" t="s">
        <v>79</v>
      </c>
      <c r="C47" s="7" t="s">
        <v>438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786.4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786.4</v>
      </c>
      <c r="R47" s="10" t="n">
        <v>0</v>
      </c>
      <c r="S47" s="10" t="n">
        <v>0</v>
      </c>
      <c r="T47" s="10" t="n">
        <v>0</v>
      </c>
      <c r="U47" s="10" t="n">
        <v>0</v>
      </c>
    </row>
    <row r="48" customFormat="false" ht="15" hidden="false" customHeight="false" outlineLevel="0" collapsed="false">
      <c r="A48" s="7" t="s">
        <v>394</v>
      </c>
      <c r="B48" s="7" t="s">
        <v>79</v>
      </c>
      <c r="C48" s="7" t="s">
        <v>439</v>
      </c>
      <c r="D48" s="10" t="n">
        <v>0</v>
      </c>
      <c r="E48" s="10" t="n">
        <v>0</v>
      </c>
      <c r="F48" s="10" t="n">
        <v>1742.7</v>
      </c>
      <c r="G48" s="10" t="n">
        <v>0</v>
      </c>
      <c r="H48" s="10" t="n">
        <v>0</v>
      </c>
      <c r="I48" s="10" t="n">
        <v>7858.2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7575.9</v>
      </c>
      <c r="R48" s="10" t="n">
        <v>282.3</v>
      </c>
      <c r="S48" s="10" t="n">
        <v>0</v>
      </c>
      <c r="T48" s="10" t="n">
        <v>0</v>
      </c>
      <c r="U48" s="10" t="n">
        <v>0</v>
      </c>
    </row>
    <row r="49" customFormat="false" ht="15" hidden="false" customHeight="false" outlineLevel="0" collapsed="false">
      <c r="A49" s="7" t="s">
        <v>394</v>
      </c>
      <c r="B49" s="7" t="s">
        <v>79</v>
      </c>
      <c r="C49" s="7" t="s">
        <v>440</v>
      </c>
      <c r="D49" s="10" t="n">
        <v>0</v>
      </c>
      <c r="E49" s="10" t="n">
        <v>0</v>
      </c>
      <c r="F49" s="10" t="n">
        <v>1980.2</v>
      </c>
      <c r="G49" s="10" t="n">
        <v>0</v>
      </c>
      <c r="H49" s="10" t="n">
        <v>134</v>
      </c>
      <c r="I49" s="10" t="n">
        <v>5299.2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4875.8</v>
      </c>
      <c r="R49" s="10" t="n">
        <v>423.5</v>
      </c>
      <c r="S49" s="10" t="n">
        <v>0</v>
      </c>
      <c r="T49" s="10" t="n">
        <v>0</v>
      </c>
      <c r="U49" s="10" t="n">
        <v>0</v>
      </c>
    </row>
    <row r="50" customFormat="false" ht="15" hidden="false" customHeight="false" outlineLevel="0" collapsed="false">
      <c r="A50" s="7" t="s">
        <v>394</v>
      </c>
      <c r="B50" s="7" t="s">
        <v>79</v>
      </c>
      <c r="C50" s="7" t="s">
        <v>441</v>
      </c>
      <c r="D50" s="10" t="n">
        <v>0</v>
      </c>
      <c r="E50" s="10" t="n">
        <v>0</v>
      </c>
      <c r="F50" s="10" t="n">
        <v>2378.6</v>
      </c>
      <c r="G50" s="10" t="n">
        <v>0</v>
      </c>
      <c r="H50" s="10" t="n">
        <v>0</v>
      </c>
      <c r="I50" s="10" t="n">
        <v>8801.9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8519.6</v>
      </c>
      <c r="R50" s="10" t="n">
        <v>282.3</v>
      </c>
      <c r="S50" s="10" t="n">
        <v>0</v>
      </c>
      <c r="T50" s="10" t="n">
        <v>0</v>
      </c>
      <c r="U50" s="10" t="n">
        <v>0</v>
      </c>
    </row>
    <row r="51" customFormat="false" ht="15" hidden="false" customHeight="false" outlineLevel="0" collapsed="false">
      <c r="A51" s="7" t="s">
        <v>394</v>
      </c>
      <c r="B51" s="7" t="s">
        <v>79</v>
      </c>
      <c r="C51" s="7" t="s">
        <v>442</v>
      </c>
      <c r="D51" s="10" t="n">
        <v>0</v>
      </c>
      <c r="E51" s="10" t="n">
        <v>0</v>
      </c>
      <c r="F51" s="10" t="n">
        <v>145.2</v>
      </c>
      <c r="G51" s="10" t="n">
        <v>0</v>
      </c>
      <c r="H51" s="10" t="n">
        <v>0</v>
      </c>
      <c r="I51" s="10" t="n">
        <v>524.2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524.2</v>
      </c>
      <c r="R51" s="10" t="n">
        <v>0</v>
      </c>
      <c r="S51" s="10" t="n">
        <v>0</v>
      </c>
      <c r="T51" s="10" t="n">
        <v>0</v>
      </c>
      <c r="U51" s="10" t="n">
        <v>0</v>
      </c>
    </row>
    <row r="52" customFormat="false" ht="15" hidden="false" customHeight="false" outlineLevel="0" collapsed="false">
      <c r="A52" s="7" t="s">
        <v>394</v>
      </c>
      <c r="B52" s="7" t="s">
        <v>57</v>
      </c>
      <c r="C52" s="7" t="s">
        <v>443</v>
      </c>
      <c r="D52" s="10" t="n">
        <v>0</v>
      </c>
      <c r="E52" s="10" t="n">
        <v>0</v>
      </c>
      <c r="F52" s="10" t="n">
        <v>639.6</v>
      </c>
      <c r="G52" s="10" t="n">
        <v>0</v>
      </c>
      <c r="H52" s="10" t="n">
        <v>0</v>
      </c>
      <c r="I52" s="10" t="n">
        <v>15088.3</v>
      </c>
      <c r="J52" s="10" t="n">
        <v>0</v>
      </c>
      <c r="K52" s="10" t="n">
        <v>97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-582.2</v>
      </c>
      <c r="Q52" s="10" t="n">
        <v>13244.7</v>
      </c>
      <c r="R52" s="10" t="n">
        <v>2328.7</v>
      </c>
      <c r="S52" s="10" t="n">
        <v>0</v>
      </c>
      <c r="T52" s="10" t="n">
        <v>0</v>
      </c>
      <c r="U52" s="10" t="n">
        <v>-143.7</v>
      </c>
    </row>
    <row r="53" customFormat="false" ht="15" hidden="false" customHeight="false" outlineLevel="0" collapsed="false">
      <c r="A53" s="7" t="s">
        <v>394</v>
      </c>
      <c r="B53" s="7" t="s">
        <v>57</v>
      </c>
      <c r="C53" s="7" t="s">
        <v>444</v>
      </c>
      <c r="D53" s="10" t="n">
        <v>0</v>
      </c>
      <c r="E53" s="10" t="n">
        <v>0</v>
      </c>
      <c r="F53" s="10" t="n">
        <v>4763.9</v>
      </c>
      <c r="G53" s="10" t="n">
        <v>0</v>
      </c>
      <c r="H53" s="10" t="n">
        <v>0</v>
      </c>
      <c r="I53" s="10" t="n">
        <v>43551.2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-291.1</v>
      </c>
      <c r="Q53" s="10" t="n">
        <v>37050.2</v>
      </c>
      <c r="R53" s="10" t="n">
        <v>6792.1</v>
      </c>
      <c r="S53" s="10" t="n">
        <v>0</v>
      </c>
      <c r="T53" s="10" t="n">
        <v>0</v>
      </c>
      <c r="U53" s="10" t="n">
        <v>-143.7</v>
      </c>
    </row>
    <row r="54" customFormat="false" ht="15" hidden="false" customHeight="false" outlineLevel="0" collapsed="false">
      <c r="A54" s="7" t="s">
        <v>394</v>
      </c>
      <c r="B54" s="7" t="s">
        <v>57</v>
      </c>
      <c r="C54" s="7" t="s">
        <v>445</v>
      </c>
      <c r="D54" s="10" t="n">
        <v>0</v>
      </c>
      <c r="E54" s="10" t="n">
        <v>0</v>
      </c>
      <c r="F54" s="10" t="n">
        <v>4517.5</v>
      </c>
      <c r="G54" s="10" t="n">
        <v>0</v>
      </c>
      <c r="H54" s="10" t="n">
        <v>0</v>
      </c>
      <c r="I54" s="10" t="n">
        <v>32464.9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-845.5</v>
      </c>
      <c r="Q54" s="10" t="n">
        <v>28070.8</v>
      </c>
      <c r="R54" s="10" t="n">
        <v>5239.6</v>
      </c>
      <c r="S54" s="10" t="n">
        <v>0</v>
      </c>
      <c r="T54" s="10" t="n">
        <v>0</v>
      </c>
      <c r="U54" s="10" t="n">
        <v>0</v>
      </c>
    </row>
    <row r="55" customFormat="false" ht="15" hidden="false" customHeight="false" outlineLevel="0" collapsed="false">
      <c r="A55" s="7" t="s">
        <v>394</v>
      </c>
      <c r="B55" s="7" t="s">
        <v>57</v>
      </c>
      <c r="C55" s="7" t="s">
        <v>446</v>
      </c>
      <c r="D55" s="10" t="n">
        <v>0</v>
      </c>
      <c r="E55" s="10" t="n">
        <v>0</v>
      </c>
      <c r="F55" s="10" t="n">
        <v>4943.9</v>
      </c>
      <c r="G55" s="10" t="n">
        <v>0</v>
      </c>
      <c r="H55" s="10" t="n">
        <v>0</v>
      </c>
      <c r="I55" s="10" t="n">
        <v>42289.8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-970.3</v>
      </c>
      <c r="Q55" s="10" t="n">
        <v>35878.9</v>
      </c>
      <c r="R55" s="10" t="n">
        <v>7381.2</v>
      </c>
      <c r="S55" s="10" t="n">
        <v>0</v>
      </c>
      <c r="T55" s="10" t="n">
        <v>0</v>
      </c>
      <c r="U55" s="10" t="n">
        <v>-287.4</v>
      </c>
    </row>
    <row r="56" customFormat="false" ht="15" hidden="false" customHeight="false" outlineLevel="0" collapsed="false">
      <c r="A56" s="7" t="s">
        <v>394</v>
      </c>
      <c r="B56" s="7" t="s">
        <v>57</v>
      </c>
      <c r="C56" s="7" t="s">
        <v>447</v>
      </c>
      <c r="D56" s="10" t="n">
        <v>0</v>
      </c>
      <c r="E56" s="10" t="n">
        <v>0</v>
      </c>
      <c r="F56" s="10" t="n">
        <v>3157.6</v>
      </c>
      <c r="G56" s="10" t="n">
        <v>0</v>
      </c>
      <c r="H56" s="10" t="n">
        <v>0</v>
      </c>
      <c r="I56" s="10" t="n">
        <v>11308.1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-845.5</v>
      </c>
      <c r="Q56" s="10" t="n">
        <v>8750.6</v>
      </c>
      <c r="R56" s="10" t="n">
        <v>3403</v>
      </c>
      <c r="S56" s="10" t="n">
        <v>0</v>
      </c>
      <c r="T56" s="10" t="n">
        <v>0</v>
      </c>
      <c r="U56" s="10" t="n">
        <v>-143.7</v>
      </c>
    </row>
    <row r="57" customFormat="false" ht="15" hidden="false" customHeight="false" outlineLevel="0" collapsed="false">
      <c r="A57" s="7" t="s">
        <v>394</v>
      </c>
      <c r="B57" s="7" t="s">
        <v>256</v>
      </c>
      <c r="C57" s="7" t="s">
        <v>448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-178.6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-178.6</v>
      </c>
      <c r="R57" s="10" t="n">
        <v>0</v>
      </c>
      <c r="S57" s="10" t="n">
        <v>0</v>
      </c>
      <c r="T57" s="10" t="n">
        <v>0</v>
      </c>
      <c r="U57" s="10" t="n">
        <v>0</v>
      </c>
    </row>
    <row r="58" customFormat="false" ht="15" hidden="false" customHeight="false" outlineLevel="0" collapsed="false">
      <c r="A58" s="7" t="s">
        <v>394</v>
      </c>
      <c r="B58" s="7" t="s">
        <v>202</v>
      </c>
      <c r="C58" s="7" t="s">
        <v>449</v>
      </c>
      <c r="D58" s="10" t="n">
        <v>0</v>
      </c>
      <c r="E58" s="10" t="n">
        <v>0</v>
      </c>
      <c r="F58" s="10" t="n">
        <v>-307.2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</row>
    <row r="59" customFormat="false" ht="15" hidden="false" customHeight="false" outlineLevel="0" collapsed="false">
      <c r="A59" s="7" t="s">
        <v>394</v>
      </c>
      <c r="B59" s="7" t="s">
        <v>202</v>
      </c>
      <c r="C59" s="7" t="s">
        <v>450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573.5</v>
      </c>
      <c r="J59" s="10" t="n">
        <v>0</v>
      </c>
      <c r="K59" s="10" t="n">
        <v>286.8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286.8</v>
      </c>
      <c r="S59" s="10" t="n">
        <v>0</v>
      </c>
      <c r="T59" s="10" t="n">
        <v>0</v>
      </c>
      <c r="U59" s="10" t="n">
        <v>0</v>
      </c>
    </row>
    <row r="60" customFormat="false" ht="15" hidden="false" customHeight="false" outlineLevel="0" collapsed="false">
      <c r="A60" s="7" t="s">
        <v>394</v>
      </c>
      <c r="B60" s="7" t="s">
        <v>100</v>
      </c>
      <c r="C60" s="7" t="s">
        <v>451</v>
      </c>
      <c r="D60" s="10" t="n">
        <v>0</v>
      </c>
      <c r="E60" s="10" t="n">
        <v>0</v>
      </c>
      <c r="F60" s="10" t="n">
        <v>5468.9</v>
      </c>
      <c r="G60" s="10" t="n">
        <v>0</v>
      </c>
      <c r="H60" s="10" t="n">
        <v>0</v>
      </c>
      <c r="I60" s="10" t="n">
        <v>7472</v>
      </c>
      <c r="J60" s="10" t="n">
        <v>0</v>
      </c>
      <c r="K60" s="10" t="n">
        <v>108.5</v>
      </c>
      <c r="L60" s="10" t="n">
        <v>0</v>
      </c>
      <c r="M60" s="10" t="n">
        <v>0</v>
      </c>
      <c r="N60" s="10" t="n">
        <v>66.1</v>
      </c>
      <c r="O60" s="10" t="n">
        <v>29.1</v>
      </c>
      <c r="P60" s="10" t="n">
        <v>-189.9</v>
      </c>
      <c r="Q60" s="10" t="n">
        <v>4743.3</v>
      </c>
      <c r="R60" s="10" t="n">
        <v>2714.9</v>
      </c>
      <c r="S60" s="10" t="n">
        <v>0</v>
      </c>
      <c r="T60" s="10" t="n">
        <v>0</v>
      </c>
      <c r="U60" s="10" t="n">
        <v>0</v>
      </c>
    </row>
    <row r="61" customFormat="false" ht="15" hidden="false" customHeight="false" outlineLevel="0" collapsed="false">
      <c r="A61" s="7" t="s">
        <v>394</v>
      </c>
      <c r="B61" s="7" t="s">
        <v>100</v>
      </c>
      <c r="C61" s="7" t="s">
        <v>452</v>
      </c>
      <c r="D61" s="10" t="n">
        <v>0</v>
      </c>
      <c r="E61" s="10" t="n">
        <v>0</v>
      </c>
      <c r="F61" s="10" t="n">
        <v>6304</v>
      </c>
      <c r="G61" s="10" t="n">
        <v>0</v>
      </c>
      <c r="H61" s="10" t="n">
        <v>0</v>
      </c>
      <c r="I61" s="10" t="n">
        <v>9992.7</v>
      </c>
      <c r="J61" s="10" t="n">
        <v>0</v>
      </c>
      <c r="K61" s="10" t="n">
        <v>162.8</v>
      </c>
      <c r="L61" s="10" t="n">
        <v>0</v>
      </c>
      <c r="M61" s="10" t="n">
        <v>0</v>
      </c>
      <c r="N61" s="10" t="n">
        <v>0</v>
      </c>
      <c r="O61" s="10" t="n">
        <v>58.1</v>
      </c>
      <c r="P61" s="10" t="n">
        <v>-162.8</v>
      </c>
      <c r="Q61" s="10" t="n">
        <v>7085.9</v>
      </c>
      <c r="R61" s="10" t="n">
        <v>2848.7</v>
      </c>
      <c r="S61" s="10" t="n">
        <v>0</v>
      </c>
      <c r="T61" s="10" t="n">
        <v>0</v>
      </c>
      <c r="U61" s="10" t="n">
        <v>0</v>
      </c>
    </row>
    <row r="62" customFormat="false" ht="15" hidden="false" customHeight="false" outlineLevel="0" collapsed="false">
      <c r="A62" s="7" t="s">
        <v>394</v>
      </c>
      <c r="B62" s="7" t="s">
        <v>100</v>
      </c>
      <c r="C62" s="7" t="s">
        <v>453</v>
      </c>
      <c r="D62" s="10" t="n">
        <v>0</v>
      </c>
      <c r="E62" s="10" t="n">
        <v>0</v>
      </c>
      <c r="F62" s="10" t="n">
        <v>4083.6</v>
      </c>
      <c r="G62" s="10" t="n">
        <v>0</v>
      </c>
      <c r="H62" s="10" t="n">
        <v>0</v>
      </c>
      <c r="I62" s="10" t="n">
        <v>7385.6</v>
      </c>
      <c r="J62" s="10" t="n">
        <v>0</v>
      </c>
      <c r="K62" s="10" t="n">
        <v>244.2</v>
      </c>
      <c r="L62" s="10" t="n">
        <v>0</v>
      </c>
      <c r="M62" s="10" t="n">
        <v>33</v>
      </c>
      <c r="N62" s="10" t="n">
        <v>99.7</v>
      </c>
      <c r="O62" s="10" t="n">
        <v>58.1</v>
      </c>
      <c r="P62" s="10" t="n">
        <v>-328.7</v>
      </c>
      <c r="Q62" s="10" t="n">
        <v>4593.4</v>
      </c>
      <c r="R62" s="10" t="n">
        <v>2685.9</v>
      </c>
      <c r="S62" s="10" t="n">
        <v>0</v>
      </c>
      <c r="T62" s="10" t="n">
        <v>0</v>
      </c>
      <c r="U62" s="10" t="n">
        <v>0</v>
      </c>
    </row>
    <row r="63" customFormat="false" ht="15" hidden="false" customHeight="false" outlineLevel="0" collapsed="false">
      <c r="A63" s="7" t="s">
        <v>394</v>
      </c>
      <c r="B63" s="7" t="s">
        <v>100</v>
      </c>
      <c r="C63" s="7" t="s">
        <v>454</v>
      </c>
      <c r="D63" s="10" t="n">
        <v>0</v>
      </c>
      <c r="E63" s="10" t="n">
        <v>0</v>
      </c>
      <c r="F63" s="10" t="n">
        <v>2504.3</v>
      </c>
      <c r="G63" s="10" t="n">
        <v>0</v>
      </c>
      <c r="H63" s="10" t="n">
        <v>0</v>
      </c>
      <c r="I63" s="10" t="n">
        <v>3318.4</v>
      </c>
      <c r="J63" s="10" t="n">
        <v>0</v>
      </c>
      <c r="K63" s="10" t="n">
        <v>108.5</v>
      </c>
      <c r="L63" s="10" t="n">
        <v>0</v>
      </c>
      <c r="M63" s="10" t="n">
        <v>33</v>
      </c>
      <c r="N63" s="10" t="n">
        <v>66.5</v>
      </c>
      <c r="O63" s="10" t="n">
        <v>29.1</v>
      </c>
      <c r="P63" s="10" t="n">
        <v>-135.7</v>
      </c>
      <c r="Q63" s="10" t="n">
        <v>2104.6</v>
      </c>
      <c r="R63" s="10" t="n">
        <v>1112.3</v>
      </c>
      <c r="S63" s="10" t="n">
        <v>0</v>
      </c>
      <c r="T63" s="10" t="n">
        <v>0</v>
      </c>
      <c r="U63" s="10" t="n">
        <v>0</v>
      </c>
    </row>
    <row r="64" customFormat="false" ht="15" hidden="false" customHeight="false" outlineLevel="0" collapsed="false">
      <c r="A64" s="7" t="s">
        <v>394</v>
      </c>
      <c r="B64" s="7" t="s">
        <v>100</v>
      </c>
      <c r="C64" s="7" t="s">
        <v>455</v>
      </c>
      <c r="D64" s="10" t="n">
        <v>0</v>
      </c>
      <c r="E64" s="10" t="n">
        <v>0</v>
      </c>
      <c r="F64" s="10" t="n">
        <v>130.7</v>
      </c>
      <c r="G64" s="10" t="n">
        <v>0</v>
      </c>
      <c r="H64" s="10" t="n">
        <v>0</v>
      </c>
      <c r="I64" s="10" t="n">
        <v>25.2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25.2</v>
      </c>
      <c r="R64" s="10" t="n">
        <v>0</v>
      </c>
      <c r="S64" s="10" t="n">
        <v>0</v>
      </c>
      <c r="T64" s="10" t="n">
        <v>0</v>
      </c>
      <c r="U64" s="10" t="n">
        <v>0</v>
      </c>
    </row>
    <row r="65" customFormat="false" ht="15" hidden="false" customHeight="false" outlineLevel="0" collapsed="false">
      <c r="A65" s="7" t="s">
        <v>394</v>
      </c>
      <c r="B65" s="7" t="s">
        <v>44</v>
      </c>
      <c r="C65" s="7" t="s">
        <v>456</v>
      </c>
      <c r="D65" s="10" t="n">
        <v>0</v>
      </c>
      <c r="E65" s="10" t="n">
        <v>0</v>
      </c>
      <c r="F65" s="10" t="n">
        <v>13297</v>
      </c>
      <c r="G65" s="10" t="n">
        <v>0</v>
      </c>
      <c r="H65" s="10" t="n">
        <v>0</v>
      </c>
      <c r="I65" s="10" t="n">
        <v>80381.7</v>
      </c>
      <c r="J65" s="10" t="n">
        <v>0</v>
      </c>
      <c r="K65" s="10" t="n">
        <v>352.5</v>
      </c>
      <c r="L65" s="10" t="n">
        <v>0</v>
      </c>
      <c r="M65" s="10" t="n">
        <v>0</v>
      </c>
      <c r="N65" s="10" t="n">
        <v>155.1</v>
      </c>
      <c r="O65" s="10" t="n">
        <v>113.3</v>
      </c>
      <c r="P65" s="10" t="n">
        <v>-282</v>
      </c>
      <c r="Q65" s="10" t="n">
        <v>73733</v>
      </c>
      <c r="R65" s="10" t="n">
        <v>6309.8</v>
      </c>
      <c r="S65" s="10" t="n">
        <v>0</v>
      </c>
      <c r="T65" s="10" t="n">
        <v>0</v>
      </c>
      <c r="U65" s="10" t="n">
        <v>0</v>
      </c>
    </row>
    <row r="66" customFormat="false" ht="15" hidden="false" customHeight="false" outlineLevel="0" collapsed="false">
      <c r="A66" s="7" t="s">
        <v>394</v>
      </c>
      <c r="B66" s="7" t="s">
        <v>44</v>
      </c>
      <c r="C66" s="7" t="s">
        <v>457</v>
      </c>
      <c r="D66" s="10" t="n">
        <v>0</v>
      </c>
      <c r="E66" s="10" t="n">
        <v>0</v>
      </c>
      <c r="F66" s="10" t="n">
        <v>23596.4</v>
      </c>
      <c r="G66" s="10" t="n">
        <v>0</v>
      </c>
      <c r="H66" s="10" t="n">
        <v>0</v>
      </c>
      <c r="I66" s="10" t="n">
        <v>78042.6</v>
      </c>
      <c r="J66" s="10" t="n">
        <v>0</v>
      </c>
      <c r="K66" s="10" t="n">
        <v>458.3</v>
      </c>
      <c r="L66" s="10" t="n">
        <v>0</v>
      </c>
      <c r="M66" s="10" t="n">
        <v>0</v>
      </c>
      <c r="N66" s="10" t="n">
        <v>75.5</v>
      </c>
      <c r="O66" s="10" t="n">
        <v>113.3</v>
      </c>
      <c r="P66" s="10" t="n">
        <v>-176.3</v>
      </c>
      <c r="Q66" s="10" t="n">
        <v>70516.7</v>
      </c>
      <c r="R66" s="10" t="n">
        <v>7055</v>
      </c>
      <c r="S66" s="10" t="n">
        <v>0</v>
      </c>
      <c r="T66" s="10" t="n">
        <v>0</v>
      </c>
      <c r="U66" s="10" t="n">
        <v>0</v>
      </c>
    </row>
    <row r="67" customFormat="false" ht="15" hidden="false" customHeight="false" outlineLevel="0" collapsed="false">
      <c r="A67" s="7" t="s">
        <v>394</v>
      </c>
      <c r="B67" s="7" t="s">
        <v>44</v>
      </c>
      <c r="C67" s="7" t="s">
        <v>458</v>
      </c>
      <c r="D67" s="10" t="n">
        <v>0</v>
      </c>
      <c r="E67" s="10" t="n">
        <v>0</v>
      </c>
      <c r="F67" s="10" t="n">
        <v>25775.4</v>
      </c>
      <c r="G67" s="10" t="n">
        <v>0</v>
      </c>
      <c r="H67" s="10" t="n">
        <v>0</v>
      </c>
      <c r="I67" s="10" t="n">
        <v>110113.4</v>
      </c>
      <c r="J67" s="10" t="n">
        <v>0</v>
      </c>
      <c r="K67" s="10" t="n">
        <v>740.3</v>
      </c>
      <c r="L67" s="10" t="n">
        <v>0</v>
      </c>
      <c r="M67" s="10" t="n">
        <v>0</v>
      </c>
      <c r="N67" s="10" t="n">
        <v>75.5</v>
      </c>
      <c r="O67" s="10" t="n">
        <v>113.3</v>
      </c>
      <c r="P67" s="10" t="n">
        <v>-246.8</v>
      </c>
      <c r="Q67" s="10" t="n">
        <v>99452.8</v>
      </c>
      <c r="R67" s="10" t="n">
        <v>9978.3</v>
      </c>
      <c r="S67" s="10" t="n">
        <v>0</v>
      </c>
      <c r="T67" s="10" t="n">
        <v>0</v>
      </c>
      <c r="U67" s="10" t="n">
        <v>0</v>
      </c>
    </row>
    <row r="68" customFormat="false" ht="15" hidden="false" customHeight="false" outlineLevel="0" collapsed="false">
      <c r="A68" s="7" t="s">
        <v>394</v>
      </c>
      <c r="B68" s="7" t="s">
        <v>44</v>
      </c>
      <c r="C68" s="7" t="s">
        <v>459</v>
      </c>
      <c r="D68" s="10" t="n">
        <v>0</v>
      </c>
      <c r="E68" s="10" t="n">
        <v>0</v>
      </c>
      <c r="F68" s="10" t="n">
        <v>9483.1</v>
      </c>
      <c r="G68" s="10" t="n">
        <v>0</v>
      </c>
      <c r="H68" s="10" t="n">
        <v>0</v>
      </c>
      <c r="I68" s="10" t="n">
        <v>28343</v>
      </c>
      <c r="J68" s="10" t="n">
        <v>0</v>
      </c>
      <c r="K68" s="10" t="n">
        <v>246.8</v>
      </c>
      <c r="L68" s="10" t="n">
        <v>0</v>
      </c>
      <c r="M68" s="10" t="n">
        <v>0</v>
      </c>
      <c r="N68" s="10" t="n">
        <v>0</v>
      </c>
      <c r="O68" s="10" t="n">
        <v>37.8</v>
      </c>
      <c r="P68" s="10" t="n">
        <v>-287</v>
      </c>
      <c r="Q68" s="10" t="n">
        <v>26160</v>
      </c>
      <c r="R68" s="10" t="n">
        <v>2185.5</v>
      </c>
      <c r="S68" s="10" t="n">
        <v>0</v>
      </c>
      <c r="T68" s="10" t="n">
        <v>0</v>
      </c>
      <c r="U68" s="10" t="n">
        <v>0</v>
      </c>
    </row>
    <row r="69" customFormat="false" ht="15" hidden="false" customHeight="false" outlineLevel="0" collapsed="false">
      <c r="A69" s="7" t="s">
        <v>394</v>
      </c>
      <c r="B69" s="7" t="s">
        <v>187</v>
      </c>
      <c r="C69" s="7" t="s">
        <v>460</v>
      </c>
      <c r="D69" s="10" t="n">
        <v>0</v>
      </c>
      <c r="E69" s="10" t="n">
        <v>0</v>
      </c>
      <c r="F69" s="10" t="n">
        <v>132.6</v>
      </c>
      <c r="G69" s="10" t="n">
        <v>0</v>
      </c>
      <c r="H69" s="10" t="n">
        <v>0</v>
      </c>
      <c r="I69" s="10" t="n">
        <v>-632.5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-314.4</v>
      </c>
      <c r="Q69" s="10" t="n">
        <v>-318.1</v>
      </c>
      <c r="R69" s="10" t="n">
        <v>0</v>
      </c>
      <c r="S69" s="10" t="n">
        <v>0</v>
      </c>
      <c r="T69" s="10" t="n">
        <v>0</v>
      </c>
      <c r="U69" s="10" t="n">
        <v>0</v>
      </c>
    </row>
    <row r="70" customFormat="false" ht="15" hidden="false" customHeight="false" outlineLevel="0" collapsed="false">
      <c r="A70" s="7" t="s">
        <v>394</v>
      </c>
      <c r="B70" s="7" t="s">
        <v>187</v>
      </c>
      <c r="C70" s="7" t="s">
        <v>461</v>
      </c>
      <c r="D70" s="10" t="n">
        <v>0</v>
      </c>
      <c r="E70" s="10" t="n">
        <v>0</v>
      </c>
      <c r="F70" s="10" t="n">
        <v>-50.9</v>
      </c>
      <c r="G70" s="10" t="n">
        <v>0</v>
      </c>
      <c r="H70" s="10" t="n">
        <v>0</v>
      </c>
      <c r="I70" s="10" t="n">
        <v>73.4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-63.6</v>
      </c>
      <c r="R70" s="10" t="n">
        <v>137</v>
      </c>
      <c r="S70" s="10" t="n">
        <v>0</v>
      </c>
      <c r="T70" s="10" t="n">
        <v>0</v>
      </c>
      <c r="U70" s="10" t="n">
        <v>0</v>
      </c>
    </row>
    <row r="71" customFormat="false" ht="15" hidden="false" customHeight="false" outlineLevel="0" collapsed="false">
      <c r="A71" s="7" t="s">
        <v>394</v>
      </c>
      <c r="B71" s="7" t="s">
        <v>187</v>
      </c>
      <c r="C71" s="7" t="s">
        <v>462</v>
      </c>
      <c r="D71" s="10" t="n">
        <v>0</v>
      </c>
      <c r="E71" s="10" t="n">
        <v>0</v>
      </c>
      <c r="F71" s="10" t="n">
        <v>7.8</v>
      </c>
      <c r="G71" s="10" t="n">
        <v>0</v>
      </c>
      <c r="H71" s="10" t="n">
        <v>0</v>
      </c>
      <c r="I71" s="10" t="n">
        <v>-133.6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-202.1</v>
      </c>
      <c r="Q71" s="10" t="n">
        <v>0</v>
      </c>
      <c r="R71" s="10" t="n">
        <v>68.5</v>
      </c>
      <c r="S71" s="10" t="n">
        <v>0</v>
      </c>
      <c r="T71" s="10" t="n">
        <v>0</v>
      </c>
      <c r="U71" s="10" t="n">
        <v>0</v>
      </c>
    </row>
    <row r="72" customFormat="false" ht="15" hidden="false" customHeight="false" outlineLevel="0" collapsed="false">
      <c r="A72" s="7" t="s">
        <v>394</v>
      </c>
      <c r="B72" s="7" t="s">
        <v>187</v>
      </c>
      <c r="C72" s="7" t="s">
        <v>463</v>
      </c>
      <c r="D72" s="10" t="n">
        <v>0</v>
      </c>
      <c r="E72" s="10" t="n">
        <v>0</v>
      </c>
      <c r="F72" s="10" t="n">
        <v>132.3</v>
      </c>
      <c r="G72" s="10" t="n">
        <v>0</v>
      </c>
      <c r="H72" s="10" t="n">
        <v>0</v>
      </c>
      <c r="I72" s="10" t="n">
        <v>-249.6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-68.5</v>
      </c>
      <c r="Q72" s="10" t="n">
        <v>-318.1</v>
      </c>
      <c r="R72" s="10" t="n">
        <v>137</v>
      </c>
      <c r="S72" s="10" t="n">
        <v>0</v>
      </c>
      <c r="T72" s="10" t="n">
        <v>0</v>
      </c>
      <c r="U72" s="10" t="n">
        <v>0</v>
      </c>
    </row>
    <row r="73" customFormat="false" ht="15" hidden="false" customHeight="false" outlineLevel="0" collapsed="false">
      <c r="A73" s="7" t="s">
        <v>394</v>
      </c>
      <c r="B73" s="7" t="s">
        <v>215</v>
      </c>
      <c r="C73" s="7" t="s">
        <v>464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-136.3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-136.3</v>
      </c>
      <c r="R73" s="10" t="n">
        <v>0</v>
      </c>
      <c r="S73" s="10" t="n">
        <v>0</v>
      </c>
      <c r="T73" s="10" t="n">
        <v>0</v>
      </c>
      <c r="U73" s="10" t="n">
        <v>0</v>
      </c>
    </row>
    <row r="74" customFormat="false" ht="15" hidden="false" customHeight="false" outlineLevel="0" collapsed="false">
      <c r="A74" s="7" t="s">
        <v>394</v>
      </c>
      <c r="B74" s="7" t="s">
        <v>303</v>
      </c>
      <c r="C74" s="7" t="s">
        <v>465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1206.8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1206.8</v>
      </c>
      <c r="S74" s="10" t="n">
        <v>0</v>
      </c>
      <c r="T74" s="10" t="n">
        <v>0</v>
      </c>
      <c r="U74" s="10" t="n">
        <v>0</v>
      </c>
    </row>
    <row r="75" customFormat="false" ht="15" hidden="false" customHeight="false" outlineLevel="0" collapsed="false">
      <c r="A75" s="7" t="s">
        <v>394</v>
      </c>
      <c r="B75" s="7" t="s">
        <v>303</v>
      </c>
      <c r="C75" s="7" t="s">
        <v>466</v>
      </c>
      <c r="D75" s="10" t="n">
        <v>0</v>
      </c>
      <c r="E75" s="10" t="n">
        <v>0</v>
      </c>
      <c r="F75" s="10" t="n">
        <v>628</v>
      </c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</row>
    <row r="76" customFormat="false" ht="15" hidden="false" customHeight="false" outlineLevel="0" collapsed="false">
      <c r="A76" s="7" t="s">
        <v>394</v>
      </c>
      <c r="B76" s="7" t="s">
        <v>303</v>
      </c>
      <c r="C76" s="7" t="s">
        <v>467</v>
      </c>
      <c r="D76" s="10" t="n">
        <v>0</v>
      </c>
      <c r="E76" s="10" t="n">
        <v>0</v>
      </c>
      <c r="F76" s="10" t="n">
        <v>628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</row>
    <row r="77" customFormat="false" ht="15" hidden="false" customHeight="false" outlineLevel="0" collapsed="false">
      <c r="A77" s="7" t="s">
        <v>394</v>
      </c>
      <c r="B77" s="7" t="s">
        <v>303</v>
      </c>
      <c r="C77" s="7" t="s">
        <v>468</v>
      </c>
      <c r="D77" s="10" t="n">
        <v>0</v>
      </c>
      <c r="E77" s="10" t="n">
        <v>0</v>
      </c>
      <c r="F77" s="10" t="n">
        <v>628</v>
      </c>
      <c r="G77" s="10" t="n">
        <v>0</v>
      </c>
      <c r="H77" s="10" t="n">
        <v>0</v>
      </c>
      <c r="I77" s="10" t="n">
        <v>603.4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-301.7</v>
      </c>
      <c r="Q77" s="10" t="n">
        <v>0</v>
      </c>
      <c r="R77" s="10" t="n">
        <v>905.1</v>
      </c>
      <c r="S77" s="10" t="n">
        <v>0</v>
      </c>
      <c r="T77" s="10" t="n">
        <v>0</v>
      </c>
      <c r="U77" s="10" t="n">
        <v>0</v>
      </c>
    </row>
    <row r="78" customFormat="false" ht="15" hidden="false" customHeight="false" outlineLevel="0" collapsed="false">
      <c r="A78" s="7" t="s">
        <v>394</v>
      </c>
      <c r="B78" s="7" t="s">
        <v>201</v>
      </c>
      <c r="C78" s="7" t="s">
        <v>469</v>
      </c>
      <c r="D78" s="10" t="n">
        <v>0</v>
      </c>
      <c r="E78" s="10" t="n">
        <v>0</v>
      </c>
      <c r="F78" s="10" t="n">
        <v>743.5</v>
      </c>
      <c r="G78" s="10" t="n">
        <v>0</v>
      </c>
      <c r="H78" s="10" t="n">
        <v>0</v>
      </c>
      <c r="I78" s="10" t="n">
        <v>-178.9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-178.9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</row>
    <row r="79" customFormat="false" ht="15" hidden="false" customHeight="false" outlineLevel="0" collapsed="false">
      <c r="A79" s="7" t="s">
        <v>394</v>
      </c>
      <c r="B79" s="7" t="s">
        <v>201</v>
      </c>
      <c r="C79" s="7" t="s">
        <v>470</v>
      </c>
      <c r="D79" s="10" t="n">
        <v>0</v>
      </c>
      <c r="E79" s="10" t="n">
        <v>0</v>
      </c>
      <c r="F79" s="10" t="n">
        <v>346.8</v>
      </c>
      <c r="G79" s="10" t="n">
        <v>0</v>
      </c>
      <c r="H79" s="10" t="n">
        <v>0</v>
      </c>
      <c r="I79" s="10" t="n">
        <v>-166.1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-166.1</v>
      </c>
      <c r="R79" s="10" t="n">
        <v>0</v>
      </c>
      <c r="S79" s="10" t="n">
        <v>0</v>
      </c>
      <c r="T79" s="10" t="n">
        <v>0</v>
      </c>
      <c r="U79" s="10" t="n">
        <v>0</v>
      </c>
    </row>
    <row r="80" customFormat="false" ht="15" hidden="false" customHeight="false" outlineLevel="0" collapsed="false">
      <c r="A80" s="7" t="s">
        <v>394</v>
      </c>
      <c r="B80" s="7" t="s">
        <v>200</v>
      </c>
      <c r="C80" s="7" t="s">
        <v>471</v>
      </c>
      <c r="D80" s="10" t="n">
        <v>0</v>
      </c>
      <c r="E80" s="10" t="n">
        <v>0</v>
      </c>
      <c r="F80" s="10" t="n">
        <v>549.8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</row>
    <row r="81" customFormat="false" ht="15" hidden="false" customHeight="false" outlineLevel="0" collapsed="false">
      <c r="A81" s="7" t="s">
        <v>394</v>
      </c>
      <c r="B81" s="7" t="s">
        <v>200</v>
      </c>
      <c r="C81" s="7" t="s">
        <v>472</v>
      </c>
      <c r="D81" s="10" t="n">
        <v>0</v>
      </c>
      <c r="E81" s="10" t="n">
        <v>0</v>
      </c>
      <c r="F81" s="10" t="n">
        <v>1087.2</v>
      </c>
      <c r="G81" s="10" t="n">
        <v>0</v>
      </c>
      <c r="H81" s="10" t="n">
        <v>0</v>
      </c>
      <c r="I81" s="10" t="n">
        <v>881.6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166.1</v>
      </c>
      <c r="R81" s="10" t="n">
        <v>715.5</v>
      </c>
      <c r="S81" s="10" t="n">
        <v>0</v>
      </c>
      <c r="T81" s="10" t="n">
        <v>0</v>
      </c>
      <c r="U81" s="10" t="n">
        <v>0</v>
      </c>
    </row>
    <row r="82" customFormat="false" ht="15" hidden="false" customHeight="false" outlineLevel="0" collapsed="false">
      <c r="A82" s="7" t="s">
        <v>394</v>
      </c>
      <c r="B82" s="7" t="s">
        <v>200</v>
      </c>
      <c r="C82" s="7" t="s">
        <v>473</v>
      </c>
      <c r="D82" s="10" t="n">
        <v>0</v>
      </c>
      <c r="E82" s="10" t="n">
        <v>0</v>
      </c>
      <c r="F82" s="10" t="n">
        <v>1274.6</v>
      </c>
      <c r="G82" s="10" t="n">
        <v>0</v>
      </c>
      <c r="H82" s="10" t="n">
        <v>0</v>
      </c>
      <c r="I82" s="10" t="n">
        <v>12.8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-166.1</v>
      </c>
      <c r="R82" s="10" t="n">
        <v>178.9</v>
      </c>
      <c r="S82" s="10" t="n">
        <v>0</v>
      </c>
      <c r="T82" s="10" t="n">
        <v>0</v>
      </c>
      <c r="U82" s="10" t="n">
        <v>0</v>
      </c>
    </row>
    <row r="83" customFormat="false" ht="15" hidden="false" customHeight="false" outlineLevel="0" collapsed="false">
      <c r="A83" s="7" t="s">
        <v>394</v>
      </c>
      <c r="B83" s="7" t="s">
        <v>200</v>
      </c>
      <c r="C83" s="7" t="s">
        <v>474</v>
      </c>
      <c r="D83" s="10" t="n">
        <v>0</v>
      </c>
      <c r="E83" s="10" t="n">
        <v>0</v>
      </c>
      <c r="F83" s="10" t="n">
        <v>718.9</v>
      </c>
      <c r="G83" s="10" t="n">
        <v>0</v>
      </c>
      <c r="H83" s="10" t="n">
        <v>0</v>
      </c>
      <c r="I83" s="10" t="n">
        <v>-332.2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-332.2</v>
      </c>
      <c r="R83" s="10" t="n">
        <v>0</v>
      </c>
      <c r="S83" s="10" t="n">
        <v>0</v>
      </c>
      <c r="T83" s="10" t="n">
        <v>0</v>
      </c>
      <c r="U83" s="10" t="n">
        <v>0</v>
      </c>
    </row>
    <row r="84" customFormat="false" ht="15" hidden="false" customHeight="false" outlineLevel="0" collapsed="false">
      <c r="A84" s="7" t="s">
        <v>394</v>
      </c>
      <c r="B84" s="7" t="s">
        <v>319</v>
      </c>
      <c r="C84" s="7" t="s">
        <v>475</v>
      </c>
      <c r="D84" s="10" t="n">
        <v>0</v>
      </c>
      <c r="E84" s="10" t="n">
        <v>0</v>
      </c>
      <c r="F84" s="10" t="n">
        <v>141.8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</row>
    <row r="85" customFormat="false" ht="15" hidden="false" customHeight="false" outlineLevel="0" collapsed="false">
      <c r="A85" s="7" t="s">
        <v>394</v>
      </c>
      <c r="B85" s="7" t="s">
        <v>203</v>
      </c>
      <c r="C85" s="7" t="s">
        <v>476</v>
      </c>
      <c r="D85" s="10" t="n">
        <v>0</v>
      </c>
      <c r="E85" s="10" t="n">
        <v>0</v>
      </c>
      <c r="F85" s="10" t="n">
        <v>142</v>
      </c>
      <c r="G85" s="10" t="n">
        <v>0</v>
      </c>
      <c r="H85" s="10" t="n">
        <v>0</v>
      </c>
      <c r="I85" s="10" t="n">
        <v>-262.1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-262.1</v>
      </c>
      <c r="R85" s="10" t="n">
        <v>0</v>
      </c>
      <c r="S85" s="10" t="n">
        <v>0</v>
      </c>
      <c r="T85" s="10" t="n">
        <v>0</v>
      </c>
      <c r="U85" s="10" t="n">
        <v>0</v>
      </c>
    </row>
    <row r="86" customFormat="false" ht="15" hidden="false" customHeight="false" outlineLevel="0" collapsed="false">
      <c r="A86" s="7" t="s">
        <v>394</v>
      </c>
      <c r="B86" s="7" t="s">
        <v>75</v>
      </c>
      <c r="C86" s="7" t="s">
        <v>477</v>
      </c>
      <c r="D86" s="10" t="n">
        <v>0</v>
      </c>
      <c r="E86" s="10" t="n">
        <v>0</v>
      </c>
      <c r="F86" s="10" t="n">
        <v>1561.4</v>
      </c>
      <c r="G86" s="10" t="n">
        <v>0</v>
      </c>
      <c r="H86" s="10" t="n">
        <v>69.6</v>
      </c>
      <c r="I86" s="10" t="n">
        <v>18291</v>
      </c>
      <c r="J86" s="10" t="n">
        <v>0</v>
      </c>
      <c r="K86" s="10" t="n">
        <v>75</v>
      </c>
      <c r="L86" s="10" t="n">
        <v>0</v>
      </c>
      <c r="M86" s="10" t="n">
        <v>0</v>
      </c>
      <c r="N86" s="10" t="n">
        <v>321.8</v>
      </c>
      <c r="O86" s="10" t="n">
        <v>0</v>
      </c>
      <c r="P86" s="10" t="n">
        <v>-315.9</v>
      </c>
      <c r="Q86" s="10" t="n">
        <v>15661.5</v>
      </c>
      <c r="R86" s="10" t="n">
        <v>2548.6</v>
      </c>
      <c r="S86" s="10" t="n">
        <v>0</v>
      </c>
      <c r="T86" s="10" t="n">
        <v>0</v>
      </c>
      <c r="U86" s="10" t="n">
        <v>0</v>
      </c>
    </row>
    <row r="87" customFormat="false" ht="15" hidden="false" customHeight="false" outlineLevel="0" collapsed="false">
      <c r="A87" s="7" t="s">
        <v>394</v>
      </c>
      <c r="B87" s="7" t="s">
        <v>152</v>
      </c>
      <c r="C87" s="7" t="s">
        <v>478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-258.3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-176.4</v>
      </c>
      <c r="Q87" s="10" t="n">
        <v>-81.9</v>
      </c>
      <c r="R87" s="10" t="n">
        <v>0</v>
      </c>
      <c r="S87" s="10" t="n">
        <v>0</v>
      </c>
      <c r="T87" s="10" t="n">
        <v>0</v>
      </c>
      <c r="U87" s="10" t="n">
        <v>0</v>
      </c>
    </row>
    <row r="88" customFormat="false" ht="15" hidden="false" customHeight="false" outlineLevel="0" collapsed="false">
      <c r="A88" s="7" t="s">
        <v>394</v>
      </c>
      <c r="B88" s="7" t="s">
        <v>152</v>
      </c>
      <c r="C88" s="7" t="s">
        <v>479</v>
      </c>
      <c r="D88" s="10" t="n">
        <v>0</v>
      </c>
      <c r="E88" s="10" t="n">
        <v>0</v>
      </c>
      <c r="F88" s="10" t="n">
        <v>740.1</v>
      </c>
      <c r="G88" s="10" t="n">
        <v>0</v>
      </c>
      <c r="H88" s="10" t="n">
        <v>0</v>
      </c>
      <c r="I88" s="10" t="n">
        <v>1434.5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728.9</v>
      </c>
      <c r="R88" s="10" t="n">
        <v>705.6</v>
      </c>
      <c r="S88" s="10" t="n">
        <v>0</v>
      </c>
      <c r="T88" s="10" t="n">
        <v>0</v>
      </c>
      <c r="U88" s="10" t="n">
        <v>0</v>
      </c>
    </row>
    <row r="89" customFormat="false" ht="15" hidden="false" customHeight="false" outlineLevel="0" collapsed="false">
      <c r="A89" s="7" t="s">
        <v>394</v>
      </c>
      <c r="B89" s="7" t="s">
        <v>152</v>
      </c>
      <c r="C89" s="7" t="s">
        <v>480</v>
      </c>
      <c r="D89" s="10" t="n">
        <v>0</v>
      </c>
      <c r="E89" s="10" t="n">
        <v>0</v>
      </c>
      <c r="F89" s="10" t="n">
        <v>0.1</v>
      </c>
      <c r="G89" s="10" t="n">
        <v>0</v>
      </c>
      <c r="H89" s="10" t="n">
        <v>0</v>
      </c>
      <c r="I89" s="10" t="n">
        <v>573.3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-88.2</v>
      </c>
      <c r="Q89" s="10" t="n">
        <v>573.3</v>
      </c>
      <c r="R89" s="10" t="n">
        <v>88.2</v>
      </c>
      <c r="S89" s="10" t="n">
        <v>0</v>
      </c>
      <c r="T89" s="10" t="n">
        <v>0</v>
      </c>
      <c r="U89" s="10" t="n">
        <v>0</v>
      </c>
    </row>
    <row r="90" customFormat="false" ht="15" hidden="false" customHeight="false" outlineLevel="0" collapsed="false">
      <c r="A90" s="7" t="s">
        <v>394</v>
      </c>
      <c r="B90" s="7" t="s">
        <v>152</v>
      </c>
      <c r="C90" s="7" t="s">
        <v>481</v>
      </c>
      <c r="D90" s="10" t="n">
        <v>0</v>
      </c>
      <c r="E90" s="10" t="n">
        <v>0</v>
      </c>
      <c r="F90" s="10" t="n">
        <v>843.7</v>
      </c>
      <c r="G90" s="10" t="n">
        <v>0</v>
      </c>
      <c r="H90" s="10" t="n">
        <v>82</v>
      </c>
      <c r="I90" s="10" t="n">
        <v>1581.6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1052.4</v>
      </c>
      <c r="R90" s="10" t="n">
        <v>529.2</v>
      </c>
      <c r="S90" s="10" t="n">
        <v>0</v>
      </c>
      <c r="T90" s="10" t="n">
        <v>0</v>
      </c>
      <c r="U90" s="10" t="n">
        <v>0</v>
      </c>
    </row>
    <row r="91" customFormat="false" ht="15" hidden="false" customHeight="false" outlineLevel="0" collapsed="false">
      <c r="A91" s="7" t="s">
        <v>394</v>
      </c>
      <c r="B91" s="7" t="s">
        <v>152</v>
      </c>
      <c r="C91" s="7" t="s">
        <v>482</v>
      </c>
      <c r="D91" s="10" t="n">
        <v>0</v>
      </c>
      <c r="E91" s="10" t="n">
        <v>0</v>
      </c>
      <c r="F91" s="10" t="n">
        <v>752.9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</row>
    <row r="92" customFormat="false" ht="15" hidden="false" customHeight="false" outlineLevel="0" collapsed="false">
      <c r="A92" s="7" t="s">
        <v>394</v>
      </c>
      <c r="B92" s="7" t="s">
        <v>118</v>
      </c>
      <c r="C92" s="7" t="s">
        <v>483</v>
      </c>
      <c r="D92" s="10" t="n">
        <v>0</v>
      </c>
      <c r="E92" s="10" t="n">
        <v>0</v>
      </c>
      <c r="F92" s="10" t="n">
        <v>3639.3</v>
      </c>
      <c r="G92" s="10" t="n">
        <v>0</v>
      </c>
      <c r="H92" s="10" t="n">
        <v>0</v>
      </c>
      <c r="I92" s="10" t="n">
        <v>7393.4</v>
      </c>
      <c r="J92" s="10" t="n">
        <v>0</v>
      </c>
      <c r="K92" s="10" t="n">
        <v>68.7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-34.4</v>
      </c>
      <c r="Q92" s="10" t="n">
        <v>5949.8</v>
      </c>
      <c r="R92" s="10" t="n">
        <v>1409.2</v>
      </c>
      <c r="S92" s="10" t="n">
        <v>0</v>
      </c>
      <c r="T92" s="10" t="n">
        <v>0</v>
      </c>
      <c r="U92" s="10" t="n">
        <v>0</v>
      </c>
    </row>
    <row r="93" customFormat="false" ht="15" hidden="false" customHeight="false" outlineLevel="0" collapsed="false">
      <c r="A93" s="7" t="s">
        <v>394</v>
      </c>
      <c r="B93" s="7" t="s">
        <v>118</v>
      </c>
      <c r="C93" s="7" t="s">
        <v>484</v>
      </c>
      <c r="D93" s="10" t="n">
        <v>0</v>
      </c>
      <c r="E93" s="10" t="n">
        <v>0</v>
      </c>
      <c r="F93" s="10" t="n">
        <v>1639.6</v>
      </c>
      <c r="G93" s="10" t="n">
        <v>0</v>
      </c>
      <c r="H93" s="10" t="n">
        <v>0</v>
      </c>
      <c r="I93" s="10" t="n">
        <v>4919.8</v>
      </c>
      <c r="J93" s="10" t="n">
        <v>0</v>
      </c>
      <c r="K93" s="10" t="n">
        <v>171.9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-34.4</v>
      </c>
      <c r="Q93" s="10" t="n">
        <v>3854.3</v>
      </c>
      <c r="R93" s="10" t="n">
        <v>928</v>
      </c>
      <c r="S93" s="10" t="n">
        <v>0</v>
      </c>
      <c r="T93" s="10" t="n">
        <v>0</v>
      </c>
      <c r="U93" s="10" t="n">
        <v>0</v>
      </c>
    </row>
    <row r="94" customFormat="false" ht="15" hidden="false" customHeight="false" outlineLevel="0" collapsed="false">
      <c r="A94" s="7" t="s">
        <v>394</v>
      </c>
      <c r="B94" s="7" t="s">
        <v>124</v>
      </c>
      <c r="C94" s="7" t="s">
        <v>485</v>
      </c>
      <c r="D94" s="10" t="n">
        <v>0</v>
      </c>
      <c r="E94" s="10" t="n">
        <v>0</v>
      </c>
      <c r="F94" s="10" t="n">
        <v>3773.9</v>
      </c>
      <c r="G94" s="10" t="n">
        <v>0</v>
      </c>
      <c r="H94" s="10" t="n">
        <v>0</v>
      </c>
      <c r="I94" s="10" t="n">
        <v>3246.9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3246.9</v>
      </c>
      <c r="R94" s="10" t="n">
        <v>0</v>
      </c>
      <c r="S94" s="10" t="n">
        <v>0</v>
      </c>
      <c r="T94" s="10" t="n">
        <v>0</v>
      </c>
      <c r="U94" s="10" t="n">
        <v>0</v>
      </c>
    </row>
    <row r="95" customFormat="false" ht="15" hidden="false" customHeight="false" outlineLevel="0" collapsed="false">
      <c r="A95" s="7" t="s">
        <v>394</v>
      </c>
      <c r="B95" s="7" t="s">
        <v>124</v>
      </c>
      <c r="C95" s="7" t="s">
        <v>486</v>
      </c>
      <c r="D95" s="10" t="n">
        <v>0</v>
      </c>
      <c r="E95" s="10" t="n">
        <v>0</v>
      </c>
      <c r="F95" s="10" t="n">
        <v>2689.7</v>
      </c>
      <c r="G95" s="10" t="n">
        <v>0</v>
      </c>
      <c r="H95" s="10" t="n">
        <v>0</v>
      </c>
      <c r="I95" s="10" t="n">
        <v>3688.3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3688.3</v>
      </c>
      <c r="R95" s="10" t="n">
        <v>0</v>
      </c>
      <c r="S95" s="10" t="n">
        <v>0</v>
      </c>
      <c r="T95" s="10" t="n">
        <v>0</v>
      </c>
      <c r="U95" s="10" t="n">
        <v>0</v>
      </c>
    </row>
    <row r="96" customFormat="false" ht="15" hidden="false" customHeight="false" outlineLevel="0" collapsed="false">
      <c r="A96" s="7" t="s">
        <v>394</v>
      </c>
      <c r="B96" s="7" t="s">
        <v>60</v>
      </c>
      <c r="C96" s="7" t="s">
        <v>487</v>
      </c>
      <c r="D96" s="10" t="n">
        <v>0</v>
      </c>
      <c r="E96" s="10" t="n">
        <v>0</v>
      </c>
      <c r="F96" s="10" t="n">
        <v>24107.4</v>
      </c>
      <c r="G96" s="10" t="n">
        <v>0</v>
      </c>
      <c r="H96" s="10" t="n">
        <v>0</v>
      </c>
      <c r="I96" s="10" t="n">
        <v>177353.6</v>
      </c>
      <c r="J96" s="10" t="n">
        <v>0</v>
      </c>
      <c r="K96" s="10" t="n">
        <v>555.2</v>
      </c>
      <c r="L96" s="10" t="n">
        <v>0</v>
      </c>
      <c r="M96" s="10" t="n">
        <v>140.5</v>
      </c>
      <c r="N96" s="10" t="n">
        <v>391.9</v>
      </c>
      <c r="O96" s="10" t="n">
        <v>382.4</v>
      </c>
      <c r="P96" s="10" t="n">
        <v>-277.6</v>
      </c>
      <c r="Q96" s="10" t="n">
        <v>161481.4</v>
      </c>
      <c r="R96" s="10" t="n">
        <v>14679.9</v>
      </c>
      <c r="S96" s="10" t="n">
        <v>43.7</v>
      </c>
      <c r="T96" s="10" t="n">
        <v>0</v>
      </c>
      <c r="U96" s="10" t="n">
        <v>0</v>
      </c>
    </row>
    <row r="97" customFormat="false" ht="15" hidden="false" customHeight="false" outlineLevel="0" collapsed="false">
      <c r="A97" s="7" t="s">
        <v>394</v>
      </c>
      <c r="B97" s="7" t="s">
        <v>59</v>
      </c>
      <c r="C97" s="7" t="s">
        <v>487</v>
      </c>
      <c r="D97" s="10" t="n">
        <v>0</v>
      </c>
      <c r="E97" s="10" t="n">
        <v>0</v>
      </c>
      <c r="F97" s="10" t="n">
        <v>20889.7</v>
      </c>
      <c r="G97" s="10" t="n">
        <v>0</v>
      </c>
      <c r="H97" s="10" t="n">
        <v>0</v>
      </c>
      <c r="I97" s="10" t="n">
        <v>212254.7</v>
      </c>
      <c r="J97" s="10" t="n">
        <v>0</v>
      </c>
      <c r="K97" s="10" t="n">
        <v>317.3</v>
      </c>
      <c r="L97" s="10" t="n">
        <v>0</v>
      </c>
      <c r="M97" s="10" t="n">
        <v>327.8</v>
      </c>
      <c r="N97" s="10" t="n">
        <v>93.6</v>
      </c>
      <c r="O97" s="10" t="n">
        <v>127.5</v>
      </c>
      <c r="P97" s="10" t="n">
        <v>-277.6</v>
      </c>
      <c r="Q97" s="10" t="n">
        <v>199054.3</v>
      </c>
      <c r="R97" s="10" t="n">
        <v>12611.9</v>
      </c>
      <c r="S97" s="10" t="n">
        <v>0</v>
      </c>
      <c r="T97" s="10" t="n">
        <v>0</v>
      </c>
      <c r="U97" s="10" t="n">
        <v>0</v>
      </c>
    </row>
    <row r="98" customFormat="false" ht="15" hidden="false" customHeight="false" outlineLevel="0" collapsed="false">
      <c r="A98" s="7" t="s">
        <v>394</v>
      </c>
      <c r="B98" s="7" t="s">
        <v>328</v>
      </c>
      <c r="C98" s="7" t="s">
        <v>488</v>
      </c>
      <c r="D98" s="10" t="n">
        <v>0</v>
      </c>
      <c r="E98" s="10" t="n">
        <v>0</v>
      </c>
      <c r="F98" s="10" t="n">
        <v>94.5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</row>
    <row r="99" customFormat="false" ht="15" hidden="false" customHeight="false" outlineLevel="0" collapsed="false">
      <c r="A99" s="7" t="s">
        <v>394</v>
      </c>
      <c r="B99" s="7" t="s">
        <v>207</v>
      </c>
      <c r="C99" s="7" t="s">
        <v>489</v>
      </c>
      <c r="D99" s="10" t="n">
        <v>0</v>
      </c>
      <c r="E99" s="10" t="n">
        <v>0</v>
      </c>
      <c r="F99" s="10" t="n">
        <v>213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</row>
    <row r="100" customFormat="false" ht="15" hidden="false" customHeight="false" outlineLevel="0" collapsed="false">
      <c r="A100" s="7" t="s">
        <v>394</v>
      </c>
      <c r="B100" s="7" t="s">
        <v>197</v>
      </c>
      <c r="C100" s="7" t="s">
        <v>490</v>
      </c>
      <c r="D100" s="10" t="n">
        <v>0</v>
      </c>
      <c r="E100" s="10" t="n">
        <v>0</v>
      </c>
      <c r="F100" s="10" t="n">
        <v>324.2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</row>
    <row r="101" customFormat="false" ht="15" hidden="false" customHeight="false" outlineLevel="0" collapsed="false">
      <c r="A101" s="7" t="s">
        <v>394</v>
      </c>
      <c r="B101" s="7" t="s">
        <v>197</v>
      </c>
      <c r="C101" s="7" t="s">
        <v>491</v>
      </c>
      <c r="D101" s="10" t="n">
        <v>0</v>
      </c>
      <c r="E101" s="10" t="n">
        <v>0</v>
      </c>
      <c r="F101" s="10" t="n">
        <v>1052.8</v>
      </c>
      <c r="G101" s="10" t="n">
        <v>0</v>
      </c>
      <c r="H101" s="10" t="n">
        <v>0</v>
      </c>
      <c r="I101" s="10" t="n">
        <v>882.9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882.9</v>
      </c>
      <c r="R101" s="10" t="n">
        <v>0</v>
      </c>
      <c r="S101" s="10" t="n">
        <v>0</v>
      </c>
      <c r="T101" s="10" t="n">
        <v>0</v>
      </c>
      <c r="U101" s="10" t="n">
        <v>0</v>
      </c>
    </row>
    <row r="102" customFormat="false" ht="15" hidden="false" customHeight="false" outlineLevel="0" collapsed="false">
      <c r="A102" s="7" t="s">
        <v>394</v>
      </c>
      <c r="B102" s="7" t="s">
        <v>197</v>
      </c>
      <c r="C102" s="7" t="s">
        <v>492</v>
      </c>
      <c r="D102" s="10" t="n">
        <v>0</v>
      </c>
      <c r="E102" s="10" t="n">
        <v>0</v>
      </c>
      <c r="F102" s="10" t="n">
        <v>1981.6</v>
      </c>
      <c r="G102" s="10" t="n">
        <v>0</v>
      </c>
      <c r="H102" s="10" t="n">
        <v>0</v>
      </c>
      <c r="I102" s="10" t="n">
        <v>1067.3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-291.1</v>
      </c>
      <c r="Q102" s="10" t="n">
        <v>0</v>
      </c>
      <c r="R102" s="10" t="n">
        <v>1358.4</v>
      </c>
      <c r="S102" s="10" t="n">
        <v>0</v>
      </c>
      <c r="T102" s="10" t="n">
        <v>0</v>
      </c>
      <c r="U102" s="10" t="n">
        <v>0</v>
      </c>
    </row>
    <row r="103" customFormat="false" ht="15" hidden="false" customHeight="false" outlineLevel="0" collapsed="false">
      <c r="A103" s="7" t="s">
        <v>394</v>
      </c>
      <c r="B103" s="7" t="s">
        <v>197</v>
      </c>
      <c r="C103" s="7" t="s">
        <v>493</v>
      </c>
      <c r="D103" s="10" t="n">
        <v>0</v>
      </c>
      <c r="E103" s="10" t="n">
        <v>0</v>
      </c>
      <c r="F103" s="10" t="n">
        <v>3540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</row>
    <row r="104" customFormat="false" ht="15" hidden="false" customHeight="false" outlineLevel="0" collapsed="false">
      <c r="A104" s="7" t="s">
        <v>394</v>
      </c>
      <c r="B104" s="7" t="s">
        <v>307</v>
      </c>
      <c r="C104" s="7" t="s">
        <v>494</v>
      </c>
      <c r="D104" s="10" t="n">
        <v>0</v>
      </c>
      <c r="E104" s="10" t="n">
        <v>0</v>
      </c>
      <c r="F104" s="10" t="n">
        <v>281.1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</row>
    <row r="105" customFormat="false" ht="15" hidden="false" customHeight="false" outlineLevel="0" collapsed="false">
      <c r="A105" s="7" t="s">
        <v>394</v>
      </c>
      <c r="B105" s="7" t="s">
        <v>307</v>
      </c>
      <c r="C105" s="7" t="s">
        <v>495</v>
      </c>
      <c r="D105" s="10" t="n">
        <v>0</v>
      </c>
      <c r="E105" s="10" t="n">
        <v>0</v>
      </c>
      <c r="F105" s="10" t="n">
        <v>281.1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</row>
    <row r="106" customFormat="false" ht="15" hidden="false" customHeight="false" outlineLevel="0" collapsed="false">
      <c r="A106" s="7" t="s">
        <v>394</v>
      </c>
      <c r="B106" s="7" t="s">
        <v>299</v>
      </c>
      <c r="C106" s="7" t="s">
        <v>496</v>
      </c>
      <c r="D106" s="10" t="n">
        <v>0</v>
      </c>
      <c r="E106" s="10" t="n">
        <v>0</v>
      </c>
      <c r="F106" s="10" t="n">
        <v>272.9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</row>
    <row r="107" customFormat="false" ht="15" hidden="false" customHeight="false" outlineLevel="0" collapsed="false">
      <c r="A107" s="7" t="s">
        <v>394</v>
      </c>
      <c r="B107" s="7" t="s">
        <v>321</v>
      </c>
      <c r="C107" s="7" t="s">
        <v>497</v>
      </c>
      <c r="D107" s="10" t="n">
        <v>0</v>
      </c>
      <c r="E107" s="10" t="n">
        <v>0</v>
      </c>
      <c r="F107" s="10" t="n">
        <v>140.6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</row>
    <row r="108" customFormat="false" ht="15" hidden="false" customHeight="false" outlineLevel="0" collapsed="false">
      <c r="A108" s="7" t="s">
        <v>394</v>
      </c>
      <c r="B108" s="7" t="s">
        <v>299</v>
      </c>
      <c r="C108" s="7" t="s">
        <v>498</v>
      </c>
      <c r="D108" s="10" t="n">
        <v>0</v>
      </c>
      <c r="E108" s="10" t="n">
        <v>0</v>
      </c>
      <c r="F108" s="10" t="n">
        <v>140.6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</row>
    <row r="109" customFormat="false" ht="15" hidden="false" customHeight="false" outlineLevel="0" collapsed="false">
      <c r="A109" s="7" t="s">
        <v>394</v>
      </c>
      <c r="B109" s="7" t="s">
        <v>197</v>
      </c>
      <c r="C109" s="7" t="s">
        <v>499</v>
      </c>
      <c r="D109" s="10" t="n">
        <v>0</v>
      </c>
      <c r="E109" s="10" t="n">
        <v>0</v>
      </c>
      <c r="F109" s="10" t="n">
        <v>2284.5</v>
      </c>
      <c r="G109" s="10" t="n">
        <v>0</v>
      </c>
      <c r="H109" s="10" t="n">
        <v>0</v>
      </c>
      <c r="I109" s="10" t="n">
        <v>6048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-672</v>
      </c>
      <c r="Q109" s="10" t="n">
        <v>0</v>
      </c>
      <c r="R109" s="10" t="n">
        <v>6720</v>
      </c>
      <c r="S109" s="10" t="n">
        <v>0</v>
      </c>
      <c r="T109" s="10" t="n">
        <v>0</v>
      </c>
      <c r="U109" s="10" t="n">
        <v>0</v>
      </c>
    </row>
    <row r="110" customFormat="false" ht="15" hidden="false" customHeight="false" outlineLevel="0" collapsed="false">
      <c r="A110" s="7" t="s">
        <v>394</v>
      </c>
      <c r="B110" s="7" t="s">
        <v>280</v>
      </c>
      <c r="C110" s="7" t="s">
        <v>500</v>
      </c>
      <c r="D110" s="10" t="n">
        <v>0</v>
      </c>
      <c r="E110" s="10" t="n">
        <v>0</v>
      </c>
      <c r="F110" s="10" t="n">
        <v>1044.4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</row>
    <row r="111" customFormat="false" ht="15" hidden="false" customHeight="false" outlineLevel="0" collapsed="false">
      <c r="A111" s="7" t="s">
        <v>394</v>
      </c>
      <c r="B111" s="7" t="s">
        <v>280</v>
      </c>
      <c r="C111" s="7" t="s">
        <v>501</v>
      </c>
      <c r="D111" s="10" t="n">
        <v>0</v>
      </c>
      <c r="E111" s="10" t="n">
        <v>0</v>
      </c>
      <c r="F111" s="10" t="n">
        <v>2803.8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</row>
    <row r="112" customFormat="false" ht="15" hidden="false" customHeight="false" outlineLevel="0" collapsed="false">
      <c r="A112" s="7" t="s">
        <v>394</v>
      </c>
      <c r="B112" s="7" t="s">
        <v>373</v>
      </c>
      <c r="C112" s="7" t="s">
        <v>502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154.4</v>
      </c>
      <c r="T112" s="10" t="n">
        <v>0</v>
      </c>
      <c r="U112" s="10" t="n">
        <v>0</v>
      </c>
    </row>
    <row r="113" customFormat="false" ht="15" hidden="false" customHeight="false" outlineLevel="0" collapsed="false">
      <c r="A113" s="7" t="s">
        <v>394</v>
      </c>
      <c r="B113" s="7" t="s">
        <v>290</v>
      </c>
      <c r="C113" s="7" t="s">
        <v>503</v>
      </c>
      <c r="D113" s="10" t="n">
        <v>0</v>
      </c>
      <c r="E113" s="10" t="n">
        <v>0</v>
      </c>
      <c r="F113" s="10" t="n">
        <v>472.7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</row>
    <row r="114" customFormat="false" ht="15" hidden="false" customHeight="false" outlineLevel="0" collapsed="false">
      <c r="A114" s="7" t="s">
        <v>394</v>
      </c>
      <c r="B114" s="7" t="s">
        <v>290</v>
      </c>
      <c r="C114" s="7" t="s">
        <v>504</v>
      </c>
      <c r="D114" s="10" t="n">
        <v>0</v>
      </c>
      <c r="E114" s="10" t="n">
        <v>0</v>
      </c>
      <c r="F114" s="10" t="n">
        <v>472.7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</row>
    <row r="115" customFormat="false" ht="15" hidden="false" customHeight="false" outlineLevel="0" collapsed="false">
      <c r="A115" s="7" t="s">
        <v>394</v>
      </c>
      <c r="B115" s="7" t="s">
        <v>188</v>
      </c>
      <c r="C115" s="7" t="s">
        <v>505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-118.6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-118.6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</row>
    <row r="116" customFormat="false" ht="15" hidden="false" customHeight="false" outlineLevel="0" collapsed="false">
      <c r="A116" s="7" t="s">
        <v>394</v>
      </c>
      <c r="B116" s="7" t="s">
        <v>188</v>
      </c>
      <c r="C116" s="7" t="s">
        <v>506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118.6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118.6</v>
      </c>
      <c r="S116" s="10" t="n">
        <v>0</v>
      </c>
      <c r="T116" s="10" t="n">
        <v>0</v>
      </c>
      <c r="U116" s="10" t="n">
        <v>0</v>
      </c>
    </row>
    <row r="117" customFormat="false" ht="15" hidden="false" customHeight="false" outlineLevel="0" collapsed="false">
      <c r="A117" s="7" t="s">
        <v>394</v>
      </c>
      <c r="B117" s="7" t="s">
        <v>188</v>
      </c>
      <c r="C117" s="7" t="s">
        <v>507</v>
      </c>
      <c r="D117" s="10" t="n">
        <v>0</v>
      </c>
      <c r="E117" s="10" t="n">
        <v>0</v>
      </c>
      <c r="F117" s="10" t="n">
        <v>110.6</v>
      </c>
      <c r="G117" s="10" t="n">
        <v>0</v>
      </c>
      <c r="H117" s="10" t="n">
        <v>0</v>
      </c>
      <c r="I117" s="10" t="n">
        <v>315.2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315.2</v>
      </c>
      <c r="R117" s="10" t="n">
        <v>0</v>
      </c>
      <c r="S117" s="10" t="n">
        <v>0</v>
      </c>
      <c r="T117" s="10" t="n">
        <v>0</v>
      </c>
      <c r="U117" s="10" t="n">
        <v>0</v>
      </c>
    </row>
    <row r="118" customFormat="false" ht="15" hidden="false" customHeight="false" outlineLevel="0" collapsed="false">
      <c r="A118" s="7" t="s">
        <v>394</v>
      </c>
      <c r="B118" s="7" t="s">
        <v>188</v>
      </c>
      <c r="C118" s="7" t="s">
        <v>508</v>
      </c>
      <c r="D118" s="10" t="n">
        <v>0</v>
      </c>
      <c r="E118" s="10" t="n">
        <v>0</v>
      </c>
      <c r="F118" s="10" t="n">
        <v>263.3</v>
      </c>
      <c r="G118" s="10" t="n">
        <v>0</v>
      </c>
      <c r="H118" s="10" t="n">
        <v>0</v>
      </c>
      <c r="I118" s="10" t="n">
        <v>1620.2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315.2</v>
      </c>
      <c r="R118" s="10" t="n">
        <v>1305</v>
      </c>
      <c r="S118" s="10" t="n">
        <v>0</v>
      </c>
      <c r="T118" s="10" t="n">
        <v>0</v>
      </c>
      <c r="U118" s="10" t="n">
        <v>0</v>
      </c>
    </row>
    <row r="119" customFormat="false" ht="15" hidden="false" customHeight="false" outlineLevel="0" collapsed="false">
      <c r="A119" s="7" t="s">
        <v>394</v>
      </c>
      <c r="B119" s="7" t="s">
        <v>188</v>
      </c>
      <c r="C119" s="7" t="s">
        <v>509</v>
      </c>
      <c r="D119" s="10" t="n">
        <v>0</v>
      </c>
      <c r="E119" s="10" t="n">
        <v>0</v>
      </c>
      <c r="F119" s="10" t="n">
        <v>271.8</v>
      </c>
      <c r="G119" s="10" t="n">
        <v>0</v>
      </c>
      <c r="H119" s="10" t="n">
        <v>0</v>
      </c>
      <c r="I119" s="10" t="n">
        <v>1423.7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1423.7</v>
      </c>
      <c r="S119" s="10" t="n">
        <v>0</v>
      </c>
      <c r="T119" s="10" t="n">
        <v>0</v>
      </c>
      <c r="U119" s="10" t="n">
        <v>0</v>
      </c>
    </row>
    <row r="120" customFormat="false" ht="15" hidden="false" customHeight="false" outlineLevel="0" collapsed="false">
      <c r="A120" s="7" t="s">
        <v>394</v>
      </c>
      <c r="B120" s="7" t="s">
        <v>116</v>
      </c>
      <c r="C120" s="7" t="s">
        <v>510</v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1164.5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-873.4</v>
      </c>
      <c r="Q120" s="10" t="n">
        <v>0</v>
      </c>
      <c r="R120" s="10" t="n">
        <v>2037.8</v>
      </c>
      <c r="S120" s="10" t="n">
        <v>0</v>
      </c>
      <c r="T120" s="10" t="n">
        <v>0</v>
      </c>
      <c r="U120" s="10" t="n">
        <v>-209.3</v>
      </c>
    </row>
    <row r="121" customFormat="false" ht="15" hidden="false" customHeight="false" outlineLevel="0" collapsed="false">
      <c r="A121" s="7" t="s">
        <v>394</v>
      </c>
      <c r="B121" s="7" t="s">
        <v>116</v>
      </c>
      <c r="C121" s="7" t="s">
        <v>511</v>
      </c>
      <c r="D121" s="10" t="n">
        <v>0</v>
      </c>
      <c r="E121" s="10" t="n">
        <v>0</v>
      </c>
      <c r="F121" s="10" t="n">
        <v>282.6</v>
      </c>
      <c r="G121" s="10" t="n">
        <v>0</v>
      </c>
      <c r="H121" s="10" t="n">
        <v>0</v>
      </c>
      <c r="I121" s="10" t="n">
        <v>3968.6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-977.3</v>
      </c>
      <c r="Q121" s="10" t="n">
        <v>1743.6</v>
      </c>
      <c r="R121" s="10" t="n">
        <v>3202.3</v>
      </c>
      <c r="S121" s="10" t="n">
        <v>0</v>
      </c>
      <c r="T121" s="10" t="n">
        <v>0</v>
      </c>
      <c r="U121" s="10" t="n">
        <v>0</v>
      </c>
    </row>
    <row r="122" customFormat="false" ht="15" hidden="false" customHeight="false" outlineLevel="0" collapsed="false">
      <c r="A122" s="7" t="s">
        <v>394</v>
      </c>
      <c r="B122" s="7" t="s">
        <v>116</v>
      </c>
      <c r="C122" s="7" t="s">
        <v>512</v>
      </c>
      <c r="D122" s="10" t="n">
        <v>0</v>
      </c>
      <c r="E122" s="10" t="n">
        <v>0</v>
      </c>
      <c r="F122" s="10" t="n">
        <v>1328.2</v>
      </c>
      <c r="G122" s="10" t="n">
        <v>0</v>
      </c>
      <c r="H122" s="10" t="n">
        <v>0</v>
      </c>
      <c r="I122" s="10" t="n">
        <v>7022.7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-1122.9</v>
      </c>
      <c r="Q122" s="10" t="n">
        <v>1304.3</v>
      </c>
      <c r="R122" s="10" t="n">
        <v>6841.3</v>
      </c>
      <c r="S122" s="10" t="n">
        <v>0</v>
      </c>
      <c r="T122" s="10" t="n">
        <v>0</v>
      </c>
      <c r="U122" s="10" t="n">
        <v>-209.3</v>
      </c>
    </row>
    <row r="123" customFormat="false" ht="15" hidden="false" customHeight="false" outlineLevel="0" collapsed="false">
      <c r="A123" s="7" t="s">
        <v>394</v>
      </c>
      <c r="B123" s="7" t="s">
        <v>116</v>
      </c>
      <c r="C123" s="7" t="s">
        <v>513</v>
      </c>
      <c r="D123" s="10" t="n">
        <v>0</v>
      </c>
      <c r="E123" s="10" t="n">
        <v>0</v>
      </c>
      <c r="F123" s="10" t="n">
        <v>2112</v>
      </c>
      <c r="G123" s="10" t="n">
        <v>0</v>
      </c>
      <c r="H123" s="10" t="n">
        <v>0</v>
      </c>
      <c r="I123" s="10" t="n">
        <v>10797.4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-873.4</v>
      </c>
      <c r="Q123" s="10" t="n">
        <v>2500.4</v>
      </c>
      <c r="R123" s="10" t="n">
        <v>9170.3</v>
      </c>
      <c r="S123" s="10" t="n">
        <v>0</v>
      </c>
      <c r="T123" s="10" t="n">
        <v>0</v>
      </c>
      <c r="U123" s="10" t="n">
        <v>0</v>
      </c>
    </row>
    <row r="124" customFormat="false" ht="15" hidden="false" customHeight="false" outlineLevel="0" collapsed="false">
      <c r="A124" s="7" t="s">
        <v>394</v>
      </c>
      <c r="B124" s="7" t="s">
        <v>116</v>
      </c>
      <c r="C124" s="7" t="s">
        <v>514</v>
      </c>
      <c r="D124" s="10" t="n">
        <v>0</v>
      </c>
      <c r="E124" s="10" t="n">
        <v>0</v>
      </c>
      <c r="F124" s="10" t="n">
        <v>1077</v>
      </c>
      <c r="G124" s="10" t="n">
        <v>0</v>
      </c>
      <c r="H124" s="10" t="n">
        <v>0</v>
      </c>
      <c r="I124" s="10" t="n">
        <v>11656.7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-582.2</v>
      </c>
      <c r="Q124" s="10" t="n">
        <v>2777.5</v>
      </c>
      <c r="R124" s="10" t="n">
        <v>9461.4</v>
      </c>
      <c r="S124" s="10" t="n">
        <v>0</v>
      </c>
      <c r="T124" s="10" t="n">
        <v>0</v>
      </c>
      <c r="U124" s="10" t="n">
        <v>-209.3</v>
      </c>
    </row>
    <row r="125" customFormat="false" ht="15" hidden="false" customHeight="false" outlineLevel="0" collapsed="false">
      <c r="A125" s="7" t="s">
        <v>394</v>
      </c>
      <c r="B125" s="7" t="s">
        <v>57</v>
      </c>
      <c r="C125" s="7" t="s">
        <v>515</v>
      </c>
      <c r="D125" s="10" t="n">
        <v>0</v>
      </c>
      <c r="E125" s="10" t="n">
        <v>0</v>
      </c>
      <c r="F125" s="10" t="n">
        <v>211.7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</row>
    <row r="126" customFormat="false" ht="15" hidden="false" customHeight="false" outlineLevel="0" collapsed="false">
      <c r="A126" s="7" t="s">
        <v>394</v>
      </c>
      <c r="B126" s="7" t="s">
        <v>251</v>
      </c>
      <c r="C126" s="7" t="s">
        <v>516</v>
      </c>
      <c r="D126" s="10" t="n">
        <v>0</v>
      </c>
      <c r="E126" s="10" t="n">
        <v>0</v>
      </c>
      <c r="F126" s="10" t="n">
        <v>157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</row>
    <row r="127" customFormat="false" ht="15" hidden="false" customHeight="false" outlineLevel="0" collapsed="false">
      <c r="A127" s="7" t="s">
        <v>394</v>
      </c>
      <c r="B127" s="7" t="s">
        <v>251</v>
      </c>
      <c r="C127" s="7" t="s">
        <v>517</v>
      </c>
      <c r="D127" s="10" t="n">
        <v>0</v>
      </c>
      <c r="E127" s="10" t="n">
        <v>0</v>
      </c>
      <c r="F127" s="10" t="n">
        <v>177.9</v>
      </c>
      <c r="G127" s="10" t="n">
        <v>0</v>
      </c>
      <c r="H127" s="10" t="n">
        <v>0</v>
      </c>
      <c r="I127" s="10" t="n">
        <v>-135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-135</v>
      </c>
      <c r="R127" s="10" t="n">
        <v>0</v>
      </c>
      <c r="S127" s="10" t="n">
        <v>0</v>
      </c>
      <c r="T127" s="10" t="n">
        <v>0</v>
      </c>
      <c r="U127" s="10" t="n">
        <v>0</v>
      </c>
    </row>
    <row r="128" customFormat="false" ht="15" hidden="false" customHeight="false" outlineLevel="0" collapsed="false">
      <c r="A128" s="7" t="s">
        <v>394</v>
      </c>
      <c r="B128" s="7" t="s">
        <v>251</v>
      </c>
      <c r="C128" s="7" t="s">
        <v>518</v>
      </c>
      <c r="D128" s="10" t="n">
        <v>0</v>
      </c>
      <c r="E128" s="10" t="n">
        <v>0</v>
      </c>
      <c r="F128" s="10" t="n">
        <v>468.9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</row>
    <row r="129" customFormat="false" ht="15" hidden="false" customHeight="false" outlineLevel="0" collapsed="false">
      <c r="A129" s="7" t="s">
        <v>394</v>
      </c>
      <c r="B129" s="7" t="s">
        <v>251</v>
      </c>
      <c r="C129" s="7" t="s">
        <v>519</v>
      </c>
      <c r="D129" s="10" t="n">
        <v>0</v>
      </c>
      <c r="E129" s="10" t="n">
        <v>0</v>
      </c>
      <c r="F129" s="10" t="n">
        <v>429.1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</row>
    <row r="130" customFormat="false" ht="15" hidden="false" customHeight="false" outlineLevel="0" collapsed="false">
      <c r="A130" s="7" t="s">
        <v>394</v>
      </c>
      <c r="B130" s="7" t="s">
        <v>133</v>
      </c>
      <c r="C130" s="7" t="s">
        <v>520</v>
      </c>
      <c r="D130" s="10" t="n">
        <v>0</v>
      </c>
      <c r="E130" s="10" t="n">
        <v>0</v>
      </c>
      <c r="F130" s="10" t="n">
        <v>9536.7</v>
      </c>
      <c r="G130" s="10" t="n">
        <v>0</v>
      </c>
      <c r="H130" s="10" t="n">
        <v>0</v>
      </c>
      <c r="I130" s="10" t="n">
        <v>6213.6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6213.6</v>
      </c>
      <c r="R130" s="10" t="n">
        <v>0</v>
      </c>
      <c r="S130" s="10" t="n">
        <v>0</v>
      </c>
      <c r="T130" s="10" t="n">
        <v>0</v>
      </c>
      <c r="U130" s="10" t="n">
        <v>0</v>
      </c>
    </row>
    <row r="131" customFormat="false" ht="15" hidden="false" customHeight="false" outlineLevel="0" collapsed="false">
      <c r="A131" s="7" t="s">
        <v>394</v>
      </c>
      <c r="B131" s="7" t="s">
        <v>103</v>
      </c>
      <c r="C131" s="7" t="s">
        <v>521</v>
      </c>
      <c r="D131" s="10" t="n">
        <v>0</v>
      </c>
      <c r="E131" s="10" t="n">
        <v>0</v>
      </c>
      <c r="F131" s="10" t="n">
        <v>15439</v>
      </c>
      <c r="G131" s="10" t="n">
        <v>0</v>
      </c>
      <c r="H131" s="10" t="n">
        <v>0</v>
      </c>
      <c r="I131" s="10" t="n">
        <v>15702.7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15702.7</v>
      </c>
      <c r="R131" s="10" t="n">
        <v>0</v>
      </c>
      <c r="S131" s="10" t="n">
        <v>0</v>
      </c>
      <c r="T131" s="10" t="n">
        <v>0</v>
      </c>
      <c r="U131" s="10" t="n">
        <v>0</v>
      </c>
    </row>
    <row r="132" customFormat="false" ht="15" hidden="false" customHeight="false" outlineLevel="0" collapsed="false">
      <c r="A132" s="7" t="s">
        <v>394</v>
      </c>
      <c r="B132" s="7" t="s">
        <v>155</v>
      </c>
      <c r="C132" s="7" t="s">
        <v>522</v>
      </c>
      <c r="D132" s="10" t="n">
        <v>0</v>
      </c>
      <c r="E132" s="10" t="n">
        <v>0</v>
      </c>
      <c r="F132" s="10" t="n">
        <v>1242.2</v>
      </c>
      <c r="G132" s="10" t="n">
        <v>0</v>
      </c>
      <c r="H132" s="10" t="n">
        <v>0</v>
      </c>
      <c r="I132" s="10" t="n">
        <v>442.1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442.1</v>
      </c>
      <c r="R132" s="10" t="n">
        <v>0</v>
      </c>
      <c r="S132" s="10" t="n">
        <v>225.3</v>
      </c>
      <c r="T132" s="10" t="n">
        <v>0</v>
      </c>
      <c r="U132" s="10" t="n">
        <v>0</v>
      </c>
    </row>
    <row r="133" customFormat="false" ht="15" hidden="false" customHeight="false" outlineLevel="0" collapsed="false">
      <c r="A133" s="7" t="s">
        <v>394</v>
      </c>
      <c r="B133" s="7" t="s">
        <v>266</v>
      </c>
      <c r="C133" s="7" t="s">
        <v>523</v>
      </c>
      <c r="D133" s="10" t="n">
        <v>0</v>
      </c>
      <c r="E133" s="10" t="n">
        <v>0</v>
      </c>
      <c r="F133" s="10" t="n">
        <v>93491.9</v>
      </c>
      <c r="G133" s="10" t="n">
        <v>0</v>
      </c>
      <c r="H133" s="10" t="n">
        <v>0</v>
      </c>
      <c r="I133" s="10" t="n">
        <v>3108</v>
      </c>
      <c r="J133" s="10" t="n">
        <v>0</v>
      </c>
      <c r="K133" s="10" t="n">
        <v>87.1</v>
      </c>
      <c r="L133" s="10" t="n">
        <v>0</v>
      </c>
      <c r="M133" s="10" t="n">
        <v>562.2</v>
      </c>
      <c r="N133" s="10" t="n">
        <v>562.2</v>
      </c>
      <c r="O133" s="10" t="n">
        <v>1026</v>
      </c>
      <c r="P133" s="10" t="n">
        <v>0</v>
      </c>
      <c r="Q133" s="10" t="n">
        <v>0</v>
      </c>
      <c r="R133" s="10" t="n">
        <v>870.6</v>
      </c>
      <c r="S133" s="10" t="n">
        <v>0</v>
      </c>
      <c r="T133" s="10" t="n">
        <v>0</v>
      </c>
      <c r="U133" s="10" t="n">
        <v>0</v>
      </c>
    </row>
    <row r="134" customFormat="false" ht="15" hidden="false" customHeight="false" outlineLevel="0" collapsed="false">
      <c r="A134" s="7" t="s">
        <v>394</v>
      </c>
      <c r="B134" s="7" t="s">
        <v>275</v>
      </c>
      <c r="C134" s="7" t="s">
        <v>524</v>
      </c>
      <c r="D134" s="10" t="n">
        <v>0</v>
      </c>
      <c r="E134" s="10" t="n">
        <v>0</v>
      </c>
      <c r="F134" s="10" t="n">
        <v>14612</v>
      </c>
      <c r="G134" s="10" t="n">
        <v>0</v>
      </c>
      <c r="H134" s="10" t="n">
        <v>127.5</v>
      </c>
      <c r="I134" s="10" t="n">
        <v>144.4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219.7</v>
      </c>
      <c r="O134" s="10" t="n">
        <v>0</v>
      </c>
      <c r="P134" s="10" t="n">
        <v>-75.3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</row>
    <row r="135" customFormat="false" ht="15" hidden="false" customHeight="false" outlineLevel="0" collapsed="false">
      <c r="A135" s="7" t="s">
        <v>394</v>
      </c>
      <c r="B135" s="7" t="s">
        <v>270</v>
      </c>
      <c r="C135" s="7" t="s">
        <v>525</v>
      </c>
      <c r="D135" s="10" t="n">
        <v>0</v>
      </c>
      <c r="E135" s="10" t="n">
        <v>0</v>
      </c>
      <c r="F135" s="10" t="n">
        <v>36118.4</v>
      </c>
      <c r="G135" s="10" t="n">
        <v>0</v>
      </c>
      <c r="H135" s="10" t="n">
        <v>0</v>
      </c>
      <c r="I135" s="10" t="n">
        <v>1864</v>
      </c>
      <c r="J135" s="10" t="n">
        <v>0</v>
      </c>
      <c r="K135" s="10" t="n">
        <v>74.8</v>
      </c>
      <c r="L135" s="10" t="n">
        <v>0</v>
      </c>
      <c r="M135" s="10" t="n">
        <v>306.8</v>
      </c>
      <c r="N135" s="10" t="n">
        <v>61.4</v>
      </c>
      <c r="O135" s="10" t="n">
        <v>0</v>
      </c>
      <c r="P135" s="10" t="n">
        <v>-49.9</v>
      </c>
      <c r="Q135" s="10" t="n">
        <v>0</v>
      </c>
      <c r="R135" s="10" t="n">
        <v>1470.9</v>
      </c>
      <c r="S135" s="10" t="n">
        <v>0</v>
      </c>
      <c r="T135" s="10" t="n">
        <v>0</v>
      </c>
      <c r="U135" s="10" t="n">
        <v>0</v>
      </c>
    </row>
    <row r="136" customFormat="false" ht="15" hidden="false" customHeight="false" outlineLevel="0" collapsed="false">
      <c r="A136" s="7" t="s">
        <v>394</v>
      </c>
      <c r="B136" s="7" t="s">
        <v>110</v>
      </c>
      <c r="C136" s="7" t="s">
        <v>526</v>
      </c>
      <c r="D136" s="10" t="n">
        <v>0</v>
      </c>
      <c r="E136" s="10" t="n">
        <v>0</v>
      </c>
      <c r="F136" s="10" t="n">
        <v>14002.9</v>
      </c>
      <c r="G136" s="10" t="n">
        <v>0</v>
      </c>
      <c r="H136" s="10" t="n">
        <v>0</v>
      </c>
      <c r="I136" s="10" t="n">
        <v>25227.4</v>
      </c>
      <c r="J136" s="10" t="n">
        <v>0</v>
      </c>
      <c r="K136" s="10" t="n">
        <v>259.5</v>
      </c>
      <c r="L136" s="10" t="n">
        <v>0</v>
      </c>
      <c r="M136" s="10" t="n">
        <v>66.1</v>
      </c>
      <c r="N136" s="10" t="n">
        <v>211.8</v>
      </c>
      <c r="O136" s="10" t="n">
        <v>25.3</v>
      </c>
      <c r="P136" s="10" t="n">
        <v>-25.3</v>
      </c>
      <c r="Q136" s="10" t="n">
        <v>21410.6</v>
      </c>
      <c r="R136" s="10" t="n">
        <v>3279.5</v>
      </c>
      <c r="S136" s="10" t="n">
        <v>0</v>
      </c>
      <c r="T136" s="10" t="n">
        <v>0</v>
      </c>
      <c r="U136" s="10" t="n">
        <v>-88.1</v>
      </c>
    </row>
    <row r="137" customFormat="false" ht="15" hidden="false" customHeight="false" outlineLevel="0" collapsed="false">
      <c r="A137" s="7" t="s">
        <v>394</v>
      </c>
      <c r="B137" s="7" t="s">
        <v>179</v>
      </c>
      <c r="C137" s="7" t="s">
        <v>520</v>
      </c>
      <c r="D137" s="10" t="n">
        <v>0</v>
      </c>
      <c r="E137" s="10" t="n">
        <v>0</v>
      </c>
      <c r="F137" s="10" t="n">
        <v>2207.1</v>
      </c>
      <c r="G137" s="10" t="n">
        <v>0</v>
      </c>
      <c r="H137" s="10" t="n">
        <v>0</v>
      </c>
      <c r="I137" s="10" t="n">
        <v>1152.7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117.1</v>
      </c>
      <c r="O137" s="10" t="n">
        <v>0</v>
      </c>
      <c r="P137" s="10" t="n">
        <v>0</v>
      </c>
      <c r="Q137" s="10" t="n">
        <v>1035.5</v>
      </c>
      <c r="R137" s="10" t="n">
        <v>0</v>
      </c>
      <c r="S137" s="10" t="n">
        <v>0</v>
      </c>
      <c r="T137" s="10" t="n">
        <v>0</v>
      </c>
      <c r="U137" s="10" t="n">
        <v>0</v>
      </c>
    </row>
    <row r="138" customFormat="false" ht="15" hidden="false" customHeight="false" outlineLevel="0" collapsed="false">
      <c r="A138" s="7" t="s">
        <v>394</v>
      </c>
      <c r="B138" s="7" t="s">
        <v>99</v>
      </c>
      <c r="C138" s="7" t="s">
        <v>520</v>
      </c>
      <c r="D138" s="10" t="n">
        <v>0</v>
      </c>
      <c r="E138" s="10" t="n">
        <v>0</v>
      </c>
      <c r="F138" s="10" t="n">
        <v>13380.2</v>
      </c>
      <c r="G138" s="10" t="n">
        <v>0</v>
      </c>
      <c r="H138" s="10" t="n">
        <v>0</v>
      </c>
      <c r="I138" s="10" t="n">
        <v>12600.2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12600.2</v>
      </c>
      <c r="R138" s="10" t="n">
        <v>0</v>
      </c>
      <c r="S138" s="10" t="n">
        <v>0</v>
      </c>
      <c r="T138" s="10" t="n">
        <v>0</v>
      </c>
      <c r="U138" s="10" t="n">
        <v>0</v>
      </c>
    </row>
    <row r="139" customFormat="false" ht="15" hidden="false" customHeight="false" outlineLevel="0" collapsed="false">
      <c r="A139" s="7" t="s">
        <v>394</v>
      </c>
      <c r="B139" s="7" t="s">
        <v>169</v>
      </c>
      <c r="C139" s="7" t="s">
        <v>527</v>
      </c>
      <c r="D139" s="10" t="n">
        <v>0</v>
      </c>
      <c r="E139" s="10" t="n">
        <v>0</v>
      </c>
      <c r="F139" s="10" t="n">
        <v>5263.8</v>
      </c>
      <c r="G139" s="10" t="n">
        <v>0</v>
      </c>
      <c r="H139" s="10" t="n">
        <v>0</v>
      </c>
      <c r="I139" s="10" t="n">
        <v>3499.8</v>
      </c>
      <c r="J139" s="10" t="n">
        <v>0</v>
      </c>
      <c r="K139" s="10" t="n">
        <v>536.3</v>
      </c>
      <c r="L139" s="10" t="n">
        <v>-13.1</v>
      </c>
      <c r="M139" s="10" t="n">
        <v>113.1</v>
      </c>
      <c r="N139" s="10" t="n">
        <v>136.7</v>
      </c>
      <c r="O139" s="10" t="n">
        <v>77.4</v>
      </c>
      <c r="P139" s="10" t="n">
        <v>0</v>
      </c>
      <c r="Q139" s="10" t="n">
        <v>0</v>
      </c>
      <c r="R139" s="10" t="n">
        <v>2649.4</v>
      </c>
      <c r="S139" s="10" t="n">
        <v>0</v>
      </c>
      <c r="T139" s="10" t="n">
        <v>0</v>
      </c>
      <c r="U139" s="10" t="n">
        <v>0</v>
      </c>
    </row>
    <row r="140" customFormat="false" ht="15" hidden="false" customHeight="false" outlineLevel="0" collapsed="false">
      <c r="A140" s="7" t="s">
        <v>394</v>
      </c>
      <c r="B140" s="7" t="s">
        <v>169</v>
      </c>
      <c r="C140" s="7" t="s">
        <v>528</v>
      </c>
      <c r="D140" s="10" t="n">
        <v>0</v>
      </c>
      <c r="E140" s="10" t="n">
        <v>0</v>
      </c>
      <c r="F140" s="10" t="n">
        <v>3178.7</v>
      </c>
      <c r="G140" s="10" t="n">
        <v>0</v>
      </c>
      <c r="H140" s="10" t="n">
        <v>36.4</v>
      </c>
      <c r="I140" s="10" t="n">
        <v>3726.8</v>
      </c>
      <c r="J140" s="10" t="n">
        <v>0</v>
      </c>
      <c r="K140" s="10" t="n">
        <v>134.4</v>
      </c>
      <c r="L140" s="10" t="n">
        <v>0</v>
      </c>
      <c r="M140" s="10" t="n">
        <v>23.6</v>
      </c>
      <c r="N140" s="10" t="n">
        <v>138.5</v>
      </c>
      <c r="O140" s="10" t="n">
        <v>44.8</v>
      </c>
      <c r="P140" s="10" t="n">
        <v>0</v>
      </c>
      <c r="Q140" s="10" t="n">
        <v>2310.4</v>
      </c>
      <c r="R140" s="10" t="n">
        <v>1075.2</v>
      </c>
      <c r="S140" s="10" t="n">
        <v>0</v>
      </c>
      <c r="T140" s="10" t="n">
        <v>0</v>
      </c>
      <c r="U140" s="10" t="n">
        <v>0</v>
      </c>
    </row>
    <row r="141" customFormat="false" ht="15" hidden="false" customHeight="false" outlineLevel="0" collapsed="false">
      <c r="A141" s="7" t="s">
        <v>394</v>
      </c>
      <c r="B141" s="7" t="s">
        <v>211</v>
      </c>
      <c r="C141" s="7" t="s">
        <v>529</v>
      </c>
      <c r="D141" s="10" t="n">
        <v>0</v>
      </c>
      <c r="E141" s="10" t="n">
        <v>0</v>
      </c>
      <c r="F141" s="10" t="n">
        <v>-513.4</v>
      </c>
      <c r="G141" s="10" t="n">
        <v>0</v>
      </c>
      <c r="H141" s="10" t="n">
        <v>-61.4</v>
      </c>
      <c r="I141" s="10" t="n">
        <v>-884.7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-141.6</v>
      </c>
      <c r="O141" s="10" t="n">
        <v>0</v>
      </c>
      <c r="P141" s="10" t="n">
        <v>-366.5</v>
      </c>
      <c r="Q141" s="10" t="n">
        <v>-235.1</v>
      </c>
      <c r="R141" s="10" t="n">
        <v>-141.4</v>
      </c>
      <c r="S141" s="10" t="n">
        <v>0</v>
      </c>
      <c r="T141" s="10" t="n">
        <v>0</v>
      </c>
      <c r="U141" s="10" t="n">
        <v>-94.4</v>
      </c>
    </row>
    <row r="142" customFormat="false" ht="15" hidden="false" customHeight="false" outlineLevel="0" collapsed="false">
      <c r="A142" s="7" t="s">
        <v>394</v>
      </c>
      <c r="B142" s="7" t="s">
        <v>354</v>
      </c>
      <c r="C142" s="7" t="s">
        <v>530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-20.8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-20.8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</row>
    <row r="143" customFormat="false" ht="15" hidden="false" customHeight="false" outlineLevel="0" collapsed="false">
      <c r="A143" s="7" t="s">
        <v>394</v>
      </c>
      <c r="B143" s="7" t="s">
        <v>87</v>
      </c>
      <c r="C143" s="7" t="s">
        <v>531</v>
      </c>
      <c r="D143" s="10" t="n">
        <v>0</v>
      </c>
      <c r="E143" s="10" t="n">
        <v>0</v>
      </c>
      <c r="F143" s="10" t="n">
        <v>14188.7</v>
      </c>
      <c r="G143" s="10" t="n">
        <v>0</v>
      </c>
      <c r="H143" s="10" t="n">
        <v>223</v>
      </c>
      <c r="I143" s="10" t="n">
        <v>45083.3</v>
      </c>
      <c r="J143" s="10" t="n">
        <v>0</v>
      </c>
      <c r="K143" s="10" t="n">
        <v>1627.5</v>
      </c>
      <c r="L143" s="10" t="n">
        <v>-105</v>
      </c>
      <c r="M143" s="10" t="n">
        <v>554.3</v>
      </c>
      <c r="N143" s="10" t="n">
        <v>399.1</v>
      </c>
      <c r="O143" s="10" t="n">
        <v>450.6</v>
      </c>
      <c r="P143" s="10" t="n">
        <v>-210</v>
      </c>
      <c r="Q143" s="10" t="n">
        <v>20668.1</v>
      </c>
      <c r="R143" s="10" t="n">
        <v>21698.8</v>
      </c>
      <c r="S143" s="10" t="n">
        <v>85</v>
      </c>
      <c r="T143" s="10" t="n">
        <v>0</v>
      </c>
      <c r="U143" s="10" t="n">
        <v>0</v>
      </c>
    </row>
    <row r="144" customFormat="false" ht="15" hidden="false" customHeight="false" outlineLevel="0" collapsed="false">
      <c r="A144" s="7" t="s">
        <v>394</v>
      </c>
      <c r="B144" s="7" t="s">
        <v>90</v>
      </c>
      <c r="C144" s="7" t="s">
        <v>532</v>
      </c>
      <c r="D144" s="10" t="n">
        <v>0</v>
      </c>
      <c r="E144" s="10" t="n">
        <v>0</v>
      </c>
      <c r="F144" s="10" t="n">
        <v>8347.3</v>
      </c>
      <c r="G144" s="10" t="n">
        <v>0</v>
      </c>
      <c r="H144" s="10" t="n">
        <v>0</v>
      </c>
      <c r="I144" s="10" t="n">
        <v>55348</v>
      </c>
      <c r="J144" s="10" t="n">
        <v>0</v>
      </c>
      <c r="K144" s="10" t="n">
        <v>200.2</v>
      </c>
      <c r="L144" s="10" t="n">
        <v>0</v>
      </c>
      <c r="M144" s="10" t="n">
        <v>80.6</v>
      </c>
      <c r="N144" s="10" t="n">
        <v>268.7</v>
      </c>
      <c r="O144" s="10" t="n">
        <v>100.3</v>
      </c>
      <c r="P144" s="10" t="n">
        <v>-125.2</v>
      </c>
      <c r="Q144" s="10" t="n">
        <v>51118.9</v>
      </c>
      <c r="R144" s="10" t="n">
        <v>3704.4</v>
      </c>
      <c r="S144" s="10" t="n">
        <v>0</v>
      </c>
      <c r="T144" s="10" t="n">
        <v>0</v>
      </c>
      <c r="U144" s="10" t="n">
        <v>0</v>
      </c>
    </row>
    <row r="145" customFormat="false" ht="15" hidden="false" customHeight="false" outlineLevel="0" collapsed="false">
      <c r="A145" s="7" t="s">
        <v>394</v>
      </c>
      <c r="B145" s="7" t="s">
        <v>156</v>
      </c>
      <c r="C145" s="7" t="s">
        <v>533</v>
      </c>
      <c r="D145" s="10" t="n">
        <v>0</v>
      </c>
      <c r="E145" s="10" t="n">
        <v>0</v>
      </c>
      <c r="F145" s="10" t="n">
        <v>5823</v>
      </c>
      <c r="G145" s="10" t="n">
        <v>0</v>
      </c>
      <c r="H145" s="10" t="n">
        <v>0</v>
      </c>
      <c r="I145" s="10" t="n">
        <v>7428.9</v>
      </c>
      <c r="J145" s="10" t="n">
        <v>0</v>
      </c>
      <c r="K145" s="10" t="n">
        <v>235.9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-369.5</v>
      </c>
      <c r="Q145" s="10" t="n">
        <v>5701.6</v>
      </c>
      <c r="R145" s="10" t="n">
        <v>1860.9</v>
      </c>
      <c r="S145" s="10" t="n">
        <v>0</v>
      </c>
      <c r="T145" s="10" t="n">
        <v>0</v>
      </c>
      <c r="U145" s="10" t="n">
        <v>0</v>
      </c>
    </row>
    <row r="146" customFormat="false" ht="15" hidden="false" customHeight="false" outlineLevel="0" collapsed="false">
      <c r="A146" s="7" t="s">
        <v>394</v>
      </c>
      <c r="B146" s="7" t="s">
        <v>195</v>
      </c>
      <c r="C146" s="7" t="s">
        <v>534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-393.2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-393.2</v>
      </c>
      <c r="R146" s="10" t="n">
        <v>0</v>
      </c>
      <c r="S146" s="10" t="n">
        <v>0</v>
      </c>
      <c r="T146" s="10" t="n">
        <v>0</v>
      </c>
      <c r="U146" s="10" t="n">
        <v>0</v>
      </c>
    </row>
    <row r="147" customFormat="false" ht="15" hidden="false" customHeight="false" outlineLevel="0" collapsed="false">
      <c r="A147" s="7" t="s">
        <v>394</v>
      </c>
      <c r="B147" s="7" t="s">
        <v>148</v>
      </c>
      <c r="C147" s="7" t="s">
        <v>535</v>
      </c>
      <c r="D147" s="10" t="n">
        <v>0</v>
      </c>
      <c r="E147" s="10" t="n">
        <v>0</v>
      </c>
      <c r="F147" s="10" t="n">
        <v>2276.2</v>
      </c>
      <c r="G147" s="10" t="n">
        <v>0</v>
      </c>
      <c r="H147" s="10" t="n">
        <v>0</v>
      </c>
      <c r="I147" s="10" t="n">
        <v>826.4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826.4</v>
      </c>
      <c r="R147" s="10" t="n">
        <v>0</v>
      </c>
      <c r="S147" s="10" t="n">
        <v>0</v>
      </c>
      <c r="T147" s="10" t="n">
        <v>0</v>
      </c>
      <c r="U147" s="10" t="n">
        <v>0</v>
      </c>
    </row>
    <row r="148" customFormat="false" ht="15" hidden="false" customHeight="false" outlineLevel="0" collapsed="false">
      <c r="A148" s="7" t="s">
        <v>394</v>
      </c>
      <c r="B148" s="7" t="s">
        <v>101</v>
      </c>
      <c r="C148" s="7" t="s">
        <v>536</v>
      </c>
      <c r="D148" s="10" t="n">
        <v>0</v>
      </c>
      <c r="E148" s="10" t="n">
        <v>0</v>
      </c>
      <c r="F148" s="10" t="n">
        <v>388.7</v>
      </c>
      <c r="G148" s="10" t="n">
        <v>0</v>
      </c>
      <c r="H148" s="10" t="n">
        <v>0</v>
      </c>
      <c r="I148" s="10" t="n">
        <v>2063.1</v>
      </c>
      <c r="J148" s="10" t="n">
        <v>0</v>
      </c>
      <c r="K148" s="10" t="n">
        <v>123.5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-246.9</v>
      </c>
      <c r="Q148" s="10" t="n">
        <v>1507.5</v>
      </c>
      <c r="R148" s="10" t="n">
        <v>679</v>
      </c>
      <c r="S148" s="10" t="n">
        <v>0</v>
      </c>
      <c r="T148" s="10" t="n">
        <v>0</v>
      </c>
      <c r="U148" s="10" t="n">
        <v>0</v>
      </c>
    </row>
    <row r="149" customFormat="false" ht="15" hidden="false" customHeight="false" outlineLevel="0" collapsed="false">
      <c r="A149" s="7" t="s">
        <v>394</v>
      </c>
      <c r="B149" s="7" t="s">
        <v>101</v>
      </c>
      <c r="C149" s="7" t="s">
        <v>537</v>
      </c>
      <c r="D149" s="10" t="n">
        <v>0</v>
      </c>
      <c r="E149" s="10" t="n">
        <v>0</v>
      </c>
      <c r="F149" s="10" t="n">
        <v>917</v>
      </c>
      <c r="G149" s="10" t="n">
        <v>0</v>
      </c>
      <c r="H149" s="10" t="n">
        <v>0</v>
      </c>
      <c r="I149" s="10" t="n">
        <v>1940.4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-308.7</v>
      </c>
      <c r="Q149" s="10" t="n">
        <v>1755.2</v>
      </c>
      <c r="R149" s="10" t="n">
        <v>493.8</v>
      </c>
      <c r="S149" s="10" t="n">
        <v>0</v>
      </c>
      <c r="T149" s="10" t="n">
        <v>0</v>
      </c>
      <c r="U149" s="10" t="n">
        <v>0</v>
      </c>
    </row>
    <row r="150" customFormat="false" ht="15" hidden="false" customHeight="false" outlineLevel="0" collapsed="false">
      <c r="A150" s="7" t="s">
        <v>394</v>
      </c>
      <c r="B150" s="7" t="s">
        <v>101</v>
      </c>
      <c r="C150" s="7" t="s">
        <v>538</v>
      </c>
      <c r="D150" s="10" t="n">
        <v>0</v>
      </c>
      <c r="E150" s="10" t="n">
        <v>0</v>
      </c>
      <c r="F150" s="10" t="n">
        <v>373.1</v>
      </c>
      <c r="G150" s="10" t="n">
        <v>0</v>
      </c>
      <c r="H150" s="10" t="n">
        <v>0</v>
      </c>
      <c r="I150" s="10" t="n">
        <v>2622.3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-537.9</v>
      </c>
      <c r="Q150" s="10" t="n">
        <v>1802.1</v>
      </c>
      <c r="R150" s="10" t="n">
        <v>1358.1</v>
      </c>
      <c r="S150" s="10" t="n">
        <v>0</v>
      </c>
      <c r="T150" s="10" t="n">
        <v>0</v>
      </c>
      <c r="U150" s="10" t="n">
        <v>0</v>
      </c>
    </row>
    <row r="151" customFormat="false" ht="15" hidden="false" customHeight="false" outlineLevel="0" collapsed="false">
      <c r="A151" s="7" t="s">
        <v>394</v>
      </c>
      <c r="B151" s="7" t="s">
        <v>101</v>
      </c>
      <c r="C151" s="7" t="s">
        <v>539</v>
      </c>
      <c r="D151" s="10" t="n">
        <v>0</v>
      </c>
      <c r="E151" s="10" t="n">
        <v>0</v>
      </c>
      <c r="F151" s="10" t="n">
        <v>711.5</v>
      </c>
      <c r="G151" s="10" t="n">
        <v>0</v>
      </c>
      <c r="H151" s="10" t="n">
        <v>0</v>
      </c>
      <c r="I151" s="10" t="n">
        <v>1342.7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66.1</v>
      </c>
      <c r="P151" s="10" t="n">
        <v>-308.7</v>
      </c>
      <c r="Q151" s="10" t="n">
        <v>659.2</v>
      </c>
      <c r="R151" s="10" t="n">
        <v>926</v>
      </c>
      <c r="S151" s="10" t="n">
        <v>0</v>
      </c>
      <c r="T151" s="10" t="n">
        <v>0</v>
      </c>
      <c r="U151" s="10" t="n">
        <v>0</v>
      </c>
    </row>
    <row r="152" customFormat="false" ht="15" hidden="false" customHeight="false" outlineLevel="0" collapsed="false">
      <c r="A152" s="7" t="s">
        <v>394</v>
      </c>
      <c r="B152" s="7" t="s">
        <v>101</v>
      </c>
      <c r="C152" s="7" t="s">
        <v>540</v>
      </c>
      <c r="D152" s="10" t="n">
        <v>0</v>
      </c>
      <c r="E152" s="10" t="n">
        <v>0</v>
      </c>
      <c r="F152" s="10" t="n">
        <v>130.4</v>
      </c>
      <c r="G152" s="10" t="n">
        <v>0</v>
      </c>
      <c r="H152" s="10" t="n">
        <v>0</v>
      </c>
      <c r="I152" s="10" t="n">
        <v>7.3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-246.9</v>
      </c>
      <c r="Q152" s="10" t="n">
        <v>-54.5</v>
      </c>
      <c r="R152" s="10" t="n">
        <v>308.7</v>
      </c>
      <c r="S152" s="10" t="n">
        <v>0</v>
      </c>
      <c r="T152" s="10" t="n">
        <v>0</v>
      </c>
      <c r="U152" s="10" t="n">
        <v>0</v>
      </c>
    </row>
    <row r="153" customFormat="false" ht="15" hidden="false" customHeight="false" outlineLevel="0" collapsed="false">
      <c r="A153" s="7" t="s">
        <v>394</v>
      </c>
      <c r="B153" s="7" t="s">
        <v>353</v>
      </c>
      <c r="C153" s="7" t="s">
        <v>541</v>
      </c>
      <c r="D153" s="10" t="n">
        <v>0</v>
      </c>
      <c r="E153" s="10" t="n">
        <v>0</v>
      </c>
      <c r="F153" s="10" t="n">
        <v>0</v>
      </c>
      <c r="G153" s="10" t="n">
        <v>0</v>
      </c>
      <c r="H153" s="10" t="n">
        <v>0</v>
      </c>
      <c r="I153" s="10" t="n">
        <v>-193.5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-193.5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</row>
    <row r="154" customFormat="false" ht="15" hidden="false" customHeight="false" outlineLevel="0" collapsed="false">
      <c r="A154" s="7" t="s">
        <v>394</v>
      </c>
      <c r="B154" s="7" t="s">
        <v>353</v>
      </c>
      <c r="C154" s="7" t="s">
        <v>542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-193.5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-193.5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</row>
    <row r="155" customFormat="false" ht="15" hidden="false" customHeight="false" outlineLevel="0" collapsed="false">
      <c r="A155" s="7" t="s">
        <v>394</v>
      </c>
      <c r="B155" s="7" t="s">
        <v>184</v>
      </c>
      <c r="C155" s="7" t="s">
        <v>543</v>
      </c>
      <c r="D155" s="10" t="n">
        <v>0</v>
      </c>
      <c r="E155" s="10" t="n">
        <v>0</v>
      </c>
      <c r="F155" s="10" t="n">
        <v>118.5</v>
      </c>
      <c r="G155" s="10" t="n">
        <v>0</v>
      </c>
      <c r="H155" s="10" t="n">
        <v>0</v>
      </c>
      <c r="I155" s="10" t="n">
        <v>773.4</v>
      </c>
      <c r="J155" s="10" t="n">
        <v>0</v>
      </c>
      <c r="K155" s="10" t="n">
        <v>331.5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441.9</v>
      </c>
      <c r="S155" s="10" t="n">
        <v>0</v>
      </c>
      <c r="T155" s="10" t="n">
        <v>0</v>
      </c>
      <c r="U155" s="10" t="n">
        <v>0</v>
      </c>
    </row>
    <row r="156" customFormat="false" ht="15" hidden="false" customHeight="false" outlineLevel="0" collapsed="false">
      <c r="A156" s="7" t="s">
        <v>394</v>
      </c>
      <c r="B156" s="7" t="s">
        <v>184</v>
      </c>
      <c r="C156" s="7" t="s">
        <v>544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662.9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-110.5</v>
      </c>
      <c r="Q156" s="10" t="n">
        <v>0</v>
      </c>
      <c r="R156" s="10" t="n">
        <v>773.4</v>
      </c>
      <c r="S156" s="10" t="n">
        <v>0</v>
      </c>
      <c r="T156" s="10" t="n">
        <v>0</v>
      </c>
      <c r="U156" s="10" t="n">
        <v>0</v>
      </c>
    </row>
    <row r="157" customFormat="false" ht="15" hidden="false" customHeight="false" outlineLevel="0" collapsed="false">
      <c r="A157" s="7" t="s">
        <v>394</v>
      </c>
      <c r="B157" s="7" t="s">
        <v>184</v>
      </c>
      <c r="C157" s="7" t="s">
        <v>545</v>
      </c>
      <c r="D157" s="10" t="n">
        <v>0</v>
      </c>
      <c r="E157" s="10" t="n">
        <v>0</v>
      </c>
      <c r="F157" s="10" t="n">
        <v>706.5</v>
      </c>
      <c r="G157" s="10" t="n">
        <v>0</v>
      </c>
      <c r="H157" s="10" t="n">
        <v>0</v>
      </c>
      <c r="I157" s="10" t="n">
        <v>228.9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-102.6</v>
      </c>
      <c r="R157" s="10" t="n">
        <v>331.5</v>
      </c>
      <c r="S157" s="10" t="n">
        <v>0</v>
      </c>
      <c r="T157" s="10" t="n">
        <v>0</v>
      </c>
      <c r="U157" s="10" t="n">
        <v>0</v>
      </c>
    </row>
    <row r="158" customFormat="false" ht="15" hidden="false" customHeight="false" outlineLevel="0" collapsed="false">
      <c r="A158" s="7" t="s">
        <v>394</v>
      </c>
      <c r="B158" s="7" t="s">
        <v>184</v>
      </c>
      <c r="C158" s="7" t="s">
        <v>546</v>
      </c>
      <c r="D158" s="10" t="n">
        <v>0</v>
      </c>
      <c r="E158" s="10" t="n">
        <v>0</v>
      </c>
      <c r="F158" s="10" t="n">
        <v>903.7</v>
      </c>
      <c r="G158" s="10" t="n">
        <v>0</v>
      </c>
      <c r="H158" s="10" t="n">
        <v>205.3</v>
      </c>
      <c r="I158" s="10" t="n">
        <v>110.5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110.5</v>
      </c>
      <c r="S158" s="10" t="n">
        <v>0</v>
      </c>
      <c r="T158" s="10" t="n">
        <v>0</v>
      </c>
      <c r="U158" s="10" t="n">
        <v>0</v>
      </c>
    </row>
    <row r="159" customFormat="false" ht="15" hidden="false" customHeight="false" outlineLevel="0" collapsed="false">
      <c r="A159" s="7" t="s">
        <v>394</v>
      </c>
      <c r="B159" s="7" t="s">
        <v>184</v>
      </c>
      <c r="C159" s="7" t="s">
        <v>547</v>
      </c>
      <c r="D159" s="10" t="n">
        <v>0</v>
      </c>
      <c r="E159" s="10" t="n">
        <v>0</v>
      </c>
      <c r="F159" s="10" t="n">
        <v>327</v>
      </c>
      <c r="G159" s="10" t="n">
        <v>0</v>
      </c>
      <c r="H159" s="10" t="n">
        <v>0</v>
      </c>
      <c r="I159" s="10" t="n">
        <v>-513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-513</v>
      </c>
      <c r="R159" s="10" t="n">
        <v>0</v>
      </c>
      <c r="S159" s="10" t="n">
        <v>0</v>
      </c>
      <c r="T159" s="10" t="n">
        <v>0</v>
      </c>
      <c r="U159" s="10" t="n">
        <v>0</v>
      </c>
    </row>
    <row r="160" customFormat="false" ht="15" hidden="false" customHeight="false" outlineLevel="0" collapsed="false">
      <c r="A160" s="7" t="s">
        <v>394</v>
      </c>
      <c r="B160" s="7" t="s">
        <v>88</v>
      </c>
      <c r="C160" s="7" t="s">
        <v>548</v>
      </c>
      <c r="D160" s="10" t="n">
        <v>0</v>
      </c>
      <c r="E160" s="10" t="n">
        <v>0</v>
      </c>
      <c r="F160" s="10" t="n">
        <v>12472.5</v>
      </c>
      <c r="G160" s="10" t="n">
        <v>0</v>
      </c>
      <c r="H160" s="10" t="n">
        <v>0</v>
      </c>
      <c r="I160" s="10" t="n">
        <v>57852</v>
      </c>
      <c r="J160" s="10" t="n">
        <v>0</v>
      </c>
      <c r="K160" s="10" t="n">
        <v>480.3</v>
      </c>
      <c r="L160" s="10" t="n">
        <v>-13.3</v>
      </c>
      <c r="M160" s="10" t="n">
        <v>146.3</v>
      </c>
      <c r="N160" s="10" t="n">
        <v>18.4</v>
      </c>
      <c r="O160" s="10" t="n">
        <v>26.7</v>
      </c>
      <c r="P160" s="10" t="n">
        <v>-80</v>
      </c>
      <c r="Q160" s="10" t="n">
        <v>50190</v>
      </c>
      <c r="R160" s="10" t="n">
        <v>7083.7</v>
      </c>
      <c r="S160" s="10" t="n">
        <v>0</v>
      </c>
      <c r="T160" s="10" t="n">
        <v>0</v>
      </c>
      <c r="U160" s="10" t="n">
        <v>0</v>
      </c>
    </row>
    <row r="161" customFormat="false" ht="15" hidden="false" customHeight="false" outlineLevel="0" collapsed="false">
      <c r="A161" s="7" t="s">
        <v>394</v>
      </c>
      <c r="B161" s="7" t="s">
        <v>142</v>
      </c>
      <c r="C161" s="7" t="s">
        <v>549</v>
      </c>
      <c r="D161" s="10" t="n">
        <v>0</v>
      </c>
      <c r="E161" s="10" t="n">
        <v>0</v>
      </c>
      <c r="F161" s="10" t="n">
        <v>2425</v>
      </c>
      <c r="G161" s="10" t="n">
        <v>0</v>
      </c>
      <c r="H161" s="10" t="n">
        <v>0</v>
      </c>
      <c r="I161" s="10" t="n">
        <v>5080.7</v>
      </c>
      <c r="J161" s="10" t="n">
        <v>0</v>
      </c>
      <c r="K161" s="10" t="n">
        <v>85.4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-64</v>
      </c>
      <c r="Q161" s="10" t="n">
        <v>4120.4</v>
      </c>
      <c r="R161" s="10" t="n">
        <v>939</v>
      </c>
      <c r="S161" s="10" t="n">
        <v>0</v>
      </c>
      <c r="T161" s="10" t="n">
        <v>0</v>
      </c>
      <c r="U161" s="10" t="n">
        <v>0</v>
      </c>
    </row>
    <row r="162" customFormat="false" ht="15" hidden="false" customHeight="false" outlineLevel="0" collapsed="false">
      <c r="A162" s="7" t="s">
        <v>394</v>
      </c>
      <c r="B162" s="7" t="s">
        <v>47</v>
      </c>
      <c r="C162" s="7" t="s">
        <v>550</v>
      </c>
      <c r="D162" s="10" t="n">
        <v>0</v>
      </c>
      <c r="E162" s="10" t="n">
        <v>0</v>
      </c>
      <c r="F162" s="10" t="n">
        <v>8539.1</v>
      </c>
      <c r="G162" s="10" t="n">
        <v>0</v>
      </c>
      <c r="H162" s="10" t="n">
        <v>365.2</v>
      </c>
      <c r="I162" s="10" t="n">
        <v>79784.3</v>
      </c>
      <c r="J162" s="10" t="n">
        <v>0</v>
      </c>
      <c r="K162" s="10" t="n">
        <v>688.5</v>
      </c>
      <c r="L162" s="10" t="n">
        <v>0</v>
      </c>
      <c r="M162" s="10" t="n">
        <v>0</v>
      </c>
      <c r="N162" s="10" t="n">
        <v>85</v>
      </c>
      <c r="O162" s="10" t="n">
        <v>43.4</v>
      </c>
      <c r="P162" s="10" t="n">
        <v>-205.4</v>
      </c>
      <c r="Q162" s="10" t="n">
        <v>71558.8</v>
      </c>
      <c r="R162" s="10" t="n">
        <v>7614</v>
      </c>
      <c r="S162" s="10" t="n">
        <v>0</v>
      </c>
      <c r="T162" s="10" t="n">
        <v>0</v>
      </c>
      <c r="U162" s="10" t="n">
        <v>-62.4</v>
      </c>
    </row>
    <row r="163" customFormat="false" ht="15" hidden="false" customHeight="false" outlineLevel="0" collapsed="false">
      <c r="A163" s="7" t="s">
        <v>394</v>
      </c>
      <c r="B163" s="7" t="s">
        <v>47</v>
      </c>
      <c r="C163" s="7" t="s">
        <v>551</v>
      </c>
      <c r="D163" s="10" t="n">
        <v>0</v>
      </c>
      <c r="E163" s="10" t="n">
        <v>0</v>
      </c>
      <c r="F163" s="10" t="n">
        <v>3496.1</v>
      </c>
      <c r="G163" s="10" t="n">
        <v>0</v>
      </c>
      <c r="H163" s="10" t="n">
        <v>0</v>
      </c>
      <c r="I163" s="10" t="n">
        <v>49639.1</v>
      </c>
      <c r="J163" s="10" t="n">
        <v>0</v>
      </c>
      <c r="K163" s="10" t="n">
        <v>283.5</v>
      </c>
      <c r="L163" s="10" t="n">
        <v>0</v>
      </c>
      <c r="M163" s="10" t="n">
        <v>0</v>
      </c>
      <c r="N163" s="10" t="n">
        <v>85</v>
      </c>
      <c r="O163" s="10" t="n">
        <v>0</v>
      </c>
      <c r="P163" s="10" t="n">
        <v>-202.5</v>
      </c>
      <c r="Q163" s="10" t="n">
        <v>44734.6</v>
      </c>
      <c r="R163" s="10" t="n">
        <v>4738.5</v>
      </c>
      <c r="S163" s="10" t="n">
        <v>0</v>
      </c>
      <c r="T163" s="10" t="n">
        <v>0</v>
      </c>
      <c r="U163" s="10" t="n">
        <v>-124.9</v>
      </c>
    </row>
    <row r="164" customFormat="false" ht="15" hidden="false" customHeight="false" outlineLevel="0" collapsed="false">
      <c r="A164" s="7" t="s">
        <v>394</v>
      </c>
      <c r="B164" s="7" t="s">
        <v>47</v>
      </c>
      <c r="C164" s="7" t="s">
        <v>552</v>
      </c>
      <c r="D164" s="10" t="n">
        <v>0</v>
      </c>
      <c r="E164" s="10" t="n">
        <v>0</v>
      </c>
      <c r="F164" s="10" t="n">
        <v>7794.9</v>
      </c>
      <c r="G164" s="10" t="n">
        <v>0</v>
      </c>
      <c r="H164" s="10" t="n">
        <v>162.3</v>
      </c>
      <c r="I164" s="10" t="n">
        <v>74991</v>
      </c>
      <c r="J164" s="10" t="n">
        <v>0</v>
      </c>
      <c r="K164" s="10" t="n">
        <v>486</v>
      </c>
      <c r="L164" s="10" t="n">
        <v>0</v>
      </c>
      <c r="M164" s="10" t="n">
        <v>0</v>
      </c>
      <c r="N164" s="10" t="n">
        <v>85</v>
      </c>
      <c r="O164" s="10" t="n">
        <v>86.8</v>
      </c>
      <c r="P164" s="10" t="n">
        <v>-283.5</v>
      </c>
      <c r="Q164" s="10" t="n">
        <v>67283.3</v>
      </c>
      <c r="R164" s="10" t="n">
        <v>7333.4</v>
      </c>
      <c r="S164" s="10" t="n">
        <v>43.7</v>
      </c>
      <c r="T164" s="10" t="n">
        <v>0</v>
      </c>
      <c r="U164" s="10" t="n">
        <v>0</v>
      </c>
    </row>
    <row r="165" customFormat="false" ht="15" hidden="false" customHeight="false" outlineLevel="0" collapsed="false">
      <c r="A165" s="7" t="s">
        <v>394</v>
      </c>
      <c r="B165" s="7" t="s">
        <v>47</v>
      </c>
      <c r="C165" s="7" t="s">
        <v>553</v>
      </c>
      <c r="D165" s="10" t="n">
        <v>0</v>
      </c>
      <c r="E165" s="10" t="n">
        <v>0</v>
      </c>
      <c r="F165" s="10" t="n">
        <v>5107.4</v>
      </c>
      <c r="G165" s="10" t="n">
        <v>0</v>
      </c>
      <c r="H165" s="10" t="n">
        <v>0</v>
      </c>
      <c r="I165" s="10" t="n">
        <v>51185.1</v>
      </c>
      <c r="J165" s="10" t="n">
        <v>0</v>
      </c>
      <c r="K165" s="10" t="n">
        <v>162</v>
      </c>
      <c r="L165" s="10" t="n">
        <v>0</v>
      </c>
      <c r="M165" s="10" t="n">
        <v>0</v>
      </c>
      <c r="N165" s="10" t="n">
        <v>0</v>
      </c>
      <c r="O165" s="10" t="n">
        <v>43.4</v>
      </c>
      <c r="P165" s="10" t="n">
        <v>-324</v>
      </c>
      <c r="Q165" s="10" t="n">
        <v>46241.2</v>
      </c>
      <c r="R165" s="10" t="n">
        <v>5062.5</v>
      </c>
      <c r="S165" s="10" t="n">
        <v>0</v>
      </c>
      <c r="T165" s="10" t="n">
        <v>0</v>
      </c>
      <c r="U165" s="10" t="n">
        <v>-62.4</v>
      </c>
    </row>
    <row r="166" customFormat="false" ht="15" hidden="false" customHeight="false" outlineLevel="0" collapsed="false">
      <c r="A166" s="7" t="s">
        <v>394</v>
      </c>
      <c r="B166" s="7" t="s">
        <v>47</v>
      </c>
      <c r="C166" s="7" t="s">
        <v>554</v>
      </c>
      <c r="D166" s="10" t="n">
        <v>0</v>
      </c>
      <c r="E166" s="10" t="n">
        <v>0</v>
      </c>
      <c r="F166" s="10" t="n">
        <v>439.2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</row>
    <row r="167" customFormat="false" ht="15" hidden="false" customHeight="false" outlineLevel="0" collapsed="false">
      <c r="A167" s="7" t="s">
        <v>394</v>
      </c>
      <c r="B167" s="7" t="s">
        <v>47</v>
      </c>
      <c r="C167" s="7" t="s">
        <v>555</v>
      </c>
      <c r="D167" s="10" t="n">
        <v>0</v>
      </c>
      <c r="E167" s="10" t="n">
        <v>0</v>
      </c>
      <c r="F167" s="10" t="n">
        <v>1092</v>
      </c>
      <c r="G167" s="10" t="n">
        <v>0</v>
      </c>
      <c r="H167" s="10" t="n">
        <v>0</v>
      </c>
      <c r="I167" s="10" t="n">
        <v>4418</v>
      </c>
      <c r="J167" s="10" t="n">
        <v>0</v>
      </c>
      <c r="K167" s="10" t="n">
        <v>243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-162</v>
      </c>
      <c r="Q167" s="10" t="n">
        <v>2028.5</v>
      </c>
      <c r="R167" s="10" t="n">
        <v>2308.5</v>
      </c>
      <c r="S167" s="10" t="n">
        <v>0</v>
      </c>
      <c r="T167" s="10" t="n">
        <v>0</v>
      </c>
      <c r="U167" s="10" t="n">
        <v>0</v>
      </c>
    </row>
    <row r="168" customFormat="false" ht="15" hidden="false" customHeight="false" outlineLevel="0" collapsed="false">
      <c r="A168" s="7" t="s">
        <v>394</v>
      </c>
      <c r="B168" s="7" t="s">
        <v>56</v>
      </c>
      <c r="C168" s="7" t="s">
        <v>556</v>
      </c>
      <c r="D168" s="10" t="n">
        <v>0</v>
      </c>
      <c r="E168" s="10" t="n">
        <v>0</v>
      </c>
      <c r="F168" s="10" t="n">
        <v>3246</v>
      </c>
      <c r="G168" s="10" t="n">
        <v>0</v>
      </c>
      <c r="H168" s="10" t="n">
        <v>0</v>
      </c>
      <c r="I168" s="10" t="n">
        <v>34368</v>
      </c>
      <c r="J168" s="10" t="n">
        <v>0</v>
      </c>
      <c r="K168" s="10" t="n">
        <v>333.1</v>
      </c>
      <c r="L168" s="10" t="n">
        <v>0</v>
      </c>
      <c r="M168" s="10" t="n">
        <v>0</v>
      </c>
      <c r="N168" s="10" t="n">
        <v>92.7</v>
      </c>
      <c r="O168" s="10" t="n">
        <v>59.5</v>
      </c>
      <c r="P168" s="10" t="n">
        <v>-198.3</v>
      </c>
      <c r="Q168" s="10" t="n">
        <v>29720.7</v>
      </c>
      <c r="R168" s="10" t="n">
        <v>4360.3</v>
      </c>
      <c r="S168" s="10" t="n">
        <v>0</v>
      </c>
      <c r="T168" s="10" t="n">
        <v>0</v>
      </c>
      <c r="U168" s="10" t="n">
        <v>0</v>
      </c>
    </row>
    <row r="169" customFormat="false" ht="15" hidden="false" customHeight="false" outlineLevel="0" collapsed="false">
      <c r="A169" s="7" t="s">
        <v>394</v>
      </c>
      <c r="B169" s="7" t="s">
        <v>56</v>
      </c>
      <c r="C169" s="7" t="s">
        <v>557</v>
      </c>
      <c r="D169" s="10" t="n">
        <v>0</v>
      </c>
      <c r="E169" s="10" t="n">
        <v>0</v>
      </c>
      <c r="F169" s="10" t="n">
        <v>6098.2</v>
      </c>
      <c r="G169" s="10" t="n">
        <v>0</v>
      </c>
      <c r="H169" s="10" t="n">
        <v>0</v>
      </c>
      <c r="I169" s="10" t="n">
        <v>49818.8</v>
      </c>
      <c r="J169" s="10" t="n">
        <v>0</v>
      </c>
      <c r="K169" s="10" t="n">
        <v>555.2</v>
      </c>
      <c r="L169" s="10" t="n">
        <v>0</v>
      </c>
      <c r="M169" s="10" t="n">
        <v>0</v>
      </c>
      <c r="N169" s="10" t="n">
        <v>0</v>
      </c>
      <c r="O169" s="10" t="n">
        <v>118.9</v>
      </c>
      <c r="P169" s="10" t="n">
        <v>-222.1</v>
      </c>
      <c r="Q169" s="10" t="n">
        <v>42561.6</v>
      </c>
      <c r="R169" s="10" t="n">
        <v>6805.2</v>
      </c>
      <c r="S169" s="10" t="n">
        <v>0</v>
      </c>
      <c r="T169" s="10" t="n">
        <v>0</v>
      </c>
      <c r="U169" s="10" t="n">
        <v>0</v>
      </c>
    </row>
    <row r="170" customFormat="false" ht="15" hidden="false" customHeight="false" outlineLevel="0" collapsed="false">
      <c r="A170" s="7" t="s">
        <v>394</v>
      </c>
      <c r="B170" s="7" t="s">
        <v>56</v>
      </c>
      <c r="C170" s="7" t="s">
        <v>558</v>
      </c>
      <c r="D170" s="10" t="n">
        <v>0</v>
      </c>
      <c r="E170" s="10" t="n">
        <v>0</v>
      </c>
      <c r="F170" s="10" t="n">
        <v>6444.3</v>
      </c>
      <c r="G170" s="10" t="n">
        <v>0</v>
      </c>
      <c r="H170" s="10" t="n">
        <v>53.5</v>
      </c>
      <c r="I170" s="10" t="n">
        <v>55680.5</v>
      </c>
      <c r="J170" s="10" t="n">
        <v>0</v>
      </c>
      <c r="K170" s="10" t="n">
        <v>471.9</v>
      </c>
      <c r="L170" s="10" t="n">
        <v>0</v>
      </c>
      <c r="M170" s="10" t="n">
        <v>0</v>
      </c>
      <c r="N170" s="10" t="n">
        <v>0</v>
      </c>
      <c r="O170" s="10" t="n">
        <v>59.5</v>
      </c>
      <c r="P170" s="10" t="n">
        <v>-196.3</v>
      </c>
      <c r="Q170" s="10" t="n">
        <v>48710.8</v>
      </c>
      <c r="R170" s="10" t="n">
        <v>6634.6</v>
      </c>
      <c r="S170" s="10" t="n">
        <v>0</v>
      </c>
      <c r="T170" s="10" t="n">
        <v>0</v>
      </c>
      <c r="U170" s="10" t="n">
        <v>0</v>
      </c>
    </row>
    <row r="171" customFormat="false" ht="15" hidden="false" customHeight="false" outlineLevel="0" collapsed="false">
      <c r="A171" s="7" t="s">
        <v>394</v>
      </c>
      <c r="B171" s="7" t="s">
        <v>56</v>
      </c>
      <c r="C171" s="7" t="s">
        <v>559</v>
      </c>
      <c r="D171" s="10" t="n">
        <v>0</v>
      </c>
      <c r="E171" s="10" t="n">
        <v>0</v>
      </c>
      <c r="F171" s="10" t="n">
        <v>4593.1</v>
      </c>
      <c r="G171" s="10" t="n">
        <v>0</v>
      </c>
      <c r="H171" s="10" t="n">
        <v>0</v>
      </c>
      <c r="I171" s="10" t="n">
        <v>32760.9</v>
      </c>
      <c r="J171" s="10" t="n">
        <v>0</v>
      </c>
      <c r="K171" s="10" t="n">
        <v>333.1</v>
      </c>
      <c r="L171" s="10" t="n">
        <v>0</v>
      </c>
      <c r="M171" s="10" t="n">
        <v>0</v>
      </c>
      <c r="N171" s="10" t="n">
        <v>0</v>
      </c>
      <c r="O171" s="10" t="n">
        <v>59.5</v>
      </c>
      <c r="P171" s="10" t="n">
        <v>-224.1</v>
      </c>
      <c r="Q171" s="10" t="n">
        <v>28674.2</v>
      </c>
      <c r="R171" s="10" t="n">
        <v>3918.1</v>
      </c>
      <c r="S171" s="10" t="n">
        <v>0</v>
      </c>
      <c r="T171" s="10" t="n">
        <v>0</v>
      </c>
      <c r="U171" s="10" t="n">
        <v>0</v>
      </c>
    </row>
    <row r="172" customFormat="false" ht="15" hidden="false" customHeight="false" outlineLevel="0" collapsed="false">
      <c r="A172" s="7" t="s">
        <v>394</v>
      </c>
      <c r="B172" s="7" t="s">
        <v>56</v>
      </c>
      <c r="C172" s="7" t="s">
        <v>560</v>
      </c>
      <c r="D172" s="10" t="n">
        <v>0</v>
      </c>
      <c r="E172" s="10" t="n">
        <v>0</v>
      </c>
      <c r="F172" s="10" t="n">
        <v>2392.6</v>
      </c>
      <c r="G172" s="10" t="n">
        <v>0</v>
      </c>
      <c r="H172" s="10" t="n">
        <v>53.5</v>
      </c>
      <c r="I172" s="10" t="n">
        <v>4400.1</v>
      </c>
      <c r="J172" s="10" t="n">
        <v>0</v>
      </c>
      <c r="K172" s="10" t="n">
        <v>222.1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-83.3</v>
      </c>
      <c r="Q172" s="10" t="n">
        <v>2262.6</v>
      </c>
      <c r="R172" s="10" t="n">
        <v>1998.7</v>
      </c>
      <c r="S172" s="10" t="n">
        <v>0</v>
      </c>
      <c r="T172" s="10" t="n">
        <v>0</v>
      </c>
      <c r="U172" s="10" t="n">
        <v>0</v>
      </c>
    </row>
    <row r="173" customFormat="false" ht="15" hidden="false" customHeight="false" outlineLevel="0" collapsed="false">
      <c r="A173" s="7" t="s">
        <v>394</v>
      </c>
      <c r="B173" s="7" t="s">
        <v>43</v>
      </c>
      <c r="C173" s="7" t="s">
        <v>561</v>
      </c>
      <c r="D173" s="10" t="n">
        <v>0</v>
      </c>
      <c r="E173" s="10" t="n">
        <v>0</v>
      </c>
      <c r="F173" s="10" t="n">
        <v>6630.6</v>
      </c>
      <c r="G173" s="10" t="n">
        <v>0</v>
      </c>
      <c r="H173" s="10" t="n">
        <v>0</v>
      </c>
      <c r="I173" s="10" t="n">
        <v>68951.8</v>
      </c>
      <c r="J173" s="10" t="n">
        <v>0</v>
      </c>
      <c r="K173" s="10" t="n">
        <v>444.2</v>
      </c>
      <c r="L173" s="10" t="n">
        <v>0</v>
      </c>
      <c r="M173" s="10" t="n">
        <v>0</v>
      </c>
      <c r="N173" s="10" t="n">
        <v>216.2</v>
      </c>
      <c r="O173" s="10" t="n">
        <v>89.2</v>
      </c>
      <c r="P173" s="10" t="n">
        <v>-196.3</v>
      </c>
      <c r="Q173" s="10" t="n">
        <v>63730.9</v>
      </c>
      <c r="R173" s="10" t="n">
        <v>4667.6</v>
      </c>
      <c r="S173" s="10" t="n">
        <v>0</v>
      </c>
      <c r="T173" s="10" t="n">
        <v>0</v>
      </c>
      <c r="U173" s="10" t="n">
        <v>-41.2</v>
      </c>
    </row>
    <row r="174" customFormat="false" ht="15" hidden="false" customHeight="false" outlineLevel="0" collapsed="false">
      <c r="A174" s="7" t="s">
        <v>394</v>
      </c>
      <c r="B174" s="7" t="s">
        <v>43</v>
      </c>
      <c r="C174" s="7" t="s">
        <v>562</v>
      </c>
      <c r="D174" s="10" t="n">
        <v>0</v>
      </c>
      <c r="E174" s="10" t="n">
        <v>0</v>
      </c>
      <c r="F174" s="10" t="n">
        <v>12092.6</v>
      </c>
      <c r="G174" s="10" t="n">
        <v>0</v>
      </c>
      <c r="H174" s="10" t="n">
        <v>0</v>
      </c>
      <c r="I174" s="10" t="n">
        <v>87525.3</v>
      </c>
      <c r="J174" s="10" t="n">
        <v>0</v>
      </c>
      <c r="K174" s="10" t="n">
        <v>388.6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-111</v>
      </c>
      <c r="Q174" s="10" t="n">
        <v>80301.8</v>
      </c>
      <c r="R174" s="10" t="n">
        <v>6945.9</v>
      </c>
      <c r="S174" s="10" t="n">
        <v>0</v>
      </c>
      <c r="T174" s="10" t="n">
        <v>0</v>
      </c>
      <c r="U174" s="10" t="n">
        <v>0</v>
      </c>
    </row>
    <row r="175" customFormat="false" ht="15" hidden="false" customHeight="false" outlineLevel="0" collapsed="false">
      <c r="A175" s="7" t="s">
        <v>394</v>
      </c>
      <c r="B175" s="7" t="s">
        <v>43</v>
      </c>
      <c r="C175" s="7" t="s">
        <v>563</v>
      </c>
      <c r="D175" s="10" t="n">
        <v>0</v>
      </c>
      <c r="E175" s="10" t="n">
        <v>0</v>
      </c>
      <c r="F175" s="10" t="n">
        <v>11213</v>
      </c>
      <c r="G175" s="10" t="n">
        <v>0</v>
      </c>
      <c r="H175" s="10" t="n">
        <v>0</v>
      </c>
      <c r="I175" s="10" t="n">
        <v>93688.8</v>
      </c>
      <c r="J175" s="10" t="n">
        <v>0</v>
      </c>
      <c r="K175" s="10" t="n">
        <v>694</v>
      </c>
      <c r="L175" s="10" t="n">
        <v>0</v>
      </c>
      <c r="M175" s="10" t="n">
        <v>0</v>
      </c>
      <c r="N175" s="10" t="n">
        <v>0</v>
      </c>
      <c r="O175" s="10" t="n">
        <v>148.7</v>
      </c>
      <c r="P175" s="10" t="n">
        <v>-307.3</v>
      </c>
      <c r="Q175" s="10" t="n">
        <v>84599.4</v>
      </c>
      <c r="R175" s="10" t="n">
        <v>8554</v>
      </c>
      <c r="S175" s="10" t="n">
        <v>0</v>
      </c>
      <c r="T175" s="10" t="n">
        <v>0</v>
      </c>
      <c r="U175" s="10" t="n">
        <v>0</v>
      </c>
    </row>
    <row r="176" customFormat="false" ht="15" hidden="false" customHeight="false" outlineLevel="0" collapsed="false">
      <c r="A176" s="7" t="s">
        <v>394</v>
      </c>
      <c r="B176" s="7" t="s">
        <v>43</v>
      </c>
      <c r="C176" s="7" t="s">
        <v>564</v>
      </c>
      <c r="D176" s="10" t="n">
        <v>0</v>
      </c>
      <c r="E176" s="10" t="n">
        <v>0</v>
      </c>
      <c r="F176" s="10" t="n">
        <v>7271.8</v>
      </c>
      <c r="G176" s="10" t="n">
        <v>0</v>
      </c>
      <c r="H176" s="10" t="n">
        <v>0</v>
      </c>
      <c r="I176" s="10" t="n">
        <v>52353.1</v>
      </c>
      <c r="J176" s="10" t="n">
        <v>0</v>
      </c>
      <c r="K176" s="10" t="n">
        <v>305.4</v>
      </c>
      <c r="L176" s="10" t="n">
        <v>0</v>
      </c>
      <c r="M176" s="10" t="n">
        <v>0</v>
      </c>
      <c r="N176" s="10" t="n">
        <v>0</v>
      </c>
      <c r="O176" s="10" t="n">
        <v>148.7</v>
      </c>
      <c r="P176" s="10" t="n">
        <v>-366.8</v>
      </c>
      <c r="Q176" s="10" t="n">
        <v>47984.9</v>
      </c>
      <c r="R176" s="10" t="n">
        <v>4281</v>
      </c>
      <c r="S176" s="10" t="n">
        <v>0</v>
      </c>
      <c r="T176" s="10" t="n">
        <v>0</v>
      </c>
      <c r="U176" s="10" t="n">
        <v>-41.2</v>
      </c>
    </row>
    <row r="177" customFormat="false" ht="15" hidden="false" customHeight="false" outlineLevel="0" collapsed="false">
      <c r="A177" s="7" t="s">
        <v>394</v>
      </c>
      <c r="B177" s="7" t="s">
        <v>181</v>
      </c>
      <c r="C177" s="7" t="s">
        <v>565</v>
      </c>
      <c r="D177" s="10" t="n">
        <v>0</v>
      </c>
      <c r="E177" s="10" t="n">
        <v>0</v>
      </c>
      <c r="F177" s="10" t="n">
        <v>1724</v>
      </c>
      <c r="G177" s="10" t="n">
        <v>0</v>
      </c>
      <c r="H177" s="10" t="n">
        <v>0</v>
      </c>
      <c r="I177" s="10" t="n">
        <v>1396.3</v>
      </c>
      <c r="J177" s="10" t="n">
        <v>0</v>
      </c>
      <c r="K177" s="10" t="n">
        <v>131</v>
      </c>
      <c r="L177" s="10" t="n">
        <v>0</v>
      </c>
      <c r="M177" s="10" t="n">
        <v>0</v>
      </c>
      <c r="N177" s="10" t="n">
        <v>24.1</v>
      </c>
      <c r="O177" s="10" t="n">
        <v>0</v>
      </c>
      <c r="P177" s="10" t="n">
        <v>0</v>
      </c>
      <c r="Q177" s="10" t="n">
        <v>891.9</v>
      </c>
      <c r="R177" s="10" t="n">
        <v>349.3</v>
      </c>
      <c r="S177" s="10" t="n">
        <v>0</v>
      </c>
      <c r="T177" s="10" t="n">
        <v>0</v>
      </c>
      <c r="U177" s="10" t="n">
        <v>0</v>
      </c>
    </row>
    <row r="178" customFormat="false" ht="15" hidden="false" customHeight="false" outlineLevel="0" collapsed="false">
      <c r="A178" s="7" t="s">
        <v>394</v>
      </c>
      <c r="B178" s="7" t="s">
        <v>114</v>
      </c>
      <c r="C178" s="7" t="s">
        <v>566</v>
      </c>
      <c r="D178" s="10" t="n">
        <v>0</v>
      </c>
      <c r="E178" s="10" t="n">
        <v>0</v>
      </c>
      <c r="F178" s="10" t="n">
        <v>3467.3</v>
      </c>
      <c r="G178" s="10" t="n">
        <v>0</v>
      </c>
      <c r="H178" s="10" t="n">
        <v>0</v>
      </c>
      <c r="I178" s="10" t="n">
        <v>17718.3</v>
      </c>
      <c r="J178" s="10" t="n">
        <v>0</v>
      </c>
      <c r="K178" s="10" t="n">
        <v>202.1</v>
      </c>
      <c r="L178" s="10" t="n">
        <v>0</v>
      </c>
      <c r="M178" s="10" t="n">
        <v>0</v>
      </c>
      <c r="N178" s="10" t="n">
        <v>-20.6</v>
      </c>
      <c r="O178" s="10" t="n">
        <v>0</v>
      </c>
      <c r="P178" s="10" t="n">
        <v>-115.5</v>
      </c>
      <c r="Q178" s="10" t="n">
        <v>15313.6</v>
      </c>
      <c r="R178" s="10" t="n">
        <v>2338.7</v>
      </c>
      <c r="S178" s="10" t="n">
        <v>0</v>
      </c>
      <c r="T178" s="10" t="n">
        <v>0</v>
      </c>
      <c r="U178" s="10" t="n">
        <v>0</v>
      </c>
    </row>
    <row r="179" customFormat="false" ht="15" hidden="false" customHeight="false" outlineLevel="0" collapsed="false">
      <c r="A179" s="7" t="s">
        <v>394</v>
      </c>
      <c r="B179" s="7" t="s">
        <v>242</v>
      </c>
      <c r="C179" s="7" t="s">
        <v>567</v>
      </c>
      <c r="D179" s="10" t="n">
        <v>0</v>
      </c>
      <c r="E179" s="10" t="n">
        <v>0</v>
      </c>
      <c r="F179" s="10" t="n">
        <v>13644.9</v>
      </c>
      <c r="G179" s="10" t="n">
        <v>0</v>
      </c>
      <c r="H179" s="10" t="n">
        <v>50.2</v>
      </c>
      <c r="I179" s="10" t="n">
        <v>9256.5</v>
      </c>
      <c r="J179" s="10" t="n">
        <v>0</v>
      </c>
      <c r="K179" s="10" t="n">
        <v>905.8</v>
      </c>
      <c r="L179" s="10" t="n">
        <v>0</v>
      </c>
      <c r="M179" s="10" t="n">
        <v>0</v>
      </c>
      <c r="N179" s="10" t="n">
        <v>346.8</v>
      </c>
      <c r="O179" s="10" t="n">
        <v>0</v>
      </c>
      <c r="P179" s="10" t="n">
        <v>-123.1</v>
      </c>
      <c r="Q179" s="10" t="n">
        <v>-47.7</v>
      </c>
      <c r="R179" s="10" t="n">
        <v>8174.6</v>
      </c>
      <c r="S179" s="10" t="n">
        <v>13.5</v>
      </c>
      <c r="T179" s="10" t="n">
        <v>0</v>
      </c>
      <c r="U179" s="10" t="n">
        <v>0</v>
      </c>
    </row>
    <row r="180" customFormat="false" ht="15" hidden="false" customHeight="false" outlineLevel="0" collapsed="false">
      <c r="A180" s="7" t="s">
        <v>394</v>
      </c>
      <c r="B180" s="7" t="s">
        <v>245</v>
      </c>
      <c r="C180" s="7" t="s">
        <v>568</v>
      </c>
      <c r="D180" s="10" t="n">
        <v>0</v>
      </c>
      <c r="E180" s="10" t="n">
        <v>0</v>
      </c>
      <c r="F180" s="10" t="n">
        <v>7019.4</v>
      </c>
      <c r="G180" s="10" t="n">
        <v>0</v>
      </c>
      <c r="H180" s="10" t="n">
        <v>0</v>
      </c>
      <c r="I180" s="10" t="n">
        <v>4647.4</v>
      </c>
      <c r="J180" s="10" t="n">
        <v>0</v>
      </c>
      <c r="K180" s="10" t="n">
        <v>270.4</v>
      </c>
      <c r="L180" s="10" t="n">
        <v>0</v>
      </c>
      <c r="M180" s="10" t="n">
        <v>28.3</v>
      </c>
      <c r="N180" s="10" t="n">
        <v>70.7</v>
      </c>
      <c r="O180" s="10" t="n">
        <v>44.8</v>
      </c>
      <c r="P180" s="10" t="n">
        <v>-69</v>
      </c>
      <c r="Q180" s="10" t="n">
        <v>0</v>
      </c>
      <c r="R180" s="10" t="n">
        <v>4302.2</v>
      </c>
      <c r="S180" s="10" t="n">
        <v>0</v>
      </c>
      <c r="T180" s="10" t="n">
        <v>0</v>
      </c>
      <c r="U180" s="10" t="n">
        <v>0</v>
      </c>
    </row>
    <row r="181" customFormat="false" ht="15" hidden="false" customHeight="false" outlineLevel="0" collapsed="false">
      <c r="A181" s="7" t="s">
        <v>394</v>
      </c>
      <c r="B181" s="7" t="s">
        <v>279</v>
      </c>
      <c r="C181" s="7" t="s">
        <v>569</v>
      </c>
      <c r="D181" s="10" t="n">
        <v>0</v>
      </c>
      <c r="E181" s="10" t="n">
        <v>0</v>
      </c>
      <c r="F181" s="10" t="n">
        <v>3169.2</v>
      </c>
      <c r="G181" s="10" t="n">
        <v>0</v>
      </c>
      <c r="H181" s="10" t="n">
        <v>0</v>
      </c>
      <c r="I181" s="10" t="n">
        <v>3108.4</v>
      </c>
      <c r="J181" s="10" t="n">
        <v>0</v>
      </c>
      <c r="K181" s="10" t="n">
        <v>473.9</v>
      </c>
      <c r="L181" s="10" t="n">
        <v>0</v>
      </c>
      <c r="M181" s="10" t="n">
        <v>0</v>
      </c>
      <c r="N181" s="10" t="n">
        <v>138.4</v>
      </c>
      <c r="O181" s="10" t="n">
        <v>0</v>
      </c>
      <c r="P181" s="10" t="n">
        <v>0</v>
      </c>
      <c r="Q181" s="10" t="n">
        <v>0</v>
      </c>
      <c r="R181" s="10" t="n">
        <v>2496.2</v>
      </c>
      <c r="S181" s="10" t="n">
        <v>0</v>
      </c>
      <c r="T181" s="10" t="n">
        <v>0</v>
      </c>
      <c r="U181" s="10" t="n">
        <v>0</v>
      </c>
    </row>
    <row r="182" customFormat="false" ht="15" hidden="false" customHeight="false" outlineLevel="0" collapsed="false">
      <c r="A182" s="7" t="s">
        <v>394</v>
      </c>
      <c r="B182" s="7" t="s">
        <v>284</v>
      </c>
      <c r="C182" s="7" t="s">
        <v>570</v>
      </c>
      <c r="D182" s="10" t="n">
        <v>0</v>
      </c>
      <c r="E182" s="10" t="n">
        <v>0</v>
      </c>
      <c r="F182" s="10" t="n">
        <v>4059.2</v>
      </c>
      <c r="G182" s="10" t="n">
        <v>0</v>
      </c>
      <c r="H182" s="10" t="n">
        <v>35.2</v>
      </c>
      <c r="I182" s="10" t="n">
        <v>1132.7</v>
      </c>
      <c r="J182" s="10" t="n">
        <v>0</v>
      </c>
      <c r="K182" s="10" t="n">
        <v>78.5</v>
      </c>
      <c r="L182" s="10" t="n">
        <v>0</v>
      </c>
      <c r="M182" s="10" t="n">
        <v>0</v>
      </c>
      <c r="N182" s="10" t="n">
        <v>-16.5</v>
      </c>
      <c r="O182" s="10" t="n">
        <v>14.9</v>
      </c>
      <c r="P182" s="10" t="n">
        <v>-95.3</v>
      </c>
      <c r="Q182" s="10" t="n">
        <v>0</v>
      </c>
      <c r="R182" s="10" t="n">
        <v>1151</v>
      </c>
      <c r="S182" s="10" t="n">
        <v>0</v>
      </c>
      <c r="T182" s="10" t="n">
        <v>0</v>
      </c>
      <c r="U182" s="10" t="n">
        <v>0</v>
      </c>
    </row>
    <row r="183" customFormat="false" ht="15" hidden="false" customHeight="false" outlineLevel="0" collapsed="false">
      <c r="A183" s="7" t="s">
        <v>394</v>
      </c>
      <c r="B183" s="7" t="s">
        <v>283</v>
      </c>
      <c r="C183" s="7" t="s">
        <v>571</v>
      </c>
      <c r="D183" s="10" t="n">
        <v>0</v>
      </c>
      <c r="E183" s="10" t="n">
        <v>0</v>
      </c>
      <c r="F183" s="10" t="n">
        <v>2763.7</v>
      </c>
      <c r="G183" s="10" t="n">
        <v>0</v>
      </c>
      <c r="H183" s="10" t="n">
        <v>0</v>
      </c>
      <c r="I183" s="10" t="n">
        <v>705.2</v>
      </c>
      <c r="J183" s="10" t="n">
        <v>0</v>
      </c>
      <c r="K183" s="10" t="n">
        <v>206.9</v>
      </c>
      <c r="L183" s="10" t="n">
        <v>0</v>
      </c>
      <c r="M183" s="10" t="n">
        <v>0</v>
      </c>
      <c r="N183" s="10" t="n">
        <v>47</v>
      </c>
      <c r="O183" s="10" t="n">
        <v>0</v>
      </c>
      <c r="P183" s="10" t="n">
        <v>-131.6</v>
      </c>
      <c r="Q183" s="10" t="n">
        <v>0</v>
      </c>
      <c r="R183" s="10" t="n">
        <v>582.9</v>
      </c>
      <c r="S183" s="10" t="n">
        <v>0</v>
      </c>
      <c r="T183" s="10" t="n">
        <v>0</v>
      </c>
      <c r="U183" s="10" t="n">
        <v>0</v>
      </c>
    </row>
    <row r="184" customFormat="false" ht="15" hidden="false" customHeight="false" outlineLevel="0" collapsed="false">
      <c r="A184" s="7" t="s">
        <v>394</v>
      </c>
      <c r="B184" s="7" t="s">
        <v>171</v>
      </c>
      <c r="C184" s="7" t="s">
        <v>572</v>
      </c>
      <c r="D184" s="10" t="n">
        <v>0</v>
      </c>
      <c r="E184" s="10" t="n">
        <v>0</v>
      </c>
      <c r="F184" s="10" t="n">
        <v>-152.1</v>
      </c>
      <c r="G184" s="10" t="n">
        <v>0</v>
      </c>
      <c r="H184" s="10" t="n">
        <v>0</v>
      </c>
      <c r="I184" s="10" t="n">
        <v>-1026.6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-1026.6</v>
      </c>
      <c r="R184" s="10" t="n">
        <v>0</v>
      </c>
      <c r="S184" s="10" t="n">
        <v>0</v>
      </c>
      <c r="T184" s="10" t="n">
        <v>0</v>
      </c>
      <c r="U184" s="10" t="n">
        <v>0</v>
      </c>
    </row>
    <row r="185" customFormat="false" ht="15" hidden="false" customHeight="false" outlineLevel="0" collapsed="false">
      <c r="A185" s="7" t="s">
        <v>394</v>
      </c>
      <c r="B185" s="7" t="s">
        <v>189</v>
      </c>
      <c r="C185" s="7" t="s">
        <v>572</v>
      </c>
      <c r="D185" s="10" t="n">
        <v>0</v>
      </c>
      <c r="E185" s="10" t="n">
        <v>0</v>
      </c>
      <c r="F185" s="10" t="n">
        <v>-74</v>
      </c>
      <c r="G185" s="10" t="n">
        <v>0</v>
      </c>
      <c r="H185" s="10" t="n">
        <v>0</v>
      </c>
      <c r="I185" s="10" t="n">
        <v>-769.9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-769.9</v>
      </c>
      <c r="R185" s="10" t="n">
        <v>0</v>
      </c>
      <c r="S185" s="10" t="n">
        <v>0</v>
      </c>
      <c r="T185" s="10" t="n">
        <v>0</v>
      </c>
      <c r="U185" s="10" t="n">
        <v>0</v>
      </c>
    </row>
    <row r="186" customFormat="false" ht="15" hidden="false" customHeight="false" outlineLevel="0" collapsed="false">
      <c r="A186" s="7" t="s">
        <v>394</v>
      </c>
      <c r="B186" s="7" t="s">
        <v>193</v>
      </c>
      <c r="C186" s="7" t="s">
        <v>573</v>
      </c>
      <c r="D186" s="10" t="n">
        <v>0</v>
      </c>
      <c r="E186" s="10" t="n">
        <v>0</v>
      </c>
      <c r="F186" s="10" t="n">
        <v>118.1</v>
      </c>
      <c r="G186" s="10" t="n">
        <v>0</v>
      </c>
      <c r="H186" s="10" t="n">
        <v>0</v>
      </c>
      <c r="I186" s="10" t="n">
        <v>229.3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-114.7</v>
      </c>
      <c r="Q186" s="10" t="n">
        <v>0</v>
      </c>
      <c r="R186" s="10" t="n">
        <v>344</v>
      </c>
      <c r="S186" s="10" t="n">
        <v>0</v>
      </c>
      <c r="T186" s="10" t="n">
        <v>0</v>
      </c>
      <c r="U186" s="10" t="n">
        <v>0</v>
      </c>
    </row>
    <row r="187" customFormat="false" ht="15" hidden="false" customHeight="false" outlineLevel="0" collapsed="false">
      <c r="A187" s="7" t="s">
        <v>394</v>
      </c>
      <c r="B187" s="7" t="s">
        <v>193</v>
      </c>
      <c r="C187" s="7" t="s">
        <v>574</v>
      </c>
      <c r="D187" s="10" t="n">
        <v>0</v>
      </c>
      <c r="E187" s="10" t="n">
        <v>0</v>
      </c>
      <c r="F187" s="10" t="n">
        <v>1545.1</v>
      </c>
      <c r="G187" s="10" t="n">
        <v>0</v>
      </c>
      <c r="H187" s="10" t="n">
        <v>0</v>
      </c>
      <c r="I187" s="10" t="n">
        <v>778.1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319.4</v>
      </c>
      <c r="R187" s="10" t="n">
        <v>458.7</v>
      </c>
      <c r="S187" s="10" t="n">
        <v>0</v>
      </c>
      <c r="T187" s="10" t="n">
        <v>0</v>
      </c>
      <c r="U187" s="10" t="n">
        <v>0</v>
      </c>
    </row>
    <row r="188" customFormat="false" ht="15" hidden="false" customHeight="false" outlineLevel="0" collapsed="false">
      <c r="A188" s="7" t="s">
        <v>394</v>
      </c>
      <c r="B188" s="7" t="s">
        <v>193</v>
      </c>
      <c r="C188" s="7" t="s">
        <v>575</v>
      </c>
      <c r="D188" s="10" t="n">
        <v>0</v>
      </c>
      <c r="E188" s="10" t="n">
        <v>0</v>
      </c>
      <c r="F188" s="10" t="n">
        <v>412.1</v>
      </c>
      <c r="G188" s="10" t="n">
        <v>0</v>
      </c>
      <c r="H188" s="10" t="n">
        <v>0</v>
      </c>
      <c r="I188" s="10" t="n">
        <v>794.5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106.5</v>
      </c>
      <c r="R188" s="10" t="n">
        <v>688</v>
      </c>
      <c r="S188" s="10" t="n">
        <v>0</v>
      </c>
      <c r="T188" s="10" t="n">
        <v>0</v>
      </c>
      <c r="U188" s="10" t="n">
        <v>0</v>
      </c>
    </row>
    <row r="189" customFormat="false" ht="15" hidden="false" customHeight="false" outlineLevel="0" collapsed="false">
      <c r="A189" s="7" t="s">
        <v>394</v>
      </c>
      <c r="B189" s="7" t="s">
        <v>193</v>
      </c>
      <c r="C189" s="7" t="s">
        <v>576</v>
      </c>
      <c r="D189" s="10" t="n">
        <v>0</v>
      </c>
      <c r="E189" s="10" t="n">
        <v>0</v>
      </c>
      <c r="F189" s="10" t="n">
        <v>1301.8</v>
      </c>
      <c r="G189" s="10" t="n">
        <v>0</v>
      </c>
      <c r="H189" s="10" t="n">
        <v>0</v>
      </c>
      <c r="I189" s="10" t="n">
        <v>1007.5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319.4</v>
      </c>
      <c r="R189" s="10" t="n">
        <v>688</v>
      </c>
      <c r="S189" s="10" t="n">
        <v>0</v>
      </c>
      <c r="T189" s="10" t="n">
        <v>0</v>
      </c>
      <c r="U189" s="10" t="n">
        <v>0</v>
      </c>
    </row>
    <row r="190" customFormat="false" ht="15" hidden="false" customHeight="false" outlineLevel="0" collapsed="false">
      <c r="A190" s="7" t="s">
        <v>394</v>
      </c>
      <c r="B190" s="7" t="s">
        <v>223</v>
      </c>
      <c r="C190" s="7" t="s">
        <v>577</v>
      </c>
      <c r="D190" s="10" t="n">
        <v>0</v>
      </c>
      <c r="E190" s="10" t="n">
        <v>0</v>
      </c>
      <c r="F190" s="10" t="n">
        <v>942.1</v>
      </c>
      <c r="G190" s="10" t="n">
        <v>0</v>
      </c>
      <c r="H190" s="10" t="n">
        <v>0</v>
      </c>
      <c r="I190" s="10" t="n">
        <v>628.6</v>
      </c>
      <c r="J190" s="10" t="n">
        <v>0</v>
      </c>
      <c r="K190" s="10" t="n">
        <v>125.7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502.8</v>
      </c>
      <c r="S190" s="10" t="n">
        <v>0</v>
      </c>
      <c r="T190" s="10" t="n">
        <v>0</v>
      </c>
      <c r="U190" s="10" t="n">
        <v>0</v>
      </c>
    </row>
    <row r="191" customFormat="false" ht="15" hidden="false" customHeight="false" outlineLevel="0" collapsed="false">
      <c r="A191" s="7" t="s">
        <v>394</v>
      </c>
      <c r="B191" s="7" t="s">
        <v>223</v>
      </c>
      <c r="C191" s="7" t="s">
        <v>578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9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-125.7</v>
      </c>
      <c r="Q191" s="10" t="n">
        <v>-116.7</v>
      </c>
      <c r="R191" s="10" t="n">
        <v>251.4</v>
      </c>
      <c r="S191" s="10" t="n">
        <v>0</v>
      </c>
      <c r="T191" s="10" t="n">
        <v>0</v>
      </c>
      <c r="U191" s="10" t="n">
        <v>0</v>
      </c>
    </row>
    <row r="192" customFormat="false" ht="15" hidden="false" customHeight="false" outlineLevel="0" collapsed="false">
      <c r="A192" s="7" t="s">
        <v>394</v>
      </c>
      <c r="B192" s="7" t="s">
        <v>223</v>
      </c>
      <c r="C192" s="7" t="s">
        <v>579</v>
      </c>
      <c r="D192" s="10" t="n">
        <v>0</v>
      </c>
      <c r="E192" s="10" t="n">
        <v>0</v>
      </c>
      <c r="F192" s="10" t="n">
        <v>135.9</v>
      </c>
      <c r="G192" s="10" t="n">
        <v>0</v>
      </c>
      <c r="H192" s="10" t="n">
        <v>0</v>
      </c>
      <c r="I192" s="10" t="n">
        <v>377.1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377.1</v>
      </c>
      <c r="S192" s="10" t="n">
        <v>0</v>
      </c>
      <c r="T192" s="10" t="n">
        <v>0</v>
      </c>
      <c r="U192" s="10" t="n">
        <v>0</v>
      </c>
    </row>
    <row r="193" customFormat="false" ht="15" hidden="false" customHeight="false" outlineLevel="0" collapsed="false">
      <c r="A193" s="7" t="s">
        <v>394</v>
      </c>
      <c r="B193" s="7" t="s">
        <v>172</v>
      </c>
      <c r="C193" s="7" t="s">
        <v>580</v>
      </c>
      <c r="D193" s="10" t="n">
        <v>0</v>
      </c>
      <c r="E193" s="10" t="n">
        <v>0</v>
      </c>
      <c r="F193" s="10" t="n">
        <v>899.5</v>
      </c>
      <c r="G193" s="10" t="n">
        <v>0</v>
      </c>
      <c r="H193" s="10" t="n">
        <v>0</v>
      </c>
      <c r="I193" s="10" t="n">
        <v>-109.6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0</v>
      </c>
      <c r="P193" s="10" t="n">
        <v>-163.2</v>
      </c>
      <c r="Q193" s="10" t="n">
        <v>-272.8</v>
      </c>
      <c r="R193" s="10" t="n">
        <v>326.4</v>
      </c>
      <c r="S193" s="10" t="n">
        <v>0</v>
      </c>
      <c r="T193" s="10" t="n">
        <v>0</v>
      </c>
      <c r="U193" s="10" t="n">
        <v>0</v>
      </c>
    </row>
    <row r="194" customFormat="false" ht="15" hidden="false" customHeight="false" outlineLevel="0" collapsed="false">
      <c r="A194" s="7" t="s">
        <v>394</v>
      </c>
      <c r="B194" s="7" t="s">
        <v>172</v>
      </c>
      <c r="C194" s="7" t="s">
        <v>581</v>
      </c>
      <c r="D194" s="10" t="n">
        <v>0</v>
      </c>
      <c r="E194" s="10" t="n">
        <v>0</v>
      </c>
      <c r="F194" s="10" t="n">
        <v>349.7</v>
      </c>
      <c r="G194" s="10" t="n">
        <v>0</v>
      </c>
      <c r="H194" s="10" t="n">
        <v>0</v>
      </c>
      <c r="I194" s="10" t="n">
        <v>356.7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-163.2</v>
      </c>
      <c r="Q194" s="10" t="n">
        <v>30.3</v>
      </c>
      <c r="R194" s="10" t="n">
        <v>489.6</v>
      </c>
      <c r="S194" s="10" t="n">
        <v>0</v>
      </c>
      <c r="T194" s="10" t="n">
        <v>0</v>
      </c>
      <c r="U194" s="10" t="n">
        <v>0</v>
      </c>
    </row>
    <row r="195" customFormat="false" ht="15" hidden="false" customHeight="false" outlineLevel="0" collapsed="false">
      <c r="A195" s="7" t="s">
        <v>394</v>
      </c>
      <c r="B195" s="7" t="s">
        <v>172</v>
      </c>
      <c r="C195" s="7" t="s">
        <v>582</v>
      </c>
      <c r="D195" s="10" t="n">
        <v>0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-454.6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-454.6</v>
      </c>
      <c r="R195" s="10" t="n">
        <v>0</v>
      </c>
      <c r="S195" s="10" t="n">
        <v>0</v>
      </c>
      <c r="T195" s="10" t="n">
        <v>0</v>
      </c>
      <c r="U195" s="10" t="n">
        <v>0</v>
      </c>
    </row>
    <row r="196" customFormat="false" ht="15" hidden="false" customHeight="false" outlineLevel="0" collapsed="false">
      <c r="A196" s="7" t="s">
        <v>394</v>
      </c>
      <c r="B196" s="7" t="s">
        <v>172</v>
      </c>
      <c r="C196" s="7" t="s">
        <v>583</v>
      </c>
      <c r="D196" s="10" t="n">
        <v>0</v>
      </c>
      <c r="E196" s="10" t="n">
        <v>0</v>
      </c>
      <c r="F196" s="10" t="n">
        <v>1449.2</v>
      </c>
      <c r="G196" s="10" t="n">
        <v>0</v>
      </c>
      <c r="H196" s="10" t="n">
        <v>0</v>
      </c>
      <c r="I196" s="10" t="n">
        <v>7.6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7.6</v>
      </c>
      <c r="R196" s="10" t="n">
        <v>0</v>
      </c>
      <c r="S196" s="10" t="n">
        <v>0</v>
      </c>
      <c r="T196" s="10" t="n">
        <v>0</v>
      </c>
      <c r="U196" s="10" t="n">
        <v>0</v>
      </c>
    </row>
    <row r="197" customFormat="false" ht="15" hidden="false" customHeight="false" outlineLevel="0" collapsed="false">
      <c r="A197" s="7" t="s">
        <v>394</v>
      </c>
      <c r="B197" s="7" t="s">
        <v>172</v>
      </c>
      <c r="C197" s="7" t="s">
        <v>584</v>
      </c>
      <c r="D197" s="10" t="n">
        <v>0</v>
      </c>
      <c r="E197" s="10" t="n">
        <v>0</v>
      </c>
      <c r="F197" s="10" t="n">
        <v>374.9</v>
      </c>
      <c r="G197" s="10" t="n">
        <v>0</v>
      </c>
      <c r="H197" s="10" t="n">
        <v>0</v>
      </c>
      <c r="I197" s="10" t="n">
        <v>303.1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303.1</v>
      </c>
      <c r="R197" s="10" t="n">
        <v>0</v>
      </c>
      <c r="S197" s="10" t="n">
        <v>0</v>
      </c>
      <c r="T197" s="10" t="n">
        <v>0</v>
      </c>
      <c r="U197" s="10" t="n">
        <v>0</v>
      </c>
    </row>
    <row r="198" customFormat="false" ht="15" hidden="false" customHeight="false" outlineLevel="0" collapsed="false">
      <c r="A198" s="7" t="s">
        <v>394</v>
      </c>
      <c r="B198" s="7" t="s">
        <v>58</v>
      </c>
      <c r="C198" s="7" t="s">
        <v>585</v>
      </c>
      <c r="D198" s="10" t="n">
        <v>0</v>
      </c>
      <c r="E198" s="10" t="n">
        <v>0</v>
      </c>
      <c r="F198" s="10" t="n">
        <v>9500.5</v>
      </c>
      <c r="G198" s="10" t="n">
        <v>0</v>
      </c>
      <c r="H198" s="10" t="n">
        <v>0</v>
      </c>
      <c r="I198" s="10" t="n">
        <v>45929.5</v>
      </c>
      <c r="J198" s="10" t="n">
        <v>0</v>
      </c>
      <c r="K198" s="10" t="n">
        <v>249.8</v>
      </c>
      <c r="L198" s="10" t="n">
        <v>0</v>
      </c>
      <c r="M198" s="10" t="n">
        <v>0</v>
      </c>
      <c r="N198" s="10" t="n">
        <v>0</v>
      </c>
      <c r="O198" s="10" t="n">
        <v>59.5</v>
      </c>
      <c r="P198" s="10" t="n">
        <v>-277.6</v>
      </c>
      <c r="Q198" s="10" t="n">
        <v>39564.5</v>
      </c>
      <c r="R198" s="10" t="n">
        <v>6333.2</v>
      </c>
      <c r="S198" s="10" t="n">
        <v>0</v>
      </c>
      <c r="T198" s="10" t="n">
        <v>0</v>
      </c>
      <c r="U198" s="10" t="n">
        <v>0</v>
      </c>
    </row>
    <row r="199" customFormat="false" ht="15" hidden="false" customHeight="false" outlineLevel="0" collapsed="false">
      <c r="A199" s="7" t="s">
        <v>394</v>
      </c>
      <c r="B199" s="7" t="s">
        <v>58</v>
      </c>
      <c r="C199" s="7" t="s">
        <v>586</v>
      </c>
      <c r="D199" s="10" t="n">
        <v>0</v>
      </c>
      <c r="E199" s="10" t="n">
        <v>0</v>
      </c>
      <c r="F199" s="10" t="n">
        <v>8358.7</v>
      </c>
      <c r="G199" s="10" t="n">
        <v>0</v>
      </c>
      <c r="H199" s="10" t="n">
        <v>80.3</v>
      </c>
      <c r="I199" s="10" t="n">
        <v>49010.4</v>
      </c>
      <c r="J199" s="10" t="n">
        <v>0</v>
      </c>
      <c r="K199" s="10" t="n">
        <v>360.9</v>
      </c>
      <c r="L199" s="10" t="n">
        <v>0</v>
      </c>
      <c r="M199" s="10" t="n">
        <v>0</v>
      </c>
      <c r="N199" s="10" t="n">
        <v>0</v>
      </c>
      <c r="O199" s="10" t="n">
        <v>89.2</v>
      </c>
      <c r="P199" s="10" t="n">
        <v>-166.6</v>
      </c>
      <c r="Q199" s="10" t="n">
        <v>42810</v>
      </c>
      <c r="R199" s="10" t="n">
        <v>5916.8</v>
      </c>
      <c r="S199" s="10" t="n">
        <v>0</v>
      </c>
      <c r="T199" s="10" t="n">
        <v>0</v>
      </c>
      <c r="U199" s="10" t="n">
        <v>0</v>
      </c>
    </row>
    <row r="200" customFormat="false" ht="15" hidden="false" customHeight="false" outlineLevel="0" collapsed="false">
      <c r="A200" s="7" t="s">
        <v>394</v>
      </c>
      <c r="B200" s="7" t="s">
        <v>58</v>
      </c>
      <c r="C200" s="7" t="s">
        <v>587</v>
      </c>
      <c r="D200" s="10" t="n">
        <v>0</v>
      </c>
      <c r="E200" s="10" t="n">
        <v>0</v>
      </c>
      <c r="F200" s="10" t="n">
        <v>3411.6</v>
      </c>
      <c r="G200" s="10" t="n">
        <v>0</v>
      </c>
      <c r="H200" s="10" t="n">
        <v>0</v>
      </c>
      <c r="I200" s="10" t="n">
        <v>27855.5</v>
      </c>
      <c r="J200" s="10" t="n">
        <v>0</v>
      </c>
      <c r="K200" s="10" t="n">
        <v>194.3</v>
      </c>
      <c r="L200" s="10" t="n">
        <v>0</v>
      </c>
      <c r="M200" s="10" t="n">
        <v>0</v>
      </c>
      <c r="N200" s="10" t="n">
        <v>92.7</v>
      </c>
      <c r="O200" s="10" t="n">
        <v>0</v>
      </c>
      <c r="P200" s="10" t="n">
        <v>-277.6</v>
      </c>
      <c r="Q200" s="10" t="n">
        <v>24598.1</v>
      </c>
      <c r="R200" s="10" t="n">
        <v>3247.9</v>
      </c>
      <c r="S200" s="10" t="n">
        <v>28.8</v>
      </c>
      <c r="T200" s="10" t="n">
        <v>0</v>
      </c>
      <c r="U200" s="10" t="n">
        <v>0</v>
      </c>
    </row>
    <row r="201" customFormat="false" ht="15" hidden="false" customHeight="false" outlineLevel="0" collapsed="false">
      <c r="A201" s="7" t="s">
        <v>394</v>
      </c>
      <c r="B201" s="7" t="s">
        <v>58</v>
      </c>
      <c r="C201" s="7" t="s">
        <v>588</v>
      </c>
      <c r="D201" s="10" t="n">
        <v>0</v>
      </c>
      <c r="E201" s="10" t="n">
        <v>0</v>
      </c>
      <c r="F201" s="10" t="n">
        <v>7175.7</v>
      </c>
      <c r="G201" s="10" t="n">
        <v>0</v>
      </c>
      <c r="H201" s="10" t="n">
        <v>0</v>
      </c>
      <c r="I201" s="10" t="n">
        <v>29835.8</v>
      </c>
      <c r="J201" s="10" t="n">
        <v>0</v>
      </c>
      <c r="K201" s="10" t="n">
        <v>138.8</v>
      </c>
      <c r="L201" s="10" t="n">
        <v>0</v>
      </c>
      <c r="M201" s="10" t="n">
        <v>0</v>
      </c>
      <c r="N201" s="10" t="n">
        <v>0</v>
      </c>
      <c r="O201" s="10" t="n">
        <v>237.9</v>
      </c>
      <c r="P201" s="10" t="n">
        <v>-194.3</v>
      </c>
      <c r="Q201" s="10" t="n">
        <v>25735.4</v>
      </c>
      <c r="R201" s="10" t="n">
        <v>3918.1</v>
      </c>
      <c r="S201" s="10" t="n">
        <v>0</v>
      </c>
      <c r="T201" s="10" t="n">
        <v>0</v>
      </c>
      <c r="U201" s="10" t="n">
        <v>0</v>
      </c>
    </row>
    <row r="202" customFormat="false" ht="15" hidden="false" customHeight="false" outlineLevel="0" collapsed="false">
      <c r="A202" s="7" t="s">
        <v>394</v>
      </c>
      <c r="B202" s="7" t="s">
        <v>58</v>
      </c>
      <c r="C202" s="7" t="s">
        <v>589</v>
      </c>
      <c r="D202" s="10" t="n">
        <v>0</v>
      </c>
      <c r="E202" s="10" t="n">
        <v>0</v>
      </c>
      <c r="F202" s="10" t="n">
        <v>3555.1</v>
      </c>
      <c r="G202" s="10" t="n">
        <v>0</v>
      </c>
      <c r="H202" s="10" t="n">
        <v>80.3</v>
      </c>
      <c r="I202" s="10" t="n">
        <v>10014.4</v>
      </c>
      <c r="J202" s="10" t="n">
        <v>0</v>
      </c>
      <c r="K202" s="10" t="n">
        <v>305.4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-138.8</v>
      </c>
      <c r="Q202" s="10" t="n">
        <v>7405</v>
      </c>
      <c r="R202" s="10" t="n">
        <v>2442.9</v>
      </c>
      <c r="S202" s="10" t="n">
        <v>0</v>
      </c>
      <c r="T202" s="10" t="n">
        <v>0</v>
      </c>
      <c r="U202" s="10" t="n">
        <v>0</v>
      </c>
    </row>
    <row r="203" customFormat="false" ht="15" hidden="false" customHeight="false" outlineLevel="0" collapsed="false">
      <c r="A203" s="7" t="s">
        <v>394</v>
      </c>
      <c r="B203" s="7" t="s">
        <v>49</v>
      </c>
      <c r="C203" s="7" t="s">
        <v>590</v>
      </c>
      <c r="D203" s="10" t="n">
        <v>0</v>
      </c>
      <c r="E203" s="10" t="n">
        <v>0</v>
      </c>
      <c r="F203" s="10" t="n">
        <v>4644.5</v>
      </c>
      <c r="G203" s="10" t="n">
        <v>0</v>
      </c>
      <c r="H203" s="10" t="n">
        <v>0</v>
      </c>
      <c r="I203" s="10" t="n">
        <v>50421.5</v>
      </c>
      <c r="J203" s="10" t="n">
        <v>0</v>
      </c>
      <c r="K203" s="10" t="n">
        <v>360.9</v>
      </c>
      <c r="L203" s="10" t="n">
        <v>0</v>
      </c>
      <c r="M203" s="10" t="n">
        <v>0</v>
      </c>
      <c r="N203" s="10" t="n">
        <v>92.7</v>
      </c>
      <c r="O203" s="10" t="n">
        <v>59.5</v>
      </c>
      <c r="P203" s="10" t="n">
        <v>-194.3</v>
      </c>
      <c r="Q203" s="10" t="n">
        <v>46049.9</v>
      </c>
      <c r="R203" s="10" t="n">
        <v>4053</v>
      </c>
      <c r="S203" s="10" t="n">
        <v>0</v>
      </c>
      <c r="T203" s="10" t="n">
        <v>0</v>
      </c>
      <c r="U203" s="10" t="n">
        <v>0</v>
      </c>
    </row>
    <row r="204" customFormat="false" ht="15" hidden="false" customHeight="false" outlineLevel="0" collapsed="false">
      <c r="A204" s="7" t="s">
        <v>394</v>
      </c>
      <c r="B204" s="7" t="s">
        <v>49</v>
      </c>
      <c r="C204" s="7" t="s">
        <v>591</v>
      </c>
      <c r="D204" s="10" t="n">
        <v>0</v>
      </c>
      <c r="E204" s="10" t="n">
        <v>0</v>
      </c>
      <c r="F204" s="10" t="n">
        <v>13909.2</v>
      </c>
      <c r="G204" s="10" t="n">
        <v>0</v>
      </c>
      <c r="H204" s="10" t="n">
        <v>0</v>
      </c>
      <c r="I204" s="10" t="n">
        <v>87178.6</v>
      </c>
      <c r="J204" s="10" t="n">
        <v>0</v>
      </c>
      <c r="K204" s="10" t="n">
        <v>777.3</v>
      </c>
      <c r="L204" s="10" t="n">
        <v>0</v>
      </c>
      <c r="M204" s="10" t="n">
        <v>0</v>
      </c>
      <c r="N204" s="10" t="n">
        <v>0</v>
      </c>
      <c r="O204" s="10" t="n">
        <v>297.3</v>
      </c>
      <c r="P204" s="10" t="n">
        <v>-277.6</v>
      </c>
      <c r="Q204" s="10" t="n">
        <v>78269.8</v>
      </c>
      <c r="R204" s="10" t="n">
        <v>8111.8</v>
      </c>
      <c r="S204" s="10" t="n">
        <v>55.5</v>
      </c>
      <c r="T204" s="10" t="n">
        <v>0</v>
      </c>
      <c r="U204" s="10" t="n">
        <v>0</v>
      </c>
    </row>
    <row r="205" customFormat="false" ht="15" hidden="false" customHeight="false" outlineLevel="0" collapsed="false">
      <c r="A205" s="7" t="s">
        <v>394</v>
      </c>
      <c r="B205" s="7" t="s">
        <v>49</v>
      </c>
      <c r="C205" s="7" t="s">
        <v>592</v>
      </c>
      <c r="D205" s="10" t="n">
        <v>0</v>
      </c>
      <c r="E205" s="10" t="n">
        <v>0</v>
      </c>
      <c r="F205" s="10" t="n">
        <v>11145.9</v>
      </c>
      <c r="G205" s="10" t="n">
        <v>0</v>
      </c>
      <c r="H205" s="10" t="n">
        <v>0</v>
      </c>
      <c r="I205" s="10" t="n">
        <v>85417</v>
      </c>
      <c r="J205" s="10" t="n">
        <v>0</v>
      </c>
      <c r="K205" s="10" t="n">
        <v>721.8</v>
      </c>
      <c r="L205" s="10" t="n">
        <v>0</v>
      </c>
      <c r="M205" s="10" t="n">
        <v>0</v>
      </c>
      <c r="N205" s="10" t="n">
        <v>0</v>
      </c>
      <c r="O205" s="10" t="n">
        <v>148.7</v>
      </c>
      <c r="P205" s="10" t="n">
        <v>-138.8</v>
      </c>
      <c r="Q205" s="10" t="n">
        <v>77434.1</v>
      </c>
      <c r="R205" s="10" t="n">
        <v>7251.3</v>
      </c>
      <c r="S205" s="10" t="n">
        <v>0</v>
      </c>
      <c r="T205" s="10" t="n">
        <v>0</v>
      </c>
      <c r="U205" s="10" t="n">
        <v>0</v>
      </c>
    </row>
    <row r="206" customFormat="false" ht="15" hidden="false" customHeight="false" outlineLevel="0" collapsed="false">
      <c r="A206" s="7" t="s">
        <v>394</v>
      </c>
      <c r="B206" s="7" t="s">
        <v>49</v>
      </c>
      <c r="C206" s="7" t="s">
        <v>593</v>
      </c>
      <c r="D206" s="10" t="n">
        <v>0</v>
      </c>
      <c r="E206" s="10" t="n">
        <v>0</v>
      </c>
      <c r="F206" s="10" t="n">
        <v>9904.8</v>
      </c>
      <c r="G206" s="10" t="n">
        <v>0</v>
      </c>
      <c r="H206" s="10" t="n">
        <v>0</v>
      </c>
      <c r="I206" s="10" t="n">
        <v>64931.6</v>
      </c>
      <c r="J206" s="10" t="n">
        <v>0</v>
      </c>
      <c r="K206" s="10" t="n">
        <v>860.6</v>
      </c>
      <c r="L206" s="10" t="n">
        <v>0</v>
      </c>
      <c r="M206" s="10" t="n">
        <v>0</v>
      </c>
      <c r="N206" s="10" t="n">
        <v>0</v>
      </c>
      <c r="O206" s="10" t="n">
        <v>208.1</v>
      </c>
      <c r="P206" s="10" t="n">
        <v>-249.8</v>
      </c>
      <c r="Q206" s="10" t="n">
        <v>57363.1</v>
      </c>
      <c r="R206" s="10" t="n">
        <v>6749.6</v>
      </c>
      <c r="S206" s="10" t="n">
        <v>0</v>
      </c>
      <c r="T206" s="10" t="n">
        <v>0</v>
      </c>
      <c r="U206" s="10" t="n">
        <v>0</v>
      </c>
    </row>
    <row r="207" customFormat="false" ht="15" hidden="false" customHeight="false" outlineLevel="0" collapsed="false">
      <c r="A207" s="7" t="s">
        <v>394</v>
      </c>
      <c r="B207" s="7" t="s">
        <v>51</v>
      </c>
      <c r="C207" s="7" t="s">
        <v>594</v>
      </c>
      <c r="D207" s="10" t="n">
        <v>0</v>
      </c>
      <c r="E207" s="10" t="n">
        <v>0</v>
      </c>
      <c r="F207" s="10" t="n">
        <v>1206.7</v>
      </c>
      <c r="G207" s="10" t="n">
        <v>0</v>
      </c>
      <c r="H207" s="10" t="n">
        <v>0</v>
      </c>
      <c r="I207" s="10" t="n">
        <v>19590.4</v>
      </c>
      <c r="J207" s="10" t="n">
        <v>0</v>
      </c>
      <c r="K207" s="10" t="n">
        <v>100.5</v>
      </c>
      <c r="L207" s="10" t="n">
        <v>0</v>
      </c>
      <c r="M207" s="10" t="n">
        <v>0</v>
      </c>
      <c r="N207" s="10" t="n">
        <v>112.4</v>
      </c>
      <c r="O207" s="10" t="n">
        <v>0</v>
      </c>
      <c r="P207" s="10" t="n">
        <v>-200.9</v>
      </c>
      <c r="Q207" s="10" t="n">
        <v>16595.5</v>
      </c>
      <c r="R207" s="10" t="n">
        <v>2983</v>
      </c>
      <c r="S207" s="10" t="n">
        <v>0</v>
      </c>
      <c r="T207" s="10" t="n">
        <v>0</v>
      </c>
      <c r="U207" s="10" t="n">
        <v>0</v>
      </c>
    </row>
    <row r="208" customFormat="false" ht="15" hidden="false" customHeight="false" outlineLevel="0" collapsed="false">
      <c r="A208" s="7" t="s">
        <v>394</v>
      </c>
      <c r="B208" s="7" t="s">
        <v>51</v>
      </c>
      <c r="C208" s="7" t="s">
        <v>595</v>
      </c>
      <c r="D208" s="10" t="n">
        <v>0</v>
      </c>
      <c r="E208" s="10" t="n">
        <v>0</v>
      </c>
      <c r="F208" s="10" t="n">
        <v>4946.6</v>
      </c>
      <c r="G208" s="10" t="n">
        <v>0</v>
      </c>
      <c r="H208" s="10" t="n">
        <v>162.3</v>
      </c>
      <c r="I208" s="10" t="n">
        <v>55853.6</v>
      </c>
      <c r="J208" s="10" t="n">
        <v>0</v>
      </c>
      <c r="K208" s="10" t="n">
        <v>468.9</v>
      </c>
      <c r="L208" s="10" t="n">
        <v>0</v>
      </c>
      <c r="M208" s="10" t="n">
        <v>0</v>
      </c>
      <c r="N208" s="10" t="n">
        <v>0</v>
      </c>
      <c r="O208" s="10" t="n">
        <v>179.4</v>
      </c>
      <c r="P208" s="10" t="n">
        <v>-301.4</v>
      </c>
      <c r="Q208" s="10" t="n">
        <v>47701.2</v>
      </c>
      <c r="R208" s="10" t="n">
        <v>7805.6</v>
      </c>
      <c r="S208" s="10" t="n">
        <v>0</v>
      </c>
      <c r="T208" s="10" t="n">
        <v>0</v>
      </c>
      <c r="U208" s="10" t="n">
        <v>0</v>
      </c>
    </row>
    <row r="209" customFormat="false" ht="15" hidden="false" customHeight="false" outlineLevel="0" collapsed="false">
      <c r="A209" s="7" t="s">
        <v>394</v>
      </c>
      <c r="B209" s="7" t="s">
        <v>51</v>
      </c>
      <c r="C209" s="7" t="s">
        <v>596</v>
      </c>
      <c r="D209" s="10" t="n">
        <v>0</v>
      </c>
      <c r="E209" s="10" t="n">
        <v>0</v>
      </c>
      <c r="F209" s="10" t="n">
        <v>4562.7</v>
      </c>
      <c r="G209" s="10" t="n">
        <v>0</v>
      </c>
      <c r="H209" s="10" t="n">
        <v>389.5</v>
      </c>
      <c r="I209" s="10" t="n">
        <v>48380</v>
      </c>
      <c r="J209" s="10" t="n">
        <v>0</v>
      </c>
      <c r="K209" s="10" t="n">
        <v>435.4</v>
      </c>
      <c r="L209" s="10" t="n">
        <v>0</v>
      </c>
      <c r="M209" s="10" t="n">
        <v>0</v>
      </c>
      <c r="N209" s="10" t="n">
        <v>0</v>
      </c>
      <c r="O209" s="10" t="n">
        <v>71.8</v>
      </c>
      <c r="P209" s="10" t="n">
        <v>-134</v>
      </c>
      <c r="Q209" s="10" t="n">
        <v>41507.4</v>
      </c>
      <c r="R209" s="10" t="n">
        <v>6499.5</v>
      </c>
      <c r="S209" s="10" t="n">
        <v>0</v>
      </c>
      <c r="T209" s="10" t="n">
        <v>0</v>
      </c>
      <c r="U209" s="10" t="n">
        <v>0</v>
      </c>
    </row>
    <row r="210" customFormat="false" ht="15" hidden="false" customHeight="false" outlineLevel="0" collapsed="false">
      <c r="A210" s="7" t="s">
        <v>394</v>
      </c>
      <c r="B210" s="7" t="s">
        <v>51</v>
      </c>
      <c r="C210" s="7" t="s">
        <v>597</v>
      </c>
      <c r="D210" s="10" t="n">
        <v>0</v>
      </c>
      <c r="E210" s="10" t="n">
        <v>0</v>
      </c>
      <c r="F210" s="10" t="n">
        <v>4345.7</v>
      </c>
      <c r="G210" s="10" t="n">
        <v>0</v>
      </c>
      <c r="H210" s="10" t="n">
        <v>128.5</v>
      </c>
      <c r="I210" s="10" t="n">
        <v>40286.7</v>
      </c>
      <c r="J210" s="10" t="n">
        <v>0</v>
      </c>
      <c r="K210" s="10" t="n">
        <v>167.5</v>
      </c>
      <c r="L210" s="10" t="n">
        <v>0</v>
      </c>
      <c r="M210" s="10" t="n">
        <v>0</v>
      </c>
      <c r="N210" s="10" t="n">
        <v>0</v>
      </c>
      <c r="O210" s="10" t="n">
        <v>251.2</v>
      </c>
      <c r="P210" s="10" t="n">
        <v>-267.9</v>
      </c>
      <c r="Q210" s="10" t="n">
        <v>33971.4</v>
      </c>
      <c r="R210" s="10" t="n">
        <v>6164.6</v>
      </c>
      <c r="S210" s="10" t="n">
        <v>0</v>
      </c>
      <c r="T210" s="10" t="n">
        <v>0</v>
      </c>
      <c r="U210" s="10" t="n">
        <v>0</v>
      </c>
    </row>
    <row r="211" customFormat="false" ht="15" hidden="false" customHeight="false" outlineLevel="0" collapsed="false">
      <c r="A211" s="7" t="s">
        <v>394</v>
      </c>
      <c r="B211" s="7" t="s">
        <v>51</v>
      </c>
      <c r="C211" s="7" t="s">
        <v>598</v>
      </c>
      <c r="D211" s="10" t="n">
        <v>0</v>
      </c>
      <c r="E211" s="10" t="n">
        <v>0</v>
      </c>
      <c r="F211" s="10" t="n">
        <v>1443.6</v>
      </c>
      <c r="G211" s="10" t="n">
        <v>0</v>
      </c>
      <c r="H211" s="10" t="n">
        <v>32.5</v>
      </c>
      <c r="I211" s="10" t="n">
        <v>9185.1</v>
      </c>
      <c r="J211" s="10" t="n">
        <v>0</v>
      </c>
      <c r="K211" s="10" t="n">
        <v>234.4</v>
      </c>
      <c r="L211" s="10" t="n">
        <v>0</v>
      </c>
      <c r="M211" s="10" t="n">
        <v>0</v>
      </c>
      <c r="N211" s="10" t="n">
        <v>0</v>
      </c>
      <c r="O211" s="10" t="n">
        <v>59.1</v>
      </c>
      <c r="P211" s="10" t="n">
        <v>-167.5</v>
      </c>
      <c r="Q211" s="10" t="n">
        <v>4772.4</v>
      </c>
      <c r="R211" s="10" t="n">
        <v>4286.7</v>
      </c>
      <c r="S211" s="10" t="n">
        <v>0</v>
      </c>
      <c r="T211" s="10" t="n">
        <v>0</v>
      </c>
      <c r="U211" s="10" t="n">
        <v>0</v>
      </c>
    </row>
    <row r="212" customFormat="false" ht="15" hidden="false" customHeight="false" outlineLevel="0" collapsed="false">
      <c r="A212" s="7" t="s">
        <v>394</v>
      </c>
      <c r="B212" s="7" t="s">
        <v>167</v>
      </c>
      <c r="C212" s="7" t="s">
        <v>599</v>
      </c>
      <c r="D212" s="10" t="n">
        <v>0</v>
      </c>
      <c r="E212" s="10" t="n">
        <v>0</v>
      </c>
      <c r="F212" s="10" t="n">
        <v>170</v>
      </c>
      <c r="G212" s="10" t="n">
        <v>0</v>
      </c>
      <c r="H212" s="10" t="n">
        <v>0</v>
      </c>
      <c r="I212" s="10" t="n">
        <v>254.3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-52.4</v>
      </c>
      <c r="Q212" s="10" t="n">
        <v>97.2</v>
      </c>
      <c r="R212" s="10" t="n">
        <v>209.4</v>
      </c>
      <c r="S212" s="10" t="n">
        <v>0</v>
      </c>
      <c r="T212" s="10" t="n">
        <v>0</v>
      </c>
      <c r="U212" s="10" t="n">
        <v>0</v>
      </c>
    </row>
    <row r="213" customFormat="false" ht="15" hidden="false" customHeight="false" outlineLevel="0" collapsed="false">
      <c r="A213" s="7" t="s">
        <v>394</v>
      </c>
      <c r="B213" s="7" t="s">
        <v>167</v>
      </c>
      <c r="C213" s="7" t="s">
        <v>600</v>
      </c>
      <c r="D213" s="10" t="n">
        <v>0</v>
      </c>
      <c r="E213" s="10" t="n">
        <v>0</v>
      </c>
      <c r="F213" s="10" t="n">
        <v>778.3</v>
      </c>
      <c r="G213" s="10" t="n">
        <v>0</v>
      </c>
      <c r="H213" s="10" t="n">
        <v>49.1</v>
      </c>
      <c r="I213" s="10" t="n">
        <v>1155.7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-52.4</v>
      </c>
      <c r="Q213" s="10" t="n">
        <v>632.1</v>
      </c>
      <c r="R213" s="10" t="n">
        <v>576</v>
      </c>
      <c r="S213" s="10" t="n">
        <v>0</v>
      </c>
      <c r="T213" s="10" t="n">
        <v>0</v>
      </c>
      <c r="U213" s="10" t="n">
        <v>0</v>
      </c>
    </row>
    <row r="214" customFormat="false" ht="15" hidden="false" customHeight="false" outlineLevel="0" collapsed="false">
      <c r="A214" s="7" t="s">
        <v>394</v>
      </c>
      <c r="B214" s="7" t="s">
        <v>167</v>
      </c>
      <c r="C214" s="7" t="s">
        <v>601</v>
      </c>
      <c r="D214" s="10" t="n">
        <v>0</v>
      </c>
      <c r="E214" s="10" t="n">
        <v>0</v>
      </c>
      <c r="F214" s="10" t="n">
        <v>721.6</v>
      </c>
      <c r="G214" s="10" t="n">
        <v>0</v>
      </c>
      <c r="H214" s="10" t="n">
        <v>0</v>
      </c>
      <c r="I214" s="10" t="n">
        <v>1133.2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243.1</v>
      </c>
      <c r="R214" s="10" t="n">
        <v>890.1</v>
      </c>
      <c r="S214" s="10" t="n">
        <v>0</v>
      </c>
      <c r="T214" s="10" t="n">
        <v>0</v>
      </c>
      <c r="U214" s="10" t="n">
        <v>0</v>
      </c>
    </row>
    <row r="215" customFormat="false" ht="15" hidden="false" customHeight="false" outlineLevel="0" collapsed="false">
      <c r="A215" s="7" t="s">
        <v>394</v>
      </c>
      <c r="B215" s="7" t="s">
        <v>167</v>
      </c>
      <c r="C215" s="7" t="s">
        <v>602</v>
      </c>
      <c r="D215" s="10" t="n">
        <v>0</v>
      </c>
      <c r="E215" s="10" t="n">
        <v>0</v>
      </c>
      <c r="F215" s="10" t="n">
        <v>162.5</v>
      </c>
      <c r="G215" s="10" t="n">
        <v>0</v>
      </c>
      <c r="H215" s="10" t="n">
        <v>0</v>
      </c>
      <c r="I215" s="10" t="n">
        <v>598.4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389</v>
      </c>
      <c r="R215" s="10" t="n">
        <v>209.4</v>
      </c>
      <c r="S215" s="10" t="n">
        <v>0</v>
      </c>
      <c r="T215" s="10" t="n">
        <v>0</v>
      </c>
      <c r="U215" s="10" t="n">
        <v>0</v>
      </c>
    </row>
    <row r="216" customFormat="false" ht="15" hidden="false" customHeight="false" outlineLevel="0" collapsed="false">
      <c r="A216" s="7" t="s">
        <v>394</v>
      </c>
      <c r="B216" s="7" t="s">
        <v>167</v>
      </c>
      <c r="C216" s="7" t="s">
        <v>603</v>
      </c>
      <c r="D216" s="10" t="n">
        <v>0</v>
      </c>
      <c r="E216" s="10" t="n">
        <v>0</v>
      </c>
      <c r="F216" s="10" t="n">
        <v>56.7</v>
      </c>
      <c r="G216" s="10" t="n">
        <v>0</v>
      </c>
      <c r="H216" s="10" t="n">
        <v>49.1</v>
      </c>
      <c r="I216" s="10" t="n">
        <v>568.5</v>
      </c>
      <c r="J216" s="10" t="n">
        <v>0</v>
      </c>
      <c r="K216" s="10" t="n">
        <v>209.4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-52.4</v>
      </c>
      <c r="Q216" s="10" t="n">
        <v>97.2</v>
      </c>
      <c r="R216" s="10" t="n">
        <v>314.2</v>
      </c>
      <c r="S216" s="10" t="n">
        <v>0</v>
      </c>
      <c r="T216" s="10" t="n">
        <v>0</v>
      </c>
      <c r="U216" s="10" t="n">
        <v>0</v>
      </c>
    </row>
    <row r="217" customFormat="false" ht="15" hidden="false" customHeight="false" outlineLevel="0" collapsed="false">
      <c r="A217" s="7" t="s">
        <v>394</v>
      </c>
      <c r="B217" s="7" t="s">
        <v>125</v>
      </c>
      <c r="C217" s="7" t="s">
        <v>604</v>
      </c>
      <c r="D217" s="10" t="n">
        <v>0</v>
      </c>
      <c r="E217" s="10" t="n">
        <v>0</v>
      </c>
      <c r="F217" s="10" t="n">
        <v>644.1</v>
      </c>
      <c r="G217" s="10" t="n">
        <v>0</v>
      </c>
      <c r="H217" s="10" t="n">
        <v>0</v>
      </c>
      <c r="I217" s="10" t="n">
        <v>904.4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105.3</v>
      </c>
      <c r="O217" s="10" t="n">
        <v>0</v>
      </c>
      <c r="P217" s="10" t="n">
        <v>0</v>
      </c>
      <c r="Q217" s="10" t="n">
        <v>799.1</v>
      </c>
      <c r="R217" s="10" t="n">
        <v>0</v>
      </c>
      <c r="S217" s="10" t="n">
        <v>0</v>
      </c>
      <c r="T217" s="10" t="n">
        <v>0</v>
      </c>
      <c r="U217" s="10" t="n">
        <v>0</v>
      </c>
    </row>
    <row r="218" customFormat="false" ht="15" hidden="false" customHeight="false" outlineLevel="0" collapsed="false">
      <c r="A218" s="7" t="s">
        <v>394</v>
      </c>
      <c r="B218" s="7" t="s">
        <v>125</v>
      </c>
      <c r="C218" s="7" t="s">
        <v>605</v>
      </c>
      <c r="D218" s="10" t="n">
        <v>0</v>
      </c>
      <c r="E218" s="10" t="n">
        <v>0</v>
      </c>
      <c r="F218" s="10" t="n">
        <v>1068.4</v>
      </c>
      <c r="G218" s="10" t="n">
        <v>0</v>
      </c>
      <c r="H218" s="10" t="n">
        <v>60.9</v>
      </c>
      <c r="I218" s="10" t="n">
        <v>3094.1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-63.5</v>
      </c>
      <c r="Q218" s="10" t="n">
        <v>2334.2</v>
      </c>
      <c r="R218" s="10" t="n">
        <v>823.5</v>
      </c>
      <c r="S218" s="10" t="n">
        <v>0</v>
      </c>
      <c r="T218" s="10" t="n">
        <v>0</v>
      </c>
      <c r="U218" s="10" t="n">
        <v>0</v>
      </c>
    </row>
    <row r="219" customFormat="false" ht="15" hidden="false" customHeight="false" outlineLevel="0" collapsed="false">
      <c r="A219" s="7" t="s">
        <v>394</v>
      </c>
      <c r="B219" s="7" t="s">
        <v>125</v>
      </c>
      <c r="C219" s="7" t="s">
        <v>606</v>
      </c>
      <c r="D219" s="10" t="n">
        <v>0</v>
      </c>
      <c r="E219" s="10" t="n">
        <v>0</v>
      </c>
      <c r="F219" s="10" t="n">
        <v>826.3</v>
      </c>
      <c r="G219" s="10" t="n">
        <v>0</v>
      </c>
      <c r="H219" s="10" t="n">
        <v>0</v>
      </c>
      <c r="I219" s="10" t="n">
        <v>2163.7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-61</v>
      </c>
      <c r="Q219" s="10" t="n">
        <v>1553.7</v>
      </c>
      <c r="R219" s="10" t="n">
        <v>671</v>
      </c>
      <c r="S219" s="10" t="n">
        <v>0</v>
      </c>
      <c r="T219" s="10" t="n">
        <v>0</v>
      </c>
      <c r="U219" s="10" t="n">
        <v>0</v>
      </c>
    </row>
    <row r="220" customFormat="false" ht="15" hidden="false" customHeight="false" outlineLevel="0" collapsed="false">
      <c r="A220" s="7" t="s">
        <v>394</v>
      </c>
      <c r="B220" s="7" t="s">
        <v>125</v>
      </c>
      <c r="C220" s="7" t="s">
        <v>607</v>
      </c>
      <c r="D220" s="10" t="n">
        <v>0</v>
      </c>
      <c r="E220" s="10" t="n">
        <v>0</v>
      </c>
      <c r="F220" s="10" t="n">
        <v>1073.6</v>
      </c>
      <c r="G220" s="10" t="n">
        <v>0</v>
      </c>
      <c r="H220" s="10" t="n">
        <v>121.7</v>
      </c>
      <c r="I220" s="10" t="n">
        <v>2032.1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33</v>
      </c>
      <c r="P220" s="10" t="n">
        <v>-94</v>
      </c>
      <c r="Q220" s="10" t="n">
        <v>1513.6</v>
      </c>
      <c r="R220" s="10" t="n">
        <v>579.5</v>
      </c>
      <c r="S220" s="10" t="n">
        <v>0</v>
      </c>
      <c r="T220" s="10" t="n">
        <v>0</v>
      </c>
      <c r="U220" s="10" t="n">
        <v>0</v>
      </c>
    </row>
    <row r="221" customFormat="false" ht="15" hidden="false" customHeight="false" outlineLevel="0" collapsed="false">
      <c r="A221" s="7" t="s">
        <v>394</v>
      </c>
      <c r="B221" s="7" t="s">
        <v>125</v>
      </c>
      <c r="C221" s="7" t="s">
        <v>608</v>
      </c>
      <c r="D221" s="10" t="n">
        <v>0</v>
      </c>
      <c r="E221" s="10" t="n">
        <v>0</v>
      </c>
      <c r="F221" s="10" t="n">
        <v>138.3</v>
      </c>
      <c r="G221" s="10" t="n">
        <v>0</v>
      </c>
      <c r="H221" s="10" t="n">
        <v>0</v>
      </c>
      <c r="I221" s="10" t="n">
        <v>28.6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28.6</v>
      </c>
      <c r="R221" s="10" t="n">
        <v>0</v>
      </c>
      <c r="S221" s="10" t="n">
        <v>0</v>
      </c>
      <c r="T221" s="10" t="n">
        <v>0</v>
      </c>
      <c r="U221" s="10" t="n">
        <v>0</v>
      </c>
    </row>
    <row r="222" customFormat="false" ht="15" hidden="false" customHeight="false" outlineLevel="0" collapsed="false">
      <c r="A222" s="7" t="s">
        <v>394</v>
      </c>
      <c r="B222" s="7" t="s">
        <v>209</v>
      </c>
      <c r="C222" s="7" t="s">
        <v>609</v>
      </c>
      <c r="D222" s="10" t="n">
        <v>0</v>
      </c>
      <c r="E222" s="10" t="n">
        <v>0</v>
      </c>
      <c r="F222" s="10" t="n">
        <v>414.5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</row>
    <row r="223" customFormat="false" ht="15" hidden="false" customHeight="false" outlineLevel="0" collapsed="false">
      <c r="A223" s="7" t="s">
        <v>394</v>
      </c>
      <c r="B223" s="7" t="s">
        <v>209</v>
      </c>
      <c r="C223" s="7" t="s">
        <v>610</v>
      </c>
      <c r="D223" s="10" t="n">
        <v>0</v>
      </c>
      <c r="E223" s="10" t="n">
        <v>0</v>
      </c>
      <c r="F223" s="10" t="n">
        <v>111</v>
      </c>
      <c r="G223" s="10" t="n">
        <v>0</v>
      </c>
      <c r="H223" s="10" t="n">
        <v>96.2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0</v>
      </c>
      <c r="S223" s="10" t="n">
        <v>0</v>
      </c>
      <c r="T223" s="10" t="n">
        <v>0</v>
      </c>
      <c r="U223" s="10" t="n">
        <v>0</v>
      </c>
    </row>
    <row r="224" customFormat="false" ht="15" hidden="false" customHeight="false" outlineLevel="0" collapsed="false">
      <c r="A224" s="7" t="s">
        <v>394</v>
      </c>
      <c r="B224" s="7" t="s">
        <v>209</v>
      </c>
      <c r="C224" s="7" t="s">
        <v>611</v>
      </c>
      <c r="D224" s="10" t="n">
        <v>0</v>
      </c>
      <c r="E224" s="10" t="n">
        <v>0</v>
      </c>
      <c r="F224" s="10" t="n">
        <v>651.4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</row>
    <row r="225" customFormat="false" ht="15" hidden="false" customHeight="false" outlineLevel="0" collapsed="false">
      <c r="A225" s="7" t="s">
        <v>394</v>
      </c>
      <c r="B225" s="7" t="s">
        <v>209</v>
      </c>
      <c r="C225" s="7" t="s">
        <v>612</v>
      </c>
      <c r="D225" s="10" t="n">
        <v>0</v>
      </c>
      <c r="E225" s="10" t="n">
        <v>0</v>
      </c>
      <c r="F225" s="10" t="n">
        <v>488.6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</row>
    <row r="226" customFormat="false" ht="15" hidden="false" customHeight="false" outlineLevel="0" collapsed="false">
      <c r="A226" s="7" t="s">
        <v>394</v>
      </c>
      <c r="B226" s="7" t="s">
        <v>237</v>
      </c>
      <c r="C226" s="7" t="s">
        <v>613</v>
      </c>
      <c r="D226" s="10" t="n">
        <v>0</v>
      </c>
      <c r="E226" s="10" t="n">
        <v>0</v>
      </c>
      <c r="F226" s="10" t="n">
        <v>241.7</v>
      </c>
      <c r="G226" s="10" t="n">
        <v>0</v>
      </c>
      <c r="H226" s="10" t="n">
        <v>0</v>
      </c>
      <c r="I226" s="10" t="n">
        <v>-71.3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-71.3</v>
      </c>
      <c r="R226" s="10" t="n">
        <v>0</v>
      </c>
      <c r="S226" s="10" t="n">
        <v>0</v>
      </c>
      <c r="T226" s="10" t="n">
        <v>0</v>
      </c>
      <c r="U226" s="10" t="n">
        <v>0</v>
      </c>
    </row>
    <row r="227" customFormat="false" ht="15" hidden="false" customHeight="false" outlineLevel="0" collapsed="false">
      <c r="A227" s="7" t="s">
        <v>394</v>
      </c>
      <c r="B227" s="7" t="s">
        <v>237</v>
      </c>
      <c r="C227" s="7" t="s">
        <v>614</v>
      </c>
      <c r="D227" s="10" t="n">
        <v>0</v>
      </c>
      <c r="E227" s="10" t="n">
        <v>0</v>
      </c>
      <c r="F227" s="10" t="n">
        <v>160.6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</row>
    <row r="228" customFormat="false" ht="15" hidden="false" customHeight="false" outlineLevel="0" collapsed="false">
      <c r="A228" s="7" t="s">
        <v>394</v>
      </c>
      <c r="B228" s="7" t="s">
        <v>84</v>
      </c>
      <c r="C228" s="7" t="s">
        <v>615</v>
      </c>
      <c r="D228" s="10" t="n">
        <v>0</v>
      </c>
      <c r="E228" s="10" t="n">
        <v>0</v>
      </c>
      <c r="F228" s="10" t="n">
        <v>701.8</v>
      </c>
      <c r="G228" s="10" t="n">
        <v>0</v>
      </c>
      <c r="H228" s="10" t="n">
        <v>0</v>
      </c>
      <c r="I228" s="10" t="n">
        <v>4837.4</v>
      </c>
      <c r="J228" s="10" t="n">
        <v>0</v>
      </c>
      <c r="K228" s="10" t="n">
        <v>141.2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-988.1</v>
      </c>
      <c r="Q228" s="10" t="n">
        <v>2437.9</v>
      </c>
      <c r="R228" s="10" t="n">
        <v>3246.5</v>
      </c>
      <c r="S228" s="10" t="n">
        <v>0</v>
      </c>
      <c r="T228" s="10" t="n">
        <v>0</v>
      </c>
      <c r="U228" s="10" t="n">
        <v>0</v>
      </c>
    </row>
    <row r="229" customFormat="false" ht="15" hidden="false" customHeight="false" outlineLevel="0" collapsed="false">
      <c r="A229" s="7" t="s">
        <v>394</v>
      </c>
      <c r="B229" s="7" t="s">
        <v>84</v>
      </c>
      <c r="C229" s="7" t="s">
        <v>616</v>
      </c>
      <c r="D229" s="10" t="n">
        <v>0</v>
      </c>
      <c r="E229" s="10" t="n">
        <v>0</v>
      </c>
      <c r="F229" s="10" t="n">
        <v>3000.5</v>
      </c>
      <c r="G229" s="10" t="n">
        <v>0</v>
      </c>
      <c r="H229" s="10" t="n">
        <v>0</v>
      </c>
      <c r="I229" s="10" t="n">
        <v>13741.1</v>
      </c>
      <c r="J229" s="10" t="n">
        <v>0</v>
      </c>
      <c r="K229" s="10" t="n">
        <v>423.5</v>
      </c>
      <c r="L229" s="10" t="n">
        <v>0</v>
      </c>
      <c r="M229" s="10" t="n">
        <v>0</v>
      </c>
      <c r="N229" s="10" t="n">
        <v>0</v>
      </c>
      <c r="O229" s="10" t="n">
        <v>0</v>
      </c>
      <c r="P229" s="10" t="n">
        <v>-846.9</v>
      </c>
      <c r="Q229" s="10" t="n">
        <v>9083.1</v>
      </c>
      <c r="R229" s="10" t="n">
        <v>5081.4</v>
      </c>
      <c r="S229" s="10" t="n">
        <v>0</v>
      </c>
      <c r="T229" s="10" t="n">
        <v>0</v>
      </c>
      <c r="U229" s="10" t="n">
        <v>0</v>
      </c>
    </row>
    <row r="230" customFormat="false" ht="15" hidden="false" customHeight="false" outlineLevel="0" collapsed="false">
      <c r="A230" s="7" t="s">
        <v>394</v>
      </c>
      <c r="B230" s="7" t="s">
        <v>84</v>
      </c>
      <c r="C230" s="7" t="s">
        <v>617</v>
      </c>
      <c r="D230" s="10" t="n">
        <v>0</v>
      </c>
      <c r="E230" s="10" t="n">
        <v>0</v>
      </c>
      <c r="F230" s="10" t="n">
        <v>3563.6</v>
      </c>
      <c r="G230" s="10" t="n">
        <v>0</v>
      </c>
      <c r="H230" s="10" t="n">
        <v>0</v>
      </c>
      <c r="I230" s="10" t="n">
        <v>9451.5</v>
      </c>
      <c r="J230" s="10" t="n">
        <v>0</v>
      </c>
      <c r="K230" s="10" t="n">
        <v>282.3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-1129.2</v>
      </c>
      <c r="Q230" s="10" t="n">
        <v>4934.7</v>
      </c>
      <c r="R230" s="10" t="n">
        <v>5363.7</v>
      </c>
      <c r="S230" s="10" t="n">
        <v>0</v>
      </c>
      <c r="T230" s="10" t="n">
        <v>0</v>
      </c>
      <c r="U230" s="10" t="n">
        <v>-218.7</v>
      </c>
    </row>
    <row r="231" customFormat="false" ht="15" hidden="false" customHeight="false" outlineLevel="0" collapsed="false">
      <c r="A231" s="7" t="s">
        <v>394</v>
      </c>
      <c r="B231" s="7" t="s">
        <v>84</v>
      </c>
      <c r="C231" s="7" t="s">
        <v>618</v>
      </c>
      <c r="D231" s="10" t="n">
        <v>0</v>
      </c>
      <c r="E231" s="10" t="n">
        <v>0</v>
      </c>
      <c r="F231" s="10" t="n">
        <v>2323.7</v>
      </c>
      <c r="G231" s="10" t="n">
        <v>0</v>
      </c>
      <c r="H231" s="10" t="n">
        <v>142.1</v>
      </c>
      <c r="I231" s="10" t="n">
        <v>7483</v>
      </c>
      <c r="J231" s="10" t="n">
        <v>0</v>
      </c>
      <c r="K231" s="10" t="n">
        <v>282.3</v>
      </c>
      <c r="L231" s="10" t="n">
        <v>-141.2</v>
      </c>
      <c r="M231" s="10" t="n">
        <v>0</v>
      </c>
      <c r="N231" s="10" t="n">
        <v>0</v>
      </c>
      <c r="O231" s="10" t="n">
        <v>0</v>
      </c>
      <c r="P231" s="10" t="n">
        <v>-1129.2</v>
      </c>
      <c r="Q231" s="10" t="n">
        <v>4377.7</v>
      </c>
      <c r="R231" s="10" t="n">
        <v>4093.4</v>
      </c>
      <c r="S231" s="10" t="n">
        <v>0</v>
      </c>
      <c r="T231" s="10" t="n">
        <v>0</v>
      </c>
      <c r="U231" s="10" t="n">
        <v>0</v>
      </c>
    </row>
    <row r="232" customFormat="false" ht="15" hidden="false" customHeight="false" outlineLevel="0" collapsed="false">
      <c r="A232" s="7" t="s">
        <v>394</v>
      </c>
      <c r="B232" s="7" t="s">
        <v>84</v>
      </c>
      <c r="C232" s="7" t="s">
        <v>619</v>
      </c>
      <c r="D232" s="10" t="n">
        <v>0</v>
      </c>
      <c r="E232" s="10" t="n">
        <v>0</v>
      </c>
      <c r="F232" s="10" t="n">
        <v>1366.5</v>
      </c>
      <c r="G232" s="10" t="n">
        <v>0</v>
      </c>
      <c r="H232" s="10" t="n">
        <v>0</v>
      </c>
      <c r="I232" s="10" t="n">
        <v>625.1</v>
      </c>
      <c r="J232" s="10" t="n">
        <v>0</v>
      </c>
      <c r="K232" s="10" t="n">
        <v>282.3</v>
      </c>
      <c r="L232" s="10" t="n">
        <v>0</v>
      </c>
      <c r="M232" s="10" t="n">
        <v>0</v>
      </c>
      <c r="N232" s="10" t="n">
        <v>0</v>
      </c>
      <c r="O232" s="10" t="n">
        <v>0</v>
      </c>
      <c r="P232" s="10" t="n">
        <v>-1512.3</v>
      </c>
      <c r="Q232" s="10" t="n">
        <v>-262.1</v>
      </c>
      <c r="R232" s="10" t="n">
        <v>2117.3</v>
      </c>
      <c r="S232" s="10" t="n">
        <v>0</v>
      </c>
      <c r="T232" s="10" t="n">
        <v>0</v>
      </c>
      <c r="U232" s="10" t="n">
        <v>0</v>
      </c>
    </row>
    <row r="233" customFormat="false" ht="15" hidden="false" customHeight="false" outlineLevel="0" collapsed="false">
      <c r="A233" s="7" t="s">
        <v>394</v>
      </c>
      <c r="B233" s="7" t="s">
        <v>164</v>
      </c>
      <c r="C233" s="7" t="s">
        <v>620</v>
      </c>
      <c r="D233" s="10" t="n">
        <v>0</v>
      </c>
      <c r="E233" s="10" t="n">
        <v>0</v>
      </c>
      <c r="F233" s="10" t="n">
        <v>1841.6</v>
      </c>
      <c r="G233" s="10" t="n">
        <v>0</v>
      </c>
      <c r="H233" s="10" t="n">
        <v>0</v>
      </c>
      <c r="I233" s="10" t="n">
        <v>655.3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655.3</v>
      </c>
      <c r="R233" s="10" t="n">
        <v>0</v>
      </c>
      <c r="S233" s="10" t="n">
        <v>0</v>
      </c>
      <c r="T233" s="10" t="n">
        <v>0</v>
      </c>
      <c r="U233" s="10" t="n">
        <v>0</v>
      </c>
    </row>
    <row r="234" customFormat="false" ht="15" hidden="false" customHeight="false" outlineLevel="0" collapsed="false">
      <c r="A234" s="7" t="s">
        <v>394</v>
      </c>
      <c r="B234" s="7" t="s">
        <v>164</v>
      </c>
      <c r="C234" s="7" t="s">
        <v>621</v>
      </c>
      <c r="D234" s="10" t="n">
        <v>0</v>
      </c>
      <c r="E234" s="10" t="n">
        <v>0</v>
      </c>
      <c r="F234" s="10" t="n">
        <v>5426.3</v>
      </c>
      <c r="G234" s="10" t="n">
        <v>0</v>
      </c>
      <c r="H234" s="10" t="n">
        <v>0</v>
      </c>
      <c r="I234" s="10" t="n">
        <v>1444.8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983</v>
      </c>
      <c r="R234" s="10" t="n">
        <v>461.8</v>
      </c>
      <c r="S234" s="10" t="n">
        <v>0</v>
      </c>
      <c r="T234" s="10" t="n">
        <v>0</v>
      </c>
      <c r="U234" s="10" t="n">
        <v>0</v>
      </c>
    </row>
    <row r="235" customFormat="false" ht="15" hidden="false" customHeight="false" outlineLevel="0" collapsed="false">
      <c r="A235" s="7" t="s">
        <v>394</v>
      </c>
      <c r="B235" s="7" t="s">
        <v>164</v>
      </c>
      <c r="C235" s="7" t="s">
        <v>622</v>
      </c>
      <c r="D235" s="10" t="n">
        <v>0</v>
      </c>
      <c r="E235" s="10" t="n">
        <v>0</v>
      </c>
      <c r="F235" s="10" t="n">
        <v>6039.6</v>
      </c>
      <c r="G235" s="10" t="n">
        <v>0</v>
      </c>
      <c r="H235" s="10" t="n">
        <v>0</v>
      </c>
      <c r="I235" s="10" t="n">
        <v>2520.6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0" t="n">
        <v>0</v>
      </c>
      <c r="P235" s="10" t="n">
        <v>-176.4</v>
      </c>
      <c r="Q235" s="10" t="n">
        <v>1638.4</v>
      </c>
      <c r="R235" s="10" t="n">
        <v>1058.6</v>
      </c>
      <c r="S235" s="10" t="n">
        <v>0</v>
      </c>
      <c r="T235" s="10" t="n">
        <v>0</v>
      </c>
      <c r="U235" s="10" t="n">
        <v>0</v>
      </c>
    </row>
    <row r="236" customFormat="false" ht="15" hidden="false" customHeight="false" outlineLevel="0" collapsed="false">
      <c r="A236" s="7" t="s">
        <v>394</v>
      </c>
      <c r="B236" s="7" t="s">
        <v>164</v>
      </c>
      <c r="C236" s="7" t="s">
        <v>623</v>
      </c>
      <c r="D236" s="10" t="n">
        <v>0</v>
      </c>
      <c r="E236" s="10" t="n">
        <v>0</v>
      </c>
      <c r="F236" s="10" t="n">
        <v>4426</v>
      </c>
      <c r="G236" s="10" t="n">
        <v>0</v>
      </c>
      <c r="H236" s="10" t="n">
        <v>0</v>
      </c>
      <c r="I236" s="10" t="n">
        <v>327.7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327.7</v>
      </c>
      <c r="R236" s="10" t="n">
        <v>0</v>
      </c>
      <c r="S236" s="10" t="n">
        <v>0</v>
      </c>
      <c r="T236" s="10" t="n">
        <v>0</v>
      </c>
      <c r="U236" s="10" t="n">
        <v>0</v>
      </c>
    </row>
    <row r="237" customFormat="false" ht="15" hidden="false" customHeight="false" outlineLevel="0" collapsed="false">
      <c r="A237" s="7" t="s">
        <v>394</v>
      </c>
      <c r="B237" s="7" t="s">
        <v>62</v>
      </c>
      <c r="C237" s="7" t="s">
        <v>624</v>
      </c>
      <c r="D237" s="10" t="n">
        <v>0</v>
      </c>
      <c r="E237" s="10" t="n">
        <v>0</v>
      </c>
      <c r="F237" s="10" t="n">
        <v>10611.6</v>
      </c>
      <c r="G237" s="10" t="n">
        <v>0</v>
      </c>
      <c r="H237" s="10" t="n">
        <v>0</v>
      </c>
      <c r="I237" s="10" t="n">
        <v>51927.3</v>
      </c>
      <c r="J237" s="10" t="n">
        <v>0</v>
      </c>
      <c r="K237" s="10" t="n">
        <v>472.1</v>
      </c>
      <c r="L237" s="10" t="n">
        <v>0</v>
      </c>
      <c r="M237" s="10" t="n">
        <v>0</v>
      </c>
      <c r="N237" s="10" t="n">
        <v>113.4</v>
      </c>
      <c r="O237" s="10" t="n">
        <v>196.6</v>
      </c>
      <c r="P237" s="10" t="n">
        <v>-524.5</v>
      </c>
      <c r="Q237" s="10" t="n">
        <v>35030.1</v>
      </c>
      <c r="R237" s="10" t="n">
        <v>16639.7</v>
      </c>
      <c r="S237" s="10" t="n">
        <v>105.8</v>
      </c>
      <c r="T237" s="10" t="n">
        <v>0</v>
      </c>
      <c r="U237" s="10" t="n">
        <v>0</v>
      </c>
    </row>
    <row r="238" customFormat="false" ht="15" hidden="false" customHeight="false" outlineLevel="0" collapsed="false">
      <c r="A238" s="7" t="s">
        <v>394</v>
      </c>
      <c r="B238" s="7" t="s">
        <v>62</v>
      </c>
      <c r="C238" s="7" t="s">
        <v>625</v>
      </c>
      <c r="D238" s="10" t="n">
        <v>0</v>
      </c>
      <c r="E238" s="10" t="n">
        <v>0</v>
      </c>
      <c r="F238" s="10" t="n">
        <v>10095.8</v>
      </c>
      <c r="G238" s="10" t="n">
        <v>0</v>
      </c>
      <c r="H238" s="10" t="n">
        <v>49.1</v>
      </c>
      <c r="I238" s="10" t="n">
        <v>41895.7</v>
      </c>
      <c r="J238" s="10" t="n">
        <v>0</v>
      </c>
      <c r="K238" s="10" t="n">
        <v>209.8</v>
      </c>
      <c r="L238" s="10" t="n">
        <v>0</v>
      </c>
      <c r="M238" s="10" t="n">
        <v>170</v>
      </c>
      <c r="N238" s="10" t="n">
        <v>56.7</v>
      </c>
      <c r="O238" s="10" t="n">
        <v>0</v>
      </c>
      <c r="P238" s="10" t="n">
        <v>-301.5</v>
      </c>
      <c r="Q238" s="10" t="n">
        <v>31572.4</v>
      </c>
      <c r="R238" s="10" t="n">
        <v>10188.4</v>
      </c>
      <c r="S238" s="10" t="n">
        <v>52.9</v>
      </c>
      <c r="T238" s="10" t="n">
        <v>0</v>
      </c>
      <c r="U238" s="10" t="n">
        <v>0</v>
      </c>
    </row>
    <row r="239" customFormat="false" ht="15" hidden="false" customHeight="false" outlineLevel="0" collapsed="false">
      <c r="A239" s="7" t="s">
        <v>394</v>
      </c>
      <c r="B239" s="7" t="s">
        <v>62</v>
      </c>
      <c r="C239" s="7" t="s">
        <v>626</v>
      </c>
      <c r="D239" s="10" t="n">
        <v>0</v>
      </c>
      <c r="E239" s="10" t="n">
        <v>0</v>
      </c>
      <c r="F239" s="10" t="n">
        <v>4312.8</v>
      </c>
      <c r="G239" s="10" t="n">
        <v>0</v>
      </c>
      <c r="H239" s="10" t="n">
        <v>0</v>
      </c>
      <c r="I239" s="10" t="n">
        <v>22254.1</v>
      </c>
      <c r="J239" s="10" t="n">
        <v>0</v>
      </c>
      <c r="K239" s="10" t="n">
        <v>314.7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-445.8</v>
      </c>
      <c r="Q239" s="10" t="n">
        <v>16012.6</v>
      </c>
      <c r="R239" s="10" t="n">
        <v>6372.6</v>
      </c>
      <c r="S239" s="10" t="n">
        <v>0</v>
      </c>
      <c r="T239" s="10" t="n">
        <v>0</v>
      </c>
      <c r="U239" s="10" t="n">
        <v>0</v>
      </c>
    </row>
    <row r="240" customFormat="false" ht="15" hidden="false" customHeight="false" outlineLevel="0" collapsed="false">
      <c r="A240" s="7" t="s">
        <v>394</v>
      </c>
      <c r="B240" s="7" t="s">
        <v>62</v>
      </c>
      <c r="C240" s="7" t="s">
        <v>627</v>
      </c>
      <c r="D240" s="10" t="n">
        <v>0</v>
      </c>
      <c r="E240" s="10" t="n">
        <v>0</v>
      </c>
      <c r="F240" s="10" t="n">
        <v>4916.6</v>
      </c>
      <c r="G240" s="10" t="n">
        <v>0</v>
      </c>
      <c r="H240" s="10" t="n">
        <v>0</v>
      </c>
      <c r="I240" s="10" t="n">
        <v>26483.7</v>
      </c>
      <c r="J240" s="10" t="n">
        <v>0</v>
      </c>
      <c r="K240" s="10" t="n">
        <v>314.7</v>
      </c>
      <c r="L240" s="10" t="n">
        <v>0</v>
      </c>
      <c r="M240" s="10" t="n">
        <v>170</v>
      </c>
      <c r="N240" s="10" t="n">
        <v>56.2</v>
      </c>
      <c r="O240" s="10" t="n">
        <v>0</v>
      </c>
      <c r="P240" s="10" t="n">
        <v>-419.6</v>
      </c>
      <c r="Q240" s="10" t="n">
        <v>17970.4</v>
      </c>
      <c r="R240" s="10" t="n">
        <v>8392</v>
      </c>
      <c r="S240" s="10" t="n">
        <v>0</v>
      </c>
      <c r="T240" s="10" t="n">
        <v>0</v>
      </c>
      <c r="U240" s="10" t="n">
        <v>-75.6</v>
      </c>
    </row>
    <row r="241" customFormat="false" ht="15" hidden="false" customHeight="false" outlineLevel="0" collapsed="false">
      <c r="A241" s="7" t="s">
        <v>394</v>
      </c>
      <c r="B241" s="7" t="s">
        <v>74</v>
      </c>
      <c r="C241" s="7" t="s">
        <v>628</v>
      </c>
      <c r="D241" s="10" t="n">
        <v>0</v>
      </c>
      <c r="E241" s="10" t="n">
        <v>0</v>
      </c>
      <c r="F241" s="10" t="n">
        <v>3135.3</v>
      </c>
      <c r="G241" s="10" t="n">
        <v>0</v>
      </c>
      <c r="H241" s="10" t="n">
        <v>0</v>
      </c>
      <c r="I241" s="10" t="n">
        <v>12873.6</v>
      </c>
      <c r="J241" s="10" t="n">
        <v>0</v>
      </c>
      <c r="K241" s="10" t="n">
        <v>222.1</v>
      </c>
      <c r="L241" s="10" t="n">
        <v>0</v>
      </c>
      <c r="M241" s="10" t="n">
        <v>0</v>
      </c>
      <c r="N241" s="10" t="n">
        <v>0</v>
      </c>
      <c r="O241" s="10" t="n">
        <v>178.4</v>
      </c>
      <c r="P241" s="10" t="n">
        <v>-249.8</v>
      </c>
      <c r="Q241" s="10" t="n">
        <v>10557.7</v>
      </c>
      <c r="R241" s="10" t="n">
        <v>2165.3</v>
      </c>
      <c r="S241" s="10" t="n">
        <v>0</v>
      </c>
      <c r="T241" s="10" t="n">
        <v>0</v>
      </c>
      <c r="U241" s="10" t="n">
        <v>0</v>
      </c>
    </row>
    <row r="242" customFormat="false" ht="15" hidden="false" customHeight="false" outlineLevel="0" collapsed="false">
      <c r="A242" s="7" t="s">
        <v>394</v>
      </c>
      <c r="B242" s="7" t="s">
        <v>74</v>
      </c>
      <c r="C242" s="7" t="s">
        <v>629</v>
      </c>
      <c r="D242" s="10" t="n">
        <v>0</v>
      </c>
      <c r="E242" s="10" t="n">
        <v>0</v>
      </c>
      <c r="F242" s="10" t="n">
        <v>4532.8</v>
      </c>
      <c r="G242" s="10" t="n">
        <v>0</v>
      </c>
      <c r="H242" s="10" t="n">
        <v>25.8</v>
      </c>
      <c r="I242" s="10" t="n">
        <v>18394.3</v>
      </c>
      <c r="J242" s="10" t="n">
        <v>0</v>
      </c>
      <c r="K242" s="10" t="n">
        <v>138.8</v>
      </c>
      <c r="L242" s="10" t="n">
        <v>0</v>
      </c>
      <c r="M242" s="10" t="n">
        <v>0</v>
      </c>
      <c r="N242" s="10" t="n">
        <v>92.7</v>
      </c>
      <c r="O242" s="10" t="n">
        <v>59.5</v>
      </c>
      <c r="P242" s="10" t="n">
        <v>-194.3</v>
      </c>
      <c r="Q242" s="10" t="n">
        <v>14270.6</v>
      </c>
      <c r="R242" s="10" t="n">
        <v>4027.2</v>
      </c>
      <c r="S242" s="10" t="n">
        <v>0</v>
      </c>
      <c r="T242" s="10" t="n">
        <v>0</v>
      </c>
      <c r="U242" s="10" t="n">
        <v>0</v>
      </c>
    </row>
    <row r="243" customFormat="false" ht="15" hidden="false" customHeight="false" outlineLevel="0" collapsed="false">
      <c r="A243" s="7" t="s">
        <v>394</v>
      </c>
      <c r="B243" s="7" t="s">
        <v>74</v>
      </c>
      <c r="C243" s="7" t="s">
        <v>630</v>
      </c>
      <c r="D243" s="10" t="n">
        <v>0</v>
      </c>
      <c r="E243" s="10" t="n">
        <v>0</v>
      </c>
      <c r="F243" s="10" t="n">
        <v>3849</v>
      </c>
      <c r="G243" s="10" t="n">
        <v>0</v>
      </c>
      <c r="H243" s="10" t="n">
        <v>0</v>
      </c>
      <c r="I243" s="10" t="n">
        <v>12180.3</v>
      </c>
      <c r="J243" s="10" t="n">
        <v>0</v>
      </c>
      <c r="K243" s="10" t="n">
        <v>138.8</v>
      </c>
      <c r="L243" s="10" t="n">
        <v>0</v>
      </c>
      <c r="M243" s="10" t="n">
        <v>0</v>
      </c>
      <c r="N243" s="10" t="n">
        <v>123.6</v>
      </c>
      <c r="O243" s="10" t="n">
        <v>0</v>
      </c>
      <c r="P243" s="10" t="n">
        <v>-138.8</v>
      </c>
      <c r="Q243" s="10" t="n">
        <v>10058</v>
      </c>
      <c r="R243" s="10" t="n">
        <v>1998.7</v>
      </c>
      <c r="S243" s="10" t="n">
        <v>0</v>
      </c>
      <c r="T243" s="10" t="n">
        <v>0</v>
      </c>
      <c r="U243" s="10" t="n">
        <v>0</v>
      </c>
    </row>
    <row r="244" customFormat="false" ht="15" hidden="false" customHeight="false" outlineLevel="0" collapsed="false">
      <c r="A244" s="7" t="s">
        <v>394</v>
      </c>
      <c r="B244" s="7" t="s">
        <v>74</v>
      </c>
      <c r="C244" s="7" t="s">
        <v>631</v>
      </c>
      <c r="D244" s="10" t="n">
        <v>0</v>
      </c>
      <c r="E244" s="10" t="n">
        <v>0</v>
      </c>
      <c r="F244" s="10" t="n">
        <v>1440.1</v>
      </c>
      <c r="G244" s="10" t="n">
        <v>0</v>
      </c>
      <c r="H244" s="10" t="n">
        <v>0</v>
      </c>
      <c r="I244" s="10" t="n">
        <v>6227.1</v>
      </c>
      <c r="J244" s="10" t="n">
        <v>0</v>
      </c>
      <c r="K244" s="10" t="n">
        <v>83.3</v>
      </c>
      <c r="L244" s="10" t="n">
        <v>0</v>
      </c>
      <c r="M244" s="10" t="n">
        <v>0</v>
      </c>
      <c r="N244" s="10" t="n">
        <v>0</v>
      </c>
      <c r="O244" s="10" t="n">
        <v>89.2</v>
      </c>
      <c r="P244" s="10" t="n">
        <v>-337.1</v>
      </c>
      <c r="Q244" s="10" t="n">
        <v>5281.3</v>
      </c>
      <c r="R244" s="10" t="n">
        <v>1110.4</v>
      </c>
      <c r="S244" s="10" t="n">
        <v>0</v>
      </c>
      <c r="T244" s="10" t="n">
        <v>0</v>
      </c>
      <c r="U244" s="10" t="n">
        <v>0</v>
      </c>
    </row>
    <row r="245" customFormat="false" ht="15" hidden="false" customHeight="false" outlineLevel="0" collapsed="false">
      <c r="A245" s="7" t="s">
        <v>394</v>
      </c>
      <c r="B245" s="7" t="s">
        <v>74</v>
      </c>
      <c r="C245" s="7" t="s">
        <v>632</v>
      </c>
      <c r="D245" s="10" t="n">
        <v>0</v>
      </c>
      <c r="E245" s="10" t="n">
        <v>0</v>
      </c>
      <c r="F245" s="10" t="n">
        <v>753.5</v>
      </c>
      <c r="G245" s="10" t="n">
        <v>0</v>
      </c>
      <c r="H245" s="10" t="n">
        <v>0</v>
      </c>
      <c r="I245" s="10" t="n">
        <v>953.5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953.5</v>
      </c>
      <c r="R245" s="10" t="n">
        <v>0</v>
      </c>
      <c r="S245" s="10" t="n">
        <v>0</v>
      </c>
      <c r="T245" s="10" t="n">
        <v>0</v>
      </c>
      <c r="U245" s="10" t="n">
        <v>0</v>
      </c>
    </row>
    <row r="246" customFormat="false" ht="15" hidden="false" customHeight="false" outlineLevel="0" collapsed="false">
      <c r="A246" s="7" t="s">
        <v>394</v>
      </c>
      <c r="B246" s="7" t="s">
        <v>74</v>
      </c>
      <c r="C246" s="7" t="s">
        <v>633</v>
      </c>
      <c r="D246" s="10" t="n">
        <v>0</v>
      </c>
      <c r="E246" s="10" t="n">
        <v>0</v>
      </c>
      <c r="F246" s="10" t="n">
        <v>61.8</v>
      </c>
      <c r="G246" s="10" t="n">
        <v>0</v>
      </c>
      <c r="H246" s="10" t="n">
        <v>0</v>
      </c>
      <c r="I246" s="10" t="n">
        <v>128.9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128.9</v>
      </c>
      <c r="R246" s="10" t="n">
        <v>0</v>
      </c>
      <c r="S246" s="10" t="n">
        <v>0</v>
      </c>
      <c r="T246" s="10" t="n">
        <v>0</v>
      </c>
      <c r="U246" s="10" t="n">
        <v>0</v>
      </c>
    </row>
    <row r="247" customFormat="false" ht="15" hidden="false" customHeight="false" outlineLevel="0" collapsed="false">
      <c r="A247" s="7" t="s">
        <v>394</v>
      </c>
      <c r="B247" s="7" t="s">
        <v>112</v>
      </c>
      <c r="C247" s="7" t="s">
        <v>634</v>
      </c>
      <c r="D247" s="10" t="n">
        <v>0</v>
      </c>
      <c r="E247" s="10" t="n">
        <v>0</v>
      </c>
      <c r="F247" s="10" t="n">
        <v>4997.1</v>
      </c>
      <c r="G247" s="10" t="n">
        <v>0</v>
      </c>
      <c r="H247" s="10" t="n">
        <v>0</v>
      </c>
      <c r="I247" s="10" t="n">
        <v>11157.6</v>
      </c>
      <c r="J247" s="10" t="n">
        <v>0</v>
      </c>
      <c r="K247" s="10" t="n">
        <v>43.8</v>
      </c>
      <c r="L247" s="10" t="n">
        <v>-21.9</v>
      </c>
      <c r="M247" s="10" t="n">
        <v>0</v>
      </c>
      <c r="N247" s="10" t="n">
        <v>140</v>
      </c>
      <c r="O247" s="10" t="n">
        <v>65.6</v>
      </c>
      <c r="P247" s="10" t="n">
        <v>-37.4</v>
      </c>
      <c r="Q247" s="10" t="n">
        <v>8834.2</v>
      </c>
      <c r="R247" s="10" t="n">
        <v>2133.3</v>
      </c>
      <c r="S247" s="10" t="n">
        <v>0</v>
      </c>
      <c r="T247" s="10" t="n">
        <v>0</v>
      </c>
      <c r="U247" s="10" t="n">
        <v>0</v>
      </c>
    </row>
    <row r="248" customFormat="false" ht="15" hidden="false" customHeight="false" outlineLevel="0" collapsed="false">
      <c r="A248" s="7" t="s">
        <v>394</v>
      </c>
      <c r="B248" s="7" t="s">
        <v>192</v>
      </c>
      <c r="C248" s="7" t="s">
        <v>635</v>
      </c>
      <c r="D248" s="10" t="n">
        <v>0</v>
      </c>
      <c r="E248" s="10" t="n">
        <v>0</v>
      </c>
      <c r="F248" s="10" t="n">
        <v>1383.8</v>
      </c>
      <c r="G248" s="10" t="n">
        <v>0</v>
      </c>
      <c r="H248" s="10" t="n">
        <v>0</v>
      </c>
      <c r="I248" s="10" t="n">
        <v>4648.5</v>
      </c>
      <c r="J248" s="10" t="n">
        <v>0</v>
      </c>
      <c r="K248" s="10" t="n">
        <v>293.5</v>
      </c>
      <c r="L248" s="10" t="n">
        <v>0</v>
      </c>
      <c r="M248" s="10" t="n">
        <v>0</v>
      </c>
      <c r="N248" s="10" t="n">
        <v>0</v>
      </c>
      <c r="O248" s="10" t="n">
        <v>0</v>
      </c>
      <c r="P248" s="10" t="n">
        <v>0</v>
      </c>
      <c r="Q248" s="10" t="n">
        <v>1686.8</v>
      </c>
      <c r="R248" s="10" t="n">
        <v>2668.2</v>
      </c>
      <c r="S248" s="10" t="n">
        <v>0</v>
      </c>
      <c r="T248" s="10" t="n">
        <v>0</v>
      </c>
      <c r="U248" s="10" t="n">
        <v>0</v>
      </c>
    </row>
    <row r="249" customFormat="false" ht="15" hidden="false" customHeight="false" outlineLevel="0" collapsed="false">
      <c r="A249" s="7" t="s">
        <v>394</v>
      </c>
      <c r="B249" s="7" t="s">
        <v>89</v>
      </c>
      <c r="C249" s="7" t="s">
        <v>636</v>
      </c>
      <c r="D249" s="10" t="n">
        <v>0</v>
      </c>
      <c r="E249" s="10" t="n">
        <v>0</v>
      </c>
      <c r="F249" s="10" t="n">
        <v>510.8</v>
      </c>
      <c r="G249" s="10" t="n">
        <v>0</v>
      </c>
      <c r="H249" s="10" t="n">
        <v>0</v>
      </c>
      <c r="I249" s="10" t="n">
        <v>-5802.9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-92.1</v>
      </c>
      <c r="O249" s="10" t="n">
        <v>0</v>
      </c>
      <c r="P249" s="10" t="n">
        <v>-70</v>
      </c>
      <c r="Q249" s="10" t="n">
        <v>-5920.6</v>
      </c>
      <c r="R249" s="10" t="n">
        <v>279.8</v>
      </c>
      <c r="S249" s="10" t="n">
        <v>0</v>
      </c>
      <c r="T249" s="10" t="n">
        <v>0</v>
      </c>
      <c r="U249" s="10" t="n">
        <v>0</v>
      </c>
    </row>
    <row r="250" customFormat="false" ht="15" hidden="false" customHeight="false" outlineLevel="0" collapsed="false">
      <c r="A250" s="7" t="s">
        <v>394</v>
      </c>
      <c r="B250" s="7" t="s">
        <v>89</v>
      </c>
      <c r="C250" s="7" t="s">
        <v>637</v>
      </c>
      <c r="D250" s="10" t="n">
        <v>0</v>
      </c>
      <c r="E250" s="10" t="n">
        <v>0</v>
      </c>
      <c r="F250" s="10" t="n">
        <v>542.6</v>
      </c>
      <c r="G250" s="10" t="n">
        <v>0</v>
      </c>
      <c r="H250" s="10" t="n">
        <v>0</v>
      </c>
      <c r="I250" s="10" t="n">
        <v>1058.7</v>
      </c>
      <c r="J250" s="10" t="n">
        <v>0</v>
      </c>
      <c r="K250" s="10" t="n">
        <v>0</v>
      </c>
      <c r="L250" s="10" t="n">
        <v>-70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764</v>
      </c>
      <c r="R250" s="10" t="n">
        <v>364.7</v>
      </c>
      <c r="S250" s="10" t="n">
        <v>0</v>
      </c>
      <c r="T250" s="10" t="n">
        <v>0</v>
      </c>
      <c r="U250" s="10" t="n">
        <v>0</v>
      </c>
    </row>
    <row r="251" customFormat="false" ht="15" hidden="false" customHeight="false" outlineLevel="0" collapsed="false">
      <c r="A251" s="7" t="s">
        <v>394</v>
      </c>
      <c r="B251" s="7" t="s">
        <v>89</v>
      </c>
      <c r="C251" s="7" t="s">
        <v>638</v>
      </c>
      <c r="D251" s="10" t="n">
        <v>0</v>
      </c>
      <c r="E251" s="10" t="n">
        <v>0</v>
      </c>
      <c r="F251" s="10" t="n">
        <v>1864</v>
      </c>
      <c r="G251" s="10" t="n">
        <v>0</v>
      </c>
      <c r="H251" s="10" t="n">
        <v>0</v>
      </c>
      <c r="I251" s="10" t="n">
        <v>3536.7</v>
      </c>
      <c r="J251" s="10" t="n">
        <v>0</v>
      </c>
      <c r="K251" s="10" t="n">
        <v>0</v>
      </c>
      <c r="L251" s="10" t="n">
        <v>-70</v>
      </c>
      <c r="M251" s="10" t="n">
        <v>0</v>
      </c>
      <c r="N251" s="10" t="n">
        <v>-122.9</v>
      </c>
      <c r="O251" s="10" t="n">
        <v>0</v>
      </c>
      <c r="P251" s="10" t="n">
        <v>0</v>
      </c>
      <c r="Q251" s="10" t="n">
        <v>2750.2</v>
      </c>
      <c r="R251" s="10" t="n">
        <v>979.3</v>
      </c>
      <c r="S251" s="10" t="n">
        <v>0</v>
      </c>
      <c r="T251" s="10" t="n">
        <v>0</v>
      </c>
      <c r="U251" s="10" t="n">
        <v>-124.9</v>
      </c>
    </row>
    <row r="252" customFormat="false" ht="15" hidden="false" customHeight="false" outlineLevel="0" collapsed="false">
      <c r="A252" s="7" t="s">
        <v>394</v>
      </c>
      <c r="B252" s="7" t="s">
        <v>89</v>
      </c>
      <c r="C252" s="7" t="s">
        <v>639</v>
      </c>
      <c r="D252" s="10" t="n">
        <v>0</v>
      </c>
      <c r="E252" s="10" t="n">
        <v>0</v>
      </c>
      <c r="F252" s="10" t="n">
        <v>3080.1</v>
      </c>
      <c r="G252" s="10" t="n">
        <v>0</v>
      </c>
      <c r="H252" s="10" t="n">
        <v>0</v>
      </c>
      <c r="I252" s="10" t="n">
        <v>13054.4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11235.7</v>
      </c>
      <c r="R252" s="10" t="n">
        <v>1818.7</v>
      </c>
      <c r="S252" s="10" t="n">
        <v>0</v>
      </c>
      <c r="T252" s="10" t="n">
        <v>0</v>
      </c>
      <c r="U252" s="10" t="n">
        <v>0</v>
      </c>
    </row>
    <row r="253" customFormat="false" ht="15" hidden="false" customHeight="false" outlineLevel="0" collapsed="false">
      <c r="A253" s="7" t="s">
        <v>394</v>
      </c>
      <c r="B253" s="7" t="s">
        <v>89</v>
      </c>
      <c r="C253" s="7" t="s">
        <v>640</v>
      </c>
      <c r="D253" s="10" t="n">
        <v>0</v>
      </c>
      <c r="E253" s="10" t="n">
        <v>0</v>
      </c>
      <c r="F253" s="10" t="n">
        <v>4744.9</v>
      </c>
      <c r="G253" s="10" t="n">
        <v>0</v>
      </c>
      <c r="H253" s="10" t="n">
        <v>0</v>
      </c>
      <c r="I253" s="10" t="n">
        <v>16054.2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-92.1</v>
      </c>
      <c r="O253" s="10" t="n">
        <v>0</v>
      </c>
      <c r="P253" s="10" t="n">
        <v>0</v>
      </c>
      <c r="Q253" s="10" t="n">
        <v>14677.4</v>
      </c>
      <c r="R253" s="10" t="n">
        <v>1469</v>
      </c>
      <c r="S253" s="10" t="n">
        <v>0</v>
      </c>
      <c r="T253" s="10" t="n">
        <v>0</v>
      </c>
      <c r="U253" s="10" t="n">
        <v>0</v>
      </c>
    </row>
    <row r="254" customFormat="false" ht="15" hidden="false" customHeight="false" outlineLevel="0" collapsed="false">
      <c r="A254" s="7" t="s">
        <v>394</v>
      </c>
      <c r="B254" s="7" t="s">
        <v>89</v>
      </c>
      <c r="C254" s="7" t="s">
        <v>641</v>
      </c>
      <c r="D254" s="10" t="n">
        <v>0</v>
      </c>
      <c r="E254" s="10" t="n">
        <v>0</v>
      </c>
      <c r="F254" s="10" t="n">
        <v>2838.9</v>
      </c>
      <c r="G254" s="10" t="n">
        <v>0</v>
      </c>
      <c r="H254" s="10" t="n">
        <v>0</v>
      </c>
      <c r="I254" s="10" t="n">
        <v>10458.6</v>
      </c>
      <c r="J254" s="10" t="n">
        <v>0</v>
      </c>
      <c r="K254" s="10" t="n">
        <v>139.9</v>
      </c>
      <c r="L254" s="10" t="n">
        <v>-70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9409.4</v>
      </c>
      <c r="R254" s="10" t="n">
        <v>979.3</v>
      </c>
      <c r="S254" s="10" t="n">
        <v>0</v>
      </c>
      <c r="T254" s="10" t="n">
        <v>0</v>
      </c>
      <c r="U254" s="10" t="n">
        <v>0</v>
      </c>
    </row>
    <row r="255" customFormat="false" ht="15" hidden="false" customHeight="false" outlineLevel="0" collapsed="false">
      <c r="A255" s="7" t="s">
        <v>394</v>
      </c>
      <c r="B255" s="7" t="s">
        <v>113</v>
      </c>
      <c r="C255" s="7" t="s">
        <v>642</v>
      </c>
      <c r="D255" s="10" t="n">
        <v>0</v>
      </c>
      <c r="E255" s="10" t="n">
        <v>0</v>
      </c>
      <c r="F255" s="10" t="n">
        <v>1776.8</v>
      </c>
      <c r="G255" s="10" t="n">
        <v>0</v>
      </c>
      <c r="H255" s="10" t="n">
        <v>0</v>
      </c>
      <c r="I255" s="10" t="n">
        <v>3002.2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210.8</v>
      </c>
      <c r="O255" s="10" t="n">
        <v>0</v>
      </c>
      <c r="P255" s="10" t="n">
        <v>0</v>
      </c>
      <c r="Q255" s="10" t="n">
        <v>2791.4</v>
      </c>
      <c r="R255" s="10" t="n">
        <v>0</v>
      </c>
      <c r="S255" s="10" t="n">
        <v>0</v>
      </c>
      <c r="T255" s="10" t="n">
        <v>0</v>
      </c>
      <c r="U255" s="10" t="n">
        <v>0</v>
      </c>
    </row>
    <row r="256" customFormat="false" ht="15" hidden="false" customHeight="false" outlineLevel="0" collapsed="false">
      <c r="A256" s="7" t="s">
        <v>394</v>
      </c>
      <c r="B256" s="7" t="s">
        <v>113</v>
      </c>
      <c r="C256" s="7" t="s">
        <v>643</v>
      </c>
      <c r="D256" s="10" t="n">
        <v>0</v>
      </c>
      <c r="E256" s="10" t="n">
        <v>0</v>
      </c>
      <c r="F256" s="10" t="n">
        <v>4069.3</v>
      </c>
      <c r="G256" s="10" t="n">
        <v>0</v>
      </c>
      <c r="H256" s="10" t="n">
        <v>0</v>
      </c>
      <c r="I256" s="10" t="n">
        <v>15149.3</v>
      </c>
      <c r="J256" s="10" t="n">
        <v>0</v>
      </c>
      <c r="K256" s="10" t="n">
        <v>630.4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-171.9</v>
      </c>
      <c r="Q256" s="10" t="n">
        <v>6495.5</v>
      </c>
      <c r="R256" s="10" t="n">
        <v>8195.3</v>
      </c>
      <c r="S256" s="10" t="n">
        <v>0</v>
      </c>
      <c r="T256" s="10" t="n">
        <v>0</v>
      </c>
      <c r="U256" s="10" t="n">
        <v>0</v>
      </c>
    </row>
    <row r="257" customFormat="false" ht="15" hidden="false" customHeight="false" outlineLevel="0" collapsed="false">
      <c r="A257" s="7" t="s">
        <v>394</v>
      </c>
      <c r="B257" s="7" t="s">
        <v>113</v>
      </c>
      <c r="C257" s="7" t="s">
        <v>644</v>
      </c>
      <c r="D257" s="10" t="n">
        <v>0</v>
      </c>
      <c r="E257" s="10" t="n">
        <v>0</v>
      </c>
      <c r="F257" s="10" t="n">
        <v>4770.5</v>
      </c>
      <c r="G257" s="10" t="n">
        <v>0</v>
      </c>
      <c r="H257" s="10" t="n">
        <v>0</v>
      </c>
      <c r="I257" s="10" t="n">
        <v>14645.2</v>
      </c>
      <c r="J257" s="10" t="n">
        <v>0</v>
      </c>
      <c r="K257" s="10" t="n">
        <v>573.1</v>
      </c>
      <c r="L257" s="10" t="n">
        <v>0</v>
      </c>
      <c r="M257" s="10" t="n">
        <v>0</v>
      </c>
      <c r="N257" s="10" t="n">
        <v>0</v>
      </c>
      <c r="O257" s="10" t="n">
        <v>0</v>
      </c>
      <c r="P257" s="10" t="n">
        <v>-343.9</v>
      </c>
      <c r="Q257" s="10" t="n">
        <v>5934</v>
      </c>
      <c r="R257" s="10" t="n">
        <v>8481.9</v>
      </c>
      <c r="S257" s="10" t="n">
        <v>0</v>
      </c>
      <c r="T257" s="10" t="n">
        <v>0</v>
      </c>
      <c r="U257" s="10" t="n">
        <v>0</v>
      </c>
    </row>
    <row r="258" customFormat="false" ht="15" hidden="false" customHeight="false" outlineLevel="0" collapsed="false">
      <c r="A258" s="7" t="s">
        <v>394</v>
      </c>
      <c r="B258" s="7" t="s">
        <v>162</v>
      </c>
      <c r="C258" s="7" t="s">
        <v>645</v>
      </c>
      <c r="D258" s="10" t="n">
        <v>0</v>
      </c>
      <c r="E258" s="10" t="n">
        <v>0</v>
      </c>
      <c r="F258" s="10" t="n">
        <v>3048.8</v>
      </c>
      <c r="G258" s="10" t="n">
        <v>0</v>
      </c>
      <c r="H258" s="10" t="n">
        <v>0</v>
      </c>
      <c r="I258" s="10" t="n">
        <v>11049.3</v>
      </c>
      <c r="J258" s="10" t="n">
        <v>0</v>
      </c>
      <c r="K258" s="10" t="n">
        <v>229.2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-343.9</v>
      </c>
      <c r="Q258" s="10" t="n">
        <v>4401.3</v>
      </c>
      <c r="R258" s="10" t="n">
        <v>6762.6</v>
      </c>
      <c r="S258" s="10" t="n">
        <v>57.3</v>
      </c>
      <c r="T258" s="10" t="n">
        <v>0</v>
      </c>
      <c r="U258" s="10" t="n">
        <v>0</v>
      </c>
    </row>
    <row r="259" customFormat="false" ht="15" hidden="false" customHeight="false" outlineLevel="0" collapsed="false">
      <c r="A259" s="7" t="s">
        <v>394</v>
      </c>
      <c r="B259" s="7" t="s">
        <v>244</v>
      </c>
      <c r="C259" s="7" t="s">
        <v>646</v>
      </c>
      <c r="D259" s="10" t="n">
        <v>0</v>
      </c>
      <c r="E259" s="10" t="n">
        <v>0</v>
      </c>
      <c r="F259" s="10" t="n">
        <v>-37.8</v>
      </c>
      <c r="G259" s="10" t="n">
        <v>0</v>
      </c>
      <c r="H259" s="10" t="n">
        <v>0</v>
      </c>
      <c r="I259" s="10" t="n">
        <v>0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  <c r="S259" s="10" t="n">
        <v>0</v>
      </c>
      <c r="T259" s="10" t="n">
        <v>0</v>
      </c>
      <c r="U259" s="10" t="n">
        <v>0</v>
      </c>
    </row>
    <row r="260" customFormat="false" ht="15" hidden="false" customHeight="false" outlineLevel="0" collapsed="false">
      <c r="A260" s="7" t="s">
        <v>394</v>
      </c>
      <c r="B260" s="7" t="s">
        <v>244</v>
      </c>
      <c r="C260" s="7" t="s">
        <v>647</v>
      </c>
      <c r="D260" s="10" t="n">
        <v>0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-32.3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-32.3</v>
      </c>
      <c r="R260" s="10" t="n">
        <v>0</v>
      </c>
      <c r="S260" s="10" t="n">
        <v>0</v>
      </c>
      <c r="T260" s="10" t="n">
        <v>0</v>
      </c>
      <c r="U260" s="10" t="n">
        <v>0</v>
      </c>
    </row>
    <row r="261" customFormat="false" ht="15" hidden="false" customHeight="false" outlineLevel="0" collapsed="false">
      <c r="A261" s="7" t="s">
        <v>394</v>
      </c>
      <c r="B261" s="7" t="s">
        <v>254</v>
      </c>
      <c r="C261" s="7" t="s">
        <v>648</v>
      </c>
      <c r="D261" s="10" t="n">
        <v>0</v>
      </c>
      <c r="E261" s="10" t="n">
        <v>0</v>
      </c>
      <c r="F261" s="10" t="n">
        <v>94.6</v>
      </c>
      <c r="G261" s="10" t="n">
        <v>0</v>
      </c>
      <c r="H261" s="10" t="n">
        <v>0</v>
      </c>
      <c r="I261" s="10" t="n">
        <v>-81.9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0" t="n">
        <v>0</v>
      </c>
      <c r="P261" s="10" t="n">
        <v>-88.2</v>
      </c>
      <c r="Q261" s="10" t="n">
        <v>-81.9</v>
      </c>
      <c r="R261" s="10" t="n">
        <v>88.2</v>
      </c>
      <c r="S261" s="10" t="n">
        <v>0</v>
      </c>
      <c r="T261" s="10" t="n">
        <v>0</v>
      </c>
      <c r="U261" s="10" t="n">
        <v>0</v>
      </c>
    </row>
    <row r="262" customFormat="false" ht="15" hidden="false" customHeight="false" outlineLevel="0" collapsed="false">
      <c r="A262" s="7" t="s">
        <v>394</v>
      </c>
      <c r="B262" s="7" t="s">
        <v>254</v>
      </c>
      <c r="C262" s="7" t="s">
        <v>649</v>
      </c>
      <c r="D262" s="10" t="n">
        <v>0</v>
      </c>
      <c r="E262" s="10" t="n">
        <v>0</v>
      </c>
      <c r="F262" s="10" t="n">
        <v>94.5</v>
      </c>
      <c r="G262" s="10" t="n">
        <v>0</v>
      </c>
      <c r="H262" s="10" t="n">
        <v>0</v>
      </c>
      <c r="I262" s="10" t="n">
        <v>264.6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-88.2</v>
      </c>
      <c r="Q262" s="10" t="n">
        <v>0</v>
      </c>
      <c r="R262" s="10" t="n">
        <v>352.8</v>
      </c>
      <c r="S262" s="10" t="n">
        <v>0</v>
      </c>
      <c r="T262" s="10" t="n">
        <v>0</v>
      </c>
      <c r="U262" s="10" t="n">
        <v>0</v>
      </c>
    </row>
    <row r="263" customFormat="false" ht="15" hidden="false" customHeight="false" outlineLevel="0" collapsed="false">
      <c r="A263" s="7" t="s">
        <v>394</v>
      </c>
      <c r="B263" s="7" t="s">
        <v>254</v>
      </c>
      <c r="C263" s="7" t="s">
        <v>650</v>
      </c>
      <c r="D263" s="10" t="n">
        <v>0</v>
      </c>
      <c r="E263" s="10" t="n">
        <v>0</v>
      </c>
      <c r="F263" s="10" t="n">
        <v>271.1</v>
      </c>
      <c r="G263" s="10" t="n">
        <v>0</v>
      </c>
      <c r="H263" s="10" t="n">
        <v>0</v>
      </c>
      <c r="I263" s="10" t="n">
        <v>-88.2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0</v>
      </c>
      <c r="P263" s="10" t="n">
        <v>-88.2</v>
      </c>
      <c r="Q263" s="10" t="n">
        <v>0</v>
      </c>
      <c r="R263" s="10" t="n">
        <v>0</v>
      </c>
      <c r="S263" s="10" t="n">
        <v>0</v>
      </c>
      <c r="T263" s="10" t="n">
        <v>0</v>
      </c>
      <c r="U263" s="10" t="n">
        <v>0</v>
      </c>
    </row>
    <row r="264" customFormat="false" ht="15" hidden="false" customHeight="false" outlineLevel="0" collapsed="false">
      <c r="A264" s="7" t="s">
        <v>394</v>
      </c>
      <c r="B264" s="7" t="s">
        <v>254</v>
      </c>
      <c r="C264" s="7" t="s">
        <v>651</v>
      </c>
      <c r="D264" s="10" t="n">
        <v>0</v>
      </c>
      <c r="E264" s="10" t="n">
        <v>0</v>
      </c>
      <c r="F264" s="10" t="n">
        <v>365.6</v>
      </c>
      <c r="G264" s="10" t="n">
        <v>0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-88.2</v>
      </c>
      <c r="Q264" s="10" t="n">
        <v>0</v>
      </c>
      <c r="R264" s="10" t="n">
        <v>88.2</v>
      </c>
      <c r="S264" s="10" t="n">
        <v>0</v>
      </c>
      <c r="T264" s="10" t="n">
        <v>0</v>
      </c>
      <c r="U264" s="10" t="n">
        <v>0</v>
      </c>
    </row>
    <row r="265" customFormat="false" ht="15" hidden="false" customHeight="false" outlineLevel="0" collapsed="false">
      <c r="A265" s="7" t="s">
        <v>394</v>
      </c>
      <c r="B265" s="7" t="s">
        <v>254</v>
      </c>
      <c r="C265" s="7" t="s">
        <v>652</v>
      </c>
      <c r="D265" s="10" t="n">
        <v>0</v>
      </c>
      <c r="E265" s="10" t="n">
        <v>0</v>
      </c>
      <c r="F265" s="10" t="n">
        <v>0</v>
      </c>
      <c r="G265" s="10" t="n">
        <v>0</v>
      </c>
      <c r="H265" s="10" t="n">
        <v>82</v>
      </c>
      <c r="I265" s="10" t="n">
        <v>0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0</v>
      </c>
      <c r="P265" s="10" t="n">
        <v>0</v>
      </c>
      <c r="Q265" s="10" t="n">
        <v>0</v>
      </c>
      <c r="R265" s="10" t="n">
        <v>0</v>
      </c>
      <c r="S265" s="10" t="n">
        <v>0</v>
      </c>
      <c r="T265" s="10" t="n">
        <v>0</v>
      </c>
      <c r="U265" s="10" t="n">
        <v>0</v>
      </c>
    </row>
    <row r="266" customFormat="false" ht="15" hidden="false" customHeight="false" outlineLevel="0" collapsed="false">
      <c r="A266" s="7" t="s">
        <v>394</v>
      </c>
      <c r="B266" s="7" t="s">
        <v>204</v>
      </c>
      <c r="C266" s="7" t="s">
        <v>653</v>
      </c>
      <c r="D266" s="10" t="n">
        <v>0</v>
      </c>
      <c r="E266" s="10" t="n">
        <v>0</v>
      </c>
      <c r="F266" s="10" t="n">
        <v>94.5</v>
      </c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</row>
    <row r="267" customFormat="false" ht="15" hidden="false" customHeight="false" outlineLevel="0" collapsed="false">
      <c r="A267" s="7" t="s">
        <v>394</v>
      </c>
      <c r="B267" s="7" t="s">
        <v>204</v>
      </c>
      <c r="C267" s="7" t="s">
        <v>654</v>
      </c>
      <c r="D267" s="10" t="n">
        <v>0</v>
      </c>
      <c r="E267" s="10" t="n">
        <v>0</v>
      </c>
      <c r="F267" s="10" t="n">
        <v>189.1</v>
      </c>
      <c r="G267" s="10" t="n">
        <v>0</v>
      </c>
      <c r="H267" s="10" t="n">
        <v>0</v>
      </c>
      <c r="I267" s="10" t="n">
        <v>84.9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84.9</v>
      </c>
      <c r="R267" s="10" t="n">
        <v>0</v>
      </c>
      <c r="S267" s="10" t="n">
        <v>0</v>
      </c>
      <c r="T267" s="10" t="n">
        <v>0</v>
      </c>
      <c r="U267" s="10" t="n">
        <v>0</v>
      </c>
    </row>
    <row r="268" customFormat="false" ht="15" hidden="false" customHeight="false" outlineLevel="0" collapsed="false">
      <c r="A268" s="7" t="s">
        <v>394</v>
      </c>
      <c r="B268" s="7" t="s">
        <v>204</v>
      </c>
      <c r="C268" s="7" t="s">
        <v>655</v>
      </c>
      <c r="D268" s="10" t="n">
        <v>0</v>
      </c>
      <c r="E268" s="10" t="n">
        <v>0</v>
      </c>
      <c r="F268" s="10" t="n">
        <v>283.8</v>
      </c>
      <c r="G268" s="10" t="n">
        <v>0</v>
      </c>
      <c r="H268" s="10" t="n">
        <v>0</v>
      </c>
      <c r="I268" s="10" t="n">
        <v>81.9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81.9</v>
      </c>
      <c r="R268" s="10" t="n">
        <v>0</v>
      </c>
      <c r="S268" s="10" t="n">
        <v>0</v>
      </c>
      <c r="T268" s="10" t="n">
        <v>0</v>
      </c>
      <c r="U268" s="10" t="n">
        <v>0</v>
      </c>
    </row>
    <row r="269" customFormat="false" ht="15" hidden="false" customHeight="false" outlineLevel="0" collapsed="false">
      <c r="A269" s="7" t="s">
        <v>394</v>
      </c>
      <c r="B269" s="7" t="s">
        <v>204</v>
      </c>
      <c r="C269" s="7" t="s">
        <v>656</v>
      </c>
      <c r="D269" s="10" t="n">
        <v>0</v>
      </c>
      <c r="E269" s="10" t="n">
        <v>0</v>
      </c>
      <c r="F269" s="10" t="n">
        <v>94.6</v>
      </c>
      <c r="G269" s="10" t="n">
        <v>0</v>
      </c>
      <c r="H269" s="10" t="n">
        <v>0</v>
      </c>
      <c r="I269" s="10" t="n">
        <v>81.9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81.9</v>
      </c>
      <c r="R269" s="10" t="n">
        <v>0</v>
      </c>
      <c r="S269" s="10" t="n">
        <v>0</v>
      </c>
      <c r="T269" s="10" t="n">
        <v>0</v>
      </c>
      <c r="U269" s="10" t="n">
        <v>0</v>
      </c>
    </row>
    <row r="270" customFormat="false" ht="15" hidden="false" customHeight="false" outlineLevel="0" collapsed="false">
      <c r="A270" s="7" t="s">
        <v>394</v>
      </c>
      <c r="B270" s="7" t="s">
        <v>191</v>
      </c>
      <c r="C270" s="7" t="s">
        <v>657</v>
      </c>
      <c r="D270" s="10" t="n">
        <v>0</v>
      </c>
      <c r="E270" s="10" t="n">
        <v>0</v>
      </c>
      <c r="F270" s="10" t="n">
        <v>93.4</v>
      </c>
      <c r="G270" s="10" t="n">
        <v>0</v>
      </c>
      <c r="H270" s="10" t="n">
        <v>0</v>
      </c>
      <c r="I270" s="10" t="n">
        <v>-194.1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0" t="n">
        <v>0</v>
      </c>
      <c r="P270" s="10" t="n">
        <v>-194.1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0</v>
      </c>
    </row>
    <row r="271" customFormat="false" ht="15" hidden="false" customHeight="false" outlineLevel="0" collapsed="false">
      <c r="A271" s="7" t="s">
        <v>394</v>
      </c>
      <c r="B271" s="7" t="s">
        <v>191</v>
      </c>
      <c r="C271" s="7" t="s">
        <v>658</v>
      </c>
      <c r="D271" s="10" t="n">
        <v>0</v>
      </c>
      <c r="E271" s="10" t="n">
        <v>0</v>
      </c>
      <c r="F271" s="10" t="n">
        <v>402.3</v>
      </c>
      <c r="G271" s="10" t="n">
        <v>0</v>
      </c>
      <c r="H271" s="10" t="n">
        <v>0</v>
      </c>
      <c r="I271" s="10" t="n">
        <v>-360.4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n">
        <v>0</v>
      </c>
      <c r="O271" s="10" t="n">
        <v>0</v>
      </c>
      <c r="P271" s="10" t="n">
        <v>0</v>
      </c>
      <c r="Q271" s="10" t="n">
        <v>-360.4</v>
      </c>
      <c r="R271" s="10" t="n">
        <v>0</v>
      </c>
      <c r="S271" s="10" t="n">
        <v>0</v>
      </c>
      <c r="T271" s="10" t="n">
        <v>0</v>
      </c>
      <c r="U271" s="10" t="n">
        <v>0</v>
      </c>
    </row>
    <row r="272" customFormat="false" ht="15" hidden="false" customHeight="false" outlineLevel="0" collapsed="false">
      <c r="A272" s="7" t="s">
        <v>394</v>
      </c>
      <c r="B272" s="7" t="s">
        <v>191</v>
      </c>
      <c r="C272" s="7" t="s">
        <v>659</v>
      </c>
      <c r="D272" s="10" t="n">
        <v>0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194.1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-97</v>
      </c>
      <c r="Q272" s="10" t="n">
        <v>0</v>
      </c>
      <c r="R272" s="10" t="n">
        <v>291.1</v>
      </c>
      <c r="S272" s="10" t="n">
        <v>0</v>
      </c>
      <c r="T272" s="10" t="n">
        <v>0</v>
      </c>
      <c r="U272" s="10" t="n">
        <v>0</v>
      </c>
    </row>
    <row r="273" customFormat="false" ht="15" hidden="false" customHeight="false" outlineLevel="0" collapsed="false">
      <c r="A273" s="7" t="s">
        <v>394</v>
      </c>
      <c r="B273" s="7" t="s">
        <v>191</v>
      </c>
      <c r="C273" s="7" t="s">
        <v>660</v>
      </c>
      <c r="D273" s="10" t="n">
        <v>0</v>
      </c>
      <c r="E273" s="10" t="n">
        <v>0</v>
      </c>
      <c r="F273" s="10" t="n">
        <v>308.9</v>
      </c>
      <c r="G273" s="10" t="n">
        <v>0</v>
      </c>
      <c r="H273" s="10" t="n">
        <v>0</v>
      </c>
      <c r="I273" s="10" t="n">
        <v>-90.1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-90.1</v>
      </c>
      <c r="R273" s="10" t="n">
        <v>0</v>
      </c>
      <c r="S273" s="10" t="n">
        <v>0</v>
      </c>
      <c r="T273" s="10" t="n">
        <v>0</v>
      </c>
      <c r="U273" s="10" t="n">
        <v>0</v>
      </c>
    </row>
    <row r="274" customFormat="false" ht="15" hidden="false" customHeight="false" outlineLevel="0" collapsed="false">
      <c r="A274" s="7" t="s">
        <v>394</v>
      </c>
      <c r="B274" s="7" t="s">
        <v>230</v>
      </c>
      <c r="C274" s="7" t="s">
        <v>661</v>
      </c>
      <c r="D274" s="10" t="n">
        <v>0</v>
      </c>
      <c r="E274" s="10" t="n">
        <v>0</v>
      </c>
      <c r="F274" s="10" t="n">
        <v>0</v>
      </c>
      <c r="G274" s="10" t="n">
        <v>0</v>
      </c>
      <c r="H274" s="10" t="n">
        <v>0</v>
      </c>
      <c r="I274" s="10" t="n">
        <v>-173.9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-173.9</v>
      </c>
      <c r="R274" s="10" t="n">
        <v>0</v>
      </c>
      <c r="S274" s="10" t="n">
        <v>0</v>
      </c>
      <c r="T274" s="10" t="n">
        <v>0</v>
      </c>
      <c r="U274" s="10" t="n">
        <v>0</v>
      </c>
    </row>
    <row r="275" customFormat="false" ht="15" hidden="false" customHeight="false" outlineLevel="0" collapsed="false">
      <c r="A275" s="7" t="s">
        <v>394</v>
      </c>
      <c r="B275" s="7" t="s">
        <v>80</v>
      </c>
      <c r="C275" s="7" t="s">
        <v>662</v>
      </c>
      <c r="D275" s="10" t="n">
        <v>0</v>
      </c>
      <c r="E275" s="10" t="n">
        <v>0</v>
      </c>
      <c r="F275" s="10" t="n">
        <v>104</v>
      </c>
      <c r="G275" s="10" t="n">
        <v>0</v>
      </c>
      <c r="H275" s="10" t="n">
        <v>0</v>
      </c>
      <c r="I275" s="10" t="n">
        <v>7887.6</v>
      </c>
      <c r="J275" s="10" t="n">
        <v>0</v>
      </c>
      <c r="K275" s="10" t="n">
        <v>97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-97</v>
      </c>
      <c r="Q275" s="10" t="n">
        <v>7014.3</v>
      </c>
      <c r="R275" s="10" t="n">
        <v>873.3</v>
      </c>
      <c r="S275" s="10" t="n">
        <v>0</v>
      </c>
      <c r="T275" s="10" t="n">
        <v>0</v>
      </c>
      <c r="U275" s="10" t="n">
        <v>0</v>
      </c>
    </row>
    <row r="276" customFormat="false" ht="15" hidden="false" customHeight="false" outlineLevel="0" collapsed="false">
      <c r="A276" s="7" t="s">
        <v>394</v>
      </c>
      <c r="B276" s="7" t="s">
        <v>80</v>
      </c>
      <c r="C276" s="7" t="s">
        <v>663</v>
      </c>
      <c r="D276" s="10" t="n">
        <v>0</v>
      </c>
      <c r="E276" s="10" t="n">
        <v>0</v>
      </c>
      <c r="F276" s="10" t="n">
        <v>417.5</v>
      </c>
      <c r="G276" s="10" t="n">
        <v>0</v>
      </c>
      <c r="H276" s="10" t="n">
        <v>0</v>
      </c>
      <c r="I276" s="10" t="n">
        <v>9186.4</v>
      </c>
      <c r="J276" s="10" t="n">
        <v>0</v>
      </c>
      <c r="K276" s="10" t="n">
        <v>194.1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7827.9</v>
      </c>
      <c r="R276" s="10" t="n">
        <v>1164.4</v>
      </c>
      <c r="S276" s="10" t="n">
        <v>0</v>
      </c>
      <c r="T276" s="10" t="n">
        <v>0</v>
      </c>
      <c r="U276" s="10" t="n">
        <v>0</v>
      </c>
    </row>
    <row r="277" customFormat="false" ht="15" hidden="false" customHeight="false" outlineLevel="0" collapsed="false">
      <c r="A277" s="7" t="s">
        <v>394</v>
      </c>
      <c r="B277" s="7" t="s">
        <v>80</v>
      </c>
      <c r="C277" s="7" t="s">
        <v>664</v>
      </c>
      <c r="D277" s="10" t="n">
        <v>0</v>
      </c>
      <c r="E277" s="10" t="n">
        <v>0</v>
      </c>
      <c r="F277" s="10" t="n">
        <v>525.6</v>
      </c>
      <c r="G277" s="10" t="n">
        <v>0</v>
      </c>
      <c r="H277" s="10" t="n">
        <v>0</v>
      </c>
      <c r="I277" s="10" t="n">
        <v>10412.1</v>
      </c>
      <c r="J277" s="10" t="n">
        <v>0</v>
      </c>
      <c r="K277" s="10" t="n">
        <v>97</v>
      </c>
      <c r="L277" s="10" t="n">
        <v>0</v>
      </c>
      <c r="M277" s="10" t="n">
        <v>0</v>
      </c>
      <c r="N277" s="10" t="n">
        <v>0</v>
      </c>
      <c r="O277" s="10" t="n">
        <v>0</v>
      </c>
      <c r="P277" s="10" t="n">
        <v>0</v>
      </c>
      <c r="Q277" s="10" t="n">
        <v>8568.6</v>
      </c>
      <c r="R277" s="10" t="n">
        <v>1746.5</v>
      </c>
      <c r="S277" s="10" t="n">
        <v>0</v>
      </c>
      <c r="T277" s="10" t="n">
        <v>0</v>
      </c>
      <c r="U277" s="10" t="n">
        <v>0</v>
      </c>
    </row>
    <row r="278" customFormat="false" ht="15" hidden="false" customHeight="false" outlineLevel="0" collapsed="false">
      <c r="A278" s="7" t="s">
        <v>394</v>
      </c>
      <c r="B278" s="7" t="s">
        <v>77</v>
      </c>
      <c r="C278" s="7" t="s">
        <v>665</v>
      </c>
      <c r="D278" s="10" t="n">
        <v>0</v>
      </c>
      <c r="E278" s="10" t="n">
        <v>0</v>
      </c>
      <c r="F278" s="10" t="n">
        <v>957.4</v>
      </c>
      <c r="G278" s="10" t="n">
        <v>0</v>
      </c>
      <c r="H278" s="10" t="n">
        <v>0</v>
      </c>
      <c r="I278" s="10" t="n">
        <v>3769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3416.1</v>
      </c>
      <c r="R278" s="10" t="n">
        <v>352.9</v>
      </c>
      <c r="S278" s="10" t="n">
        <v>0</v>
      </c>
      <c r="T278" s="10" t="n">
        <v>0</v>
      </c>
      <c r="U278" s="10" t="n">
        <v>0</v>
      </c>
    </row>
    <row r="279" customFormat="false" ht="15" hidden="false" customHeight="false" outlineLevel="0" collapsed="false">
      <c r="A279" s="7" t="s">
        <v>394</v>
      </c>
      <c r="B279" s="7" t="s">
        <v>77</v>
      </c>
      <c r="C279" s="7" t="s">
        <v>666</v>
      </c>
      <c r="D279" s="10" t="n">
        <v>0</v>
      </c>
      <c r="E279" s="10" t="n">
        <v>0</v>
      </c>
      <c r="F279" s="10" t="n">
        <v>2744.1</v>
      </c>
      <c r="G279" s="10" t="n">
        <v>0</v>
      </c>
      <c r="H279" s="10" t="n">
        <v>0</v>
      </c>
      <c r="I279" s="10" t="n">
        <v>21948.3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0" t="n">
        <v>0</v>
      </c>
      <c r="P279" s="10" t="n">
        <v>-176.4</v>
      </c>
      <c r="Q279" s="10" t="n">
        <v>20889.7</v>
      </c>
      <c r="R279" s="10" t="n">
        <v>1235.1</v>
      </c>
      <c r="S279" s="10" t="n">
        <v>0</v>
      </c>
      <c r="T279" s="10" t="n">
        <v>0</v>
      </c>
      <c r="U279" s="10" t="n">
        <v>0</v>
      </c>
    </row>
    <row r="280" customFormat="false" ht="15" hidden="false" customHeight="false" outlineLevel="0" collapsed="false">
      <c r="A280" s="7" t="s">
        <v>394</v>
      </c>
      <c r="B280" s="7" t="s">
        <v>77</v>
      </c>
      <c r="C280" s="7" t="s">
        <v>667</v>
      </c>
      <c r="D280" s="10" t="n">
        <v>0</v>
      </c>
      <c r="E280" s="10" t="n">
        <v>0</v>
      </c>
      <c r="F280" s="10" t="n">
        <v>5337.7</v>
      </c>
      <c r="G280" s="10" t="n">
        <v>0</v>
      </c>
      <c r="H280" s="10" t="n">
        <v>0</v>
      </c>
      <c r="I280" s="10" t="n">
        <v>36692.1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-176.4</v>
      </c>
      <c r="Q280" s="10" t="n">
        <v>34398.3</v>
      </c>
      <c r="R280" s="10" t="n">
        <v>2470.2</v>
      </c>
      <c r="S280" s="10" t="n">
        <v>0</v>
      </c>
      <c r="T280" s="10" t="n">
        <v>0</v>
      </c>
      <c r="U280" s="10" t="n">
        <v>0</v>
      </c>
    </row>
    <row r="281" customFormat="false" ht="15" hidden="false" customHeight="false" outlineLevel="0" collapsed="false">
      <c r="A281" s="7" t="s">
        <v>394</v>
      </c>
      <c r="B281" s="7" t="s">
        <v>77</v>
      </c>
      <c r="C281" s="7" t="s">
        <v>668</v>
      </c>
      <c r="D281" s="10" t="n">
        <v>0</v>
      </c>
      <c r="E281" s="10" t="n">
        <v>0</v>
      </c>
      <c r="F281" s="10" t="n">
        <v>3457.1</v>
      </c>
      <c r="G281" s="10" t="n">
        <v>0</v>
      </c>
      <c r="H281" s="10" t="n">
        <v>0</v>
      </c>
      <c r="I281" s="10" t="n">
        <v>22006.3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0" t="n">
        <v>0</v>
      </c>
      <c r="P281" s="10" t="n">
        <v>0</v>
      </c>
      <c r="Q281" s="10" t="n">
        <v>20594.8</v>
      </c>
      <c r="R281" s="10" t="n">
        <v>1411.5</v>
      </c>
      <c r="S281" s="10" t="n">
        <v>0</v>
      </c>
      <c r="T281" s="10" t="n">
        <v>0</v>
      </c>
      <c r="U281" s="10" t="n">
        <v>0</v>
      </c>
    </row>
    <row r="282" customFormat="false" ht="15" hidden="false" customHeight="false" outlineLevel="0" collapsed="false">
      <c r="A282" s="7" t="s">
        <v>394</v>
      </c>
      <c r="B282" s="7" t="s">
        <v>77</v>
      </c>
      <c r="C282" s="7" t="s">
        <v>669</v>
      </c>
      <c r="D282" s="10" t="n">
        <v>0</v>
      </c>
      <c r="E282" s="10" t="n">
        <v>0</v>
      </c>
      <c r="F282" s="10" t="n">
        <v>403</v>
      </c>
      <c r="G282" s="10" t="n">
        <v>0</v>
      </c>
      <c r="H282" s="10" t="n">
        <v>0</v>
      </c>
      <c r="I282" s="10" t="n">
        <v>8552.8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>
        <v>0</v>
      </c>
      <c r="Q282" s="10" t="n">
        <v>7847</v>
      </c>
      <c r="R282" s="10" t="n">
        <v>705.8</v>
      </c>
      <c r="S282" s="10" t="n">
        <v>0</v>
      </c>
      <c r="T282" s="10" t="n">
        <v>0</v>
      </c>
      <c r="U282" s="10" t="n">
        <v>0</v>
      </c>
    </row>
    <row r="283" customFormat="false" ht="15" hidden="false" customHeight="false" outlineLevel="0" collapsed="false">
      <c r="A283" s="7" t="s">
        <v>394</v>
      </c>
      <c r="B283" s="7" t="s">
        <v>329</v>
      </c>
      <c r="C283" s="7" t="s">
        <v>670</v>
      </c>
      <c r="D283" s="10" t="n">
        <v>0</v>
      </c>
      <c r="E283" s="10" t="n">
        <v>0</v>
      </c>
      <c r="F283" s="10" t="n">
        <v>0</v>
      </c>
      <c r="G283" s="10" t="n">
        <v>0</v>
      </c>
      <c r="H283" s="10" t="n">
        <v>0</v>
      </c>
      <c r="I283" s="10" t="n">
        <v>-88.2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0" t="n">
        <v>0</v>
      </c>
      <c r="P283" s="10" t="n">
        <v>-88.2</v>
      </c>
      <c r="Q283" s="10" t="n">
        <v>0</v>
      </c>
      <c r="R283" s="10" t="n">
        <v>0</v>
      </c>
      <c r="S283" s="10" t="n">
        <v>0</v>
      </c>
      <c r="T283" s="10" t="n">
        <v>0</v>
      </c>
      <c r="U283" s="10" t="n">
        <v>0</v>
      </c>
    </row>
    <row r="284" customFormat="false" ht="15" hidden="false" customHeight="false" outlineLevel="0" collapsed="false">
      <c r="A284" s="7" t="s">
        <v>394</v>
      </c>
      <c r="B284" s="7" t="s">
        <v>329</v>
      </c>
      <c r="C284" s="7" t="s">
        <v>671</v>
      </c>
      <c r="D284" s="10" t="n">
        <v>0</v>
      </c>
      <c r="E284" s="10" t="n">
        <v>0</v>
      </c>
      <c r="F284" s="10" t="n">
        <v>0</v>
      </c>
      <c r="G284" s="10" t="n">
        <v>0</v>
      </c>
      <c r="H284" s="10" t="n">
        <v>0</v>
      </c>
      <c r="I284" s="10" t="n">
        <v>-302.4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0" t="n">
        <v>0</v>
      </c>
      <c r="P284" s="10" t="n">
        <v>-302.4</v>
      </c>
      <c r="Q284" s="10" t="n">
        <v>0</v>
      </c>
      <c r="R284" s="10" t="n">
        <v>0</v>
      </c>
      <c r="S284" s="10" t="n">
        <v>0</v>
      </c>
      <c r="T284" s="10" t="n">
        <v>0</v>
      </c>
      <c r="U284" s="10" t="n">
        <v>0</v>
      </c>
    </row>
    <row r="285" customFormat="false" ht="15" hidden="false" customHeight="false" outlineLevel="0" collapsed="false">
      <c r="A285" s="7" t="s">
        <v>394</v>
      </c>
      <c r="B285" s="7" t="s">
        <v>352</v>
      </c>
      <c r="C285" s="7" t="s">
        <v>672</v>
      </c>
      <c r="D285" s="10" t="n">
        <v>0</v>
      </c>
      <c r="E285" s="10" t="n">
        <v>0</v>
      </c>
      <c r="F285" s="10" t="n">
        <v>0</v>
      </c>
      <c r="G285" s="10" t="n">
        <v>0</v>
      </c>
      <c r="H285" s="10" t="n">
        <v>0</v>
      </c>
      <c r="I285" s="10" t="n">
        <v>-69.7</v>
      </c>
      <c r="J285" s="10" t="n">
        <v>0</v>
      </c>
      <c r="K285" s="10" t="n">
        <v>61.7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-131.5</v>
      </c>
      <c r="Q285" s="10" t="n">
        <v>0</v>
      </c>
      <c r="R285" s="10" t="n">
        <v>0</v>
      </c>
      <c r="S285" s="10" t="n">
        <v>0</v>
      </c>
      <c r="T285" s="10" t="n">
        <v>0</v>
      </c>
      <c r="U285" s="10" t="n">
        <v>0</v>
      </c>
    </row>
    <row r="286" customFormat="false" ht="15" hidden="false" customHeight="false" outlineLevel="0" collapsed="false">
      <c r="A286" s="7" t="s">
        <v>394</v>
      </c>
      <c r="B286" s="7" t="s">
        <v>352</v>
      </c>
      <c r="C286" s="7" t="s">
        <v>673</v>
      </c>
      <c r="D286" s="10" t="n">
        <v>0</v>
      </c>
      <c r="E286" s="10" t="n">
        <v>0</v>
      </c>
      <c r="F286" s="10" t="n">
        <v>0</v>
      </c>
      <c r="G286" s="10" t="n">
        <v>0</v>
      </c>
      <c r="H286" s="10" t="n">
        <v>0</v>
      </c>
      <c r="I286" s="10" t="n">
        <v>-246.9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-246.9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</row>
    <row r="287" customFormat="false" ht="15" hidden="false" customHeight="false" outlineLevel="0" collapsed="false">
      <c r="A287" s="7" t="s">
        <v>394</v>
      </c>
      <c r="B287" s="7" t="s">
        <v>352</v>
      </c>
      <c r="C287" s="7" t="s">
        <v>674</v>
      </c>
      <c r="D287" s="10" t="n">
        <v>0</v>
      </c>
      <c r="E287" s="10" t="n">
        <v>0</v>
      </c>
      <c r="F287" s="10" t="n">
        <v>0</v>
      </c>
      <c r="G287" s="10" t="n">
        <v>0</v>
      </c>
      <c r="H287" s="10" t="n">
        <v>0</v>
      </c>
      <c r="I287" s="10" t="n">
        <v>-131.5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0" t="n">
        <v>0</v>
      </c>
      <c r="P287" s="10" t="n">
        <v>-131.5</v>
      </c>
      <c r="Q287" s="10" t="n">
        <v>0</v>
      </c>
      <c r="R287" s="10" t="n">
        <v>0</v>
      </c>
      <c r="S287" s="10" t="n">
        <v>0</v>
      </c>
      <c r="T287" s="10" t="n">
        <v>0</v>
      </c>
      <c r="U287" s="10" t="n">
        <v>0</v>
      </c>
    </row>
    <row r="288" customFormat="false" ht="15" hidden="false" customHeight="false" outlineLevel="0" collapsed="false">
      <c r="A288" s="7" t="s">
        <v>394</v>
      </c>
      <c r="B288" s="7" t="s">
        <v>298</v>
      </c>
      <c r="C288" s="7" t="s">
        <v>675</v>
      </c>
      <c r="D288" s="10" t="n">
        <v>0</v>
      </c>
      <c r="E288" s="10" t="n">
        <v>0</v>
      </c>
      <c r="F288" s="10" t="n">
        <v>237.1</v>
      </c>
      <c r="G288" s="10" t="n">
        <v>0</v>
      </c>
      <c r="H288" s="10" t="n">
        <v>0</v>
      </c>
      <c r="I288" s="10" t="n">
        <v>0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n">
        <v>0</v>
      </c>
      <c r="S288" s="10" t="n">
        <v>0</v>
      </c>
      <c r="T288" s="10" t="n">
        <v>0</v>
      </c>
      <c r="U288" s="10" t="n">
        <v>0</v>
      </c>
    </row>
    <row r="289" customFormat="false" ht="15" hidden="false" customHeight="false" outlineLevel="0" collapsed="false">
      <c r="A289" s="7" t="s">
        <v>394</v>
      </c>
      <c r="B289" s="7" t="s">
        <v>298</v>
      </c>
      <c r="C289" s="7" t="s">
        <v>676</v>
      </c>
      <c r="D289" s="10" t="n">
        <v>0</v>
      </c>
      <c r="E289" s="10" t="n">
        <v>0</v>
      </c>
      <c r="F289" s="10" t="n">
        <v>118.6</v>
      </c>
      <c r="G289" s="10" t="n">
        <v>0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  <c r="S289" s="10" t="n">
        <v>0</v>
      </c>
      <c r="T289" s="10" t="n">
        <v>0</v>
      </c>
      <c r="U289" s="10" t="n">
        <v>0</v>
      </c>
    </row>
    <row r="290" customFormat="false" ht="15" hidden="false" customHeight="false" outlineLevel="0" collapsed="false">
      <c r="A290" s="7" t="s">
        <v>394</v>
      </c>
      <c r="B290" s="7" t="s">
        <v>298</v>
      </c>
      <c r="C290" s="7" t="s">
        <v>677</v>
      </c>
      <c r="D290" s="10" t="n">
        <v>0</v>
      </c>
      <c r="E290" s="10" t="n">
        <v>0</v>
      </c>
      <c r="F290" s="10" t="n">
        <v>237.1</v>
      </c>
      <c r="G290" s="10" t="n">
        <v>0</v>
      </c>
      <c r="H290" s="10" t="n">
        <v>0</v>
      </c>
      <c r="I290" s="10" t="n">
        <v>0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  <c r="S290" s="10" t="n">
        <v>0</v>
      </c>
      <c r="T290" s="10" t="n">
        <v>0</v>
      </c>
      <c r="U290" s="10" t="n">
        <v>0</v>
      </c>
    </row>
    <row r="291" customFormat="false" ht="15" hidden="false" customHeight="false" outlineLevel="0" collapsed="false">
      <c r="A291" s="7" t="s">
        <v>394</v>
      </c>
      <c r="B291" s="7" t="s">
        <v>164</v>
      </c>
      <c r="C291" s="7" t="s">
        <v>678</v>
      </c>
      <c r="D291" s="10" t="n">
        <v>0</v>
      </c>
      <c r="E291" s="10" t="n">
        <v>0</v>
      </c>
      <c r="F291" s="10" t="n">
        <v>409.4</v>
      </c>
      <c r="G291" s="10" t="n">
        <v>0</v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0</v>
      </c>
      <c r="M291" s="10" t="n">
        <v>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n">
        <v>0</v>
      </c>
      <c r="S291" s="10" t="n">
        <v>0</v>
      </c>
      <c r="T291" s="10" t="n">
        <v>0</v>
      </c>
      <c r="U291" s="10" t="n">
        <v>0</v>
      </c>
    </row>
    <row r="292" customFormat="false" ht="15" hidden="false" customHeight="false" outlineLevel="0" collapsed="false">
      <c r="A292" s="7" t="s">
        <v>394</v>
      </c>
      <c r="B292" s="7" t="s">
        <v>210</v>
      </c>
      <c r="C292" s="7" t="s">
        <v>679</v>
      </c>
      <c r="D292" s="10" t="n">
        <v>0</v>
      </c>
      <c r="E292" s="10" t="n">
        <v>0</v>
      </c>
      <c r="F292" s="10" t="n">
        <v>94.6</v>
      </c>
      <c r="G292" s="10" t="n">
        <v>0</v>
      </c>
      <c r="H292" s="10" t="n">
        <v>0</v>
      </c>
      <c r="I292" s="10" t="n">
        <v>-6.6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-47.2</v>
      </c>
      <c r="O292" s="10" t="n">
        <v>0</v>
      </c>
      <c r="P292" s="10" t="n">
        <v>-43.7</v>
      </c>
      <c r="Q292" s="10" t="n">
        <v>40.6</v>
      </c>
      <c r="R292" s="10" t="n">
        <v>43.7</v>
      </c>
      <c r="S292" s="10" t="n">
        <v>0</v>
      </c>
      <c r="T292" s="10" t="n">
        <v>0</v>
      </c>
      <c r="U292" s="10" t="n">
        <v>0</v>
      </c>
    </row>
    <row r="293" customFormat="false" ht="15" hidden="false" customHeight="false" outlineLevel="0" collapsed="false">
      <c r="A293" s="7" t="s">
        <v>394</v>
      </c>
      <c r="B293" s="7" t="s">
        <v>210</v>
      </c>
      <c r="C293" s="7" t="s">
        <v>680</v>
      </c>
      <c r="D293" s="10" t="n">
        <v>0</v>
      </c>
      <c r="E293" s="10" t="n">
        <v>0</v>
      </c>
      <c r="F293" s="10" t="n">
        <v>186</v>
      </c>
      <c r="G293" s="10" t="n">
        <v>0</v>
      </c>
      <c r="H293" s="10" t="n">
        <v>0</v>
      </c>
      <c r="I293" s="10" t="n">
        <v>139.4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n">
        <v>0</v>
      </c>
      <c r="O293" s="10" t="n">
        <v>0</v>
      </c>
      <c r="P293" s="10" t="n">
        <v>-131.1</v>
      </c>
      <c r="Q293" s="10" t="n">
        <v>-79.1</v>
      </c>
      <c r="R293" s="10" t="n">
        <v>349.6</v>
      </c>
      <c r="S293" s="10" t="n">
        <v>0</v>
      </c>
      <c r="T293" s="10" t="n">
        <v>0</v>
      </c>
      <c r="U293" s="10" t="n">
        <v>0</v>
      </c>
    </row>
    <row r="294" customFormat="false" ht="15" hidden="false" customHeight="false" outlineLevel="0" collapsed="false">
      <c r="A294" s="7" t="s">
        <v>394</v>
      </c>
      <c r="B294" s="7" t="s">
        <v>210</v>
      </c>
      <c r="C294" s="7" t="s">
        <v>681</v>
      </c>
      <c r="D294" s="10" t="n">
        <v>0</v>
      </c>
      <c r="E294" s="10" t="n">
        <v>0</v>
      </c>
      <c r="F294" s="10" t="n">
        <v>217.5</v>
      </c>
      <c r="G294" s="10" t="n">
        <v>0</v>
      </c>
      <c r="H294" s="10" t="n">
        <v>0</v>
      </c>
      <c r="I294" s="10" t="n">
        <v>-292.7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O294" s="10" t="n">
        <v>0</v>
      </c>
      <c r="P294" s="10" t="n">
        <v>-252.2</v>
      </c>
      <c r="Q294" s="10" t="n">
        <v>-40.6</v>
      </c>
      <c r="R294" s="10" t="n">
        <v>0</v>
      </c>
      <c r="S294" s="10" t="n">
        <v>0</v>
      </c>
      <c r="T294" s="10" t="n">
        <v>0</v>
      </c>
      <c r="U294" s="10" t="n">
        <v>0</v>
      </c>
    </row>
    <row r="295" customFormat="false" ht="15" hidden="false" customHeight="false" outlineLevel="0" collapsed="false">
      <c r="A295" s="7" t="s">
        <v>394</v>
      </c>
      <c r="B295" s="7" t="s">
        <v>178</v>
      </c>
      <c r="C295" s="7" t="s">
        <v>682</v>
      </c>
      <c r="D295" s="10" t="n">
        <v>0</v>
      </c>
      <c r="E295" s="10" t="n">
        <v>0</v>
      </c>
      <c r="F295" s="10" t="n">
        <v>0</v>
      </c>
      <c r="G295" s="10" t="n">
        <v>0</v>
      </c>
      <c r="H295" s="10" t="n">
        <v>0</v>
      </c>
      <c r="I295" s="10" t="n">
        <v>-271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0" t="n">
        <v>0</v>
      </c>
      <c r="P295" s="10" t="n">
        <v>-467.7</v>
      </c>
      <c r="Q295" s="10" t="n">
        <v>0</v>
      </c>
      <c r="R295" s="10" t="n">
        <v>196.7</v>
      </c>
      <c r="S295" s="10" t="n">
        <v>0</v>
      </c>
      <c r="T295" s="10" t="n">
        <v>0</v>
      </c>
      <c r="U295" s="10" t="n">
        <v>0</v>
      </c>
    </row>
    <row r="296" customFormat="false" ht="15" hidden="false" customHeight="false" outlineLevel="0" collapsed="false">
      <c r="A296" s="7" t="s">
        <v>394</v>
      </c>
      <c r="B296" s="7" t="s">
        <v>178</v>
      </c>
      <c r="C296" s="7" t="s">
        <v>683</v>
      </c>
      <c r="D296" s="10" t="n">
        <v>0</v>
      </c>
      <c r="E296" s="10" t="n">
        <v>0</v>
      </c>
      <c r="F296" s="10" t="n">
        <v>0</v>
      </c>
      <c r="G296" s="10" t="n">
        <v>0</v>
      </c>
      <c r="H296" s="10" t="n">
        <v>0</v>
      </c>
      <c r="I296" s="10" t="n">
        <v>-758.9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0</v>
      </c>
      <c r="O296" s="10" t="n">
        <v>0</v>
      </c>
      <c r="P296" s="10" t="n">
        <v>-393.5</v>
      </c>
      <c r="Q296" s="10" t="n">
        <v>-365.4</v>
      </c>
      <c r="R296" s="10" t="n">
        <v>0</v>
      </c>
      <c r="S296" s="10" t="n">
        <v>0</v>
      </c>
      <c r="T296" s="10" t="n">
        <v>0</v>
      </c>
      <c r="U296" s="10" t="n">
        <v>0</v>
      </c>
    </row>
    <row r="297" customFormat="false" ht="15" hidden="false" customHeight="false" outlineLevel="0" collapsed="false">
      <c r="A297" s="7" t="s">
        <v>394</v>
      </c>
      <c r="B297" s="7" t="s">
        <v>178</v>
      </c>
      <c r="C297" s="7" t="s">
        <v>684</v>
      </c>
      <c r="D297" s="10" t="n">
        <v>0</v>
      </c>
      <c r="E297" s="10" t="n">
        <v>0</v>
      </c>
      <c r="F297" s="10" t="n">
        <v>-13.5</v>
      </c>
      <c r="G297" s="10" t="n">
        <v>0</v>
      </c>
      <c r="H297" s="10" t="n">
        <v>0</v>
      </c>
      <c r="I297" s="10" t="n">
        <v>-365.4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-365.4</v>
      </c>
      <c r="R297" s="10" t="n">
        <v>0</v>
      </c>
      <c r="S297" s="10" t="n">
        <v>0</v>
      </c>
      <c r="T297" s="10" t="n">
        <v>0</v>
      </c>
      <c r="U297" s="10" t="n">
        <v>0</v>
      </c>
    </row>
    <row r="298" customFormat="false" ht="15" hidden="false" customHeight="false" outlineLevel="0" collapsed="false">
      <c r="A298" s="7" t="s">
        <v>394</v>
      </c>
      <c r="B298" s="7" t="s">
        <v>178</v>
      </c>
      <c r="C298" s="7" t="s">
        <v>685</v>
      </c>
      <c r="D298" s="10" t="n">
        <v>0</v>
      </c>
      <c r="E298" s="10" t="n">
        <v>0</v>
      </c>
      <c r="F298" s="10" t="n">
        <v>189.8</v>
      </c>
      <c r="G298" s="10" t="n">
        <v>0</v>
      </c>
      <c r="H298" s="10" t="n">
        <v>0</v>
      </c>
      <c r="I298" s="10" t="n">
        <v>787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787</v>
      </c>
      <c r="S298" s="10" t="n">
        <v>0</v>
      </c>
      <c r="T298" s="10" t="n">
        <v>0</v>
      </c>
      <c r="U298" s="10" t="n">
        <v>0</v>
      </c>
    </row>
    <row r="299" customFormat="false" ht="15" hidden="false" customHeight="false" outlineLevel="0" collapsed="false">
      <c r="A299" s="7" t="s">
        <v>394</v>
      </c>
      <c r="B299" s="7" t="s">
        <v>178</v>
      </c>
      <c r="C299" s="7" t="s">
        <v>686</v>
      </c>
      <c r="D299" s="10" t="n">
        <v>0</v>
      </c>
      <c r="E299" s="10" t="n">
        <v>0</v>
      </c>
      <c r="F299" s="10" t="n">
        <v>203.4</v>
      </c>
      <c r="G299" s="10" t="n">
        <v>0</v>
      </c>
      <c r="H299" s="10" t="n">
        <v>0</v>
      </c>
      <c r="I299" s="10" t="n">
        <v>0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  <c r="S299" s="10" t="n">
        <v>0</v>
      </c>
      <c r="T299" s="10" t="n">
        <v>0</v>
      </c>
      <c r="U299" s="10" t="n">
        <v>0</v>
      </c>
    </row>
    <row r="300" customFormat="false" ht="15" hidden="false" customHeight="false" outlineLevel="0" collapsed="false">
      <c r="A300" s="7" t="s">
        <v>394</v>
      </c>
      <c r="B300" s="7" t="s">
        <v>89</v>
      </c>
      <c r="C300" s="7" t="s">
        <v>687</v>
      </c>
      <c r="D300" s="10" t="n">
        <v>0</v>
      </c>
      <c r="E300" s="10" t="n">
        <v>0</v>
      </c>
      <c r="F300" s="10" t="n">
        <v>0</v>
      </c>
      <c r="G300" s="10" t="n">
        <v>0</v>
      </c>
      <c r="H300" s="10" t="n">
        <v>0</v>
      </c>
      <c r="I300" s="10" t="n">
        <v>-185.8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0</v>
      </c>
      <c r="O300" s="10" t="n">
        <v>0</v>
      </c>
      <c r="P300" s="10" t="n">
        <v>0</v>
      </c>
      <c r="Q300" s="10" t="n">
        <v>-185.8</v>
      </c>
      <c r="R300" s="10" t="n">
        <v>0</v>
      </c>
      <c r="S300" s="10" t="n">
        <v>0</v>
      </c>
      <c r="T300" s="10" t="n">
        <v>0</v>
      </c>
      <c r="U300" s="10" t="n">
        <v>0</v>
      </c>
    </row>
    <row r="301" customFormat="false" ht="15" hidden="false" customHeight="false" outlineLevel="0" collapsed="false">
      <c r="A301" s="7" t="s">
        <v>394</v>
      </c>
      <c r="B301" s="7" t="s">
        <v>230</v>
      </c>
      <c r="C301" s="7" t="s">
        <v>688</v>
      </c>
      <c r="D301" s="10" t="n">
        <v>0</v>
      </c>
      <c r="E301" s="10" t="n">
        <v>0</v>
      </c>
      <c r="F301" s="10" t="n">
        <v>0</v>
      </c>
      <c r="G301" s="10" t="n">
        <v>0</v>
      </c>
      <c r="H301" s="10" t="n">
        <v>0</v>
      </c>
      <c r="I301" s="10" t="n">
        <v>2428.2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0" t="n">
        <v>0</v>
      </c>
      <c r="P301" s="10" t="n">
        <v>0</v>
      </c>
      <c r="Q301" s="10" t="n">
        <v>2428.2</v>
      </c>
      <c r="R301" s="10" t="n">
        <v>0</v>
      </c>
      <c r="S301" s="10" t="n">
        <v>0</v>
      </c>
      <c r="T301" s="10" t="n">
        <v>0</v>
      </c>
      <c r="U301" s="10" t="n">
        <v>0</v>
      </c>
    </row>
    <row r="302" customFormat="false" ht="15" hidden="false" customHeight="false" outlineLevel="0" collapsed="false">
      <c r="A302" s="7" t="s">
        <v>394</v>
      </c>
      <c r="B302" s="7" t="s">
        <v>305</v>
      </c>
      <c r="C302" s="7" t="s">
        <v>689</v>
      </c>
      <c r="D302" s="10" t="n">
        <v>0</v>
      </c>
      <c r="E302" s="10" t="n">
        <v>0</v>
      </c>
      <c r="F302" s="10" t="n">
        <v>346.6</v>
      </c>
      <c r="G302" s="10" t="n">
        <v>0</v>
      </c>
      <c r="H302" s="10" t="n">
        <v>0</v>
      </c>
      <c r="I302" s="10" t="n">
        <v>0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0</v>
      </c>
      <c r="P302" s="10" t="n">
        <v>0</v>
      </c>
      <c r="Q302" s="10" t="n">
        <v>0</v>
      </c>
      <c r="R302" s="10" t="n">
        <v>0</v>
      </c>
      <c r="S302" s="10" t="n">
        <v>0</v>
      </c>
      <c r="T302" s="10" t="n">
        <v>0</v>
      </c>
      <c r="U302" s="10" t="n">
        <v>0</v>
      </c>
    </row>
    <row r="303" customFormat="false" ht="15" hidden="false" customHeight="false" outlineLevel="0" collapsed="false">
      <c r="A303" s="7" t="s">
        <v>394</v>
      </c>
      <c r="B303" s="7" t="s">
        <v>102</v>
      </c>
      <c r="C303" s="7" t="s">
        <v>690</v>
      </c>
      <c r="D303" s="10" t="n">
        <v>0</v>
      </c>
      <c r="E303" s="10" t="n">
        <v>0</v>
      </c>
      <c r="F303" s="10" t="n">
        <v>4291.2</v>
      </c>
      <c r="G303" s="10" t="n">
        <v>0</v>
      </c>
      <c r="H303" s="10" t="n">
        <v>0</v>
      </c>
      <c r="I303" s="10" t="n">
        <v>28034.3</v>
      </c>
      <c r="J303" s="10" t="n">
        <v>0</v>
      </c>
      <c r="K303" s="10" t="n">
        <v>346</v>
      </c>
      <c r="L303" s="10" t="n">
        <v>-28.8</v>
      </c>
      <c r="M303" s="10" t="n">
        <v>0</v>
      </c>
      <c r="N303" s="10" t="n">
        <v>41.2</v>
      </c>
      <c r="O303" s="10" t="n">
        <v>65.5</v>
      </c>
      <c r="P303" s="10" t="n">
        <v>-201.8</v>
      </c>
      <c r="Q303" s="10" t="n">
        <v>25707.7</v>
      </c>
      <c r="R303" s="10" t="n">
        <v>2104.6</v>
      </c>
      <c r="S303" s="10" t="n">
        <v>0</v>
      </c>
      <c r="T303" s="10" t="n">
        <v>0</v>
      </c>
      <c r="U303" s="10" t="n">
        <v>0</v>
      </c>
    </row>
    <row r="304" customFormat="false" ht="15" hidden="false" customHeight="false" outlineLevel="0" collapsed="false">
      <c r="A304" s="7" t="s">
        <v>394</v>
      </c>
      <c r="B304" s="7" t="s">
        <v>56</v>
      </c>
      <c r="C304" s="7" t="s">
        <v>691</v>
      </c>
      <c r="D304" s="10" t="n">
        <v>0</v>
      </c>
      <c r="E304" s="10" t="n">
        <v>0</v>
      </c>
      <c r="F304" s="10" t="n">
        <v>240.9</v>
      </c>
      <c r="G304" s="10" t="n">
        <v>0</v>
      </c>
      <c r="H304" s="10" t="n">
        <v>0</v>
      </c>
      <c r="I304" s="10" t="n">
        <v>0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n">
        <v>0</v>
      </c>
      <c r="S304" s="10" t="n">
        <v>0</v>
      </c>
      <c r="T304" s="10" t="n">
        <v>0</v>
      </c>
      <c r="U304" s="10" t="n">
        <v>0</v>
      </c>
    </row>
    <row r="305" customFormat="false" ht="15" hidden="false" customHeight="false" outlineLevel="0" collapsed="false">
      <c r="A305" s="7" t="s">
        <v>394</v>
      </c>
      <c r="B305" s="7" t="s">
        <v>294</v>
      </c>
      <c r="C305" s="7" t="s">
        <v>692</v>
      </c>
      <c r="D305" s="10" t="n">
        <v>0</v>
      </c>
      <c r="E305" s="10" t="n">
        <v>0</v>
      </c>
      <c r="F305" s="10" t="n">
        <v>11419.5</v>
      </c>
      <c r="G305" s="10" t="n">
        <v>0</v>
      </c>
      <c r="H305" s="10" t="n">
        <v>0</v>
      </c>
      <c r="I305" s="10" t="n">
        <v>381.1</v>
      </c>
      <c r="J305" s="10" t="n">
        <v>0</v>
      </c>
      <c r="K305" s="10" t="n">
        <v>0</v>
      </c>
      <c r="L305" s="10" t="n">
        <v>0</v>
      </c>
      <c r="M305" s="10" t="n">
        <v>321.7</v>
      </c>
      <c r="N305" s="10" t="n">
        <v>59.5</v>
      </c>
      <c r="O305" s="10" t="n">
        <v>0</v>
      </c>
      <c r="P305" s="10" t="n">
        <v>0</v>
      </c>
      <c r="Q305" s="10" t="n">
        <v>0</v>
      </c>
      <c r="R305" s="10" t="n">
        <v>0</v>
      </c>
      <c r="S305" s="10" t="n">
        <v>0</v>
      </c>
      <c r="T305" s="10" t="n">
        <v>0</v>
      </c>
      <c r="U305" s="10" t="n">
        <v>0</v>
      </c>
    </row>
    <row r="306" customFormat="false" ht="15" hidden="false" customHeight="false" outlineLevel="0" collapsed="false">
      <c r="A306" s="7" t="s">
        <v>394</v>
      </c>
      <c r="B306" s="7" t="s">
        <v>276</v>
      </c>
      <c r="C306" s="7" t="s">
        <v>693</v>
      </c>
      <c r="D306" s="10" t="n">
        <v>0</v>
      </c>
      <c r="E306" s="10" t="n">
        <v>0</v>
      </c>
      <c r="F306" s="10" t="n">
        <v>9674.1</v>
      </c>
      <c r="G306" s="10" t="n">
        <v>0</v>
      </c>
      <c r="H306" s="10" t="n">
        <v>0</v>
      </c>
      <c r="I306" s="10" t="n">
        <v>270.4</v>
      </c>
      <c r="J306" s="10" t="n">
        <v>0</v>
      </c>
      <c r="K306" s="10" t="n">
        <v>90.1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180.2</v>
      </c>
      <c r="S306" s="10" t="n">
        <v>0</v>
      </c>
      <c r="T306" s="10" t="n">
        <v>0</v>
      </c>
      <c r="U306" s="10" t="n">
        <v>0</v>
      </c>
    </row>
    <row r="307" customFormat="false" ht="15" hidden="false" customHeight="false" outlineLevel="0" collapsed="false">
      <c r="A307" s="7" t="s">
        <v>394</v>
      </c>
      <c r="B307" s="7" t="s">
        <v>66</v>
      </c>
      <c r="C307" s="7" t="s">
        <v>694</v>
      </c>
      <c r="D307" s="10" t="n">
        <v>0</v>
      </c>
      <c r="E307" s="10" t="n">
        <v>0</v>
      </c>
      <c r="F307" s="10" t="n">
        <v>35979.5</v>
      </c>
      <c r="G307" s="10" t="n">
        <v>0</v>
      </c>
      <c r="H307" s="10" t="n">
        <v>0</v>
      </c>
      <c r="I307" s="10" t="n">
        <v>6000.1</v>
      </c>
      <c r="J307" s="10" t="n">
        <v>0</v>
      </c>
      <c r="K307" s="10" t="n">
        <v>0</v>
      </c>
      <c r="L307" s="10" t="n">
        <v>0</v>
      </c>
      <c r="M307" s="10" t="n">
        <v>795.8</v>
      </c>
      <c r="N307" s="10" t="n">
        <v>141.7</v>
      </c>
      <c r="O307" s="10" t="n">
        <v>0</v>
      </c>
      <c r="P307" s="10" t="n">
        <v>0</v>
      </c>
      <c r="Q307" s="10" t="n">
        <v>5062.6</v>
      </c>
      <c r="R307" s="10" t="n">
        <v>0</v>
      </c>
      <c r="S307" s="10" t="n">
        <v>70</v>
      </c>
      <c r="T307" s="10" t="n">
        <v>0</v>
      </c>
      <c r="U307" s="10" t="n">
        <v>0</v>
      </c>
    </row>
    <row r="308" customFormat="false" ht="15" hidden="false" customHeight="false" outlineLevel="0" collapsed="false">
      <c r="A308" s="7" t="s">
        <v>394</v>
      </c>
      <c r="B308" s="7" t="s">
        <v>302</v>
      </c>
      <c r="C308" s="7" t="s">
        <v>695</v>
      </c>
      <c r="D308" s="10" t="n">
        <v>0</v>
      </c>
      <c r="E308" s="10" t="n">
        <v>0</v>
      </c>
      <c r="F308" s="10" t="n">
        <v>955.8</v>
      </c>
      <c r="G308" s="10" t="n">
        <v>0</v>
      </c>
      <c r="H308" s="10" t="n">
        <v>0</v>
      </c>
      <c r="I308" s="10" t="n">
        <v>245.6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245.6</v>
      </c>
      <c r="O308" s="10" t="n">
        <v>0</v>
      </c>
      <c r="P308" s="10" t="n">
        <v>0</v>
      </c>
      <c r="Q308" s="10" t="n">
        <v>0</v>
      </c>
      <c r="R308" s="10" t="n">
        <v>0</v>
      </c>
      <c r="S308" s="10" t="n">
        <v>0</v>
      </c>
      <c r="T308" s="10" t="n">
        <v>0</v>
      </c>
      <c r="U308" s="10" t="n">
        <v>0</v>
      </c>
    </row>
    <row r="309" customFormat="false" ht="15" hidden="false" customHeight="false" outlineLevel="0" collapsed="false">
      <c r="A309" s="7" t="s">
        <v>394</v>
      </c>
      <c r="B309" s="7" t="s">
        <v>278</v>
      </c>
      <c r="C309" s="7" t="s">
        <v>696</v>
      </c>
      <c r="D309" s="10" t="n">
        <v>0</v>
      </c>
      <c r="E309" s="10" t="n">
        <v>0</v>
      </c>
      <c r="F309" s="10" t="n">
        <v>8293.3</v>
      </c>
      <c r="G309" s="10" t="n">
        <v>0</v>
      </c>
      <c r="H309" s="10" t="n">
        <v>0</v>
      </c>
      <c r="I309" s="10" t="n">
        <v>107.6</v>
      </c>
      <c r="J309" s="10" t="n">
        <v>0</v>
      </c>
      <c r="K309" s="10" t="n">
        <v>0</v>
      </c>
      <c r="L309" s="10" t="n">
        <v>0</v>
      </c>
      <c r="M309" s="10" t="n">
        <v>107.6</v>
      </c>
      <c r="N309" s="10" t="n">
        <v>0</v>
      </c>
      <c r="O309" s="10" t="n">
        <v>0</v>
      </c>
      <c r="P309" s="10" t="n">
        <v>0</v>
      </c>
      <c r="Q309" s="10" t="n">
        <v>0</v>
      </c>
      <c r="R309" s="10" t="n">
        <v>0</v>
      </c>
      <c r="S309" s="10" t="n">
        <v>0</v>
      </c>
      <c r="T309" s="10" t="n">
        <v>0</v>
      </c>
      <c r="U309" s="10" t="n">
        <v>0</v>
      </c>
    </row>
    <row r="310" customFormat="false" ht="15" hidden="false" customHeight="false" outlineLevel="0" collapsed="false">
      <c r="A310" s="7" t="s">
        <v>394</v>
      </c>
      <c r="B310" s="7" t="s">
        <v>58</v>
      </c>
      <c r="C310" s="7" t="s">
        <v>697</v>
      </c>
      <c r="D310" s="10" t="n">
        <v>0</v>
      </c>
      <c r="E310" s="10" t="n">
        <v>0</v>
      </c>
      <c r="F310" s="10" t="n">
        <v>146.2</v>
      </c>
      <c r="G310" s="10" t="n">
        <v>0</v>
      </c>
      <c r="H310" s="10" t="n">
        <v>0</v>
      </c>
      <c r="I310" s="10" t="n">
        <v>0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  <c r="S310" s="10" t="n">
        <v>0</v>
      </c>
      <c r="T310" s="10" t="n">
        <v>0</v>
      </c>
      <c r="U310" s="10" t="n">
        <v>0</v>
      </c>
    </row>
    <row r="311" customFormat="false" ht="15" hidden="false" customHeight="false" outlineLevel="0" collapsed="false">
      <c r="A311" s="7" t="s">
        <v>394</v>
      </c>
      <c r="B311" s="7" t="s">
        <v>146</v>
      </c>
      <c r="C311" s="7" t="s">
        <v>698</v>
      </c>
      <c r="D311" s="10" t="n">
        <v>0</v>
      </c>
      <c r="E311" s="10" t="n">
        <v>0</v>
      </c>
      <c r="F311" s="10" t="n">
        <v>676</v>
      </c>
      <c r="G311" s="10" t="n">
        <v>0</v>
      </c>
      <c r="H311" s="10" t="n">
        <v>0</v>
      </c>
      <c r="I311" s="10" t="n">
        <v>5560</v>
      </c>
      <c r="J311" s="10" t="n">
        <v>0</v>
      </c>
      <c r="K311" s="10" t="n">
        <v>655.5</v>
      </c>
      <c r="L311" s="10" t="n">
        <v>0</v>
      </c>
      <c r="M311" s="10" t="n">
        <v>0</v>
      </c>
      <c r="N311" s="10" t="n">
        <v>38.2</v>
      </c>
      <c r="O311" s="10" t="n">
        <v>0</v>
      </c>
      <c r="P311" s="10" t="n">
        <v>-174.8</v>
      </c>
      <c r="Q311" s="10" t="n">
        <v>4298.2</v>
      </c>
      <c r="R311" s="10" t="n">
        <v>742.9</v>
      </c>
      <c r="S311" s="10" t="n">
        <v>0</v>
      </c>
      <c r="T311" s="10" t="n">
        <v>0</v>
      </c>
      <c r="U311" s="10" t="n">
        <v>0</v>
      </c>
    </row>
    <row r="312" customFormat="false" ht="15" hidden="false" customHeight="false" outlineLevel="0" collapsed="false">
      <c r="A312" s="7" t="s">
        <v>394</v>
      </c>
      <c r="B312" s="7" t="s">
        <v>282</v>
      </c>
      <c r="C312" s="7" t="s">
        <v>699</v>
      </c>
      <c r="D312" s="10" t="n">
        <v>0</v>
      </c>
      <c r="E312" s="10" t="n">
        <v>0</v>
      </c>
      <c r="F312" s="10" t="n">
        <v>512.4</v>
      </c>
      <c r="G312" s="10" t="n">
        <v>0</v>
      </c>
      <c r="H312" s="10" t="n">
        <v>0</v>
      </c>
      <c r="I312" s="10" t="n">
        <v>0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  <c r="S312" s="10" t="n">
        <v>0</v>
      </c>
      <c r="T312" s="10" t="n">
        <v>0</v>
      </c>
      <c r="U312" s="10" t="n">
        <v>0</v>
      </c>
    </row>
    <row r="313" customFormat="false" ht="15" hidden="false" customHeight="false" outlineLevel="0" collapsed="false">
      <c r="A313" s="7" t="s">
        <v>394</v>
      </c>
      <c r="B313" s="7" t="s">
        <v>282</v>
      </c>
      <c r="C313" s="7" t="s">
        <v>700</v>
      </c>
      <c r="D313" s="10" t="n">
        <v>0</v>
      </c>
      <c r="E313" s="10" t="n">
        <v>0</v>
      </c>
      <c r="F313" s="10" t="n">
        <v>685.1</v>
      </c>
      <c r="G313" s="10" t="n">
        <v>0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0</v>
      </c>
      <c r="S313" s="10" t="n">
        <v>0</v>
      </c>
      <c r="T313" s="10" t="n">
        <v>0</v>
      </c>
      <c r="U313" s="10" t="n">
        <v>0</v>
      </c>
    </row>
    <row r="314" customFormat="false" ht="15" hidden="false" customHeight="false" outlineLevel="0" collapsed="false">
      <c r="A314" s="7" t="s">
        <v>394</v>
      </c>
      <c r="B314" s="7" t="s">
        <v>282</v>
      </c>
      <c r="C314" s="7" t="s">
        <v>701</v>
      </c>
      <c r="D314" s="10" t="n">
        <v>0</v>
      </c>
      <c r="E314" s="10" t="n">
        <v>0</v>
      </c>
      <c r="F314" s="10" t="n">
        <v>175</v>
      </c>
      <c r="G314" s="10" t="n">
        <v>0</v>
      </c>
      <c r="H314" s="10" t="n">
        <v>0</v>
      </c>
      <c r="I314" s="10" t="n">
        <v>0</v>
      </c>
      <c r="J314" s="10" t="n">
        <v>0</v>
      </c>
      <c r="K314" s="10" t="n">
        <v>0</v>
      </c>
      <c r="L314" s="10" t="n">
        <v>0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  <c r="S314" s="10" t="n">
        <v>0</v>
      </c>
      <c r="T314" s="10" t="n">
        <v>0</v>
      </c>
      <c r="U314" s="10" t="n">
        <v>0</v>
      </c>
    </row>
    <row r="315" customFormat="false" ht="15" hidden="false" customHeight="false" outlineLevel="0" collapsed="false">
      <c r="A315" s="7" t="s">
        <v>394</v>
      </c>
      <c r="B315" s="7" t="s">
        <v>282</v>
      </c>
      <c r="C315" s="7" t="s">
        <v>702</v>
      </c>
      <c r="D315" s="10" t="n">
        <v>0</v>
      </c>
      <c r="E315" s="10" t="n">
        <v>0</v>
      </c>
      <c r="F315" s="10" t="n">
        <v>524.8</v>
      </c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  <c r="S315" s="10" t="n">
        <v>0</v>
      </c>
      <c r="T315" s="10" t="n">
        <v>0</v>
      </c>
      <c r="U315" s="10" t="n">
        <v>0</v>
      </c>
    </row>
    <row r="316" customFormat="false" ht="15" hidden="false" customHeight="false" outlineLevel="0" collapsed="false">
      <c r="A316" s="7" t="s">
        <v>394</v>
      </c>
      <c r="B316" s="7" t="s">
        <v>69</v>
      </c>
      <c r="C316" s="7" t="s">
        <v>703</v>
      </c>
      <c r="D316" s="10" t="n">
        <v>0</v>
      </c>
      <c r="E316" s="10" t="n">
        <v>0</v>
      </c>
      <c r="F316" s="10" t="n">
        <v>22916.1</v>
      </c>
      <c r="G316" s="10" t="n">
        <v>0</v>
      </c>
      <c r="H316" s="10" t="n">
        <v>0</v>
      </c>
      <c r="I316" s="10" t="n">
        <v>73148</v>
      </c>
      <c r="J316" s="10" t="n">
        <v>0</v>
      </c>
      <c r="K316" s="10" t="n">
        <v>172.1</v>
      </c>
      <c r="L316" s="10" t="n">
        <v>0</v>
      </c>
      <c r="M316" s="10" t="n">
        <v>72.7</v>
      </c>
      <c r="N316" s="10" t="n">
        <v>279.4</v>
      </c>
      <c r="O316" s="10" t="n">
        <v>134.7</v>
      </c>
      <c r="P316" s="10" t="n">
        <v>-538.9</v>
      </c>
      <c r="Q316" s="10" t="n">
        <v>66609.4</v>
      </c>
      <c r="R316" s="10" t="n">
        <v>6418.7</v>
      </c>
      <c r="S316" s="10" t="n">
        <v>0</v>
      </c>
      <c r="T316" s="10" t="n">
        <v>0</v>
      </c>
      <c r="U316" s="10" t="n">
        <v>0</v>
      </c>
    </row>
    <row r="317" customFormat="false" ht="15" hidden="false" customHeight="false" outlineLevel="0" collapsed="false">
      <c r="A317" s="7" t="s">
        <v>394</v>
      </c>
      <c r="B317" s="7" t="s">
        <v>42</v>
      </c>
      <c r="C317" s="7" t="s">
        <v>704</v>
      </c>
      <c r="D317" s="10" t="n">
        <v>0</v>
      </c>
      <c r="E317" s="10" t="n">
        <v>0</v>
      </c>
      <c r="F317" s="10" t="n">
        <v>10415.4</v>
      </c>
      <c r="G317" s="10" t="n">
        <v>0</v>
      </c>
      <c r="H317" s="10" t="n">
        <v>0</v>
      </c>
      <c r="I317" s="10" t="n">
        <v>57879.8</v>
      </c>
      <c r="J317" s="10" t="n">
        <v>0</v>
      </c>
      <c r="K317" s="10" t="n">
        <v>441</v>
      </c>
      <c r="L317" s="10" t="n">
        <v>0</v>
      </c>
      <c r="M317" s="10" t="n">
        <v>0</v>
      </c>
      <c r="N317" s="10" t="n">
        <v>0</v>
      </c>
      <c r="O317" s="10" t="n">
        <v>94.5</v>
      </c>
      <c r="P317" s="10" t="n">
        <v>-1222.2</v>
      </c>
      <c r="Q317" s="10" t="n">
        <v>53009.9</v>
      </c>
      <c r="R317" s="10" t="n">
        <v>5556.6</v>
      </c>
      <c r="S317" s="10" t="n">
        <v>0</v>
      </c>
      <c r="T317" s="10" t="n">
        <v>0</v>
      </c>
      <c r="U317" s="10" t="n">
        <v>0</v>
      </c>
    </row>
    <row r="318" customFormat="false" ht="15" hidden="false" customHeight="false" outlineLevel="0" collapsed="false">
      <c r="A318" s="7" t="s">
        <v>394</v>
      </c>
      <c r="B318" s="7" t="s">
        <v>42</v>
      </c>
      <c r="C318" s="7" t="s">
        <v>705</v>
      </c>
      <c r="D318" s="10" t="n">
        <v>0</v>
      </c>
      <c r="E318" s="10" t="n">
        <v>0</v>
      </c>
      <c r="F318" s="10" t="n">
        <v>8865.9</v>
      </c>
      <c r="G318" s="10" t="n">
        <v>0</v>
      </c>
      <c r="H318" s="10" t="n">
        <v>0</v>
      </c>
      <c r="I318" s="10" t="n">
        <v>69937.4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103.1</v>
      </c>
      <c r="O318" s="10" t="n">
        <v>94.5</v>
      </c>
      <c r="P318" s="10" t="n">
        <v>-888.3</v>
      </c>
      <c r="Q318" s="10" t="n">
        <v>65159.7</v>
      </c>
      <c r="R318" s="10" t="n">
        <v>5468.4</v>
      </c>
      <c r="S318" s="10" t="n">
        <v>0</v>
      </c>
      <c r="T318" s="10" t="n">
        <v>0</v>
      </c>
      <c r="U318" s="10" t="n">
        <v>0</v>
      </c>
    </row>
    <row r="319" customFormat="false" ht="15" hidden="false" customHeight="false" outlineLevel="0" collapsed="false">
      <c r="A319" s="7" t="s">
        <v>394</v>
      </c>
      <c r="B319" s="7" t="s">
        <v>42</v>
      </c>
      <c r="C319" s="7" t="s">
        <v>706</v>
      </c>
      <c r="D319" s="10" t="n">
        <v>0</v>
      </c>
      <c r="E319" s="10" t="n">
        <v>0</v>
      </c>
      <c r="F319" s="10" t="n">
        <v>5173.7</v>
      </c>
      <c r="G319" s="10" t="n">
        <v>0</v>
      </c>
      <c r="H319" s="10" t="n">
        <v>0</v>
      </c>
      <c r="I319" s="10" t="n">
        <v>52519.2</v>
      </c>
      <c r="J319" s="10" t="n">
        <v>0</v>
      </c>
      <c r="K319" s="10" t="n">
        <v>176.4</v>
      </c>
      <c r="L319" s="10" t="n">
        <v>0</v>
      </c>
      <c r="M319" s="10" t="n">
        <v>0</v>
      </c>
      <c r="N319" s="10" t="n">
        <v>0</v>
      </c>
      <c r="O319" s="10" t="n">
        <v>0</v>
      </c>
      <c r="P319" s="10" t="n">
        <v>-705.6</v>
      </c>
      <c r="Q319" s="10" t="n">
        <v>48197.4</v>
      </c>
      <c r="R319" s="10" t="n">
        <v>4851</v>
      </c>
      <c r="S319" s="10" t="n">
        <v>0</v>
      </c>
      <c r="T319" s="10" t="n">
        <v>0</v>
      </c>
      <c r="U319" s="10" t="n">
        <v>0</v>
      </c>
    </row>
    <row r="320" customFormat="false" ht="15" hidden="false" customHeight="false" outlineLevel="0" collapsed="false">
      <c r="A320" s="7" t="s">
        <v>394</v>
      </c>
      <c r="B320" s="7" t="s">
        <v>42</v>
      </c>
      <c r="C320" s="7" t="s">
        <v>707</v>
      </c>
      <c r="D320" s="10" t="n">
        <v>0</v>
      </c>
      <c r="E320" s="10" t="n">
        <v>0</v>
      </c>
      <c r="F320" s="10" t="n">
        <v>6818.9</v>
      </c>
      <c r="G320" s="10" t="n">
        <v>0</v>
      </c>
      <c r="H320" s="10" t="n">
        <v>0</v>
      </c>
      <c r="I320" s="10" t="n">
        <v>44418.5</v>
      </c>
      <c r="J320" s="10" t="n">
        <v>0</v>
      </c>
      <c r="K320" s="10" t="n">
        <v>88.2</v>
      </c>
      <c r="L320" s="10" t="n">
        <v>0</v>
      </c>
      <c r="M320" s="10" t="n">
        <v>0</v>
      </c>
      <c r="N320" s="10" t="n">
        <v>0</v>
      </c>
      <c r="O320" s="10" t="n">
        <v>0</v>
      </c>
      <c r="P320" s="10" t="n">
        <v>-623.7</v>
      </c>
      <c r="Q320" s="10" t="n">
        <v>42043.4</v>
      </c>
      <c r="R320" s="10" t="n">
        <v>2910.6</v>
      </c>
      <c r="S320" s="10" t="n">
        <v>0</v>
      </c>
      <c r="T320" s="10" t="n">
        <v>0</v>
      </c>
      <c r="U320" s="10" t="n">
        <v>0</v>
      </c>
    </row>
    <row r="321" customFormat="false" ht="15" hidden="false" customHeight="false" outlineLevel="0" collapsed="false">
      <c r="A321" s="7" t="s">
        <v>394</v>
      </c>
      <c r="B321" s="7" t="s">
        <v>42</v>
      </c>
      <c r="C321" s="7" t="s">
        <v>708</v>
      </c>
      <c r="D321" s="10" t="n">
        <v>0</v>
      </c>
      <c r="E321" s="10" t="n">
        <v>0</v>
      </c>
      <c r="F321" s="10" t="n">
        <v>309.2</v>
      </c>
      <c r="G321" s="10" t="n">
        <v>0</v>
      </c>
      <c r="H321" s="10" t="n">
        <v>0</v>
      </c>
      <c r="I321" s="10" t="n">
        <v>75.6</v>
      </c>
      <c r="J321" s="10" t="n">
        <v>0</v>
      </c>
      <c r="K321" s="10" t="n">
        <v>88.2</v>
      </c>
      <c r="L321" s="10" t="n">
        <v>0</v>
      </c>
      <c r="M321" s="10" t="n">
        <v>0</v>
      </c>
      <c r="N321" s="10" t="n">
        <v>0</v>
      </c>
      <c r="O321" s="10" t="n">
        <v>0</v>
      </c>
      <c r="P321" s="10" t="n">
        <v>-176.4</v>
      </c>
      <c r="Q321" s="10" t="n">
        <v>163.8</v>
      </c>
      <c r="R321" s="10" t="n">
        <v>0</v>
      </c>
      <c r="S321" s="10" t="n">
        <v>0</v>
      </c>
      <c r="T321" s="10" t="n">
        <v>0</v>
      </c>
      <c r="U321" s="10" t="n">
        <v>0</v>
      </c>
    </row>
    <row r="322" customFormat="false" ht="15" hidden="false" customHeight="false" outlineLevel="0" collapsed="false">
      <c r="A322" s="7" t="s">
        <v>394</v>
      </c>
      <c r="B322" s="7" t="s">
        <v>52</v>
      </c>
      <c r="C322" s="7" t="s">
        <v>709</v>
      </c>
      <c r="D322" s="10" t="n">
        <v>0</v>
      </c>
      <c r="E322" s="10" t="n">
        <v>0</v>
      </c>
      <c r="F322" s="10" t="n">
        <v>6194.4</v>
      </c>
      <c r="G322" s="10" t="n">
        <v>0</v>
      </c>
      <c r="H322" s="10" t="n">
        <v>0</v>
      </c>
      <c r="I322" s="10" t="n">
        <v>48573.9</v>
      </c>
      <c r="J322" s="10" t="n">
        <v>0</v>
      </c>
      <c r="K322" s="10" t="n">
        <v>88.2</v>
      </c>
      <c r="L322" s="10" t="n">
        <v>0</v>
      </c>
      <c r="M322" s="10" t="n">
        <v>0</v>
      </c>
      <c r="N322" s="10" t="n">
        <v>0</v>
      </c>
      <c r="O322" s="10" t="n">
        <v>0</v>
      </c>
      <c r="P322" s="10" t="n">
        <v>-655.2</v>
      </c>
      <c r="Q322" s="10" t="n">
        <v>44554.5</v>
      </c>
      <c r="R322" s="10" t="n">
        <v>4586.4</v>
      </c>
      <c r="S322" s="10" t="n">
        <v>0</v>
      </c>
      <c r="T322" s="10" t="n">
        <v>0</v>
      </c>
      <c r="U322" s="10" t="n">
        <v>0</v>
      </c>
    </row>
    <row r="323" customFormat="false" ht="15" hidden="false" customHeight="false" outlineLevel="0" collapsed="false">
      <c r="A323" s="7" t="s">
        <v>394</v>
      </c>
      <c r="B323" s="7" t="s">
        <v>52</v>
      </c>
      <c r="C323" s="7" t="s">
        <v>710</v>
      </c>
      <c r="D323" s="10" t="n">
        <v>0</v>
      </c>
      <c r="E323" s="10" t="n">
        <v>0</v>
      </c>
      <c r="F323" s="10" t="n">
        <v>7782.5</v>
      </c>
      <c r="G323" s="10" t="n">
        <v>0</v>
      </c>
      <c r="H323" s="10" t="n">
        <v>0</v>
      </c>
      <c r="I323" s="10" t="n">
        <v>56356</v>
      </c>
      <c r="J323" s="10" t="n">
        <v>0</v>
      </c>
      <c r="K323" s="10" t="n">
        <v>176.4</v>
      </c>
      <c r="L323" s="10" t="n">
        <v>0</v>
      </c>
      <c r="M323" s="10" t="n">
        <v>0</v>
      </c>
      <c r="N323" s="10" t="n">
        <v>0</v>
      </c>
      <c r="O323" s="10" t="n">
        <v>0</v>
      </c>
      <c r="P323" s="10" t="n">
        <v>-1058.4</v>
      </c>
      <c r="Q323" s="10" t="n">
        <v>50799.4</v>
      </c>
      <c r="R323" s="10" t="n">
        <v>6438.6</v>
      </c>
      <c r="S323" s="10" t="n">
        <v>0</v>
      </c>
      <c r="T323" s="10" t="n">
        <v>0</v>
      </c>
      <c r="U323" s="10" t="n">
        <v>0</v>
      </c>
    </row>
    <row r="324" customFormat="false" ht="15" hidden="false" customHeight="false" outlineLevel="0" collapsed="false">
      <c r="A324" s="7" t="s">
        <v>394</v>
      </c>
      <c r="B324" s="7" t="s">
        <v>52</v>
      </c>
      <c r="C324" s="7" t="s">
        <v>711</v>
      </c>
      <c r="D324" s="10" t="n">
        <v>0</v>
      </c>
      <c r="E324" s="10" t="n">
        <v>0</v>
      </c>
      <c r="F324" s="10" t="n">
        <v>6057.7</v>
      </c>
      <c r="G324" s="10" t="n">
        <v>0</v>
      </c>
      <c r="H324" s="10" t="n">
        <v>0</v>
      </c>
      <c r="I324" s="10" t="n">
        <v>56199.2</v>
      </c>
      <c r="J324" s="10" t="n">
        <v>0</v>
      </c>
      <c r="K324" s="10" t="n">
        <v>441</v>
      </c>
      <c r="L324" s="10" t="n">
        <v>-88.2</v>
      </c>
      <c r="M324" s="10" t="n">
        <v>0</v>
      </c>
      <c r="N324" s="10" t="n">
        <v>0</v>
      </c>
      <c r="O324" s="10" t="n">
        <v>0</v>
      </c>
      <c r="P324" s="10" t="n">
        <v>-478.8</v>
      </c>
      <c r="Q324" s="10" t="n">
        <v>49181</v>
      </c>
      <c r="R324" s="10" t="n">
        <v>7144.2</v>
      </c>
      <c r="S324" s="10" t="n">
        <v>0</v>
      </c>
      <c r="T324" s="10" t="n">
        <v>0</v>
      </c>
      <c r="U324" s="10" t="n">
        <v>0</v>
      </c>
    </row>
    <row r="325" customFormat="false" ht="15" hidden="false" customHeight="false" outlineLevel="0" collapsed="false">
      <c r="A325" s="7" t="s">
        <v>394</v>
      </c>
      <c r="B325" s="7" t="s">
        <v>52</v>
      </c>
      <c r="C325" s="7" t="s">
        <v>712</v>
      </c>
      <c r="D325" s="10" t="n">
        <v>0</v>
      </c>
      <c r="E325" s="10" t="n">
        <v>0</v>
      </c>
      <c r="F325" s="10" t="n">
        <v>3312.8</v>
      </c>
      <c r="G325" s="10" t="n">
        <v>0</v>
      </c>
      <c r="H325" s="10" t="n">
        <v>0</v>
      </c>
      <c r="I325" s="10" t="n">
        <v>19895.4</v>
      </c>
      <c r="J325" s="10" t="n">
        <v>0</v>
      </c>
      <c r="K325" s="10" t="n">
        <v>176.4</v>
      </c>
      <c r="L325" s="10" t="n">
        <v>0</v>
      </c>
      <c r="M325" s="10" t="n">
        <v>0</v>
      </c>
      <c r="N325" s="10" t="n">
        <v>0</v>
      </c>
      <c r="O325" s="10" t="n">
        <v>0</v>
      </c>
      <c r="P325" s="10" t="n">
        <v>-655.2</v>
      </c>
      <c r="Q325" s="10" t="n">
        <v>18345.6</v>
      </c>
      <c r="R325" s="10" t="n">
        <v>2028.6</v>
      </c>
      <c r="S325" s="10" t="n">
        <v>0</v>
      </c>
      <c r="T325" s="10" t="n">
        <v>0</v>
      </c>
      <c r="U325" s="10" t="n">
        <v>0</v>
      </c>
    </row>
    <row r="326" customFormat="false" ht="15" hidden="false" customHeight="false" outlineLevel="0" collapsed="false">
      <c r="A326" s="7" t="s">
        <v>394</v>
      </c>
      <c r="B326" s="7" t="s">
        <v>312</v>
      </c>
      <c r="C326" s="7" t="s">
        <v>713</v>
      </c>
      <c r="D326" s="10" t="n">
        <v>0</v>
      </c>
      <c r="E326" s="10" t="n">
        <v>0</v>
      </c>
      <c r="F326" s="10" t="n">
        <v>198.6</v>
      </c>
      <c r="G326" s="10" t="n">
        <v>0</v>
      </c>
      <c r="H326" s="10" t="n">
        <v>0</v>
      </c>
      <c r="I326" s="10" t="n">
        <v>0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  <c r="S326" s="10" t="n">
        <v>0</v>
      </c>
      <c r="T326" s="10" t="n">
        <v>0</v>
      </c>
      <c r="U326" s="10" t="n">
        <v>0</v>
      </c>
    </row>
    <row r="327" customFormat="false" ht="15" hidden="false" customHeight="false" outlineLevel="0" collapsed="false">
      <c r="A327" s="7" t="s">
        <v>394</v>
      </c>
      <c r="B327" s="7" t="s">
        <v>224</v>
      </c>
      <c r="C327" s="7" t="s">
        <v>714</v>
      </c>
      <c r="D327" s="10" t="n">
        <v>0</v>
      </c>
      <c r="E327" s="10" t="n">
        <v>0</v>
      </c>
      <c r="F327" s="10" t="n">
        <v>1362.8</v>
      </c>
      <c r="G327" s="10" t="n">
        <v>0</v>
      </c>
      <c r="H327" s="10" t="n">
        <v>0</v>
      </c>
      <c r="I327" s="10" t="n">
        <v>143.4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143.4</v>
      </c>
      <c r="R327" s="10" t="n">
        <v>0</v>
      </c>
      <c r="S327" s="10" t="n">
        <v>0</v>
      </c>
      <c r="T327" s="10" t="n">
        <v>0</v>
      </c>
      <c r="U327" s="10" t="n">
        <v>0</v>
      </c>
    </row>
    <row r="328" customFormat="false" ht="15" hidden="false" customHeight="false" outlineLevel="0" collapsed="false">
      <c r="A328" s="7" t="s">
        <v>394</v>
      </c>
      <c r="B328" s="7" t="s">
        <v>317</v>
      </c>
      <c r="C328" s="7" t="s">
        <v>715</v>
      </c>
      <c r="D328" s="10" t="n">
        <v>0</v>
      </c>
      <c r="E328" s="10" t="n">
        <v>0</v>
      </c>
      <c r="F328" s="10" t="n">
        <v>199.3</v>
      </c>
      <c r="G328" s="10" t="n">
        <v>0</v>
      </c>
      <c r="H328" s="10" t="n">
        <v>0</v>
      </c>
      <c r="I328" s="10" t="n">
        <v>0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0" t="n">
        <v>0</v>
      </c>
      <c r="P328" s="10" t="n">
        <v>-441</v>
      </c>
      <c r="Q328" s="10" t="n">
        <v>0</v>
      </c>
      <c r="R328" s="10" t="n">
        <v>441</v>
      </c>
      <c r="S328" s="10" t="n">
        <v>0</v>
      </c>
      <c r="T328" s="10" t="n">
        <v>0</v>
      </c>
      <c r="U328" s="10" t="n">
        <v>0</v>
      </c>
    </row>
    <row r="329" customFormat="false" ht="15" hidden="false" customHeight="false" outlineLevel="0" collapsed="false">
      <c r="A329" s="7" t="s">
        <v>394</v>
      </c>
      <c r="B329" s="7" t="s">
        <v>272</v>
      </c>
      <c r="C329" s="7" t="s">
        <v>716</v>
      </c>
      <c r="D329" s="10" t="n">
        <v>0</v>
      </c>
      <c r="E329" s="10" t="n">
        <v>0</v>
      </c>
      <c r="F329" s="10" t="n">
        <v>14941.3</v>
      </c>
      <c r="G329" s="10" t="n">
        <v>0</v>
      </c>
      <c r="H329" s="10" t="n">
        <v>0</v>
      </c>
      <c r="I329" s="10" t="n">
        <v>868.5</v>
      </c>
      <c r="J329" s="10" t="n">
        <v>0</v>
      </c>
      <c r="K329" s="10" t="n">
        <v>445.5</v>
      </c>
      <c r="L329" s="10" t="n">
        <v>0</v>
      </c>
      <c r="M329" s="10" t="n">
        <v>0</v>
      </c>
      <c r="N329" s="10" t="n">
        <v>80.3</v>
      </c>
      <c r="O329" s="10" t="n">
        <v>0</v>
      </c>
      <c r="P329" s="10" t="n">
        <v>-34.3</v>
      </c>
      <c r="Q329" s="10" t="n">
        <v>0</v>
      </c>
      <c r="R329" s="10" t="n">
        <v>377</v>
      </c>
      <c r="S329" s="10" t="n">
        <v>0</v>
      </c>
      <c r="T329" s="10" t="n">
        <v>0</v>
      </c>
      <c r="U329" s="10" t="n">
        <v>0</v>
      </c>
    </row>
    <row r="330" customFormat="false" ht="15" hidden="false" customHeight="false" outlineLevel="0" collapsed="false">
      <c r="A330" s="7" t="s">
        <v>394</v>
      </c>
      <c r="B330" s="7" t="s">
        <v>273</v>
      </c>
      <c r="C330" s="7" t="s">
        <v>717</v>
      </c>
      <c r="D330" s="10" t="n">
        <v>0</v>
      </c>
      <c r="E330" s="10" t="n">
        <v>0</v>
      </c>
      <c r="F330" s="10" t="n">
        <v>16341.4</v>
      </c>
      <c r="G330" s="10" t="n">
        <v>0</v>
      </c>
      <c r="H330" s="10" t="n">
        <v>0</v>
      </c>
      <c r="I330" s="10" t="n">
        <v>1009.8</v>
      </c>
      <c r="J330" s="10" t="n">
        <v>0</v>
      </c>
      <c r="K330" s="10" t="n">
        <v>137.1</v>
      </c>
      <c r="L330" s="10" t="n">
        <v>0</v>
      </c>
      <c r="M330" s="10" t="n">
        <v>66.9</v>
      </c>
      <c r="N330" s="10" t="n">
        <v>120.4</v>
      </c>
      <c r="O330" s="10" t="n">
        <v>0</v>
      </c>
      <c r="P330" s="10" t="n">
        <v>-34.3</v>
      </c>
      <c r="Q330" s="10" t="n">
        <v>0</v>
      </c>
      <c r="R330" s="10" t="n">
        <v>719.7</v>
      </c>
      <c r="S330" s="10" t="n">
        <v>0</v>
      </c>
      <c r="T330" s="10" t="n">
        <v>0</v>
      </c>
      <c r="U330" s="10" t="n">
        <v>0</v>
      </c>
    </row>
    <row r="331" customFormat="false" ht="15" hidden="false" customHeight="false" outlineLevel="0" collapsed="false">
      <c r="A331" s="7" t="s">
        <v>394</v>
      </c>
      <c r="B331" s="7" t="s">
        <v>176</v>
      </c>
      <c r="C331" s="7" t="s">
        <v>718</v>
      </c>
      <c r="D331" s="10" t="n">
        <v>0</v>
      </c>
      <c r="E331" s="10" t="n">
        <v>0</v>
      </c>
      <c r="F331" s="10" t="n">
        <v>22998.8</v>
      </c>
      <c r="G331" s="10" t="n">
        <v>0</v>
      </c>
      <c r="H331" s="10" t="n">
        <v>0</v>
      </c>
      <c r="I331" s="10" t="n">
        <v>5941.9</v>
      </c>
      <c r="J331" s="10" t="n">
        <v>0</v>
      </c>
      <c r="K331" s="10" t="n">
        <v>0</v>
      </c>
      <c r="L331" s="10" t="n">
        <v>0</v>
      </c>
      <c r="M331" s="10" t="n">
        <v>268.9</v>
      </c>
      <c r="N331" s="10" t="n">
        <v>212.7</v>
      </c>
      <c r="O331" s="10" t="n">
        <v>0</v>
      </c>
      <c r="P331" s="10" t="n">
        <v>-24.1</v>
      </c>
      <c r="Q331" s="10" t="n">
        <v>4329.5</v>
      </c>
      <c r="R331" s="10" t="n">
        <v>1154.9</v>
      </c>
      <c r="S331" s="10" t="n">
        <v>0</v>
      </c>
      <c r="T331" s="10" t="n">
        <v>0</v>
      </c>
      <c r="U331" s="10" t="n">
        <v>0</v>
      </c>
    </row>
    <row r="332" customFormat="false" ht="15" hidden="false" customHeight="false" outlineLevel="0" collapsed="false">
      <c r="A332" s="7" t="s">
        <v>394</v>
      </c>
      <c r="B332" s="7" t="s">
        <v>220</v>
      </c>
      <c r="C332" s="7" t="s">
        <v>719</v>
      </c>
      <c r="D332" s="10" t="n">
        <v>0</v>
      </c>
      <c r="E332" s="10" t="n">
        <v>0</v>
      </c>
      <c r="F332" s="10" t="n">
        <v>0</v>
      </c>
      <c r="G332" s="10" t="n">
        <v>0</v>
      </c>
      <c r="H332" s="10" t="n">
        <v>0</v>
      </c>
      <c r="I332" s="10" t="n">
        <v>122.8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0" t="n">
        <v>0</v>
      </c>
      <c r="P332" s="10" t="n">
        <v>-66.1</v>
      </c>
      <c r="Q332" s="10" t="n">
        <v>122.8</v>
      </c>
      <c r="R332" s="10" t="n">
        <v>66.1</v>
      </c>
      <c r="S332" s="10" t="n">
        <v>0</v>
      </c>
      <c r="T332" s="10" t="n">
        <v>0</v>
      </c>
      <c r="U332" s="10" t="n">
        <v>0</v>
      </c>
    </row>
    <row r="333" customFormat="false" ht="15" hidden="false" customHeight="false" outlineLevel="0" collapsed="false">
      <c r="A333" s="7" t="s">
        <v>394</v>
      </c>
      <c r="B333" s="7" t="s">
        <v>220</v>
      </c>
      <c r="C333" s="7" t="s">
        <v>720</v>
      </c>
      <c r="D333" s="10" t="n">
        <v>0</v>
      </c>
      <c r="E333" s="10" t="n">
        <v>0</v>
      </c>
      <c r="F333" s="10" t="n">
        <v>-13</v>
      </c>
      <c r="G333" s="10" t="n">
        <v>0</v>
      </c>
      <c r="H333" s="10" t="n">
        <v>0</v>
      </c>
      <c r="I333" s="10" t="n">
        <v>-132.3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0" t="n">
        <v>0</v>
      </c>
      <c r="P333" s="10" t="n">
        <v>-132.3</v>
      </c>
      <c r="Q333" s="10" t="n">
        <v>0</v>
      </c>
      <c r="R333" s="10" t="n">
        <v>0</v>
      </c>
      <c r="S333" s="10" t="n">
        <v>0</v>
      </c>
      <c r="T333" s="10" t="n">
        <v>0</v>
      </c>
      <c r="U333" s="10" t="n">
        <v>0</v>
      </c>
    </row>
    <row r="334" customFormat="false" ht="15" hidden="false" customHeight="false" outlineLevel="0" collapsed="false">
      <c r="A334" s="7" t="s">
        <v>394</v>
      </c>
      <c r="B334" s="7" t="s">
        <v>239</v>
      </c>
      <c r="C334" s="7" t="s">
        <v>721</v>
      </c>
      <c r="D334" s="10" t="n">
        <v>0</v>
      </c>
      <c r="E334" s="10" t="n">
        <v>0</v>
      </c>
      <c r="F334" s="10" t="n">
        <v>486.6</v>
      </c>
      <c r="G334" s="10" t="n">
        <v>0</v>
      </c>
      <c r="H334" s="10" t="n">
        <v>0</v>
      </c>
      <c r="I334" s="10" t="n">
        <v>0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  <c r="S334" s="10" t="n">
        <v>0</v>
      </c>
      <c r="T334" s="10" t="n">
        <v>0</v>
      </c>
      <c r="U334" s="10" t="n">
        <v>0</v>
      </c>
    </row>
    <row r="335" customFormat="false" ht="15" hidden="false" customHeight="false" outlineLevel="0" collapsed="false">
      <c r="A335" s="7" t="s">
        <v>394</v>
      </c>
      <c r="B335" s="7" t="s">
        <v>239</v>
      </c>
      <c r="C335" s="7" t="s">
        <v>722</v>
      </c>
      <c r="D335" s="10" t="n">
        <v>0</v>
      </c>
      <c r="E335" s="10" t="n">
        <v>0</v>
      </c>
      <c r="F335" s="10" t="n">
        <v>66.1</v>
      </c>
      <c r="G335" s="10" t="n">
        <v>0</v>
      </c>
      <c r="H335" s="10" t="n">
        <v>0</v>
      </c>
      <c r="I335" s="10" t="n">
        <v>0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0" t="n">
        <v>0</v>
      </c>
      <c r="P335" s="10" t="n">
        <v>0</v>
      </c>
      <c r="Q335" s="10" t="n">
        <v>0</v>
      </c>
      <c r="R335" s="10" t="n">
        <v>0</v>
      </c>
      <c r="S335" s="10" t="n">
        <v>0</v>
      </c>
      <c r="T335" s="10" t="n">
        <v>0</v>
      </c>
      <c r="U335" s="10" t="n">
        <v>0</v>
      </c>
    </row>
    <row r="336" customFormat="false" ht="15" hidden="false" customHeight="false" outlineLevel="0" collapsed="false">
      <c r="A336" s="7" t="s">
        <v>394</v>
      </c>
      <c r="B336" s="7" t="s">
        <v>239</v>
      </c>
      <c r="C336" s="7" t="s">
        <v>720</v>
      </c>
      <c r="D336" s="10" t="n">
        <v>0</v>
      </c>
      <c r="E336" s="10" t="n">
        <v>0</v>
      </c>
      <c r="F336" s="10" t="n">
        <v>274</v>
      </c>
      <c r="G336" s="10" t="n">
        <v>0</v>
      </c>
      <c r="H336" s="10" t="n">
        <v>0</v>
      </c>
      <c r="I336" s="10" t="n">
        <v>0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  <c r="S336" s="10" t="n">
        <v>0</v>
      </c>
      <c r="T336" s="10" t="n">
        <v>0</v>
      </c>
      <c r="U336" s="10" t="n">
        <v>0</v>
      </c>
    </row>
    <row r="337" customFormat="false" ht="15" hidden="false" customHeight="false" outlineLevel="0" collapsed="false">
      <c r="A337" s="7" t="s">
        <v>394</v>
      </c>
      <c r="B337" s="7" t="s">
        <v>153</v>
      </c>
      <c r="C337" s="7" t="s">
        <v>723</v>
      </c>
      <c r="D337" s="10" t="n">
        <v>0</v>
      </c>
      <c r="E337" s="10" t="n">
        <v>0</v>
      </c>
      <c r="F337" s="10" t="n">
        <v>3144.3</v>
      </c>
      <c r="G337" s="10" t="n">
        <v>0</v>
      </c>
      <c r="H337" s="10" t="n">
        <v>0</v>
      </c>
      <c r="I337" s="10" t="n">
        <v>84796.6</v>
      </c>
      <c r="J337" s="10" t="n">
        <v>0</v>
      </c>
      <c r="K337" s="10" t="n">
        <v>315.3</v>
      </c>
      <c r="L337" s="10" t="n">
        <v>0</v>
      </c>
      <c r="M337" s="10" t="n">
        <v>0</v>
      </c>
      <c r="N337" s="10" t="n">
        <v>0</v>
      </c>
      <c r="O337" s="10" t="n">
        <v>67.6</v>
      </c>
      <c r="P337" s="10" t="n">
        <v>-441.4</v>
      </c>
      <c r="Q337" s="10" t="n">
        <v>74753.7</v>
      </c>
      <c r="R337" s="10" t="n">
        <v>10101.5</v>
      </c>
      <c r="S337" s="10" t="n">
        <v>0</v>
      </c>
      <c r="T337" s="10" t="n">
        <v>0</v>
      </c>
      <c r="U337" s="10" t="n">
        <v>0</v>
      </c>
    </row>
    <row r="338" customFormat="false" ht="15" hidden="false" customHeight="false" outlineLevel="0" collapsed="false">
      <c r="A338" s="7" t="s">
        <v>394</v>
      </c>
      <c r="B338" s="7" t="s">
        <v>153</v>
      </c>
      <c r="C338" s="7" t="s">
        <v>724</v>
      </c>
      <c r="D338" s="10" t="n">
        <v>0</v>
      </c>
      <c r="E338" s="10" t="n">
        <v>0</v>
      </c>
      <c r="F338" s="10" t="n">
        <v>2772</v>
      </c>
      <c r="G338" s="10" t="n">
        <v>0</v>
      </c>
      <c r="H338" s="10" t="n">
        <v>0</v>
      </c>
      <c r="I338" s="10" t="n">
        <v>56705.8</v>
      </c>
      <c r="J338" s="10" t="n">
        <v>0</v>
      </c>
      <c r="K338" s="10" t="n">
        <v>63.1</v>
      </c>
      <c r="L338" s="10" t="n">
        <v>-126.1</v>
      </c>
      <c r="M338" s="10" t="n">
        <v>0</v>
      </c>
      <c r="N338" s="10" t="n">
        <v>67.6</v>
      </c>
      <c r="O338" s="10" t="n">
        <v>67.6</v>
      </c>
      <c r="P338" s="10" t="n">
        <v>-378.3</v>
      </c>
      <c r="Q338" s="10" t="n">
        <v>54679.2</v>
      </c>
      <c r="R338" s="10" t="n">
        <v>2332.9</v>
      </c>
      <c r="S338" s="10" t="n">
        <v>0</v>
      </c>
      <c r="T338" s="10" t="n">
        <v>0</v>
      </c>
      <c r="U338" s="10" t="n">
        <v>0</v>
      </c>
    </row>
    <row r="339" customFormat="false" ht="15" hidden="false" customHeight="false" outlineLevel="0" collapsed="false">
      <c r="A339" s="7" t="s">
        <v>394</v>
      </c>
      <c r="B339" s="7" t="s">
        <v>105</v>
      </c>
      <c r="C339" s="7" t="s">
        <v>723</v>
      </c>
      <c r="D339" s="10" t="n">
        <v>0</v>
      </c>
      <c r="E339" s="10" t="n">
        <v>0</v>
      </c>
      <c r="F339" s="10" t="n">
        <v>5855.2</v>
      </c>
      <c r="G339" s="10" t="n">
        <v>0</v>
      </c>
      <c r="H339" s="10" t="n">
        <v>0</v>
      </c>
      <c r="I339" s="10" t="n">
        <v>17348.5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67.6</v>
      </c>
      <c r="O339" s="10" t="n">
        <v>0</v>
      </c>
      <c r="P339" s="10" t="n">
        <v>0</v>
      </c>
      <c r="Q339" s="10" t="n">
        <v>17280.9</v>
      </c>
      <c r="R339" s="10" t="n">
        <v>0</v>
      </c>
      <c r="S339" s="10" t="n">
        <v>0</v>
      </c>
      <c r="T339" s="10" t="n">
        <v>0</v>
      </c>
      <c r="U339" s="10" t="n">
        <v>0</v>
      </c>
    </row>
    <row r="340" customFormat="false" ht="15" hidden="false" customHeight="false" outlineLevel="0" collapsed="false">
      <c r="A340" s="7" t="s">
        <v>394</v>
      </c>
      <c r="B340" s="7" t="s">
        <v>105</v>
      </c>
      <c r="C340" s="7" t="s">
        <v>724</v>
      </c>
      <c r="D340" s="10" t="n">
        <v>0</v>
      </c>
      <c r="E340" s="10" t="n">
        <v>0</v>
      </c>
      <c r="F340" s="10" t="n">
        <v>3181.8</v>
      </c>
      <c r="G340" s="10" t="n">
        <v>0</v>
      </c>
      <c r="H340" s="10" t="n">
        <v>0</v>
      </c>
      <c r="I340" s="10" t="n">
        <v>10885.6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0</v>
      </c>
      <c r="O340" s="10" t="n">
        <v>0</v>
      </c>
      <c r="P340" s="10" t="n">
        <v>0</v>
      </c>
      <c r="Q340" s="10" t="n">
        <v>10885.6</v>
      </c>
      <c r="R340" s="10" t="n">
        <v>0</v>
      </c>
      <c r="S340" s="10" t="n">
        <v>0</v>
      </c>
      <c r="T340" s="10" t="n">
        <v>0</v>
      </c>
      <c r="U340" s="10" t="n">
        <v>0</v>
      </c>
    </row>
    <row r="341" customFormat="false" ht="15" hidden="false" customHeight="false" outlineLevel="0" collapsed="false">
      <c r="A341" s="7" t="s">
        <v>394</v>
      </c>
      <c r="B341" s="7" t="s">
        <v>194</v>
      </c>
      <c r="C341" s="7" t="s">
        <v>725</v>
      </c>
      <c r="D341" s="10" t="n">
        <v>0</v>
      </c>
      <c r="E341" s="10" t="n">
        <v>0</v>
      </c>
      <c r="F341" s="10" t="n">
        <v>419.3</v>
      </c>
      <c r="G341" s="10" t="n">
        <v>0</v>
      </c>
      <c r="H341" s="10" t="n">
        <v>0</v>
      </c>
      <c r="I341" s="10" t="n">
        <v>1355.6</v>
      </c>
      <c r="J341" s="10" t="n">
        <v>0</v>
      </c>
      <c r="K341" s="10" t="n">
        <v>24.5</v>
      </c>
      <c r="L341" s="10" t="n">
        <v>0</v>
      </c>
      <c r="M341" s="10" t="n">
        <v>0</v>
      </c>
      <c r="N341" s="10" t="n">
        <v>0</v>
      </c>
      <c r="O341" s="10" t="n">
        <v>0</v>
      </c>
      <c r="P341" s="10" t="n">
        <v>0</v>
      </c>
      <c r="Q341" s="10" t="n">
        <v>791.2</v>
      </c>
      <c r="R341" s="10" t="n">
        <v>539.9</v>
      </c>
      <c r="S341" s="10" t="n">
        <v>0</v>
      </c>
      <c r="T341" s="10" t="n">
        <v>0</v>
      </c>
      <c r="U341" s="10" t="n">
        <v>0</v>
      </c>
    </row>
    <row r="342" customFormat="false" ht="15" hidden="false" customHeight="false" outlineLevel="0" collapsed="false">
      <c r="A342" s="7" t="s">
        <v>394</v>
      </c>
      <c r="B342" s="7" t="s">
        <v>289</v>
      </c>
      <c r="C342" s="7" t="s">
        <v>726</v>
      </c>
      <c r="D342" s="10" t="n">
        <v>0</v>
      </c>
      <c r="E342" s="10" t="n">
        <v>0</v>
      </c>
      <c r="F342" s="10" t="n">
        <v>438.5</v>
      </c>
      <c r="G342" s="10" t="n">
        <v>0</v>
      </c>
      <c r="H342" s="10" t="n">
        <v>0</v>
      </c>
      <c r="I342" s="10" t="n">
        <v>0</v>
      </c>
      <c r="J342" s="10" t="n">
        <v>0</v>
      </c>
      <c r="K342" s="10" t="n">
        <v>0</v>
      </c>
      <c r="L342" s="10" t="n">
        <v>0</v>
      </c>
      <c r="M342" s="10" t="n">
        <v>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  <c r="S342" s="10" t="n">
        <v>0</v>
      </c>
      <c r="T342" s="10" t="n">
        <v>0</v>
      </c>
      <c r="U342" s="10" t="n">
        <v>0</v>
      </c>
    </row>
    <row r="343" customFormat="false" ht="15" hidden="false" customHeight="false" outlineLevel="0" collapsed="false">
      <c r="A343" s="7" t="s">
        <v>394</v>
      </c>
      <c r="B343" s="7" t="s">
        <v>289</v>
      </c>
      <c r="C343" s="7" t="s">
        <v>727</v>
      </c>
      <c r="D343" s="10" t="n">
        <v>0</v>
      </c>
      <c r="E343" s="10" t="n">
        <v>0</v>
      </c>
      <c r="F343" s="10" t="n">
        <v>449.8</v>
      </c>
      <c r="G343" s="10" t="n">
        <v>0</v>
      </c>
      <c r="H343" s="10" t="n">
        <v>0</v>
      </c>
      <c r="I343" s="10" t="n">
        <v>0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0" t="n">
        <v>0</v>
      </c>
      <c r="P343" s="10" t="n">
        <v>0</v>
      </c>
      <c r="Q343" s="10" t="n">
        <v>0</v>
      </c>
      <c r="R343" s="10" t="n">
        <v>0</v>
      </c>
      <c r="S343" s="10" t="n">
        <v>0</v>
      </c>
      <c r="T343" s="10" t="n">
        <v>0</v>
      </c>
      <c r="U343" s="10" t="n">
        <v>0</v>
      </c>
    </row>
    <row r="344" customFormat="false" ht="15" hidden="false" customHeight="false" outlineLevel="0" collapsed="false">
      <c r="A344" s="7" t="s">
        <v>394</v>
      </c>
      <c r="B344" s="7" t="s">
        <v>253</v>
      </c>
      <c r="C344" s="7" t="s">
        <v>728</v>
      </c>
      <c r="D344" s="10" t="n">
        <v>0</v>
      </c>
      <c r="E344" s="10" t="n">
        <v>0</v>
      </c>
      <c r="F344" s="10" t="n">
        <v>90.1</v>
      </c>
      <c r="G344" s="10" t="n">
        <v>0</v>
      </c>
      <c r="H344" s="10" t="n">
        <v>0</v>
      </c>
      <c r="I344" s="10" t="n">
        <v>-194.1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0" t="n">
        <v>0</v>
      </c>
      <c r="P344" s="10" t="n">
        <v>-194.1</v>
      </c>
      <c r="Q344" s="10" t="n">
        <v>0</v>
      </c>
      <c r="R344" s="10" t="n">
        <v>0</v>
      </c>
      <c r="S344" s="10" t="n">
        <v>0</v>
      </c>
      <c r="T344" s="10" t="n">
        <v>0</v>
      </c>
      <c r="U344" s="10" t="n">
        <v>0</v>
      </c>
    </row>
    <row r="345" customFormat="false" ht="15" hidden="false" customHeight="false" outlineLevel="0" collapsed="false">
      <c r="A345" s="7" t="s">
        <v>394</v>
      </c>
      <c r="B345" s="7" t="s">
        <v>253</v>
      </c>
      <c r="C345" s="7" t="s">
        <v>729</v>
      </c>
      <c r="D345" s="10" t="n">
        <v>0</v>
      </c>
      <c r="E345" s="10" t="n">
        <v>0</v>
      </c>
      <c r="F345" s="10" t="n">
        <v>90.1</v>
      </c>
      <c r="G345" s="10" t="n">
        <v>0</v>
      </c>
      <c r="H345" s="10" t="n">
        <v>0</v>
      </c>
      <c r="I345" s="10" t="n">
        <v>0</v>
      </c>
      <c r="J345" s="10" t="n">
        <v>0</v>
      </c>
      <c r="K345" s="10" t="n">
        <v>0</v>
      </c>
      <c r="L345" s="10" t="n">
        <v>0</v>
      </c>
      <c r="M345" s="10" t="n">
        <v>0</v>
      </c>
      <c r="N345" s="10" t="n">
        <v>0</v>
      </c>
      <c r="O345" s="10" t="n">
        <v>0</v>
      </c>
      <c r="P345" s="10" t="n">
        <v>0</v>
      </c>
      <c r="Q345" s="10" t="n">
        <v>0</v>
      </c>
      <c r="R345" s="10" t="n">
        <v>0</v>
      </c>
      <c r="S345" s="10" t="n">
        <v>0</v>
      </c>
      <c r="T345" s="10" t="n">
        <v>0</v>
      </c>
      <c r="U345" s="10" t="n">
        <v>0</v>
      </c>
    </row>
    <row r="346" customFormat="false" ht="15" hidden="false" customHeight="false" outlineLevel="0" collapsed="false">
      <c r="A346" s="7" t="s">
        <v>394</v>
      </c>
      <c r="B346" s="7" t="s">
        <v>289</v>
      </c>
      <c r="C346" s="7" t="s">
        <v>730</v>
      </c>
      <c r="D346" s="10" t="n">
        <v>0</v>
      </c>
      <c r="E346" s="10" t="n">
        <v>0</v>
      </c>
      <c r="F346" s="10" t="n">
        <v>137</v>
      </c>
      <c r="G346" s="10" t="n">
        <v>0</v>
      </c>
      <c r="H346" s="10" t="n">
        <v>0</v>
      </c>
      <c r="I346" s="10" t="n">
        <v>0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0</v>
      </c>
      <c r="S346" s="10" t="n">
        <v>0</v>
      </c>
      <c r="T346" s="10" t="n">
        <v>0</v>
      </c>
      <c r="U346" s="10" t="n">
        <v>0</v>
      </c>
    </row>
    <row r="347" customFormat="false" ht="15" hidden="false" customHeight="false" outlineLevel="0" collapsed="false">
      <c r="A347" s="7" t="s">
        <v>394</v>
      </c>
      <c r="B347" s="7" t="s">
        <v>327</v>
      </c>
      <c r="C347" s="7" t="s">
        <v>728</v>
      </c>
      <c r="D347" s="10" t="n">
        <v>0</v>
      </c>
      <c r="E347" s="10" t="n">
        <v>0</v>
      </c>
      <c r="F347" s="10" t="n">
        <v>94.5</v>
      </c>
      <c r="G347" s="10" t="n">
        <v>0</v>
      </c>
      <c r="H347" s="10" t="n">
        <v>0</v>
      </c>
      <c r="I347" s="10" t="n">
        <v>0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0" t="n">
        <v>0</v>
      </c>
      <c r="P347" s="10" t="n">
        <v>0</v>
      </c>
      <c r="Q347" s="10" t="n">
        <v>0</v>
      </c>
      <c r="R347" s="10" t="n">
        <v>0</v>
      </c>
      <c r="S347" s="10" t="n">
        <v>0</v>
      </c>
      <c r="T347" s="10" t="n">
        <v>0</v>
      </c>
      <c r="U347" s="10" t="n">
        <v>0</v>
      </c>
    </row>
    <row r="348" customFormat="false" ht="15" hidden="false" customHeight="false" outlineLevel="0" collapsed="false">
      <c r="A348" s="7" t="s">
        <v>394</v>
      </c>
      <c r="B348" s="7" t="s">
        <v>42</v>
      </c>
      <c r="C348" s="7" t="s">
        <v>731</v>
      </c>
      <c r="D348" s="10" t="n">
        <v>0</v>
      </c>
      <c r="E348" s="10" t="n">
        <v>0</v>
      </c>
      <c r="F348" s="10" t="n">
        <v>0</v>
      </c>
      <c r="G348" s="10" t="n">
        <v>0</v>
      </c>
      <c r="H348" s="10" t="n">
        <v>0</v>
      </c>
      <c r="I348" s="10" t="n">
        <v>-166.6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0" t="n">
        <v>0</v>
      </c>
      <c r="P348" s="10" t="n">
        <v>-166.6</v>
      </c>
      <c r="Q348" s="10" t="n">
        <v>0</v>
      </c>
      <c r="R348" s="10" t="n">
        <v>0</v>
      </c>
      <c r="S348" s="10" t="n">
        <v>0</v>
      </c>
      <c r="T348" s="10" t="n">
        <v>0</v>
      </c>
      <c r="U348" s="10" t="n">
        <v>0</v>
      </c>
    </row>
    <row r="349" customFormat="false" ht="15" hidden="false" customHeight="false" outlineLevel="0" collapsed="false">
      <c r="A349" s="7" t="s">
        <v>394</v>
      </c>
      <c r="B349" s="7" t="s">
        <v>63</v>
      </c>
      <c r="C349" s="7" t="s">
        <v>732</v>
      </c>
      <c r="D349" s="10" t="n">
        <v>0</v>
      </c>
      <c r="E349" s="10" t="n">
        <v>0</v>
      </c>
      <c r="F349" s="10" t="n">
        <v>12605.9</v>
      </c>
      <c r="G349" s="10" t="n">
        <v>0</v>
      </c>
      <c r="H349" s="10" t="n">
        <v>0</v>
      </c>
      <c r="I349" s="10" t="n">
        <v>42223.8</v>
      </c>
      <c r="J349" s="10" t="n">
        <v>0</v>
      </c>
      <c r="K349" s="10" t="n">
        <v>524.7</v>
      </c>
      <c r="L349" s="10" t="n">
        <v>0</v>
      </c>
      <c r="M349" s="10" t="n">
        <v>0</v>
      </c>
      <c r="N349" s="10" t="n">
        <v>461.5</v>
      </c>
      <c r="O349" s="10" t="n">
        <v>101.4</v>
      </c>
      <c r="P349" s="10" t="n">
        <v>-262.4</v>
      </c>
      <c r="Q349" s="10" t="n">
        <v>34315.1</v>
      </c>
      <c r="R349" s="10" t="n">
        <v>7083.5</v>
      </c>
      <c r="S349" s="10" t="n">
        <v>0</v>
      </c>
      <c r="T349" s="10" t="n">
        <v>0</v>
      </c>
      <c r="U349" s="10" t="n">
        <v>0</v>
      </c>
    </row>
    <row r="350" customFormat="false" ht="15" hidden="false" customHeight="false" outlineLevel="0" collapsed="false">
      <c r="A350" s="7" t="s">
        <v>394</v>
      </c>
      <c r="B350" s="7" t="s">
        <v>63</v>
      </c>
      <c r="C350" s="7" t="s">
        <v>733</v>
      </c>
      <c r="D350" s="10" t="n">
        <v>0</v>
      </c>
      <c r="E350" s="10" t="n">
        <v>0</v>
      </c>
      <c r="F350" s="10" t="n">
        <v>11952.8</v>
      </c>
      <c r="G350" s="10" t="n">
        <v>0</v>
      </c>
      <c r="H350" s="10" t="n">
        <v>0</v>
      </c>
      <c r="I350" s="10" t="n">
        <v>43741.9</v>
      </c>
      <c r="J350" s="10" t="n">
        <v>0</v>
      </c>
      <c r="K350" s="10" t="n">
        <v>699.6</v>
      </c>
      <c r="L350" s="10" t="n">
        <v>0</v>
      </c>
      <c r="M350" s="10" t="n">
        <v>461.2</v>
      </c>
      <c r="N350" s="10" t="n">
        <v>461.5</v>
      </c>
      <c r="O350" s="10" t="n">
        <v>202.8</v>
      </c>
      <c r="P350" s="10" t="n">
        <v>-801</v>
      </c>
      <c r="Q350" s="10" t="n">
        <v>34410.1</v>
      </c>
      <c r="R350" s="10" t="n">
        <v>8307.8</v>
      </c>
      <c r="S350" s="10" t="n">
        <v>0</v>
      </c>
      <c r="T350" s="10" t="n">
        <v>0</v>
      </c>
      <c r="U350" s="10" t="n">
        <v>0</v>
      </c>
    </row>
    <row r="351" customFormat="false" ht="15" hidden="false" customHeight="false" outlineLevel="0" collapsed="false">
      <c r="A351" s="7" t="s">
        <v>394</v>
      </c>
      <c r="B351" s="7" t="s">
        <v>63</v>
      </c>
      <c r="C351" s="7" t="s">
        <v>734</v>
      </c>
      <c r="D351" s="10" t="n">
        <v>0</v>
      </c>
      <c r="E351" s="10" t="n">
        <v>0</v>
      </c>
      <c r="F351" s="10" t="n">
        <v>3512.6</v>
      </c>
      <c r="G351" s="10" t="n">
        <v>0</v>
      </c>
      <c r="H351" s="10" t="n">
        <v>0</v>
      </c>
      <c r="I351" s="10" t="n">
        <v>15526.7</v>
      </c>
      <c r="J351" s="10" t="n">
        <v>0</v>
      </c>
      <c r="K351" s="10" t="n">
        <v>437.3</v>
      </c>
      <c r="L351" s="10" t="n">
        <v>0</v>
      </c>
      <c r="M351" s="10" t="n">
        <v>0</v>
      </c>
      <c r="N351" s="10" t="n">
        <v>122.9</v>
      </c>
      <c r="O351" s="10" t="n">
        <v>0</v>
      </c>
      <c r="P351" s="10" t="n">
        <v>-385.2</v>
      </c>
      <c r="Q351" s="10" t="n">
        <v>12815.8</v>
      </c>
      <c r="R351" s="10" t="n">
        <v>2536.1</v>
      </c>
      <c r="S351" s="10" t="n">
        <v>0</v>
      </c>
      <c r="T351" s="10" t="n">
        <v>0</v>
      </c>
      <c r="U351" s="10" t="n">
        <v>0</v>
      </c>
    </row>
    <row r="352" customFormat="false" ht="15" hidden="false" customHeight="false" outlineLevel="0" collapsed="false">
      <c r="A352" s="7" t="s">
        <v>394</v>
      </c>
      <c r="B352" s="7" t="s">
        <v>229</v>
      </c>
      <c r="C352" s="7" t="s">
        <v>735</v>
      </c>
      <c r="D352" s="10" t="n">
        <v>0</v>
      </c>
      <c r="E352" s="10" t="n">
        <v>0</v>
      </c>
      <c r="F352" s="10" t="n">
        <v>6812.1</v>
      </c>
      <c r="G352" s="10" t="n">
        <v>0</v>
      </c>
      <c r="H352" s="10" t="n">
        <v>0</v>
      </c>
      <c r="I352" s="10" t="n">
        <v>5124.9</v>
      </c>
      <c r="J352" s="10" t="n">
        <v>0</v>
      </c>
      <c r="K352" s="10" t="n">
        <v>272.6</v>
      </c>
      <c r="L352" s="10" t="n">
        <v>-54.5</v>
      </c>
      <c r="M352" s="10" t="n">
        <v>0</v>
      </c>
      <c r="N352" s="10" t="n">
        <v>0</v>
      </c>
      <c r="O352" s="10" t="n">
        <v>0</v>
      </c>
      <c r="P352" s="10" t="n">
        <v>-272.6</v>
      </c>
      <c r="Q352" s="10" t="n">
        <v>0</v>
      </c>
      <c r="R352" s="10" t="n">
        <v>5179.4</v>
      </c>
      <c r="S352" s="10" t="n">
        <v>0</v>
      </c>
      <c r="T352" s="10" t="n">
        <v>0</v>
      </c>
      <c r="U352" s="10" t="n">
        <v>0</v>
      </c>
    </row>
    <row r="353" customFormat="false" ht="15" hidden="false" customHeight="false" outlineLevel="0" collapsed="false">
      <c r="A353" s="7" t="s">
        <v>394</v>
      </c>
      <c r="B353" s="7" t="s">
        <v>229</v>
      </c>
      <c r="C353" s="7" t="s">
        <v>736</v>
      </c>
      <c r="D353" s="10" t="n">
        <v>0</v>
      </c>
      <c r="E353" s="10" t="n">
        <v>0</v>
      </c>
      <c r="F353" s="10" t="n">
        <v>7157.9</v>
      </c>
      <c r="G353" s="10" t="n">
        <v>0</v>
      </c>
      <c r="H353" s="10" t="n">
        <v>0</v>
      </c>
      <c r="I353" s="10" t="n">
        <v>6456.7</v>
      </c>
      <c r="J353" s="10" t="n">
        <v>0</v>
      </c>
      <c r="K353" s="10" t="n">
        <v>54.5</v>
      </c>
      <c r="L353" s="10" t="n">
        <v>0</v>
      </c>
      <c r="M353" s="10" t="n">
        <v>0</v>
      </c>
      <c r="N353" s="10" t="n">
        <v>0</v>
      </c>
      <c r="O353" s="10" t="n">
        <v>0</v>
      </c>
      <c r="P353" s="10" t="n">
        <v>-218.1</v>
      </c>
      <c r="Q353" s="10" t="n">
        <v>0</v>
      </c>
      <c r="R353" s="10" t="n">
        <v>6620.3</v>
      </c>
      <c r="S353" s="10" t="n">
        <v>0</v>
      </c>
      <c r="T353" s="10" t="n">
        <v>0</v>
      </c>
      <c r="U353" s="10" t="n">
        <v>0</v>
      </c>
    </row>
    <row r="354" customFormat="false" ht="15" hidden="false" customHeight="false" outlineLevel="0" collapsed="false">
      <c r="A354" s="7" t="s">
        <v>394</v>
      </c>
      <c r="B354" s="7" t="s">
        <v>229</v>
      </c>
      <c r="C354" s="7" t="s">
        <v>737</v>
      </c>
      <c r="D354" s="10" t="n">
        <v>0</v>
      </c>
      <c r="E354" s="10" t="n">
        <v>0</v>
      </c>
      <c r="F354" s="10" t="n">
        <v>-25.3</v>
      </c>
      <c r="G354" s="10" t="n">
        <v>0</v>
      </c>
      <c r="H354" s="10" t="n">
        <v>0</v>
      </c>
      <c r="I354" s="10" t="n">
        <v>-245.6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0" t="n">
        <v>-163.6</v>
      </c>
      <c r="Q354" s="10" t="n">
        <v>-245.6</v>
      </c>
      <c r="R354" s="10" t="n">
        <v>163.6</v>
      </c>
      <c r="S354" s="10" t="n">
        <v>0</v>
      </c>
      <c r="T354" s="10" t="n">
        <v>0</v>
      </c>
      <c r="U354" s="10" t="n">
        <v>0</v>
      </c>
    </row>
    <row r="355" customFormat="false" ht="15" hidden="false" customHeight="false" outlineLevel="0" collapsed="false">
      <c r="A355" s="7" t="s">
        <v>394</v>
      </c>
      <c r="B355" s="7" t="s">
        <v>205</v>
      </c>
      <c r="C355" s="7" t="s">
        <v>738</v>
      </c>
      <c r="D355" s="10" t="n">
        <v>0</v>
      </c>
      <c r="E355" s="10" t="n">
        <v>0</v>
      </c>
      <c r="F355" s="10" t="n">
        <v>0</v>
      </c>
      <c r="G355" s="10" t="n">
        <v>0</v>
      </c>
      <c r="H355" s="10" t="n">
        <v>0</v>
      </c>
      <c r="I355" s="10" t="n">
        <v>-241.3</v>
      </c>
      <c r="J355" s="10" t="n">
        <v>0</v>
      </c>
      <c r="K355" s="10" t="n">
        <v>0</v>
      </c>
      <c r="L355" s="10" t="n">
        <v>0</v>
      </c>
      <c r="M355" s="10" t="n">
        <v>0</v>
      </c>
      <c r="N355" s="10" t="n">
        <v>0</v>
      </c>
      <c r="O355" s="10" t="n">
        <v>0</v>
      </c>
      <c r="P355" s="10" t="n">
        <v>0</v>
      </c>
      <c r="Q355" s="10" t="n">
        <v>-241.3</v>
      </c>
      <c r="R355" s="10" t="n">
        <v>0</v>
      </c>
      <c r="S355" s="10" t="n">
        <v>0</v>
      </c>
      <c r="T355" s="10" t="n">
        <v>0</v>
      </c>
      <c r="U355" s="10" t="n">
        <v>0</v>
      </c>
    </row>
    <row r="356" customFormat="false" ht="15" hidden="false" customHeight="false" outlineLevel="0" collapsed="false">
      <c r="A356" s="7" t="s">
        <v>394</v>
      </c>
      <c r="B356" s="7" t="s">
        <v>234</v>
      </c>
      <c r="C356" s="7" t="s">
        <v>635</v>
      </c>
      <c r="D356" s="10" t="n">
        <v>0</v>
      </c>
      <c r="E356" s="10" t="n">
        <v>0</v>
      </c>
      <c r="F356" s="10" t="n">
        <v>5363.4</v>
      </c>
      <c r="G356" s="10" t="n">
        <v>0</v>
      </c>
      <c r="H356" s="10" t="n">
        <v>0</v>
      </c>
      <c r="I356" s="10" t="n">
        <v>4371.1</v>
      </c>
      <c r="J356" s="10" t="n">
        <v>0</v>
      </c>
      <c r="K356" s="10" t="n">
        <v>743.7</v>
      </c>
      <c r="L356" s="10" t="n">
        <v>0</v>
      </c>
      <c r="M356" s="10" t="n">
        <v>0</v>
      </c>
      <c r="N356" s="10" t="n">
        <v>83.9</v>
      </c>
      <c r="O356" s="10" t="n">
        <v>0</v>
      </c>
      <c r="P356" s="10" t="n">
        <v>0</v>
      </c>
      <c r="Q356" s="10" t="n">
        <v>0</v>
      </c>
      <c r="R356" s="10" t="n">
        <v>3543.6</v>
      </c>
      <c r="S356" s="10" t="n">
        <v>0</v>
      </c>
      <c r="T356" s="10" t="n">
        <v>0</v>
      </c>
      <c r="U356" s="10" t="n">
        <v>0</v>
      </c>
    </row>
    <row r="357" customFormat="false" ht="15" hidden="false" customHeight="false" outlineLevel="0" collapsed="false">
      <c r="A357" s="7" t="s">
        <v>394</v>
      </c>
      <c r="B357" s="7" t="s">
        <v>343</v>
      </c>
      <c r="C357" s="7" t="s">
        <v>739</v>
      </c>
      <c r="D357" s="10" t="n">
        <v>0</v>
      </c>
      <c r="E357" s="10" t="n">
        <v>0</v>
      </c>
      <c r="F357" s="10" t="n">
        <v>-9</v>
      </c>
      <c r="G357" s="10" t="n">
        <v>0</v>
      </c>
      <c r="H357" s="10" t="n">
        <v>0</v>
      </c>
      <c r="I357" s="10" t="n">
        <v>0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0</v>
      </c>
      <c r="O357" s="10" t="n">
        <v>0</v>
      </c>
      <c r="P357" s="10" t="n">
        <v>0</v>
      </c>
      <c r="Q357" s="10" t="n">
        <v>0</v>
      </c>
      <c r="R357" s="10" t="n">
        <v>0</v>
      </c>
      <c r="S357" s="10" t="n">
        <v>0</v>
      </c>
      <c r="T357" s="10" t="n">
        <v>0</v>
      </c>
      <c r="U357" s="10" t="n">
        <v>0</v>
      </c>
    </row>
    <row r="358" customFormat="false" ht="15" hidden="false" customHeight="false" outlineLevel="0" collapsed="false">
      <c r="A358" s="7" t="s">
        <v>394</v>
      </c>
      <c r="B358" s="7" t="s">
        <v>73</v>
      </c>
      <c r="C358" s="7" t="s">
        <v>740</v>
      </c>
      <c r="D358" s="10" t="n">
        <v>0</v>
      </c>
      <c r="E358" s="10" t="n">
        <v>0</v>
      </c>
      <c r="F358" s="10" t="n">
        <v>9084.2</v>
      </c>
      <c r="G358" s="10" t="n">
        <v>0</v>
      </c>
      <c r="H358" s="10" t="n">
        <v>0</v>
      </c>
      <c r="I358" s="10" t="n">
        <v>21824.2</v>
      </c>
      <c r="J358" s="10" t="n">
        <v>0</v>
      </c>
      <c r="K358" s="10" t="n">
        <v>161.6</v>
      </c>
      <c r="L358" s="10" t="n">
        <v>0</v>
      </c>
      <c r="M358" s="10" t="n">
        <v>0</v>
      </c>
      <c r="N358" s="10" t="n">
        <v>198.4</v>
      </c>
      <c r="O358" s="10" t="n">
        <v>103.8</v>
      </c>
      <c r="P358" s="10" t="n">
        <v>-263</v>
      </c>
      <c r="Q358" s="10" t="n">
        <v>17843.1</v>
      </c>
      <c r="R358" s="10" t="n">
        <v>3780.3</v>
      </c>
      <c r="S358" s="10" t="n">
        <v>0</v>
      </c>
      <c r="T358" s="10" t="n">
        <v>0</v>
      </c>
      <c r="U358" s="10" t="n">
        <v>0</v>
      </c>
    </row>
    <row r="359" customFormat="false" ht="15" hidden="false" customHeight="false" outlineLevel="0" collapsed="false">
      <c r="A359" s="7" t="s">
        <v>394</v>
      </c>
      <c r="B359" s="7" t="s">
        <v>73</v>
      </c>
      <c r="C359" s="7" t="s">
        <v>741</v>
      </c>
      <c r="D359" s="10" t="n">
        <v>0</v>
      </c>
      <c r="E359" s="10" t="n">
        <v>0</v>
      </c>
      <c r="F359" s="10" t="n">
        <v>7044.2</v>
      </c>
      <c r="G359" s="10" t="n">
        <v>0</v>
      </c>
      <c r="H359" s="10" t="n">
        <v>0</v>
      </c>
      <c r="I359" s="10" t="n">
        <v>23163.4</v>
      </c>
      <c r="J359" s="10" t="n">
        <v>0</v>
      </c>
      <c r="K359" s="10" t="n">
        <v>96.9</v>
      </c>
      <c r="L359" s="10" t="n">
        <v>0</v>
      </c>
      <c r="M359" s="10" t="n">
        <v>0</v>
      </c>
      <c r="N359" s="10" t="n">
        <v>49.6</v>
      </c>
      <c r="O359" s="10" t="n">
        <v>69.2</v>
      </c>
      <c r="P359" s="10" t="n">
        <v>-32.3</v>
      </c>
      <c r="Q359" s="10" t="n">
        <v>19003.5</v>
      </c>
      <c r="R359" s="10" t="n">
        <v>3976.4</v>
      </c>
      <c r="S359" s="10" t="n">
        <v>0</v>
      </c>
      <c r="T359" s="10" t="n">
        <v>0</v>
      </c>
      <c r="U359" s="10" t="n">
        <v>0</v>
      </c>
    </row>
    <row r="360" customFormat="false" ht="15" hidden="false" customHeight="false" outlineLevel="0" collapsed="false">
      <c r="A360" s="7" t="s">
        <v>394</v>
      </c>
      <c r="B360" s="7" t="s">
        <v>73</v>
      </c>
      <c r="C360" s="7" t="s">
        <v>742</v>
      </c>
      <c r="D360" s="10" t="n">
        <v>0</v>
      </c>
      <c r="E360" s="10" t="n">
        <v>0</v>
      </c>
      <c r="F360" s="10" t="n">
        <v>3406.8</v>
      </c>
      <c r="G360" s="10" t="n">
        <v>0</v>
      </c>
      <c r="H360" s="10" t="n">
        <v>0</v>
      </c>
      <c r="I360" s="10" t="n">
        <v>12787.6</v>
      </c>
      <c r="J360" s="10" t="n">
        <v>0</v>
      </c>
      <c r="K360" s="10" t="n">
        <v>64.6</v>
      </c>
      <c r="L360" s="10" t="n">
        <v>0</v>
      </c>
      <c r="M360" s="10" t="n">
        <v>0</v>
      </c>
      <c r="N360" s="10" t="n">
        <v>0</v>
      </c>
      <c r="O360" s="10" t="n">
        <v>0</v>
      </c>
      <c r="P360" s="10" t="n">
        <v>-96.9</v>
      </c>
      <c r="Q360" s="10" t="n">
        <v>11107.5</v>
      </c>
      <c r="R360" s="10" t="n">
        <v>1712.4</v>
      </c>
      <c r="S360" s="10" t="n">
        <v>0</v>
      </c>
      <c r="T360" s="10" t="n">
        <v>0</v>
      </c>
      <c r="U360" s="10" t="n">
        <v>0</v>
      </c>
    </row>
    <row r="361" customFormat="false" ht="15" hidden="false" customHeight="false" outlineLevel="0" collapsed="false">
      <c r="A361" s="7" t="s">
        <v>394</v>
      </c>
      <c r="B361" s="7" t="s">
        <v>73</v>
      </c>
      <c r="C361" s="7" t="s">
        <v>743</v>
      </c>
      <c r="D361" s="10" t="n">
        <v>0</v>
      </c>
      <c r="E361" s="10" t="n">
        <v>0</v>
      </c>
      <c r="F361" s="10" t="n">
        <v>6089.6</v>
      </c>
      <c r="G361" s="10" t="n">
        <v>0</v>
      </c>
      <c r="H361" s="10" t="n">
        <v>0</v>
      </c>
      <c r="I361" s="10" t="n">
        <v>17947</v>
      </c>
      <c r="J361" s="10" t="n">
        <v>0</v>
      </c>
      <c r="K361" s="10" t="n">
        <v>64.6</v>
      </c>
      <c r="L361" s="10" t="n">
        <v>0</v>
      </c>
      <c r="M361" s="10" t="n">
        <v>0</v>
      </c>
      <c r="N361" s="10" t="n">
        <v>99.2</v>
      </c>
      <c r="O361" s="10" t="n">
        <v>103.8</v>
      </c>
      <c r="P361" s="10" t="n">
        <v>-166.9</v>
      </c>
      <c r="Q361" s="10" t="n">
        <v>15063</v>
      </c>
      <c r="R361" s="10" t="n">
        <v>2783.3</v>
      </c>
      <c r="S361" s="10" t="n">
        <v>0</v>
      </c>
      <c r="T361" s="10" t="n">
        <v>0</v>
      </c>
      <c r="U361" s="10" t="n">
        <v>0</v>
      </c>
    </row>
    <row r="362" customFormat="false" ht="15" hidden="false" customHeight="false" outlineLevel="0" collapsed="false">
      <c r="A362" s="7" t="s">
        <v>394</v>
      </c>
      <c r="B362" s="7" t="s">
        <v>73</v>
      </c>
      <c r="C362" s="7" t="s">
        <v>744</v>
      </c>
      <c r="D362" s="10" t="n">
        <v>0</v>
      </c>
      <c r="E362" s="10" t="n">
        <v>0</v>
      </c>
      <c r="F362" s="10" t="n">
        <v>99.2</v>
      </c>
      <c r="G362" s="10" t="n">
        <v>0</v>
      </c>
      <c r="H362" s="10" t="n">
        <v>0</v>
      </c>
      <c r="I362" s="10" t="n">
        <v>30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0" t="n">
        <v>0</v>
      </c>
      <c r="P362" s="10" t="n">
        <v>0</v>
      </c>
      <c r="Q362" s="10" t="n">
        <v>30</v>
      </c>
      <c r="R362" s="10" t="n">
        <v>0</v>
      </c>
      <c r="S362" s="10" t="n">
        <v>0</v>
      </c>
      <c r="T362" s="10" t="n">
        <v>0</v>
      </c>
      <c r="U362" s="10" t="n">
        <v>0</v>
      </c>
    </row>
    <row r="363" customFormat="false" ht="15" hidden="false" customHeight="false" outlineLevel="0" collapsed="false">
      <c r="A363" s="7" t="s">
        <v>394</v>
      </c>
      <c r="B363" s="7" t="s">
        <v>345</v>
      </c>
      <c r="C363" s="7" t="s">
        <v>745</v>
      </c>
      <c r="D363" s="10" t="n">
        <v>0</v>
      </c>
      <c r="E363" s="10" t="n">
        <v>0</v>
      </c>
      <c r="F363" s="10" t="n">
        <v>66.5</v>
      </c>
      <c r="G363" s="10" t="n">
        <v>0</v>
      </c>
      <c r="H363" s="10" t="n">
        <v>0</v>
      </c>
      <c r="I363" s="10" t="n">
        <v>0</v>
      </c>
      <c r="J363" s="10" t="n">
        <v>0</v>
      </c>
      <c r="K363" s="10" t="n">
        <v>0</v>
      </c>
      <c r="L363" s="10" t="n">
        <v>0</v>
      </c>
      <c r="M363" s="10" t="n">
        <v>0</v>
      </c>
      <c r="N363" s="10" t="n">
        <v>0</v>
      </c>
      <c r="O363" s="10" t="n">
        <v>0</v>
      </c>
      <c r="P363" s="10" t="n">
        <v>0</v>
      </c>
      <c r="Q363" s="10" t="n">
        <v>0</v>
      </c>
      <c r="R363" s="10" t="n">
        <v>0</v>
      </c>
      <c r="S363" s="10" t="n">
        <v>0</v>
      </c>
      <c r="T363" s="10" t="n">
        <v>0</v>
      </c>
      <c r="U363" s="10" t="n">
        <v>0</v>
      </c>
    </row>
    <row r="364" customFormat="false" ht="15" hidden="false" customHeight="false" outlineLevel="0" collapsed="false">
      <c r="A364" s="7" t="s">
        <v>394</v>
      </c>
      <c r="B364" s="7" t="s">
        <v>233</v>
      </c>
      <c r="C364" s="7" t="s">
        <v>746</v>
      </c>
      <c r="D364" s="10" t="n">
        <v>0</v>
      </c>
      <c r="E364" s="10" t="n">
        <v>0</v>
      </c>
      <c r="F364" s="10" t="n">
        <v>0</v>
      </c>
      <c r="G364" s="10" t="n">
        <v>0</v>
      </c>
      <c r="H364" s="10" t="n">
        <v>0</v>
      </c>
      <c r="I364" s="10" t="n">
        <v>-90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0" t="n">
        <v>0</v>
      </c>
      <c r="P364" s="10" t="n">
        <v>0</v>
      </c>
      <c r="Q364" s="10" t="n">
        <v>-90</v>
      </c>
      <c r="R364" s="10" t="n">
        <v>0</v>
      </c>
      <c r="S364" s="10" t="n">
        <v>0</v>
      </c>
      <c r="T364" s="10" t="n">
        <v>0</v>
      </c>
      <c r="U364" s="10" t="n">
        <v>0</v>
      </c>
    </row>
    <row r="365" customFormat="false" ht="15" hidden="false" customHeight="false" outlineLevel="0" collapsed="false">
      <c r="A365" s="7" t="s">
        <v>394</v>
      </c>
      <c r="B365" s="7" t="s">
        <v>388</v>
      </c>
      <c r="C365" s="7" t="s">
        <v>747</v>
      </c>
      <c r="D365" s="10" t="n">
        <v>0</v>
      </c>
      <c r="E365" s="10" t="n">
        <v>0</v>
      </c>
      <c r="F365" s="10" t="n">
        <v>0</v>
      </c>
      <c r="G365" s="10" t="n">
        <v>0</v>
      </c>
      <c r="H365" s="10" t="n">
        <v>0</v>
      </c>
      <c r="I365" s="10" t="n">
        <v>0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0" t="n">
        <v>0</v>
      </c>
      <c r="P365" s="10" t="n">
        <v>0</v>
      </c>
      <c r="Q365" s="10" t="n">
        <v>0</v>
      </c>
      <c r="R365" s="10" t="n">
        <v>0</v>
      </c>
      <c r="S365" s="10" t="n">
        <v>0</v>
      </c>
      <c r="T365" s="10" t="n">
        <v>0</v>
      </c>
      <c r="U365" s="10" t="n">
        <v>-29.7</v>
      </c>
    </row>
    <row r="366" customFormat="false" ht="15" hidden="false" customHeight="false" outlineLevel="0" collapsed="false">
      <c r="A366" s="7" t="s">
        <v>394</v>
      </c>
      <c r="B366" s="7" t="s">
        <v>387</v>
      </c>
      <c r="C366" s="7" t="s">
        <v>748</v>
      </c>
      <c r="D366" s="10" t="n">
        <v>0</v>
      </c>
      <c r="E366" s="10" t="n">
        <v>0</v>
      </c>
      <c r="F366" s="10" t="n">
        <v>0</v>
      </c>
      <c r="G366" s="10" t="n">
        <v>0</v>
      </c>
      <c r="H366" s="10" t="n">
        <v>0</v>
      </c>
      <c r="I366" s="10" t="n">
        <v>0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0" t="n">
        <v>0</v>
      </c>
      <c r="P366" s="10" t="n">
        <v>0</v>
      </c>
      <c r="Q366" s="10" t="n">
        <v>0</v>
      </c>
      <c r="R366" s="10" t="n">
        <v>0</v>
      </c>
      <c r="S366" s="10" t="n">
        <v>0</v>
      </c>
      <c r="T366" s="10" t="n">
        <v>0</v>
      </c>
      <c r="U366" s="10" t="n">
        <v>-165.6</v>
      </c>
    </row>
    <row r="367" customFormat="false" ht="15" hidden="false" customHeight="false" outlineLevel="0" collapsed="false">
      <c r="A367" s="7" t="s">
        <v>394</v>
      </c>
      <c r="B367" s="7" t="s">
        <v>389</v>
      </c>
      <c r="C367" s="7" t="s">
        <v>749</v>
      </c>
      <c r="D367" s="10" t="n">
        <v>0</v>
      </c>
      <c r="E367" s="10" t="n">
        <v>0</v>
      </c>
      <c r="F367" s="10" t="n">
        <v>0</v>
      </c>
      <c r="G367" s="10" t="n">
        <v>0</v>
      </c>
      <c r="H367" s="10" t="n">
        <v>0</v>
      </c>
      <c r="I367" s="10" t="n">
        <v>0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0" t="n">
        <v>0</v>
      </c>
      <c r="P367" s="10" t="n">
        <v>0</v>
      </c>
      <c r="Q367" s="10" t="n">
        <v>0</v>
      </c>
      <c r="R367" s="10" t="n">
        <v>0</v>
      </c>
      <c r="S367" s="10" t="n">
        <v>0</v>
      </c>
      <c r="T367" s="10" t="n">
        <v>0</v>
      </c>
      <c r="U367" s="10" t="n">
        <v>-29.7</v>
      </c>
    </row>
    <row r="368" customFormat="false" ht="15" hidden="false" customHeight="false" outlineLevel="0" collapsed="false">
      <c r="A368" s="7" t="s">
        <v>394</v>
      </c>
      <c r="B368" s="7" t="s">
        <v>246</v>
      </c>
      <c r="C368" s="7" t="s">
        <v>750</v>
      </c>
      <c r="D368" s="10" t="n">
        <v>0</v>
      </c>
      <c r="E368" s="10" t="n">
        <v>0</v>
      </c>
      <c r="F368" s="10" t="n">
        <v>14444.1</v>
      </c>
      <c r="G368" s="10" t="n">
        <v>0</v>
      </c>
      <c r="H368" s="10" t="n">
        <v>0</v>
      </c>
      <c r="I368" s="10" t="n">
        <v>12313.6</v>
      </c>
      <c r="J368" s="10" t="n">
        <v>0</v>
      </c>
      <c r="K368" s="10" t="n">
        <v>4892.8</v>
      </c>
      <c r="L368" s="10" t="n">
        <v>-65.8</v>
      </c>
      <c r="M368" s="10" t="n">
        <v>0</v>
      </c>
      <c r="N368" s="10" t="n">
        <v>108.4</v>
      </c>
      <c r="O368" s="10" t="n">
        <v>263</v>
      </c>
      <c r="P368" s="10" t="n">
        <v>0</v>
      </c>
      <c r="Q368" s="10" t="n">
        <v>0</v>
      </c>
      <c r="R368" s="10" t="n">
        <v>7115.1</v>
      </c>
      <c r="S368" s="10" t="n">
        <v>0</v>
      </c>
      <c r="T368" s="10" t="n">
        <v>0</v>
      </c>
      <c r="U368" s="10" t="n">
        <v>0</v>
      </c>
    </row>
    <row r="369" customFormat="false" ht="15" hidden="false" customHeight="false" outlineLevel="0" collapsed="false">
      <c r="A369" s="7" t="s">
        <v>394</v>
      </c>
      <c r="B369" s="7" t="s">
        <v>296</v>
      </c>
      <c r="C369" s="7" t="s">
        <v>751</v>
      </c>
      <c r="D369" s="10" t="n">
        <v>0</v>
      </c>
      <c r="E369" s="10" t="n">
        <v>0</v>
      </c>
      <c r="F369" s="10" t="n">
        <v>-768.2</v>
      </c>
      <c r="G369" s="10" t="n">
        <v>0</v>
      </c>
      <c r="H369" s="10" t="n">
        <v>0</v>
      </c>
      <c r="I369" s="10" t="n">
        <v>0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0" t="n">
        <v>0</v>
      </c>
      <c r="P369" s="10" t="n">
        <v>0</v>
      </c>
      <c r="Q369" s="10" t="n">
        <v>0</v>
      </c>
      <c r="R369" s="10" t="n">
        <v>0</v>
      </c>
      <c r="S369" s="10" t="n">
        <v>0</v>
      </c>
      <c r="T369" s="10" t="n">
        <v>0</v>
      </c>
      <c r="U369" s="10" t="n">
        <v>0</v>
      </c>
    </row>
    <row r="370" customFormat="false" ht="15" hidden="false" customHeight="false" outlineLevel="0" collapsed="false">
      <c r="A370" s="7" t="s">
        <v>394</v>
      </c>
      <c r="B370" s="7" t="s">
        <v>286</v>
      </c>
      <c r="C370" s="7" t="s">
        <v>752</v>
      </c>
      <c r="D370" s="10" t="n">
        <v>0</v>
      </c>
      <c r="E370" s="10" t="n">
        <v>0</v>
      </c>
      <c r="F370" s="10" t="n">
        <v>4895.4</v>
      </c>
      <c r="G370" s="10" t="n">
        <v>0</v>
      </c>
      <c r="H370" s="10" t="n">
        <v>0</v>
      </c>
      <c r="I370" s="10" t="n">
        <v>3648.6</v>
      </c>
      <c r="J370" s="10" t="n">
        <v>0</v>
      </c>
      <c r="K370" s="10" t="n">
        <v>672.8</v>
      </c>
      <c r="L370" s="10" t="n">
        <v>0</v>
      </c>
      <c r="M370" s="10" t="n">
        <v>78.5</v>
      </c>
      <c r="N370" s="10" t="n">
        <v>45.8</v>
      </c>
      <c r="O370" s="10" t="n">
        <v>160.1</v>
      </c>
      <c r="P370" s="10" t="n">
        <v>-96.1</v>
      </c>
      <c r="Q370" s="10" t="n">
        <v>0</v>
      </c>
      <c r="R370" s="10" t="n">
        <v>2787.5</v>
      </c>
      <c r="S370" s="10" t="n">
        <v>0</v>
      </c>
      <c r="T370" s="10" t="n">
        <v>0</v>
      </c>
      <c r="U370" s="10" t="n">
        <v>0</v>
      </c>
    </row>
    <row r="371" customFormat="false" ht="15" hidden="false" customHeight="false" outlineLevel="0" collapsed="false">
      <c r="A371" s="7" t="s">
        <v>394</v>
      </c>
      <c r="B371" s="7" t="s">
        <v>241</v>
      </c>
      <c r="C371" s="7" t="s">
        <v>753</v>
      </c>
      <c r="D371" s="10" t="n">
        <v>0</v>
      </c>
      <c r="E371" s="10" t="n">
        <v>0</v>
      </c>
      <c r="F371" s="10" t="n">
        <v>1504.7</v>
      </c>
      <c r="G371" s="10" t="n">
        <v>0</v>
      </c>
      <c r="H371" s="10" t="n">
        <v>0</v>
      </c>
      <c r="I371" s="10" t="n">
        <v>1028.1</v>
      </c>
      <c r="J371" s="10" t="n">
        <v>0</v>
      </c>
      <c r="K371" s="10" t="n">
        <v>53.4</v>
      </c>
      <c r="L371" s="10" t="n">
        <v>0</v>
      </c>
      <c r="M371" s="10" t="n">
        <v>0</v>
      </c>
      <c r="N371" s="10" t="n">
        <v>114.4</v>
      </c>
      <c r="O371" s="10" t="n">
        <v>0</v>
      </c>
      <c r="P371" s="10" t="n">
        <v>0</v>
      </c>
      <c r="Q371" s="10" t="n">
        <v>336.9</v>
      </c>
      <c r="R371" s="10" t="n">
        <v>523.3</v>
      </c>
      <c r="S371" s="10" t="n">
        <v>0</v>
      </c>
      <c r="T371" s="10" t="n">
        <v>0</v>
      </c>
      <c r="U371" s="10" t="n">
        <v>0</v>
      </c>
    </row>
    <row r="372" customFormat="false" ht="15" hidden="false" customHeight="false" outlineLevel="0" collapsed="false">
      <c r="A372" s="7" t="s">
        <v>394</v>
      </c>
      <c r="B372" s="7" t="s">
        <v>277</v>
      </c>
      <c r="C372" s="7" t="s">
        <v>754</v>
      </c>
      <c r="D372" s="10" t="n">
        <v>0</v>
      </c>
      <c r="E372" s="10" t="n">
        <v>0</v>
      </c>
      <c r="F372" s="10" t="n">
        <v>7908</v>
      </c>
      <c r="G372" s="10" t="n">
        <v>0</v>
      </c>
      <c r="H372" s="10" t="n">
        <v>935.5</v>
      </c>
      <c r="I372" s="10" t="n">
        <v>3292.9</v>
      </c>
      <c r="J372" s="10" t="n">
        <v>0</v>
      </c>
      <c r="K372" s="10" t="n">
        <v>217</v>
      </c>
      <c r="L372" s="10" t="n">
        <v>0</v>
      </c>
      <c r="M372" s="10" t="n">
        <v>92.5</v>
      </c>
      <c r="N372" s="10" t="n">
        <v>28.7</v>
      </c>
      <c r="O372" s="10" t="n">
        <v>80.1</v>
      </c>
      <c r="P372" s="10" t="n">
        <v>-135.6</v>
      </c>
      <c r="Q372" s="10" t="n">
        <v>0</v>
      </c>
      <c r="R372" s="10" t="n">
        <v>3010.3</v>
      </c>
      <c r="S372" s="10" t="n">
        <v>0</v>
      </c>
      <c r="T372" s="10" t="n">
        <v>0</v>
      </c>
      <c r="U372" s="10" t="n">
        <v>0</v>
      </c>
    </row>
    <row r="373" customFormat="false" ht="15" hidden="false" customHeight="false" outlineLevel="0" collapsed="false">
      <c r="A373" s="7" t="s">
        <v>394</v>
      </c>
      <c r="B373" s="7" t="s">
        <v>287</v>
      </c>
      <c r="C373" s="7" t="s">
        <v>755</v>
      </c>
      <c r="D373" s="10" t="n">
        <v>0</v>
      </c>
      <c r="E373" s="10" t="n">
        <v>0</v>
      </c>
      <c r="F373" s="10" t="n">
        <v>4003.4</v>
      </c>
      <c r="G373" s="10" t="n">
        <v>0</v>
      </c>
      <c r="H373" s="10" t="n">
        <v>0</v>
      </c>
      <c r="I373" s="10" t="n">
        <v>2396.7</v>
      </c>
      <c r="J373" s="10" t="n">
        <v>0</v>
      </c>
      <c r="K373" s="10" t="n">
        <v>186.8</v>
      </c>
      <c r="L373" s="10" t="n">
        <v>0</v>
      </c>
      <c r="M373" s="10" t="n">
        <v>92.5</v>
      </c>
      <c r="N373" s="10" t="n">
        <v>57.3</v>
      </c>
      <c r="O373" s="10" t="n">
        <v>0</v>
      </c>
      <c r="P373" s="10" t="n">
        <v>-40</v>
      </c>
      <c r="Q373" s="10" t="n">
        <v>0</v>
      </c>
      <c r="R373" s="10" t="n">
        <v>2100.1</v>
      </c>
      <c r="S373" s="10" t="n">
        <v>0</v>
      </c>
      <c r="T373" s="10" t="n">
        <v>0</v>
      </c>
      <c r="U373" s="10" t="n">
        <v>0</v>
      </c>
    </row>
    <row r="374" customFormat="false" ht="15" hidden="false" customHeight="false" outlineLevel="0" collapsed="false">
      <c r="A374" s="7" t="s">
        <v>394</v>
      </c>
      <c r="B374" s="7" t="s">
        <v>199</v>
      </c>
      <c r="C374" s="7" t="s">
        <v>756</v>
      </c>
      <c r="D374" s="10" t="n">
        <v>0</v>
      </c>
      <c r="E374" s="10" t="n">
        <v>0</v>
      </c>
      <c r="F374" s="10" t="n">
        <v>126.9</v>
      </c>
      <c r="G374" s="10" t="n">
        <v>0</v>
      </c>
      <c r="H374" s="10" t="n">
        <v>0</v>
      </c>
      <c r="I374" s="10" t="n">
        <v>73.1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-84.2</v>
      </c>
      <c r="O374" s="10" t="n">
        <v>0</v>
      </c>
      <c r="P374" s="10" t="n">
        <v>-39.3</v>
      </c>
      <c r="Q374" s="10" t="n">
        <v>0</v>
      </c>
      <c r="R374" s="10" t="n">
        <v>196.7</v>
      </c>
      <c r="S374" s="10" t="n">
        <v>0</v>
      </c>
      <c r="T374" s="10" t="n">
        <v>0</v>
      </c>
      <c r="U374" s="10" t="n">
        <v>0</v>
      </c>
    </row>
    <row r="375" customFormat="false" ht="15" hidden="false" customHeight="false" outlineLevel="0" collapsed="false">
      <c r="A375" s="7" t="s">
        <v>394</v>
      </c>
      <c r="B375" s="7" t="s">
        <v>199</v>
      </c>
      <c r="C375" s="7" t="s">
        <v>757</v>
      </c>
      <c r="D375" s="10" t="n">
        <v>0</v>
      </c>
      <c r="E375" s="10" t="n">
        <v>0</v>
      </c>
      <c r="F375" s="10" t="n">
        <v>125</v>
      </c>
      <c r="G375" s="10" t="n">
        <v>0</v>
      </c>
      <c r="H375" s="10" t="n">
        <v>0</v>
      </c>
      <c r="I375" s="10" t="n">
        <v>165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n">
        <v>0</v>
      </c>
      <c r="O375" s="10" t="n">
        <v>0</v>
      </c>
      <c r="P375" s="10" t="n">
        <v>0</v>
      </c>
      <c r="Q375" s="10" t="n">
        <v>7.7</v>
      </c>
      <c r="R375" s="10" t="n">
        <v>157.3</v>
      </c>
      <c r="S375" s="10" t="n">
        <v>0</v>
      </c>
      <c r="T375" s="10" t="n">
        <v>0</v>
      </c>
      <c r="U375" s="10" t="n">
        <v>0</v>
      </c>
    </row>
    <row r="376" customFormat="false" ht="15" hidden="false" customHeight="false" outlineLevel="0" collapsed="false">
      <c r="A376" s="7" t="s">
        <v>394</v>
      </c>
      <c r="B376" s="7" t="s">
        <v>199</v>
      </c>
      <c r="C376" s="7" t="s">
        <v>758</v>
      </c>
      <c r="D376" s="10" t="n">
        <v>0</v>
      </c>
      <c r="E376" s="10" t="n">
        <v>0</v>
      </c>
      <c r="F376" s="10" t="n">
        <v>0</v>
      </c>
      <c r="G376" s="10" t="n">
        <v>0</v>
      </c>
      <c r="H376" s="10" t="n">
        <v>0</v>
      </c>
      <c r="I376" s="10" t="n">
        <v>39.3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39.3</v>
      </c>
      <c r="S376" s="10" t="n">
        <v>0</v>
      </c>
      <c r="T376" s="10" t="n">
        <v>0</v>
      </c>
      <c r="U376" s="10" t="n">
        <v>0</v>
      </c>
    </row>
    <row r="377" customFormat="false" ht="15" hidden="false" customHeight="false" outlineLevel="0" collapsed="false">
      <c r="A377" s="7" t="s">
        <v>394</v>
      </c>
      <c r="B377" s="7" t="s">
        <v>199</v>
      </c>
      <c r="C377" s="7" t="s">
        <v>759</v>
      </c>
      <c r="D377" s="10" t="n">
        <v>0</v>
      </c>
      <c r="E377" s="10" t="n">
        <v>0</v>
      </c>
      <c r="F377" s="10" t="n">
        <v>81.5</v>
      </c>
      <c r="G377" s="10" t="n">
        <v>0</v>
      </c>
      <c r="H377" s="10" t="n">
        <v>0</v>
      </c>
      <c r="I377" s="10" t="n">
        <v>171.8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0" t="n">
        <v>0</v>
      </c>
      <c r="P377" s="10" t="n">
        <v>-86.6</v>
      </c>
      <c r="Q377" s="10" t="n">
        <v>219.1</v>
      </c>
      <c r="R377" s="10" t="n">
        <v>39.3</v>
      </c>
      <c r="S377" s="10" t="n">
        <v>0</v>
      </c>
      <c r="T377" s="10" t="n">
        <v>0</v>
      </c>
      <c r="U377" s="10" t="n">
        <v>0</v>
      </c>
    </row>
    <row r="378" customFormat="false" ht="15" hidden="false" customHeight="false" outlineLevel="0" collapsed="false">
      <c r="A378" s="7" t="s">
        <v>394</v>
      </c>
      <c r="B378" s="7" t="s">
        <v>199</v>
      </c>
      <c r="C378" s="7" t="s">
        <v>760</v>
      </c>
      <c r="D378" s="10" t="n">
        <v>0</v>
      </c>
      <c r="E378" s="10" t="n">
        <v>0</v>
      </c>
      <c r="F378" s="10" t="n">
        <v>84.3</v>
      </c>
      <c r="G378" s="10" t="n">
        <v>0</v>
      </c>
      <c r="H378" s="10" t="n">
        <v>0</v>
      </c>
      <c r="I378" s="10" t="n">
        <v>266.9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0</v>
      </c>
      <c r="O378" s="10" t="n">
        <v>0</v>
      </c>
      <c r="P378" s="10" t="n">
        <v>0</v>
      </c>
      <c r="Q378" s="10" t="n">
        <v>109.6</v>
      </c>
      <c r="R378" s="10" t="n">
        <v>157.3</v>
      </c>
      <c r="S378" s="10" t="n">
        <v>0</v>
      </c>
      <c r="T378" s="10" t="n">
        <v>0</v>
      </c>
      <c r="U378" s="10" t="n">
        <v>0</v>
      </c>
    </row>
    <row r="379" customFormat="false" ht="15" hidden="false" customHeight="false" outlineLevel="0" collapsed="false">
      <c r="A379" s="7" t="s">
        <v>394</v>
      </c>
      <c r="B379" s="7" t="s">
        <v>199</v>
      </c>
      <c r="C379" s="7" t="s">
        <v>761</v>
      </c>
      <c r="D379" s="10" t="n">
        <v>0</v>
      </c>
      <c r="E379" s="10" t="n">
        <v>0</v>
      </c>
      <c r="F379" s="10" t="n">
        <v>247.1</v>
      </c>
      <c r="G379" s="10" t="n">
        <v>0</v>
      </c>
      <c r="H379" s="10" t="n">
        <v>0</v>
      </c>
      <c r="I379" s="10" t="n">
        <v>115.2</v>
      </c>
      <c r="J379" s="10" t="n">
        <v>0</v>
      </c>
      <c r="K379" s="10" t="n">
        <v>0</v>
      </c>
      <c r="L379" s="10" t="n">
        <v>0</v>
      </c>
      <c r="M379" s="10" t="n">
        <v>0</v>
      </c>
      <c r="N379" s="10" t="n">
        <v>0</v>
      </c>
      <c r="O379" s="10" t="n">
        <v>0</v>
      </c>
      <c r="P379" s="10" t="n">
        <v>0</v>
      </c>
      <c r="Q379" s="10" t="n">
        <v>36.5</v>
      </c>
      <c r="R379" s="10" t="n">
        <v>78.7</v>
      </c>
      <c r="S379" s="10" t="n">
        <v>0</v>
      </c>
      <c r="T379" s="10" t="n">
        <v>0</v>
      </c>
      <c r="U379" s="10" t="n">
        <v>0</v>
      </c>
    </row>
    <row r="380" customFormat="false" ht="15" hidden="false" customHeight="false" outlineLevel="0" collapsed="false">
      <c r="A380" s="7" t="s">
        <v>394</v>
      </c>
      <c r="B380" s="7" t="s">
        <v>199</v>
      </c>
      <c r="C380" s="7" t="s">
        <v>762</v>
      </c>
      <c r="D380" s="10" t="n">
        <v>0</v>
      </c>
      <c r="E380" s="10" t="n">
        <v>0</v>
      </c>
      <c r="F380" s="10" t="n">
        <v>0</v>
      </c>
      <c r="G380" s="10" t="n">
        <v>0</v>
      </c>
      <c r="H380" s="10" t="n">
        <v>0</v>
      </c>
      <c r="I380" s="10" t="n">
        <v>5.6</v>
      </c>
      <c r="J380" s="10" t="n">
        <v>0</v>
      </c>
      <c r="K380" s="10" t="n">
        <v>0</v>
      </c>
      <c r="L380" s="10" t="n">
        <v>0</v>
      </c>
      <c r="M380" s="10" t="n">
        <v>0</v>
      </c>
      <c r="N380" s="10" t="n">
        <v>0</v>
      </c>
      <c r="O380" s="10" t="n">
        <v>0</v>
      </c>
      <c r="P380" s="10" t="n">
        <v>0</v>
      </c>
      <c r="Q380" s="10" t="n">
        <v>-73</v>
      </c>
      <c r="R380" s="10" t="n">
        <v>78.7</v>
      </c>
      <c r="S380" s="10" t="n">
        <v>0</v>
      </c>
      <c r="T380" s="10" t="n">
        <v>0</v>
      </c>
      <c r="U380" s="10" t="n">
        <v>0</v>
      </c>
    </row>
    <row r="381" customFormat="false" ht="15" hidden="false" customHeight="false" outlineLevel="0" collapsed="false">
      <c r="A381" s="7" t="s">
        <v>394</v>
      </c>
      <c r="B381" s="7" t="s">
        <v>199</v>
      </c>
      <c r="C381" s="7" t="s">
        <v>763</v>
      </c>
      <c r="D381" s="10" t="n">
        <v>0</v>
      </c>
      <c r="E381" s="10" t="n">
        <v>0</v>
      </c>
      <c r="F381" s="10" t="n">
        <v>0</v>
      </c>
      <c r="G381" s="10" t="n">
        <v>0</v>
      </c>
      <c r="H381" s="10" t="n">
        <v>0</v>
      </c>
      <c r="I381" s="10" t="n">
        <v>54.3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0" t="n">
        <v>0</v>
      </c>
      <c r="P381" s="10" t="n">
        <v>-173.2</v>
      </c>
      <c r="Q381" s="10" t="n">
        <v>109.6</v>
      </c>
      <c r="R381" s="10" t="n">
        <v>118</v>
      </c>
      <c r="S381" s="10" t="n">
        <v>0</v>
      </c>
      <c r="T381" s="10" t="n">
        <v>0</v>
      </c>
      <c r="U381" s="10" t="n">
        <v>0</v>
      </c>
    </row>
    <row r="382" customFormat="false" ht="15" hidden="false" customHeight="false" outlineLevel="0" collapsed="false">
      <c r="A382" s="7" t="s">
        <v>394</v>
      </c>
      <c r="B382" s="7" t="s">
        <v>199</v>
      </c>
      <c r="C382" s="7" t="s">
        <v>764</v>
      </c>
      <c r="D382" s="10" t="n">
        <v>0</v>
      </c>
      <c r="E382" s="10" t="n">
        <v>0</v>
      </c>
      <c r="F382" s="10" t="n">
        <v>0</v>
      </c>
      <c r="G382" s="10" t="n">
        <v>0</v>
      </c>
      <c r="H382" s="10" t="n">
        <v>0</v>
      </c>
      <c r="I382" s="10" t="n">
        <v>43</v>
      </c>
      <c r="J382" s="10" t="n">
        <v>0</v>
      </c>
      <c r="K382" s="10" t="n">
        <v>0</v>
      </c>
      <c r="L382" s="10" t="n">
        <v>0</v>
      </c>
      <c r="M382" s="10" t="n">
        <v>0</v>
      </c>
      <c r="N382" s="10" t="n">
        <v>0</v>
      </c>
      <c r="O382" s="10" t="n">
        <v>0</v>
      </c>
      <c r="P382" s="10" t="n">
        <v>0</v>
      </c>
      <c r="Q382" s="10" t="n">
        <v>3.7</v>
      </c>
      <c r="R382" s="10" t="n">
        <v>39.3</v>
      </c>
      <c r="S382" s="10" t="n">
        <v>0</v>
      </c>
      <c r="T382" s="10" t="n">
        <v>0</v>
      </c>
      <c r="U382" s="10" t="n">
        <v>0</v>
      </c>
    </row>
    <row r="383" customFormat="false" ht="15" hidden="false" customHeight="false" outlineLevel="0" collapsed="false">
      <c r="A383" s="7" t="s">
        <v>394</v>
      </c>
      <c r="B383" s="7" t="s">
        <v>199</v>
      </c>
      <c r="C383" s="7" t="s">
        <v>765</v>
      </c>
      <c r="D383" s="10" t="n">
        <v>0</v>
      </c>
      <c r="E383" s="10" t="n">
        <v>0</v>
      </c>
      <c r="F383" s="10" t="n">
        <v>0</v>
      </c>
      <c r="G383" s="10" t="n">
        <v>0</v>
      </c>
      <c r="H383" s="10" t="n">
        <v>0</v>
      </c>
      <c r="I383" s="10" t="n">
        <v>-182.6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0</v>
      </c>
      <c r="O383" s="10" t="n">
        <v>0</v>
      </c>
      <c r="P383" s="10" t="n">
        <v>0</v>
      </c>
      <c r="Q383" s="10" t="n">
        <v>-182.6</v>
      </c>
      <c r="R383" s="10" t="n">
        <v>0</v>
      </c>
      <c r="S383" s="10" t="n">
        <v>0</v>
      </c>
      <c r="T383" s="10" t="n">
        <v>0</v>
      </c>
      <c r="U383" s="10" t="n">
        <v>0</v>
      </c>
    </row>
    <row r="384" customFormat="false" ht="15" hidden="false" customHeight="false" outlineLevel="0" collapsed="false">
      <c r="A384" s="7" t="s">
        <v>394</v>
      </c>
      <c r="B384" s="7" t="s">
        <v>199</v>
      </c>
      <c r="C384" s="7" t="s">
        <v>766</v>
      </c>
      <c r="D384" s="10" t="n">
        <v>0</v>
      </c>
      <c r="E384" s="10" t="n">
        <v>0</v>
      </c>
      <c r="F384" s="10" t="n">
        <v>0</v>
      </c>
      <c r="G384" s="10" t="n">
        <v>0</v>
      </c>
      <c r="H384" s="10" t="n">
        <v>0</v>
      </c>
      <c r="I384" s="10" t="n">
        <v>-109.6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0" t="n">
        <v>0</v>
      </c>
      <c r="P384" s="10" t="n">
        <v>0</v>
      </c>
      <c r="Q384" s="10" t="n">
        <v>-109.6</v>
      </c>
      <c r="R384" s="10" t="n">
        <v>0</v>
      </c>
      <c r="S384" s="10" t="n">
        <v>0</v>
      </c>
      <c r="T384" s="10" t="n">
        <v>0</v>
      </c>
      <c r="U384" s="10" t="n">
        <v>0</v>
      </c>
    </row>
    <row r="385" customFormat="false" ht="15" hidden="false" customHeight="false" outlineLevel="0" collapsed="false">
      <c r="A385" s="7" t="s">
        <v>394</v>
      </c>
      <c r="B385" s="7" t="s">
        <v>68</v>
      </c>
      <c r="C385" s="7" t="s">
        <v>767</v>
      </c>
      <c r="D385" s="10" t="n">
        <v>0</v>
      </c>
      <c r="E385" s="10" t="n">
        <v>0</v>
      </c>
      <c r="F385" s="10" t="n">
        <v>2335.3</v>
      </c>
      <c r="G385" s="10" t="n">
        <v>0</v>
      </c>
      <c r="H385" s="10" t="n">
        <v>0</v>
      </c>
      <c r="I385" s="10" t="n">
        <v>46100.5</v>
      </c>
      <c r="J385" s="10" t="n">
        <v>0</v>
      </c>
      <c r="K385" s="10" t="n">
        <v>97</v>
      </c>
      <c r="L385" s="10" t="n">
        <v>0</v>
      </c>
      <c r="M385" s="10" t="n">
        <v>0</v>
      </c>
      <c r="N385" s="10" t="n">
        <v>0</v>
      </c>
      <c r="O385" s="10" t="n">
        <v>0</v>
      </c>
      <c r="P385" s="10" t="n">
        <v>0</v>
      </c>
      <c r="Q385" s="10" t="n">
        <v>43385.1</v>
      </c>
      <c r="R385" s="10" t="n">
        <v>2618.5</v>
      </c>
      <c r="S385" s="10" t="n">
        <v>0</v>
      </c>
      <c r="T385" s="10" t="n">
        <v>0</v>
      </c>
      <c r="U385" s="10" t="n">
        <v>0</v>
      </c>
    </row>
    <row r="386" customFormat="false" ht="15" hidden="false" customHeight="false" outlineLevel="0" collapsed="false">
      <c r="A386" s="7" t="s">
        <v>394</v>
      </c>
      <c r="B386" s="7" t="s">
        <v>134</v>
      </c>
      <c r="C386" s="7" t="s">
        <v>768</v>
      </c>
      <c r="D386" s="10" t="n">
        <v>0</v>
      </c>
      <c r="E386" s="10" t="n">
        <v>0</v>
      </c>
      <c r="F386" s="10" t="n">
        <v>3191.1</v>
      </c>
      <c r="G386" s="10" t="n">
        <v>0</v>
      </c>
      <c r="H386" s="10" t="n">
        <v>0</v>
      </c>
      <c r="I386" s="10" t="n">
        <v>3726.4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0</v>
      </c>
      <c r="O386" s="10" t="n">
        <v>0</v>
      </c>
      <c r="P386" s="10" t="n">
        <v>0</v>
      </c>
      <c r="Q386" s="10" t="n">
        <v>3726.4</v>
      </c>
      <c r="R386" s="10" t="n">
        <v>0</v>
      </c>
      <c r="S386" s="10" t="n">
        <v>0</v>
      </c>
      <c r="T386" s="10" t="n">
        <v>0</v>
      </c>
      <c r="U386" s="10" t="n">
        <v>0</v>
      </c>
    </row>
    <row r="387" customFormat="false" ht="15" hidden="false" customHeight="false" outlineLevel="0" collapsed="false">
      <c r="A387" s="7" t="s">
        <v>394</v>
      </c>
      <c r="B387" s="7" t="s">
        <v>326</v>
      </c>
      <c r="C387" s="7" t="s">
        <v>769</v>
      </c>
      <c r="D387" s="10" t="n">
        <v>0</v>
      </c>
      <c r="E387" s="10" t="n">
        <v>0</v>
      </c>
      <c r="F387" s="10" t="n">
        <v>-98.3</v>
      </c>
      <c r="G387" s="10" t="n">
        <v>0</v>
      </c>
      <c r="H387" s="10" t="n">
        <v>0</v>
      </c>
      <c r="I387" s="10" t="n">
        <v>105.9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0" t="n">
        <v>0</v>
      </c>
      <c r="P387" s="10" t="n">
        <v>0</v>
      </c>
      <c r="Q387" s="10" t="n">
        <v>0</v>
      </c>
      <c r="R387" s="10" t="n">
        <v>105.9</v>
      </c>
      <c r="S387" s="10" t="n">
        <v>0</v>
      </c>
      <c r="T387" s="10" t="n">
        <v>0</v>
      </c>
      <c r="U387" s="10" t="n">
        <v>0</v>
      </c>
    </row>
    <row r="388" customFormat="false" ht="15" hidden="false" customHeight="false" outlineLevel="0" collapsed="false">
      <c r="A388" s="7" t="s">
        <v>394</v>
      </c>
      <c r="B388" s="7" t="s">
        <v>214</v>
      </c>
      <c r="C388" s="7" t="s">
        <v>770</v>
      </c>
      <c r="D388" s="10" t="n">
        <v>0</v>
      </c>
      <c r="E388" s="10" t="n">
        <v>0</v>
      </c>
      <c r="F388" s="10" t="n">
        <v>0</v>
      </c>
      <c r="G388" s="10" t="n">
        <v>0</v>
      </c>
      <c r="H388" s="10" t="n">
        <v>0</v>
      </c>
      <c r="I388" s="10" t="n">
        <v>-60.5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0" t="n">
        <v>0</v>
      </c>
      <c r="P388" s="10" t="n">
        <v>-158.7</v>
      </c>
      <c r="Q388" s="10" t="n">
        <v>98.2</v>
      </c>
      <c r="R388" s="10" t="n">
        <v>0</v>
      </c>
      <c r="S388" s="10" t="n">
        <v>0</v>
      </c>
      <c r="T388" s="10" t="n">
        <v>0</v>
      </c>
      <c r="U388" s="10" t="n">
        <v>0</v>
      </c>
    </row>
    <row r="389" customFormat="false" ht="15" hidden="false" customHeight="false" outlineLevel="0" collapsed="false">
      <c r="A389" s="7" t="s">
        <v>394</v>
      </c>
      <c r="B389" s="7" t="s">
        <v>214</v>
      </c>
      <c r="C389" s="7" t="s">
        <v>771</v>
      </c>
      <c r="D389" s="10" t="n">
        <v>0</v>
      </c>
      <c r="E389" s="10" t="n">
        <v>0</v>
      </c>
      <c r="F389" s="10" t="n">
        <v>0</v>
      </c>
      <c r="G389" s="10" t="n">
        <v>0</v>
      </c>
      <c r="H389" s="10" t="n">
        <v>0</v>
      </c>
      <c r="I389" s="10" t="n">
        <v>-158.7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0" t="n">
        <v>0</v>
      </c>
      <c r="P389" s="10" t="n">
        <v>-158.7</v>
      </c>
      <c r="Q389" s="10" t="n">
        <v>0</v>
      </c>
      <c r="R389" s="10" t="n">
        <v>0</v>
      </c>
      <c r="S389" s="10" t="n">
        <v>0</v>
      </c>
      <c r="T389" s="10" t="n">
        <v>0</v>
      </c>
      <c r="U389" s="10" t="n">
        <v>0</v>
      </c>
    </row>
    <row r="390" customFormat="false" ht="15" hidden="false" customHeight="false" outlineLevel="0" collapsed="false">
      <c r="A390" s="7" t="s">
        <v>394</v>
      </c>
      <c r="B390" s="7" t="s">
        <v>236</v>
      </c>
      <c r="C390" s="7" t="s">
        <v>772</v>
      </c>
      <c r="D390" s="10" t="n">
        <v>0</v>
      </c>
      <c r="E390" s="10" t="n">
        <v>0</v>
      </c>
      <c r="F390" s="10" t="n">
        <v>0</v>
      </c>
      <c r="G390" s="10" t="n">
        <v>0</v>
      </c>
      <c r="H390" s="10" t="n">
        <v>0</v>
      </c>
      <c r="I390" s="10" t="n">
        <v>-73.9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0" t="n">
        <v>0</v>
      </c>
      <c r="P390" s="10" t="n">
        <v>0</v>
      </c>
      <c r="Q390" s="10" t="n">
        <v>-73.9</v>
      </c>
      <c r="R390" s="10" t="n">
        <v>0</v>
      </c>
      <c r="S390" s="10" t="n">
        <v>0</v>
      </c>
      <c r="T390" s="10" t="n">
        <v>0</v>
      </c>
      <c r="U390" s="10" t="n">
        <v>0</v>
      </c>
    </row>
    <row r="391" customFormat="false" ht="15" hidden="false" customHeight="false" outlineLevel="0" collapsed="false">
      <c r="A391" s="7" t="s">
        <v>394</v>
      </c>
      <c r="B391" s="7" t="s">
        <v>340</v>
      </c>
      <c r="C391" s="7" t="s">
        <v>773</v>
      </c>
      <c r="D391" s="10" t="n">
        <v>0</v>
      </c>
      <c r="E391" s="10" t="n">
        <v>0</v>
      </c>
      <c r="F391" s="10" t="n">
        <v>1758.7</v>
      </c>
      <c r="G391" s="10" t="n">
        <v>0</v>
      </c>
      <c r="H391" s="10" t="n">
        <v>0</v>
      </c>
      <c r="I391" s="10" t="n">
        <v>1894.5</v>
      </c>
      <c r="J391" s="10" t="n">
        <v>0</v>
      </c>
      <c r="K391" s="10" t="n">
        <v>174.6</v>
      </c>
      <c r="L391" s="10" t="n">
        <v>0</v>
      </c>
      <c r="M391" s="10" t="n">
        <v>0</v>
      </c>
      <c r="N391" s="10" t="n">
        <v>24.1</v>
      </c>
      <c r="O391" s="10" t="n">
        <v>0</v>
      </c>
      <c r="P391" s="10" t="n">
        <v>-203.5</v>
      </c>
      <c r="Q391" s="10" t="n">
        <v>0</v>
      </c>
      <c r="R391" s="10" t="n">
        <v>1899.2</v>
      </c>
      <c r="S391" s="10" t="n">
        <v>0</v>
      </c>
      <c r="T391" s="10" t="n">
        <v>0</v>
      </c>
      <c r="U391" s="10" t="n">
        <v>0</v>
      </c>
    </row>
    <row r="392" customFormat="false" ht="15" hidden="false" customHeight="false" outlineLevel="0" collapsed="false">
      <c r="A392" s="7" t="s">
        <v>394</v>
      </c>
      <c r="B392" s="7" t="s">
        <v>225</v>
      </c>
      <c r="C392" s="7" t="s">
        <v>774</v>
      </c>
      <c r="D392" s="10" t="n">
        <v>0</v>
      </c>
      <c r="E392" s="10" t="n">
        <v>0</v>
      </c>
      <c r="F392" s="10" t="n">
        <v>209.2</v>
      </c>
      <c r="G392" s="10" t="n">
        <v>0</v>
      </c>
      <c r="H392" s="10" t="n">
        <v>0</v>
      </c>
      <c r="I392" s="10" t="n">
        <v>-70.3</v>
      </c>
      <c r="J392" s="10" t="n">
        <v>0</v>
      </c>
      <c r="K392" s="10" t="n">
        <v>26.2</v>
      </c>
      <c r="L392" s="10" t="n">
        <v>0</v>
      </c>
      <c r="M392" s="10" t="n">
        <v>0</v>
      </c>
      <c r="N392" s="10" t="n">
        <v>-28.3</v>
      </c>
      <c r="O392" s="10" t="n">
        <v>0</v>
      </c>
      <c r="P392" s="10" t="n">
        <v>-218.3</v>
      </c>
      <c r="Q392" s="10" t="n">
        <v>-85.8</v>
      </c>
      <c r="R392" s="10" t="n">
        <v>235.9</v>
      </c>
      <c r="S392" s="10" t="n">
        <v>0</v>
      </c>
      <c r="T392" s="10" t="n">
        <v>0</v>
      </c>
      <c r="U392" s="10" t="n">
        <v>0</v>
      </c>
    </row>
    <row r="393" customFormat="false" ht="15" hidden="false" customHeight="false" outlineLevel="0" collapsed="false">
      <c r="A393" s="7" t="s">
        <v>394</v>
      </c>
      <c r="B393" s="7" t="s">
        <v>300</v>
      </c>
      <c r="C393" s="7" t="s">
        <v>775</v>
      </c>
      <c r="D393" s="10" t="n">
        <v>0</v>
      </c>
      <c r="E393" s="10" t="n">
        <v>0</v>
      </c>
      <c r="F393" s="10" t="n">
        <v>1051.7</v>
      </c>
      <c r="G393" s="10" t="n">
        <v>0</v>
      </c>
      <c r="H393" s="10" t="n">
        <v>0</v>
      </c>
      <c r="I393" s="10" t="n">
        <v>1132</v>
      </c>
      <c r="J393" s="10" t="n">
        <v>0</v>
      </c>
      <c r="K393" s="10" t="n">
        <v>176.8</v>
      </c>
      <c r="L393" s="10" t="n">
        <v>0</v>
      </c>
      <c r="M393" s="10" t="n">
        <v>0</v>
      </c>
      <c r="N393" s="10" t="n">
        <v>21.2</v>
      </c>
      <c r="O393" s="10" t="n">
        <v>0</v>
      </c>
      <c r="P393" s="10" t="n">
        <v>-67.6</v>
      </c>
      <c r="Q393" s="10" t="n">
        <v>0</v>
      </c>
      <c r="R393" s="10" t="n">
        <v>1001.6</v>
      </c>
      <c r="S393" s="10" t="n">
        <v>0</v>
      </c>
      <c r="T393" s="10" t="n">
        <v>0</v>
      </c>
      <c r="U393" s="10" t="n">
        <v>0</v>
      </c>
    </row>
    <row r="394" customFormat="false" ht="15" hidden="false" customHeight="false" outlineLevel="0" collapsed="false">
      <c r="A394" s="7" t="s">
        <v>394</v>
      </c>
      <c r="B394" s="7" t="s">
        <v>247</v>
      </c>
      <c r="C394" s="7" t="s">
        <v>776</v>
      </c>
      <c r="D394" s="10" t="n">
        <v>0</v>
      </c>
      <c r="E394" s="10" t="n">
        <v>0</v>
      </c>
      <c r="F394" s="10" t="n">
        <v>936.7</v>
      </c>
      <c r="G394" s="10" t="n">
        <v>0</v>
      </c>
      <c r="H394" s="10" t="n">
        <v>0</v>
      </c>
      <c r="I394" s="10" t="n">
        <v>900.2</v>
      </c>
      <c r="J394" s="10" t="n">
        <v>0</v>
      </c>
      <c r="K394" s="10" t="n">
        <v>109.2</v>
      </c>
      <c r="L394" s="10" t="n">
        <v>0</v>
      </c>
      <c r="M394" s="10" t="n">
        <v>0</v>
      </c>
      <c r="N394" s="10" t="n">
        <v>71.3</v>
      </c>
      <c r="O394" s="10" t="n">
        <v>0</v>
      </c>
      <c r="P394" s="10" t="n">
        <v>-265.7</v>
      </c>
      <c r="Q394" s="10" t="n">
        <v>-40.5</v>
      </c>
      <c r="R394" s="10" t="n">
        <v>1026</v>
      </c>
      <c r="S394" s="10" t="n">
        <v>0</v>
      </c>
      <c r="T394" s="10" t="n">
        <v>0</v>
      </c>
      <c r="U394" s="10" t="n">
        <v>0</v>
      </c>
    </row>
    <row r="395" customFormat="false" ht="15" hidden="false" customHeight="false" outlineLevel="0" collapsed="false">
      <c r="A395" s="7" t="s">
        <v>394</v>
      </c>
      <c r="B395" s="7" t="s">
        <v>269</v>
      </c>
      <c r="C395" s="7" t="s">
        <v>777</v>
      </c>
      <c r="D395" s="10" t="n">
        <v>0</v>
      </c>
      <c r="E395" s="10" t="n">
        <v>0</v>
      </c>
      <c r="F395" s="10" t="n">
        <v>29211.2</v>
      </c>
      <c r="G395" s="10" t="n">
        <v>0</v>
      </c>
      <c r="H395" s="10" t="n">
        <v>413.3</v>
      </c>
      <c r="I395" s="10" t="n">
        <v>15182</v>
      </c>
      <c r="J395" s="10" t="n">
        <v>0</v>
      </c>
      <c r="K395" s="10" t="n">
        <v>895.3</v>
      </c>
      <c r="L395" s="10" t="n">
        <v>-33.2</v>
      </c>
      <c r="M395" s="10" t="n">
        <v>89.6</v>
      </c>
      <c r="N395" s="10" t="n">
        <v>173.5</v>
      </c>
      <c r="O395" s="10" t="n">
        <v>468.5</v>
      </c>
      <c r="P395" s="10" t="n">
        <v>-16.6</v>
      </c>
      <c r="Q395" s="10" t="n">
        <v>0</v>
      </c>
      <c r="R395" s="10" t="n">
        <v>13604.9</v>
      </c>
      <c r="S395" s="10" t="n">
        <v>17.5</v>
      </c>
      <c r="T395" s="10" t="n">
        <v>0</v>
      </c>
      <c r="U395" s="10" t="n">
        <v>0</v>
      </c>
    </row>
    <row r="396" customFormat="false" ht="15" hidden="false" customHeight="false" outlineLevel="0" collapsed="false">
      <c r="A396" s="7" t="s">
        <v>394</v>
      </c>
      <c r="B396" s="7" t="s">
        <v>67</v>
      </c>
      <c r="C396" s="7" t="s">
        <v>778</v>
      </c>
      <c r="D396" s="10" t="n">
        <v>0</v>
      </c>
      <c r="E396" s="10" t="n">
        <v>0</v>
      </c>
      <c r="F396" s="10" t="n">
        <v>9236.9</v>
      </c>
      <c r="G396" s="10" t="n">
        <v>0</v>
      </c>
      <c r="H396" s="10" t="n">
        <v>0</v>
      </c>
      <c r="I396" s="10" t="n">
        <v>64494.5</v>
      </c>
      <c r="J396" s="10" t="n">
        <v>0</v>
      </c>
      <c r="K396" s="10" t="n">
        <v>616</v>
      </c>
      <c r="L396" s="10" t="n">
        <v>0</v>
      </c>
      <c r="M396" s="10" t="n">
        <v>0</v>
      </c>
      <c r="N396" s="10" t="n">
        <v>0</v>
      </c>
      <c r="O396" s="10" t="n">
        <v>56</v>
      </c>
      <c r="P396" s="10" t="n">
        <v>-112</v>
      </c>
      <c r="Q396" s="10" t="n">
        <v>61190.5</v>
      </c>
      <c r="R396" s="10" t="n">
        <v>2744</v>
      </c>
      <c r="S396" s="10" t="n">
        <v>0</v>
      </c>
      <c r="T396" s="10" t="n">
        <v>0</v>
      </c>
      <c r="U396" s="10" t="n">
        <v>0</v>
      </c>
    </row>
    <row r="397" customFormat="false" ht="15" hidden="false" customHeight="false" outlineLevel="0" collapsed="false">
      <c r="A397" s="7" t="s">
        <v>394</v>
      </c>
      <c r="B397" s="7" t="s">
        <v>136</v>
      </c>
      <c r="C397" s="7" t="s">
        <v>779</v>
      </c>
      <c r="D397" s="10" t="n">
        <v>0</v>
      </c>
      <c r="E397" s="10" t="n">
        <v>0</v>
      </c>
      <c r="F397" s="10" t="n">
        <v>2530.7</v>
      </c>
      <c r="G397" s="10" t="n">
        <v>0</v>
      </c>
      <c r="H397" s="10" t="n">
        <v>0</v>
      </c>
      <c r="I397" s="10" t="n">
        <v>7074</v>
      </c>
      <c r="J397" s="10" t="n">
        <v>0</v>
      </c>
      <c r="K397" s="10" t="n">
        <v>680.9</v>
      </c>
      <c r="L397" s="10" t="n">
        <v>0</v>
      </c>
      <c r="M397" s="10" t="n">
        <v>40</v>
      </c>
      <c r="N397" s="10" t="n">
        <v>103.7</v>
      </c>
      <c r="O397" s="10" t="n">
        <v>163.6</v>
      </c>
      <c r="P397" s="10" t="n">
        <v>-52.4</v>
      </c>
      <c r="Q397" s="10" t="n">
        <v>4566.7</v>
      </c>
      <c r="R397" s="10" t="n">
        <v>1571.4</v>
      </c>
      <c r="S397" s="10" t="n">
        <v>0</v>
      </c>
      <c r="T397" s="10" t="n">
        <v>0</v>
      </c>
      <c r="U397" s="10" t="n">
        <v>0</v>
      </c>
    </row>
    <row r="398" customFormat="false" ht="15" hidden="false" customHeight="false" outlineLevel="0" collapsed="false">
      <c r="A398" s="7" t="s">
        <v>394</v>
      </c>
      <c r="B398" s="7" t="s">
        <v>238</v>
      </c>
      <c r="C398" s="7" t="s">
        <v>780</v>
      </c>
      <c r="D398" s="10" t="n">
        <v>0</v>
      </c>
      <c r="E398" s="10" t="n">
        <v>0</v>
      </c>
      <c r="F398" s="10" t="n">
        <v>0</v>
      </c>
      <c r="G398" s="10" t="n">
        <v>0</v>
      </c>
      <c r="H398" s="10" t="n">
        <v>0</v>
      </c>
      <c r="I398" s="10" t="n">
        <v>-70.7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0" t="n">
        <v>0</v>
      </c>
      <c r="P398" s="10" t="n">
        <v>0</v>
      </c>
      <c r="Q398" s="10" t="n">
        <v>-70.7</v>
      </c>
      <c r="R398" s="10" t="n">
        <v>0</v>
      </c>
      <c r="S398" s="10" t="n">
        <v>0</v>
      </c>
      <c r="T398" s="10" t="n">
        <v>0</v>
      </c>
      <c r="U398" s="10" t="n">
        <v>-36.5</v>
      </c>
    </row>
    <row r="399" customFormat="false" ht="15" hidden="false" customHeight="false" outlineLevel="0" collapsed="false">
      <c r="A399" s="7" t="s">
        <v>394</v>
      </c>
      <c r="B399" s="7" t="s">
        <v>185</v>
      </c>
      <c r="C399" s="7" t="s">
        <v>781</v>
      </c>
      <c r="D399" s="10" t="n">
        <v>0</v>
      </c>
      <c r="E399" s="10" t="n">
        <v>0</v>
      </c>
      <c r="F399" s="10" t="n">
        <v>2043.8</v>
      </c>
      <c r="G399" s="10" t="n">
        <v>0</v>
      </c>
      <c r="H399" s="10" t="n">
        <v>0</v>
      </c>
      <c r="I399" s="10" t="n">
        <v>0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0" t="n">
        <v>0</v>
      </c>
      <c r="P399" s="10" t="n">
        <v>0</v>
      </c>
      <c r="Q399" s="10" t="n">
        <v>0</v>
      </c>
      <c r="R399" s="10" t="n">
        <v>0</v>
      </c>
      <c r="S399" s="10" t="n">
        <v>0</v>
      </c>
      <c r="T399" s="10" t="n">
        <v>0</v>
      </c>
      <c r="U399" s="10" t="n">
        <v>0</v>
      </c>
    </row>
    <row r="400" customFormat="false" ht="15" hidden="false" customHeight="false" outlineLevel="0" collapsed="false">
      <c r="A400" s="7" t="s">
        <v>394</v>
      </c>
      <c r="B400" s="7" t="s">
        <v>185</v>
      </c>
      <c r="C400" s="7" t="s">
        <v>782</v>
      </c>
      <c r="D400" s="10" t="n">
        <v>0</v>
      </c>
      <c r="E400" s="10" t="n">
        <v>0</v>
      </c>
      <c r="F400" s="10" t="n">
        <v>5060</v>
      </c>
      <c r="G400" s="10" t="n">
        <v>0</v>
      </c>
      <c r="H400" s="10" t="n">
        <v>0</v>
      </c>
      <c r="I400" s="10" t="n">
        <v>1763.9</v>
      </c>
      <c r="J400" s="10" t="n">
        <v>0</v>
      </c>
      <c r="K400" s="10" t="n">
        <v>0</v>
      </c>
      <c r="L400" s="10" t="n">
        <v>0</v>
      </c>
      <c r="M400" s="10" t="n">
        <v>0</v>
      </c>
      <c r="N400" s="10" t="n">
        <v>0</v>
      </c>
      <c r="O400" s="10" t="n">
        <v>0</v>
      </c>
      <c r="P400" s="10" t="n">
        <v>0</v>
      </c>
      <c r="Q400" s="10" t="n">
        <v>827.4</v>
      </c>
      <c r="R400" s="10" t="n">
        <v>936.5</v>
      </c>
      <c r="S400" s="10" t="n">
        <v>0</v>
      </c>
      <c r="T400" s="10" t="n">
        <v>0</v>
      </c>
      <c r="U400" s="10" t="n">
        <v>0</v>
      </c>
    </row>
    <row r="401" customFormat="false" ht="15" hidden="false" customHeight="false" outlineLevel="0" collapsed="false">
      <c r="A401" s="7" t="s">
        <v>394</v>
      </c>
      <c r="B401" s="7" t="s">
        <v>185</v>
      </c>
      <c r="C401" s="7" t="s">
        <v>783</v>
      </c>
      <c r="D401" s="10" t="n">
        <v>0</v>
      </c>
      <c r="E401" s="10" t="n">
        <v>0</v>
      </c>
      <c r="F401" s="10" t="n">
        <v>6775.1</v>
      </c>
      <c r="G401" s="10" t="n">
        <v>0</v>
      </c>
      <c r="H401" s="10" t="n">
        <v>328.1</v>
      </c>
      <c r="I401" s="10" t="n">
        <v>1030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0" t="n">
        <v>0</v>
      </c>
      <c r="P401" s="10" t="n">
        <v>0</v>
      </c>
      <c r="Q401" s="10" t="n">
        <v>655.4</v>
      </c>
      <c r="R401" s="10" t="n">
        <v>374.6</v>
      </c>
      <c r="S401" s="10" t="n">
        <v>0</v>
      </c>
      <c r="T401" s="10" t="n">
        <v>0</v>
      </c>
      <c r="U401" s="10" t="n">
        <v>0</v>
      </c>
    </row>
    <row r="402" customFormat="false" ht="15" hidden="false" customHeight="false" outlineLevel="0" collapsed="false">
      <c r="A402" s="7" t="s">
        <v>394</v>
      </c>
      <c r="B402" s="7" t="s">
        <v>185</v>
      </c>
      <c r="C402" s="7" t="s">
        <v>784</v>
      </c>
      <c r="D402" s="10" t="n">
        <v>0</v>
      </c>
      <c r="E402" s="10" t="n">
        <v>0</v>
      </c>
      <c r="F402" s="10" t="n">
        <v>3356.7</v>
      </c>
      <c r="G402" s="10" t="n">
        <v>0</v>
      </c>
      <c r="H402" s="10" t="n">
        <v>0</v>
      </c>
      <c r="I402" s="10" t="n">
        <v>655.4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0" t="n">
        <v>0</v>
      </c>
      <c r="P402" s="10" t="n">
        <v>0</v>
      </c>
      <c r="Q402" s="10" t="n">
        <v>655.4</v>
      </c>
      <c r="R402" s="10" t="n">
        <v>0</v>
      </c>
      <c r="S402" s="10" t="n">
        <v>0</v>
      </c>
      <c r="T402" s="10" t="n">
        <v>0</v>
      </c>
      <c r="U402" s="10" t="n">
        <v>0</v>
      </c>
    </row>
    <row r="403" customFormat="false" ht="15" hidden="false" customHeight="false" outlineLevel="0" collapsed="false">
      <c r="A403" s="7" t="s">
        <v>394</v>
      </c>
      <c r="B403" s="7" t="s">
        <v>185</v>
      </c>
      <c r="C403" s="7" t="s">
        <v>785</v>
      </c>
      <c r="D403" s="10" t="n">
        <v>0</v>
      </c>
      <c r="E403" s="10" t="n">
        <v>0</v>
      </c>
      <c r="F403" s="10" t="n">
        <v>719.4</v>
      </c>
      <c r="G403" s="10" t="n">
        <v>0</v>
      </c>
      <c r="H403" s="10" t="n">
        <v>0</v>
      </c>
      <c r="I403" s="10" t="n">
        <v>0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0</v>
      </c>
      <c r="O403" s="10" t="n">
        <v>0</v>
      </c>
      <c r="P403" s="10" t="n">
        <v>0</v>
      </c>
      <c r="Q403" s="10" t="n">
        <v>0</v>
      </c>
      <c r="R403" s="10" t="n">
        <v>0</v>
      </c>
      <c r="S403" s="10" t="n">
        <v>0</v>
      </c>
      <c r="T403" s="10" t="n">
        <v>0</v>
      </c>
      <c r="U403" s="10" t="n">
        <v>0</v>
      </c>
    </row>
    <row r="404" customFormat="false" ht="15" hidden="false" customHeight="false" outlineLevel="0" collapsed="false">
      <c r="A404" s="7" t="s">
        <v>394</v>
      </c>
      <c r="B404" s="7" t="s">
        <v>53</v>
      </c>
      <c r="C404" s="7" t="s">
        <v>786</v>
      </c>
      <c r="D404" s="10" t="n">
        <v>0</v>
      </c>
      <c r="E404" s="10" t="n">
        <v>0</v>
      </c>
      <c r="F404" s="10" t="n">
        <v>38817.9</v>
      </c>
      <c r="G404" s="10" t="n">
        <v>0</v>
      </c>
      <c r="H404" s="10" t="n">
        <v>0</v>
      </c>
      <c r="I404" s="10" t="n">
        <v>331446.1</v>
      </c>
      <c r="J404" s="10" t="n">
        <v>0</v>
      </c>
      <c r="K404" s="10" t="n">
        <v>800.4</v>
      </c>
      <c r="L404" s="10" t="n">
        <v>0</v>
      </c>
      <c r="M404" s="10" t="n">
        <v>0</v>
      </c>
      <c r="N404" s="10" t="n">
        <v>0</v>
      </c>
      <c r="O404" s="10" t="n">
        <v>0</v>
      </c>
      <c r="P404" s="10" t="n">
        <v>-436.6</v>
      </c>
      <c r="Q404" s="10" t="n">
        <v>304743.2</v>
      </c>
      <c r="R404" s="10" t="n">
        <v>26339.1</v>
      </c>
      <c r="S404" s="10" t="n">
        <v>72.8</v>
      </c>
      <c r="T404" s="10" t="n">
        <v>0</v>
      </c>
      <c r="U404" s="10" t="n">
        <v>0</v>
      </c>
    </row>
    <row r="405" customFormat="false" ht="15" hidden="false" customHeight="false" outlineLevel="0" collapsed="false">
      <c r="A405" s="7" t="s">
        <v>394</v>
      </c>
      <c r="B405" s="7" t="s">
        <v>149</v>
      </c>
      <c r="C405" s="7" t="s">
        <v>718</v>
      </c>
      <c r="D405" s="10" t="n">
        <v>0</v>
      </c>
      <c r="E405" s="10" t="n">
        <v>0</v>
      </c>
      <c r="F405" s="10" t="n">
        <v>13916.1</v>
      </c>
      <c r="G405" s="10" t="n">
        <v>0</v>
      </c>
      <c r="H405" s="10" t="n">
        <v>0</v>
      </c>
      <c r="I405" s="10" t="n">
        <v>19519.4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0" t="n">
        <v>0</v>
      </c>
      <c r="P405" s="10" t="n">
        <v>-220.5</v>
      </c>
      <c r="Q405" s="10" t="n">
        <v>14778.5</v>
      </c>
      <c r="R405" s="10" t="n">
        <v>4961.4</v>
      </c>
      <c r="S405" s="10" t="n">
        <v>0</v>
      </c>
      <c r="T405" s="10" t="n">
        <v>0</v>
      </c>
      <c r="U405" s="10" t="n">
        <v>0</v>
      </c>
    </row>
    <row r="406" customFormat="false" ht="15" hidden="false" customHeight="false" outlineLevel="0" collapsed="false">
      <c r="A406" s="7" t="s">
        <v>394</v>
      </c>
      <c r="B406" s="7" t="s">
        <v>46</v>
      </c>
      <c r="C406" s="7" t="s">
        <v>787</v>
      </c>
      <c r="D406" s="10" t="n">
        <v>0</v>
      </c>
      <c r="E406" s="10" t="n">
        <v>0</v>
      </c>
      <c r="F406" s="10" t="n">
        <v>7050.6</v>
      </c>
      <c r="G406" s="10" t="n">
        <v>0</v>
      </c>
      <c r="H406" s="10" t="n">
        <v>0</v>
      </c>
      <c r="I406" s="10" t="n">
        <v>31177.9</v>
      </c>
      <c r="J406" s="10" t="n">
        <v>0</v>
      </c>
      <c r="K406" s="10" t="n">
        <v>454.6</v>
      </c>
      <c r="L406" s="10" t="n">
        <v>0</v>
      </c>
      <c r="M406" s="10" t="n">
        <v>0</v>
      </c>
      <c r="N406" s="10" t="n">
        <v>304.7</v>
      </c>
      <c r="O406" s="10" t="n">
        <v>0</v>
      </c>
      <c r="P406" s="10" t="n">
        <v>-270.6</v>
      </c>
      <c r="Q406" s="10" t="n">
        <v>22846.7</v>
      </c>
      <c r="R406" s="10" t="n">
        <v>7842.5</v>
      </c>
      <c r="S406" s="10" t="n">
        <v>0</v>
      </c>
      <c r="T406" s="10" t="n">
        <v>0</v>
      </c>
      <c r="U406" s="10" t="n">
        <v>0</v>
      </c>
    </row>
    <row r="407" customFormat="false" ht="15" hidden="false" customHeight="false" outlineLevel="0" collapsed="false">
      <c r="A407" s="7" t="s">
        <v>394</v>
      </c>
      <c r="B407" s="7" t="s">
        <v>46</v>
      </c>
      <c r="C407" s="7" t="s">
        <v>788</v>
      </c>
      <c r="D407" s="10" t="n">
        <v>0</v>
      </c>
      <c r="E407" s="10" t="n">
        <v>0</v>
      </c>
      <c r="F407" s="10" t="n">
        <v>11660.8</v>
      </c>
      <c r="G407" s="10" t="n">
        <v>0</v>
      </c>
      <c r="H407" s="10" t="n">
        <v>164.4</v>
      </c>
      <c r="I407" s="10" t="n">
        <v>42669.9</v>
      </c>
      <c r="J407" s="10" t="n">
        <v>0</v>
      </c>
      <c r="K407" s="10" t="n">
        <v>227.3</v>
      </c>
      <c r="L407" s="10" t="n">
        <v>0</v>
      </c>
      <c r="M407" s="10" t="n">
        <v>0</v>
      </c>
      <c r="N407" s="10" t="n">
        <v>0</v>
      </c>
      <c r="O407" s="10" t="n">
        <v>0</v>
      </c>
      <c r="P407" s="10" t="n">
        <v>-284.2</v>
      </c>
      <c r="Q407" s="10" t="n">
        <v>28632.9</v>
      </c>
      <c r="R407" s="10" t="n">
        <v>14093.8</v>
      </c>
      <c r="S407" s="10" t="n">
        <v>0</v>
      </c>
      <c r="T407" s="10" t="n">
        <v>0</v>
      </c>
      <c r="U407" s="10" t="n">
        <v>0</v>
      </c>
    </row>
    <row r="408" customFormat="false" ht="15" hidden="false" customHeight="false" outlineLevel="0" collapsed="false">
      <c r="A408" s="7" t="s">
        <v>394</v>
      </c>
      <c r="B408" s="7" t="s">
        <v>46</v>
      </c>
      <c r="C408" s="7" t="s">
        <v>789</v>
      </c>
      <c r="D408" s="10" t="n">
        <v>0</v>
      </c>
      <c r="E408" s="10" t="n">
        <v>0</v>
      </c>
      <c r="F408" s="10" t="n">
        <v>11911</v>
      </c>
      <c r="G408" s="10" t="n">
        <v>0</v>
      </c>
      <c r="H408" s="10" t="n">
        <v>580.9</v>
      </c>
      <c r="I408" s="10" t="n">
        <v>36193</v>
      </c>
      <c r="J408" s="10" t="n">
        <v>0</v>
      </c>
      <c r="K408" s="10" t="n">
        <v>170.5</v>
      </c>
      <c r="L408" s="10" t="n">
        <v>0</v>
      </c>
      <c r="M408" s="10" t="n">
        <v>0</v>
      </c>
      <c r="N408" s="10" t="n">
        <v>0</v>
      </c>
      <c r="O408" s="10" t="n">
        <v>0</v>
      </c>
      <c r="P408" s="10" t="n">
        <v>-170.5</v>
      </c>
      <c r="Q408" s="10" t="n">
        <v>27725.3</v>
      </c>
      <c r="R408" s="10" t="n">
        <v>8467.7</v>
      </c>
      <c r="S408" s="10" t="n">
        <v>0</v>
      </c>
      <c r="T408" s="10" t="n">
        <v>0</v>
      </c>
      <c r="U408" s="10" t="n">
        <v>0</v>
      </c>
    </row>
    <row r="409" customFormat="false" ht="15" hidden="false" customHeight="false" outlineLevel="0" collapsed="false">
      <c r="A409" s="7" t="s">
        <v>394</v>
      </c>
      <c r="B409" s="7" t="s">
        <v>333</v>
      </c>
      <c r="C409" s="7" t="s">
        <v>790</v>
      </c>
      <c r="D409" s="10" t="n">
        <v>0</v>
      </c>
      <c r="E409" s="10" t="n">
        <v>0</v>
      </c>
      <c r="F409" s="10" t="n">
        <v>315.3</v>
      </c>
      <c r="G409" s="10" t="n">
        <v>0</v>
      </c>
      <c r="H409" s="10" t="n">
        <v>0</v>
      </c>
      <c r="I409" s="10" t="n">
        <v>0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0" t="n">
        <v>0</v>
      </c>
      <c r="P409" s="10" t="n">
        <v>0</v>
      </c>
      <c r="Q409" s="10" t="n">
        <v>0</v>
      </c>
      <c r="R409" s="10" t="n">
        <v>0</v>
      </c>
      <c r="S409" s="10" t="n">
        <v>0</v>
      </c>
      <c r="T409" s="10" t="n">
        <v>0</v>
      </c>
      <c r="U409" s="10" t="n">
        <v>0</v>
      </c>
    </row>
    <row r="410" customFormat="false" ht="15" hidden="false" customHeight="false" outlineLevel="0" collapsed="false">
      <c r="A410" s="7" t="s">
        <v>394</v>
      </c>
      <c r="B410" s="7" t="s">
        <v>97</v>
      </c>
      <c r="C410" s="7" t="s">
        <v>791</v>
      </c>
      <c r="D410" s="10" t="n">
        <v>0</v>
      </c>
      <c r="E410" s="10" t="n">
        <v>0</v>
      </c>
      <c r="F410" s="10" t="n">
        <v>577.8</v>
      </c>
      <c r="G410" s="10" t="n">
        <v>0</v>
      </c>
      <c r="H410" s="10" t="n">
        <v>0</v>
      </c>
      <c r="I410" s="10" t="n">
        <v>34663.2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0" t="n">
        <v>0</v>
      </c>
      <c r="P410" s="10" t="n">
        <v>-976.6</v>
      </c>
      <c r="Q410" s="10" t="n">
        <v>33059.8</v>
      </c>
      <c r="R410" s="10" t="n">
        <v>2580</v>
      </c>
      <c r="S410" s="10" t="n">
        <v>0</v>
      </c>
      <c r="T410" s="10" t="n">
        <v>0</v>
      </c>
      <c r="U410" s="10" t="n">
        <v>0</v>
      </c>
    </row>
    <row r="411" customFormat="false" ht="15" hidden="false" customHeight="false" outlineLevel="0" collapsed="false">
      <c r="A411" s="7" t="s">
        <v>394</v>
      </c>
      <c r="B411" s="7" t="s">
        <v>61</v>
      </c>
      <c r="C411" s="7" t="s">
        <v>791</v>
      </c>
      <c r="D411" s="10" t="n">
        <v>0</v>
      </c>
      <c r="E411" s="10" t="n">
        <v>0</v>
      </c>
      <c r="F411" s="10" t="n">
        <v>2977.7</v>
      </c>
      <c r="G411" s="10" t="n">
        <v>0</v>
      </c>
      <c r="H411" s="10" t="n">
        <v>0</v>
      </c>
      <c r="I411" s="10" t="n">
        <v>118489.3</v>
      </c>
      <c r="J411" s="10" t="n">
        <v>0</v>
      </c>
      <c r="K411" s="10" t="n">
        <v>496.2</v>
      </c>
      <c r="L411" s="10" t="n">
        <v>0</v>
      </c>
      <c r="M411" s="10" t="n">
        <v>0</v>
      </c>
      <c r="N411" s="10" t="n">
        <v>0</v>
      </c>
      <c r="O411" s="10" t="n">
        <v>0</v>
      </c>
      <c r="P411" s="10" t="n">
        <v>-992.3</v>
      </c>
      <c r="Q411" s="10" t="n">
        <v>110749.4</v>
      </c>
      <c r="R411" s="10" t="n">
        <v>8236.1</v>
      </c>
      <c r="S411" s="10" t="n">
        <v>0</v>
      </c>
      <c r="T411" s="10" t="n">
        <v>0</v>
      </c>
      <c r="U411" s="10" t="n">
        <v>0</v>
      </c>
    </row>
    <row r="412" customFormat="false" ht="15" hidden="false" customHeight="false" outlineLevel="0" collapsed="false">
      <c r="A412" s="7" t="s">
        <v>394</v>
      </c>
      <c r="B412" s="7" t="s">
        <v>55</v>
      </c>
      <c r="C412" s="7" t="s">
        <v>791</v>
      </c>
      <c r="D412" s="10" t="n">
        <v>0</v>
      </c>
      <c r="E412" s="10" t="n">
        <v>0</v>
      </c>
      <c r="F412" s="10" t="n">
        <v>5547.9</v>
      </c>
      <c r="G412" s="10" t="n">
        <v>0</v>
      </c>
      <c r="H412" s="10" t="n">
        <v>101.5</v>
      </c>
      <c r="I412" s="10" t="n">
        <v>176482.5</v>
      </c>
      <c r="J412" s="10" t="n">
        <v>0</v>
      </c>
      <c r="K412" s="10" t="n">
        <v>694.6</v>
      </c>
      <c r="L412" s="10" t="n">
        <v>0</v>
      </c>
      <c r="M412" s="10" t="n">
        <v>0</v>
      </c>
      <c r="N412" s="10" t="n">
        <v>0</v>
      </c>
      <c r="O412" s="10" t="n">
        <v>0</v>
      </c>
      <c r="P412" s="10" t="n">
        <v>-694.6</v>
      </c>
      <c r="Q412" s="10" t="n">
        <v>161994.9</v>
      </c>
      <c r="R412" s="10" t="n">
        <v>14487.6</v>
      </c>
      <c r="S412" s="10" t="n">
        <v>0</v>
      </c>
      <c r="T412" s="10" t="n">
        <v>0</v>
      </c>
      <c r="U412" s="10" t="n">
        <v>0</v>
      </c>
    </row>
    <row r="413" customFormat="false" ht="15" hidden="false" customHeight="false" outlineLevel="0" collapsed="false">
      <c r="A413" s="7" t="s">
        <v>394</v>
      </c>
      <c r="B413" s="7" t="s">
        <v>54</v>
      </c>
      <c r="C413" s="7" t="s">
        <v>792</v>
      </c>
      <c r="D413" s="10" t="n">
        <v>0</v>
      </c>
      <c r="E413" s="10" t="n">
        <v>0</v>
      </c>
      <c r="F413" s="10" t="n">
        <v>5922.9</v>
      </c>
      <c r="G413" s="10" t="n">
        <v>0</v>
      </c>
      <c r="H413" s="10" t="n">
        <v>0</v>
      </c>
      <c r="I413" s="10" t="n">
        <v>147542.2</v>
      </c>
      <c r="J413" s="10" t="n">
        <v>0</v>
      </c>
      <c r="K413" s="10" t="n">
        <v>297.7</v>
      </c>
      <c r="L413" s="10" t="n">
        <v>0</v>
      </c>
      <c r="M413" s="10" t="n">
        <v>0</v>
      </c>
      <c r="N413" s="10" t="n">
        <v>0</v>
      </c>
      <c r="O413" s="10" t="n">
        <v>0</v>
      </c>
      <c r="P413" s="10" t="n">
        <v>-694.6</v>
      </c>
      <c r="Q413" s="10" t="n">
        <v>137916.9</v>
      </c>
      <c r="R413" s="10" t="n">
        <v>10022.2</v>
      </c>
      <c r="S413" s="10" t="n">
        <v>0</v>
      </c>
      <c r="T413" s="10" t="n">
        <v>0</v>
      </c>
      <c r="U413" s="10" t="n">
        <v>0</v>
      </c>
    </row>
    <row r="414" customFormat="false" ht="15" hidden="false" customHeight="false" outlineLevel="0" collapsed="false">
      <c r="A414" s="7" t="s">
        <v>394</v>
      </c>
      <c r="B414" s="7" t="s">
        <v>108</v>
      </c>
      <c r="C414" s="7" t="s">
        <v>792</v>
      </c>
      <c r="D414" s="10" t="n">
        <v>0</v>
      </c>
      <c r="E414" s="10" t="n">
        <v>0</v>
      </c>
      <c r="F414" s="10" t="n">
        <v>4499.2</v>
      </c>
      <c r="G414" s="10" t="n">
        <v>0</v>
      </c>
      <c r="H414" s="10" t="n">
        <v>0</v>
      </c>
      <c r="I414" s="10" t="n">
        <v>20730.3</v>
      </c>
      <c r="J414" s="10" t="n">
        <v>0</v>
      </c>
      <c r="K414" s="10" t="n">
        <v>297.7</v>
      </c>
      <c r="L414" s="10" t="n">
        <v>0</v>
      </c>
      <c r="M414" s="10" t="n">
        <v>0</v>
      </c>
      <c r="N414" s="10" t="n">
        <v>0</v>
      </c>
      <c r="O414" s="10" t="n">
        <v>0</v>
      </c>
      <c r="P414" s="10" t="n">
        <v>-893.1</v>
      </c>
      <c r="Q414" s="10" t="n">
        <v>14776.5</v>
      </c>
      <c r="R414" s="10" t="n">
        <v>6549.2</v>
      </c>
      <c r="S414" s="10" t="n">
        <v>109.3</v>
      </c>
      <c r="T414" s="10" t="n">
        <v>0</v>
      </c>
      <c r="U414" s="10" t="n">
        <v>-156.2</v>
      </c>
    </row>
    <row r="415" customFormat="false" ht="15" hidden="false" customHeight="false" outlineLevel="0" collapsed="false">
      <c r="A415" s="7" t="s">
        <v>394</v>
      </c>
      <c r="B415" s="7" t="s">
        <v>161</v>
      </c>
      <c r="C415" s="7" t="s">
        <v>793</v>
      </c>
      <c r="D415" s="10" t="n">
        <v>0</v>
      </c>
      <c r="E415" s="10" t="n">
        <v>0</v>
      </c>
      <c r="F415" s="10" t="n">
        <v>0</v>
      </c>
      <c r="G415" s="10" t="n">
        <v>0</v>
      </c>
      <c r="H415" s="10" t="n">
        <v>0</v>
      </c>
      <c r="I415" s="10" t="n">
        <v>1210.5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0" t="n">
        <v>0</v>
      </c>
      <c r="P415" s="10" t="n">
        <v>0</v>
      </c>
      <c r="Q415" s="10" t="n">
        <v>1210.5</v>
      </c>
      <c r="R415" s="10" t="n">
        <v>0</v>
      </c>
      <c r="S415" s="10" t="n">
        <v>0</v>
      </c>
      <c r="T415" s="10" t="n">
        <v>0</v>
      </c>
      <c r="U415" s="10" t="n">
        <v>0</v>
      </c>
    </row>
    <row r="416" customFormat="false" ht="15" hidden="false" customHeight="false" outlineLevel="0" collapsed="false">
      <c r="A416" s="7" t="s">
        <v>394</v>
      </c>
      <c r="B416" s="7" t="s">
        <v>130</v>
      </c>
      <c r="C416" s="7" t="s">
        <v>794</v>
      </c>
      <c r="D416" s="10" t="n">
        <v>0</v>
      </c>
      <c r="E416" s="10" t="n">
        <v>0</v>
      </c>
      <c r="F416" s="10" t="n">
        <v>288.7</v>
      </c>
      <c r="G416" s="10" t="n">
        <v>0</v>
      </c>
      <c r="H416" s="10" t="n">
        <v>0</v>
      </c>
      <c r="I416" s="10" t="n">
        <v>2730.6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0" t="n">
        <v>0</v>
      </c>
      <c r="P416" s="10" t="n">
        <v>0</v>
      </c>
      <c r="Q416" s="10" t="n">
        <v>2730.6</v>
      </c>
      <c r="R416" s="10" t="n">
        <v>0</v>
      </c>
      <c r="S416" s="10" t="n">
        <v>0</v>
      </c>
      <c r="T416" s="10" t="n">
        <v>0</v>
      </c>
      <c r="U416" s="10" t="n">
        <v>0</v>
      </c>
    </row>
    <row r="417" customFormat="false" ht="15" hidden="false" customHeight="false" outlineLevel="0" collapsed="false">
      <c r="A417" s="7" t="s">
        <v>394</v>
      </c>
      <c r="B417" s="7" t="s">
        <v>123</v>
      </c>
      <c r="C417" s="7" t="s">
        <v>794</v>
      </c>
      <c r="D417" s="10" t="n">
        <v>0</v>
      </c>
      <c r="E417" s="10" t="n">
        <v>0</v>
      </c>
      <c r="F417" s="10" t="n">
        <v>206.1</v>
      </c>
      <c r="G417" s="10" t="n">
        <v>0</v>
      </c>
      <c r="H417" s="10" t="n">
        <v>0</v>
      </c>
      <c r="I417" s="10" t="n">
        <v>3611.3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0" t="n">
        <v>0</v>
      </c>
      <c r="P417" s="10" t="n">
        <v>0</v>
      </c>
      <c r="Q417" s="10" t="n">
        <v>3611.3</v>
      </c>
      <c r="R417" s="10" t="n">
        <v>0</v>
      </c>
      <c r="S417" s="10" t="n">
        <v>0</v>
      </c>
      <c r="T417" s="10" t="n">
        <v>0</v>
      </c>
      <c r="U417" s="10" t="n">
        <v>0</v>
      </c>
    </row>
    <row r="418" customFormat="false" ht="15" hidden="false" customHeight="false" outlineLevel="0" collapsed="false">
      <c r="A418" s="7" t="s">
        <v>394</v>
      </c>
      <c r="B418" s="7" t="s">
        <v>138</v>
      </c>
      <c r="C418" s="7" t="s">
        <v>794</v>
      </c>
      <c r="D418" s="10" t="n">
        <v>0</v>
      </c>
      <c r="E418" s="10" t="n">
        <v>0</v>
      </c>
      <c r="F418" s="10" t="n">
        <v>103.1</v>
      </c>
      <c r="G418" s="10" t="n">
        <v>0</v>
      </c>
      <c r="H418" s="10" t="n">
        <v>0</v>
      </c>
      <c r="I418" s="10" t="n">
        <v>2549.6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0" t="n">
        <v>0</v>
      </c>
      <c r="P418" s="10" t="n">
        <v>0</v>
      </c>
      <c r="Q418" s="10" t="n">
        <v>2549.6</v>
      </c>
      <c r="R418" s="10" t="n">
        <v>0</v>
      </c>
      <c r="S418" s="10" t="n">
        <v>0</v>
      </c>
      <c r="T418" s="10" t="n">
        <v>0</v>
      </c>
      <c r="U418" s="10" t="n">
        <v>0</v>
      </c>
    </row>
    <row r="419" customFormat="false" ht="15" hidden="false" customHeight="false" outlineLevel="0" collapsed="false">
      <c r="A419" s="7" t="s">
        <v>394</v>
      </c>
      <c r="B419" s="7" t="s">
        <v>182</v>
      </c>
      <c r="C419" s="7" t="s">
        <v>795</v>
      </c>
      <c r="D419" s="10" t="n">
        <v>0</v>
      </c>
      <c r="E419" s="10" t="n">
        <v>0</v>
      </c>
      <c r="F419" s="10" t="n">
        <v>103.1</v>
      </c>
      <c r="G419" s="10" t="n">
        <v>0</v>
      </c>
      <c r="H419" s="10" t="n">
        <v>0</v>
      </c>
      <c r="I419" s="10" t="n">
        <v>635.4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n">
        <v>0</v>
      </c>
      <c r="O419" s="10" t="n">
        <v>0</v>
      </c>
      <c r="P419" s="10" t="n">
        <v>0</v>
      </c>
      <c r="Q419" s="10" t="n">
        <v>635.4</v>
      </c>
      <c r="R419" s="10" t="n">
        <v>0</v>
      </c>
      <c r="S419" s="10" t="n">
        <v>0</v>
      </c>
      <c r="T419" s="10" t="n">
        <v>0</v>
      </c>
      <c r="U419" s="10" t="n">
        <v>0</v>
      </c>
    </row>
    <row r="420" customFormat="false" ht="15" hidden="false" customHeight="false" outlineLevel="0" collapsed="false">
      <c r="A420" s="7" t="s">
        <v>394</v>
      </c>
      <c r="B420" s="7" t="s">
        <v>310</v>
      </c>
      <c r="C420" s="7" t="s">
        <v>796</v>
      </c>
      <c r="D420" s="10" t="n">
        <v>0</v>
      </c>
      <c r="E420" s="10" t="n">
        <v>0</v>
      </c>
      <c r="F420" s="10" t="n">
        <v>255.5</v>
      </c>
      <c r="G420" s="10" t="n">
        <v>0</v>
      </c>
      <c r="H420" s="10" t="n">
        <v>0</v>
      </c>
      <c r="I420" s="10" t="n">
        <v>0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0</v>
      </c>
      <c r="O420" s="10" t="n">
        <v>0</v>
      </c>
      <c r="P420" s="10" t="n">
        <v>0</v>
      </c>
      <c r="Q420" s="10" t="n">
        <v>0</v>
      </c>
      <c r="R420" s="10" t="n">
        <v>0</v>
      </c>
      <c r="S420" s="10" t="n">
        <v>0</v>
      </c>
      <c r="T420" s="10" t="n">
        <v>0</v>
      </c>
      <c r="U420" s="10" t="n">
        <v>0</v>
      </c>
    </row>
    <row r="421" customFormat="false" ht="15" hidden="false" customHeight="false" outlineLevel="0" collapsed="false">
      <c r="A421" s="7" t="s">
        <v>394</v>
      </c>
      <c r="B421" s="7" t="s">
        <v>322</v>
      </c>
      <c r="C421" s="7" t="s">
        <v>796</v>
      </c>
      <c r="D421" s="10" t="n">
        <v>0</v>
      </c>
      <c r="E421" s="10" t="n">
        <v>0</v>
      </c>
      <c r="F421" s="10" t="n">
        <v>127.9</v>
      </c>
      <c r="G421" s="10" t="n">
        <v>0</v>
      </c>
      <c r="H421" s="10" t="n">
        <v>0</v>
      </c>
      <c r="I421" s="10" t="n">
        <v>0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n">
        <v>0</v>
      </c>
      <c r="O421" s="10" t="n">
        <v>0</v>
      </c>
      <c r="P421" s="10" t="n">
        <v>0</v>
      </c>
      <c r="Q421" s="10" t="n">
        <v>0</v>
      </c>
      <c r="R421" s="10" t="n">
        <v>0</v>
      </c>
      <c r="S421" s="10" t="n">
        <v>0</v>
      </c>
      <c r="T421" s="10" t="n">
        <v>0</v>
      </c>
      <c r="U421" s="10" t="n">
        <v>0</v>
      </c>
    </row>
    <row r="422" customFormat="false" ht="15" hidden="false" customHeight="false" outlineLevel="0" collapsed="false">
      <c r="A422" s="7" t="s">
        <v>394</v>
      </c>
      <c r="B422" s="7" t="s">
        <v>216</v>
      </c>
      <c r="C422" s="7" t="s">
        <v>796</v>
      </c>
      <c r="D422" s="10" t="n">
        <v>0</v>
      </c>
      <c r="E422" s="10" t="n">
        <v>0</v>
      </c>
      <c r="F422" s="10" t="n">
        <v>0</v>
      </c>
      <c r="G422" s="10" t="n">
        <v>0</v>
      </c>
      <c r="H422" s="10" t="n">
        <v>0</v>
      </c>
      <c r="I422" s="10" t="n">
        <v>-131.1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0" t="n">
        <v>0</v>
      </c>
      <c r="P422" s="10" t="n">
        <v>0</v>
      </c>
      <c r="Q422" s="10" t="n">
        <v>-131.1</v>
      </c>
      <c r="R422" s="10" t="n">
        <v>0</v>
      </c>
      <c r="S422" s="10" t="n">
        <v>0</v>
      </c>
      <c r="T422" s="10" t="n">
        <v>0</v>
      </c>
      <c r="U422" s="10" t="n">
        <v>0</v>
      </c>
    </row>
    <row r="423" customFormat="false" ht="15" hidden="false" customHeight="false" outlineLevel="0" collapsed="false">
      <c r="A423" s="7" t="s">
        <v>394</v>
      </c>
      <c r="B423" s="7" t="s">
        <v>218</v>
      </c>
      <c r="C423" s="7" t="s">
        <v>797</v>
      </c>
      <c r="D423" s="10" t="n">
        <v>0</v>
      </c>
      <c r="E423" s="10" t="n">
        <v>0</v>
      </c>
      <c r="F423" s="10" t="n">
        <v>127.6</v>
      </c>
      <c r="G423" s="10" t="n">
        <v>0</v>
      </c>
      <c r="H423" s="10" t="n">
        <v>0</v>
      </c>
      <c r="I423" s="10" t="n">
        <v>0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0" t="n">
        <v>0</v>
      </c>
      <c r="P423" s="10" t="n">
        <v>0</v>
      </c>
      <c r="Q423" s="10" t="n">
        <v>0</v>
      </c>
      <c r="R423" s="10" t="n">
        <v>0</v>
      </c>
      <c r="S423" s="10" t="n">
        <v>0</v>
      </c>
      <c r="T423" s="10" t="n">
        <v>0</v>
      </c>
      <c r="U423" s="10" t="n">
        <v>0</v>
      </c>
    </row>
    <row r="424" customFormat="false" ht="15" hidden="false" customHeight="false" outlineLevel="0" collapsed="false">
      <c r="A424" s="7" t="s">
        <v>394</v>
      </c>
      <c r="B424" s="7" t="s">
        <v>217</v>
      </c>
      <c r="C424" s="7" t="s">
        <v>796</v>
      </c>
      <c r="D424" s="10" t="n">
        <v>0</v>
      </c>
      <c r="E424" s="10" t="n">
        <v>0</v>
      </c>
      <c r="F424" s="10" t="n">
        <v>127.9</v>
      </c>
      <c r="G424" s="10" t="n">
        <v>0</v>
      </c>
      <c r="H424" s="10" t="n">
        <v>0</v>
      </c>
      <c r="I424" s="10" t="n">
        <v>-131.1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0" t="n">
        <v>0</v>
      </c>
      <c r="P424" s="10" t="n">
        <v>0</v>
      </c>
      <c r="Q424" s="10" t="n">
        <v>-131.1</v>
      </c>
      <c r="R424" s="10" t="n">
        <v>0</v>
      </c>
      <c r="S424" s="10" t="n">
        <v>0</v>
      </c>
      <c r="T424" s="10" t="n">
        <v>0</v>
      </c>
      <c r="U424" s="10" t="n">
        <v>0</v>
      </c>
    </row>
    <row r="425" customFormat="false" ht="15" hidden="false" customHeight="false" outlineLevel="0" collapsed="false">
      <c r="A425" s="7" t="s">
        <v>394</v>
      </c>
      <c r="B425" s="7" t="s">
        <v>151</v>
      </c>
      <c r="C425" s="7" t="s">
        <v>798</v>
      </c>
      <c r="D425" s="10" t="n">
        <v>0</v>
      </c>
      <c r="E425" s="10" t="n">
        <v>0</v>
      </c>
      <c r="F425" s="10" t="n">
        <v>1544.1</v>
      </c>
      <c r="G425" s="10" t="n">
        <v>0</v>
      </c>
      <c r="H425" s="10" t="n">
        <v>0</v>
      </c>
      <c r="I425" s="10" t="n">
        <v>4866.1</v>
      </c>
      <c r="J425" s="10" t="n">
        <v>0</v>
      </c>
      <c r="K425" s="10" t="n">
        <v>108.9</v>
      </c>
      <c r="L425" s="10" t="n">
        <v>0</v>
      </c>
      <c r="M425" s="10" t="n">
        <v>0</v>
      </c>
      <c r="N425" s="10" t="n">
        <v>0</v>
      </c>
      <c r="O425" s="10" t="n">
        <v>0</v>
      </c>
      <c r="P425" s="10" t="n">
        <v>-108.9</v>
      </c>
      <c r="Q425" s="10" t="n">
        <v>4430.4</v>
      </c>
      <c r="R425" s="10" t="n">
        <v>435.7</v>
      </c>
      <c r="S425" s="10" t="n">
        <v>0</v>
      </c>
      <c r="T425" s="10" t="n">
        <v>0</v>
      </c>
      <c r="U425" s="10" t="n">
        <v>0</v>
      </c>
    </row>
    <row r="426" customFormat="false" ht="15" hidden="false" customHeight="false" outlineLevel="0" collapsed="false">
      <c r="A426" s="7" t="s">
        <v>394</v>
      </c>
      <c r="B426" s="7" t="s">
        <v>151</v>
      </c>
      <c r="C426" s="7" t="s">
        <v>799</v>
      </c>
      <c r="D426" s="10" t="n">
        <v>0</v>
      </c>
      <c r="E426" s="10" t="n">
        <v>0</v>
      </c>
      <c r="F426" s="10" t="n">
        <v>339.6</v>
      </c>
      <c r="G426" s="10" t="n">
        <v>0</v>
      </c>
      <c r="H426" s="10" t="n">
        <v>0</v>
      </c>
      <c r="I426" s="10" t="n">
        <v>2253.7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0</v>
      </c>
      <c r="O426" s="10" t="n">
        <v>0</v>
      </c>
      <c r="P426" s="10" t="n">
        <v>0</v>
      </c>
      <c r="Q426" s="10" t="n">
        <v>1926.9</v>
      </c>
      <c r="R426" s="10" t="n">
        <v>326.8</v>
      </c>
      <c r="S426" s="10" t="n">
        <v>0</v>
      </c>
      <c r="T426" s="10" t="n">
        <v>0</v>
      </c>
      <c r="U426" s="10" t="n">
        <v>0</v>
      </c>
    </row>
    <row r="427" customFormat="false" ht="15" hidden="false" customHeight="false" outlineLevel="0" collapsed="false">
      <c r="A427" s="7" t="s">
        <v>394</v>
      </c>
      <c r="B427" s="7" t="s">
        <v>151</v>
      </c>
      <c r="C427" s="7" t="s">
        <v>800</v>
      </c>
      <c r="D427" s="10" t="n">
        <v>0</v>
      </c>
      <c r="E427" s="10" t="n">
        <v>0</v>
      </c>
      <c r="F427" s="10" t="n">
        <v>236.2</v>
      </c>
      <c r="G427" s="10" t="n">
        <v>0</v>
      </c>
      <c r="H427" s="10" t="n">
        <v>0</v>
      </c>
      <c r="I427" s="10" t="n">
        <v>-101.1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0" t="n">
        <v>0</v>
      </c>
      <c r="P427" s="10" t="n">
        <v>0</v>
      </c>
      <c r="Q427" s="10" t="n">
        <v>-101.1</v>
      </c>
      <c r="R427" s="10" t="n">
        <v>0</v>
      </c>
      <c r="S427" s="10" t="n">
        <v>0</v>
      </c>
      <c r="T427" s="10" t="n">
        <v>0</v>
      </c>
      <c r="U427" s="10" t="n">
        <v>0</v>
      </c>
    </row>
    <row r="428" customFormat="false" ht="15" hidden="false" customHeight="false" outlineLevel="0" collapsed="false">
      <c r="A428" s="7" t="s">
        <v>394</v>
      </c>
      <c r="B428" s="7" t="s">
        <v>190</v>
      </c>
      <c r="C428" s="7" t="s">
        <v>801</v>
      </c>
      <c r="D428" s="10" t="n">
        <v>0</v>
      </c>
      <c r="E428" s="10" t="n">
        <v>0</v>
      </c>
      <c r="F428" s="10" t="n">
        <v>0</v>
      </c>
      <c r="G428" s="10" t="n">
        <v>0</v>
      </c>
      <c r="H428" s="10" t="n">
        <v>0</v>
      </c>
      <c r="I428" s="10" t="n">
        <v>-85.7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0" t="n">
        <v>0</v>
      </c>
      <c r="P428" s="10" t="n">
        <v>0</v>
      </c>
      <c r="Q428" s="10" t="n">
        <v>-85.7</v>
      </c>
      <c r="R428" s="10" t="n">
        <v>0</v>
      </c>
      <c r="S428" s="10" t="n">
        <v>0</v>
      </c>
      <c r="T428" s="10" t="n">
        <v>0</v>
      </c>
      <c r="U428" s="10" t="n">
        <v>0</v>
      </c>
    </row>
    <row r="429" customFormat="false" ht="15" hidden="false" customHeight="false" outlineLevel="0" collapsed="false">
      <c r="A429" s="7" t="s">
        <v>394</v>
      </c>
      <c r="B429" s="7" t="s">
        <v>190</v>
      </c>
      <c r="C429" s="7" t="s">
        <v>802</v>
      </c>
      <c r="D429" s="10" t="n">
        <v>0</v>
      </c>
      <c r="E429" s="10" t="n">
        <v>0</v>
      </c>
      <c r="F429" s="10" t="n">
        <v>14.8</v>
      </c>
      <c r="G429" s="10" t="n">
        <v>0</v>
      </c>
      <c r="H429" s="10" t="n">
        <v>0</v>
      </c>
      <c r="I429" s="10" t="n">
        <v>-389.8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0" t="n">
        <v>0</v>
      </c>
      <c r="P429" s="10" t="n">
        <v>-297.7</v>
      </c>
      <c r="Q429" s="10" t="n">
        <v>-92.1</v>
      </c>
      <c r="R429" s="10" t="n">
        <v>0</v>
      </c>
      <c r="S429" s="10" t="n">
        <v>0</v>
      </c>
      <c r="T429" s="10" t="n">
        <v>0</v>
      </c>
      <c r="U429" s="10" t="n">
        <v>-148.1</v>
      </c>
    </row>
    <row r="430" customFormat="false" ht="15" hidden="false" customHeight="false" outlineLevel="0" collapsed="false">
      <c r="A430" s="7" t="s">
        <v>394</v>
      </c>
      <c r="B430" s="7" t="s">
        <v>190</v>
      </c>
      <c r="C430" s="7" t="s">
        <v>803</v>
      </c>
      <c r="D430" s="10" t="n">
        <v>0</v>
      </c>
      <c r="E430" s="10" t="n">
        <v>0</v>
      </c>
      <c r="F430" s="10" t="n">
        <v>0</v>
      </c>
      <c r="G430" s="10" t="n">
        <v>0</v>
      </c>
      <c r="H430" s="10" t="n">
        <v>0</v>
      </c>
      <c r="I430" s="10" t="n">
        <v>-1020.6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O430" s="10" t="n">
        <v>0</v>
      </c>
      <c r="P430" s="10" t="n">
        <v>-297.7</v>
      </c>
      <c r="Q430" s="10" t="n">
        <v>-921.4</v>
      </c>
      <c r="R430" s="10" t="n">
        <v>198.5</v>
      </c>
      <c r="S430" s="10" t="n">
        <v>0</v>
      </c>
      <c r="T430" s="10" t="n">
        <v>0</v>
      </c>
      <c r="U430" s="10" t="n">
        <v>0</v>
      </c>
    </row>
    <row r="431" customFormat="false" ht="15" hidden="false" customHeight="false" outlineLevel="0" collapsed="false">
      <c r="A431" s="7" t="s">
        <v>394</v>
      </c>
      <c r="B431" s="7" t="s">
        <v>190</v>
      </c>
      <c r="C431" s="7" t="s">
        <v>804</v>
      </c>
      <c r="D431" s="10" t="n">
        <v>0</v>
      </c>
      <c r="E431" s="10" t="n">
        <v>0</v>
      </c>
      <c r="F431" s="10" t="n">
        <v>0</v>
      </c>
      <c r="G431" s="10" t="n">
        <v>0</v>
      </c>
      <c r="H431" s="10" t="n">
        <v>0</v>
      </c>
      <c r="I431" s="10" t="n">
        <v>-99.2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0" t="n">
        <v>0</v>
      </c>
      <c r="P431" s="10" t="n">
        <v>-99.2</v>
      </c>
      <c r="Q431" s="10" t="n">
        <v>0</v>
      </c>
      <c r="R431" s="10" t="n">
        <v>0</v>
      </c>
      <c r="S431" s="10" t="n">
        <v>0</v>
      </c>
      <c r="T431" s="10" t="n">
        <v>0</v>
      </c>
      <c r="U431" s="10" t="n">
        <v>0</v>
      </c>
    </row>
    <row r="432" customFormat="false" ht="15" hidden="false" customHeight="false" outlineLevel="0" collapsed="false">
      <c r="A432" s="7" t="s">
        <v>394</v>
      </c>
      <c r="B432" s="7" t="s">
        <v>280</v>
      </c>
      <c r="C432" s="7" t="s">
        <v>805</v>
      </c>
      <c r="D432" s="10" t="n">
        <v>0</v>
      </c>
      <c r="E432" s="10" t="n">
        <v>0</v>
      </c>
      <c r="F432" s="10" t="n">
        <v>999</v>
      </c>
      <c r="G432" s="10" t="n">
        <v>0</v>
      </c>
      <c r="H432" s="10" t="n">
        <v>0</v>
      </c>
      <c r="I432" s="10" t="n">
        <v>0</v>
      </c>
      <c r="J432" s="10" t="n">
        <v>0</v>
      </c>
      <c r="K432" s="10" t="n">
        <v>0</v>
      </c>
      <c r="L432" s="10" t="n">
        <v>0</v>
      </c>
      <c r="M432" s="10" t="n">
        <v>0</v>
      </c>
      <c r="N432" s="10" t="n">
        <v>0</v>
      </c>
      <c r="O432" s="10" t="n">
        <v>0</v>
      </c>
      <c r="P432" s="10" t="n">
        <v>0</v>
      </c>
      <c r="Q432" s="10" t="n">
        <v>0</v>
      </c>
      <c r="R432" s="10" t="n">
        <v>0</v>
      </c>
      <c r="S432" s="10" t="n">
        <v>0</v>
      </c>
      <c r="T432" s="10" t="n">
        <v>0</v>
      </c>
      <c r="U432" s="10" t="n">
        <v>0</v>
      </c>
    </row>
    <row r="433" customFormat="false" ht="15" hidden="false" customHeight="false" outlineLevel="0" collapsed="false">
      <c r="A433" s="7" t="s">
        <v>394</v>
      </c>
      <c r="B433" s="7" t="s">
        <v>335</v>
      </c>
      <c r="C433" s="7" t="s">
        <v>806</v>
      </c>
      <c r="D433" s="10" t="n">
        <v>0</v>
      </c>
      <c r="E433" s="10" t="n">
        <v>0</v>
      </c>
      <c r="F433" s="10" t="n">
        <v>159.1</v>
      </c>
      <c r="G433" s="10" t="n">
        <v>0</v>
      </c>
      <c r="H433" s="10" t="n">
        <v>0</v>
      </c>
      <c r="I433" s="10" t="n">
        <v>0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n">
        <v>0</v>
      </c>
      <c r="O433" s="10" t="n">
        <v>0</v>
      </c>
      <c r="P433" s="10" t="n">
        <v>0</v>
      </c>
      <c r="Q433" s="10" t="n">
        <v>0</v>
      </c>
      <c r="R433" s="10" t="n">
        <v>0</v>
      </c>
      <c r="S433" s="10" t="n">
        <v>0</v>
      </c>
      <c r="T433" s="10" t="n">
        <v>0</v>
      </c>
      <c r="U433" s="10" t="n">
        <v>0</v>
      </c>
    </row>
    <row r="434" customFormat="false" ht="15" hidden="false" customHeight="false" outlineLevel="0" collapsed="false">
      <c r="A434" s="7" t="s">
        <v>394</v>
      </c>
      <c r="B434" s="7" t="s">
        <v>297</v>
      </c>
      <c r="C434" s="7" t="s">
        <v>806</v>
      </c>
      <c r="D434" s="10" t="n">
        <v>0</v>
      </c>
      <c r="E434" s="10" t="n">
        <v>0</v>
      </c>
      <c r="F434" s="10" t="n">
        <v>417.2</v>
      </c>
      <c r="G434" s="10" t="n">
        <v>0</v>
      </c>
      <c r="H434" s="10" t="n">
        <v>0</v>
      </c>
      <c r="I434" s="10" t="n">
        <v>3357.2</v>
      </c>
      <c r="J434" s="10" t="n">
        <v>0</v>
      </c>
      <c r="K434" s="10" t="n">
        <v>785.4</v>
      </c>
      <c r="L434" s="10" t="n">
        <v>-15.4</v>
      </c>
      <c r="M434" s="10" t="n">
        <v>0</v>
      </c>
      <c r="N434" s="10" t="n">
        <v>0</v>
      </c>
      <c r="O434" s="10" t="n">
        <v>0</v>
      </c>
      <c r="P434" s="10" t="n">
        <v>-30.8</v>
      </c>
      <c r="Q434" s="10" t="n">
        <v>0</v>
      </c>
      <c r="R434" s="10" t="n">
        <v>2618</v>
      </c>
      <c r="S434" s="10" t="n">
        <v>0</v>
      </c>
      <c r="T434" s="10" t="n">
        <v>0</v>
      </c>
      <c r="U434" s="10" t="n">
        <v>0</v>
      </c>
    </row>
    <row r="435" customFormat="false" ht="15" hidden="false" customHeight="false" outlineLevel="0" collapsed="false">
      <c r="A435" s="7" t="s">
        <v>394</v>
      </c>
      <c r="B435" s="7" t="s">
        <v>342</v>
      </c>
      <c r="C435" s="7" t="s">
        <v>806</v>
      </c>
      <c r="D435" s="10" t="n">
        <v>0</v>
      </c>
      <c r="E435" s="10" t="n">
        <v>0</v>
      </c>
      <c r="F435" s="10" t="n">
        <v>613.6</v>
      </c>
      <c r="G435" s="10" t="n">
        <v>0</v>
      </c>
      <c r="H435" s="10" t="n">
        <v>0</v>
      </c>
      <c r="I435" s="10" t="n">
        <v>0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0" t="n">
        <v>0</v>
      </c>
      <c r="P435" s="10" t="n">
        <v>0</v>
      </c>
      <c r="Q435" s="10" t="n">
        <v>0</v>
      </c>
      <c r="R435" s="10" t="n">
        <v>0</v>
      </c>
      <c r="S435" s="10" t="n">
        <v>0</v>
      </c>
      <c r="T435" s="10" t="n">
        <v>0</v>
      </c>
      <c r="U435" s="10" t="n">
        <v>0</v>
      </c>
    </row>
    <row r="436" customFormat="false" ht="15" hidden="false" customHeight="false" outlineLevel="0" collapsed="false">
      <c r="A436" s="7" t="s">
        <v>394</v>
      </c>
      <c r="B436" s="7" t="s">
        <v>306</v>
      </c>
      <c r="C436" s="7" t="s">
        <v>806</v>
      </c>
      <c r="D436" s="10" t="n">
        <v>0</v>
      </c>
      <c r="E436" s="10" t="n">
        <v>0</v>
      </c>
      <c r="F436" s="10" t="n">
        <v>118.8</v>
      </c>
      <c r="G436" s="10" t="n">
        <v>0</v>
      </c>
      <c r="H436" s="10" t="n">
        <v>0</v>
      </c>
      <c r="I436" s="10" t="n">
        <v>4342.8</v>
      </c>
      <c r="J436" s="10" t="n">
        <v>0</v>
      </c>
      <c r="K436" s="10" t="n">
        <v>554.4</v>
      </c>
      <c r="L436" s="10" t="n">
        <v>0</v>
      </c>
      <c r="M436" s="10" t="n">
        <v>0</v>
      </c>
      <c r="N436" s="10" t="n">
        <v>0</v>
      </c>
      <c r="O436" s="10" t="n">
        <v>0</v>
      </c>
      <c r="P436" s="10" t="n">
        <v>-30.8</v>
      </c>
      <c r="Q436" s="10" t="n">
        <v>0</v>
      </c>
      <c r="R436" s="10" t="n">
        <v>3819.2</v>
      </c>
      <c r="S436" s="10" t="n">
        <v>0</v>
      </c>
      <c r="T436" s="10" t="n">
        <v>0</v>
      </c>
      <c r="U436" s="10" t="n">
        <v>0</v>
      </c>
    </row>
    <row r="437" customFormat="false" ht="15" hidden="false" customHeight="false" outlineLevel="0" collapsed="false">
      <c r="A437" s="7" t="s">
        <v>394</v>
      </c>
      <c r="B437" s="7" t="s">
        <v>78</v>
      </c>
      <c r="C437" s="7" t="s">
        <v>807</v>
      </c>
      <c r="D437" s="10" t="n">
        <v>0</v>
      </c>
      <c r="E437" s="10" t="n">
        <v>0</v>
      </c>
      <c r="F437" s="10" t="n">
        <v>8838</v>
      </c>
      <c r="G437" s="10" t="n">
        <v>0</v>
      </c>
      <c r="H437" s="10" t="n">
        <v>0</v>
      </c>
      <c r="I437" s="10" t="n">
        <v>43432.7</v>
      </c>
      <c r="J437" s="10" t="n">
        <v>0</v>
      </c>
      <c r="K437" s="10" t="n">
        <v>1057.9</v>
      </c>
      <c r="L437" s="10" t="n">
        <v>0</v>
      </c>
      <c r="M437" s="10" t="n">
        <v>0</v>
      </c>
      <c r="N437" s="10" t="n">
        <v>0</v>
      </c>
      <c r="O437" s="10" t="n">
        <v>0</v>
      </c>
      <c r="P437" s="10" t="n">
        <v>-88.2</v>
      </c>
      <c r="Q437" s="10" t="n">
        <v>32148.2</v>
      </c>
      <c r="R437" s="10" t="n">
        <v>10314.7</v>
      </c>
      <c r="S437" s="10" t="n">
        <v>0</v>
      </c>
      <c r="T437" s="10" t="n">
        <v>0</v>
      </c>
      <c r="U437" s="10" t="n">
        <v>0</v>
      </c>
    </row>
    <row r="438" customFormat="false" ht="15" hidden="false" customHeight="false" outlineLevel="0" collapsed="false">
      <c r="A438" s="7" t="s">
        <v>394</v>
      </c>
      <c r="B438" s="7" t="s">
        <v>71</v>
      </c>
      <c r="C438" s="7" t="s">
        <v>807</v>
      </c>
      <c r="D438" s="10" t="n">
        <v>0</v>
      </c>
      <c r="E438" s="10" t="n">
        <v>0</v>
      </c>
      <c r="F438" s="10" t="n">
        <v>13057</v>
      </c>
      <c r="G438" s="10" t="n">
        <v>0</v>
      </c>
      <c r="H438" s="10" t="n">
        <v>0</v>
      </c>
      <c r="I438" s="10" t="n">
        <v>48495.6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0" t="n">
        <v>0</v>
      </c>
      <c r="P438" s="10" t="n">
        <v>0</v>
      </c>
      <c r="Q438" s="10" t="n">
        <v>48495.6</v>
      </c>
      <c r="R438" s="10" t="n">
        <v>0</v>
      </c>
      <c r="S438" s="10" t="n">
        <v>0</v>
      </c>
      <c r="T438" s="10" t="n">
        <v>0</v>
      </c>
      <c r="U438" s="10" t="n">
        <v>0</v>
      </c>
    </row>
    <row r="439" customFormat="false" ht="15" hidden="false" customHeight="false" outlineLevel="0" collapsed="false">
      <c r="A439" s="7" t="s">
        <v>394</v>
      </c>
      <c r="B439" s="7" t="s">
        <v>72</v>
      </c>
      <c r="C439" s="7" t="s">
        <v>807</v>
      </c>
      <c r="D439" s="10" t="n">
        <v>0</v>
      </c>
      <c r="E439" s="10" t="n">
        <v>0</v>
      </c>
      <c r="F439" s="10" t="n">
        <v>15602.6</v>
      </c>
      <c r="G439" s="10" t="n">
        <v>0</v>
      </c>
      <c r="H439" s="10" t="n">
        <v>0</v>
      </c>
      <c r="I439" s="10" t="n">
        <v>49625.3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0" t="n">
        <v>0</v>
      </c>
      <c r="P439" s="10" t="n">
        <v>-63.1</v>
      </c>
      <c r="Q439" s="10" t="n">
        <v>49688.4</v>
      </c>
      <c r="R439" s="10" t="n">
        <v>0</v>
      </c>
      <c r="S439" s="10" t="n">
        <v>0</v>
      </c>
      <c r="T439" s="10" t="n">
        <v>0</v>
      </c>
      <c r="U439" s="10" t="n">
        <v>0</v>
      </c>
    </row>
    <row r="440" customFormat="false" ht="15" hidden="false" customHeight="false" outlineLevel="0" collapsed="false">
      <c r="A440" s="7" t="s">
        <v>394</v>
      </c>
      <c r="B440" s="7" t="s">
        <v>76</v>
      </c>
      <c r="C440" s="7" t="s">
        <v>807</v>
      </c>
      <c r="D440" s="10" t="n">
        <v>0</v>
      </c>
      <c r="E440" s="10" t="n">
        <v>0</v>
      </c>
      <c r="F440" s="10" t="n">
        <v>12113.8</v>
      </c>
      <c r="G440" s="10" t="n">
        <v>0</v>
      </c>
      <c r="H440" s="10" t="n">
        <v>0</v>
      </c>
      <c r="I440" s="10" t="n">
        <v>45598.1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0</v>
      </c>
      <c r="O440" s="10" t="n">
        <v>0</v>
      </c>
      <c r="P440" s="10" t="n">
        <v>0</v>
      </c>
      <c r="Q440" s="10" t="n">
        <v>45598.1</v>
      </c>
      <c r="R440" s="10" t="n">
        <v>0</v>
      </c>
      <c r="S440" s="10" t="n">
        <v>0</v>
      </c>
      <c r="T440" s="10" t="n">
        <v>0</v>
      </c>
      <c r="U440" s="10" t="n">
        <v>0</v>
      </c>
    </row>
    <row r="441" customFormat="false" ht="15" hidden="false" customHeight="false" outlineLevel="0" collapsed="false">
      <c r="A441" s="7" t="s">
        <v>394</v>
      </c>
      <c r="B441" s="7" t="s">
        <v>63</v>
      </c>
      <c r="C441" s="7" t="s">
        <v>808</v>
      </c>
      <c r="D441" s="10" t="n">
        <v>0</v>
      </c>
      <c r="E441" s="10" t="n">
        <v>0</v>
      </c>
      <c r="F441" s="10" t="n">
        <v>7922.4</v>
      </c>
      <c r="G441" s="10" t="n">
        <v>0</v>
      </c>
      <c r="H441" s="10" t="n">
        <v>0</v>
      </c>
      <c r="I441" s="10" t="n">
        <v>30165.7</v>
      </c>
      <c r="J441" s="10" t="n">
        <v>0</v>
      </c>
      <c r="K441" s="10" t="n">
        <v>1311.8</v>
      </c>
      <c r="L441" s="10" t="n">
        <v>0</v>
      </c>
      <c r="M441" s="10" t="n">
        <v>0</v>
      </c>
      <c r="N441" s="10" t="n">
        <v>276.9</v>
      </c>
      <c r="O441" s="10" t="n">
        <v>87.5</v>
      </c>
      <c r="P441" s="10" t="n">
        <v>-560.1</v>
      </c>
      <c r="Q441" s="10" t="n">
        <v>22578.4</v>
      </c>
      <c r="R441" s="10" t="n">
        <v>6471.3</v>
      </c>
      <c r="S441" s="10" t="n">
        <v>0</v>
      </c>
      <c r="T441" s="10" t="n">
        <v>0</v>
      </c>
      <c r="U441" s="10" t="n">
        <v>0</v>
      </c>
    </row>
    <row r="442" customFormat="false" ht="15" hidden="false" customHeight="false" outlineLevel="0" collapsed="false">
      <c r="A442" s="7" t="s">
        <v>394</v>
      </c>
      <c r="B442" s="7" t="s">
        <v>265</v>
      </c>
      <c r="C442" s="7" t="s">
        <v>809</v>
      </c>
      <c r="D442" s="10" t="n">
        <v>0</v>
      </c>
      <c r="E442" s="10" t="n">
        <v>0</v>
      </c>
      <c r="F442" s="10" t="n">
        <v>34103.6</v>
      </c>
      <c r="G442" s="10" t="n">
        <v>0</v>
      </c>
      <c r="H442" s="10" t="n">
        <v>307.6</v>
      </c>
      <c r="I442" s="10" t="n">
        <v>11645.3</v>
      </c>
      <c r="J442" s="10" t="n">
        <v>0</v>
      </c>
      <c r="K442" s="10" t="n">
        <v>1378.2</v>
      </c>
      <c r="L442" s="10" t="n">
        <v>-328.2</v>
      </c>
      <c r="M442" s="10" t="n">
        <v>637.8</v>
      </c>
      <c r="N442" s="10" t="n">
        <v>-1062.9</v>
      </c>
      <c r="O442" s="10" t="n">
        <v>196.9</v>
      </c>
      <c r="P442" s="10" t="n">
        <v>-1383.7</v>
      </c>
      <c r="Q442" s="10" t="n">
        <v>0</v>
      </c>
      <c r="R442" s="10" t="n">
        <v>12207.2</v>
      </c>
      <c r="S442" s="10" t="n">
        <v>0</v>
      </c>
      <c r="T442" s="10" t="n">
        <v>0</v>
      </c>
      <c r="U442" s="10" t="n">
        <v>-189.9</v>
      </c>
    </row>
    <row r="443" customFormat="false" ht="15" hidden="false" customHeight="false" outlineLevel="0" collapsed="false">
      <c r="A443" s="7" t="s">
        <v>394</v>
      </c>
      <c r="B443" s="7" t="s">
        <v>65</v>
      </c>
      <c r="C443" s="7" t="s">
        <v>810</v>
      </c>
      <c r="D443" s="10" t="n">
        <v>0</v>
      </c>
      <c r="E443" s="10" t="n">
        <v>0</v>
      </c>
      <c r="F443" s="10" t="n">
        <v>6434.6</v>
      </c>
      <c r="G443" s="10" t="n">
        <v>0</v>
      </c>
      <c r="H443" s="10" t="n">
        <v>0</v>
      </c>
      <c r="I443" s="10" t="n">
        <v>31376.7</v>
      </c>
      <c r="J443" s="10" t="n">
        <v>0</v>
      </c>
      <c r="K443" s="10" t="n">
        <v>194.3</v>
      </c>
      <c r="L443" s="10" t="n">
        <v>0</v>
      </c>
      <c r="M443" s="10" t="n">
        <v>0</v>
      </c>
      <c r="N443" s="10" t="n">
        <v>0</v>
      </c>
      <c r="O443" s="10" t="n">
        <v>29.7</v>
      </c>
      <c r="P443" s="10" t="n">
        <v>-285.5</v>
      </c>
      <c r="Q443" s="10" t="n">
        <v>28021.7</v>
      </c>
      <c r="R443" s="10" t="n">
        <v>3416.5</v>
      </c>
      <c r="S443" s="10" t="n">
        <v>0</v>
      </c>
      <c r="T443" s="10" t="n">
        <v>0</v>
      </c>
      <c r="U443" s="10" t="n">
        <v>0</v>
      </c>
    </row>
    <row r="444" customFormat="false" ht="15" hidden="false" customHeight="false" outlineLevel="0" collapsed="false">
      <c r="A444" s="7" t="s">
        <v>394</v>
      </c>
      <c r="B444" s="7" t="s">
        <v>65</v>
      </c>
      <c r="C444" s="7" t="s">
        <v>811</v>
      </c>
      <c r="D444" s="10" t="n">
        <v>0</v>
      </c>
      <c r="E444" s="10" t="n">
        <v>0</v>
      </c>
      <c r="F444" s="10" t="n">
        <v>4343.9</v>
      </c>
      <c r="G444" s="10" t="n">
        <v>0</v>
      </c>
      <c r="H444" s="10" t="n">
        <v>0</v>
      </c>
      <c r="I444" s="10" t="n">
        <v>21827.5</v>
      </c>
      <c r="J444" s="10" t="n">
        <v>0</v>
      </c>
      <c r="K444" s="10" t="n">
        <v>166.6</v>
      </c>
      <c r="L444" s="10" t="n">
        <v>0</v>
      </c>
      <c r="M444" s="10" t="n">
        <v>0</v>
      </c>
      <c r="N444" s="10" t="n">
        <v>0</v>
      </c>
      <c r="O444" s="10" t="n">
        <v>29.7</v>
      </c>
      <c r="P444" s="10" t="n">
        <v>-168.5</v>
      </c>
      <c r="Q444" s="10" t="n">
        <v>18857.2</v>
      </c>
      <c r="R444" s="10" t="n">
        <v>2942.6</v>
      </c>
      <c r="S444" s="10" t="n">
        <v>0</v>
      </c>
      <c r="T444" s="10" t="n">
        <v>0</v>
      </c>
      <c r="U444" s="10" t="n">
        <v>0</v>
      </c>
    </row>
    <row r="445" customFormat="false" ht="15" hidden="false" customHeight="false" outlineLevel="0" collapsed="false">
      <c r="A445" s="7" t="s">
        <v>394</v>
      </c>
      <c r="B445" s="7" t="s">
        <v>65</v>
      </c>
      <c r="C445" s="7" t="s">
        <v>812</v>
      </c>
      <c r="D445" s="10" t="n">
        <v>0</v>
      </c>
      <c r="E445" s="10" t="n">
        <v>0</v>
      </c>
      <c r="F445" s="10" t="n">
        <v>4633.6</v>
      </c>
      <c r="G445" s="10" t="n">
        <v>0</v>
      </c>
      <c r="H445" s="10" t="n">
        <v>0</v>
      </c>
      <c r="I445" s="10" t="n">
        <v>24424.2</v>
      </c>
      <c r="J445" s="10" t="n">
        <v>0</v>
      </c>
      <c r="K445" s="10" t="n">
        <v>166.6</v>
      </c>
      <c r="L445" s="10" t="n">
        <v>0</v>
      </c>
      <c r="M445" s="10" t="n">
        <v>0</v>
      </c>
      <c r="N445" s="10" t="n">
        <v>0</v>
      </c>
      <c r="O445" s="10" t="n">
        <v>0</v>
      </c>
      <c r="P445" s="10" t="n">
        <v>-168.5</v>
      </c>
      <c r="Q445" s="10" t="n">
        <v>21400.4</v>
      </c>
      <c r="R445" s="10" t="n">
        <v>3025.8</v>
      </c>
      <c r="S445" s="10" t="n">
        <v>0</v>
      </c>
      <c r="T445" s="10" t="n">
        <v>0</v>
      </c>
      <c r="U445" s="10" t="n">
        <v>0</v>
      </c>
    </row>
    <row r="446" customFormat="false" ht="15" hidden="false" customHeight="false" outlineLevel="0" collapsed="false">
      <c r="A446" s="7" t="s">
        <v>394</v>
      </c>
      <c r="B446" s="7" t="s">
        <v>65</v>
      </c>
      <c r="C446" s="7" t="s">
        <v>813</v>
      </c>
      <c r="D446" s="10" t="n">
        <v>0</v>
      </c>
      <c r="E446" s="10" t="n">
        <v>0</v>
      </c>
      <c r="F446" s="10" t="n">
        <v>1476.2</v>
      </c>
      <c r="G446" s="10" t="n">
        <v>0</v>
      </c>
      <c r="H446" s="10" t="n">
        <v>0</v>
      </c>
      <c r="I446" s="10" t="n">
        <v>10232.5</v>
      </c>
      <c r="J446" s="10" t="n">
        <v>0</v>
      </c>
      <c r="K446" s="10" t="n">
        <v>83.3</v>
      </c>
      <c r="L446" s="10" t="n">
        <v>0</v>
      </c>
      <c r="M446" s="10" t="n">
        <v>0</v>
      </c>
      <c r="N446" s="10" t="n">
        <v>0</v>
      </c>
      <c r="O446" s="10" t="n">
        <v>0</v>
      </c>
      <c r="P446" s="10" t="n">
        <v>-224.1</v>
      </c>
      <c r="Q446" s="10" t="n">
        <v>8929.8</v>
      </c>
      <c r="R446" s="10" t="n">
        <v>1443.5</v>
      </c>
      <c r="S446" s="10" t="n">
        <v>0</v>
      </c>
      <c r="T446" s="10" t="n">
        <v>0</v>
      </c>
      <c r="U446" s="10" t="n">
        <v>0</v>
      </c>
    </row>
    <row r="447" customFormat="false" ht="15" hidden="false" customHeight="false" outlineLevel="0" collapsed="false">
      <c r="A447" s="7" t="s">
        <v>394</v>
      </c>
      <c r="B447" s="7" t="s">
        <v>65</v>
      </c>
      <c r="C447" s="7" t="s">
        <v>814</v>
      </c>
      <c r="D447" s="10" t="n">
        <v>0</v>
      </c>
      <c r="E447" s="10" t="n">
        <v>0</v>
      </c>
      <c r="F447" s="10" t="n">
        <v>351.9</v>
      </c>
      <c r="G447" s="10" t="n">
        <v>0</v>
      </c>
      <c r="H447" s="10" t="n">
        <v>0</v>
      </c>
      <c r="I447" s="10" t="n">
        <v>1221.4</v>
      </c>
      <c r="J447" s="10" t="n">
        <v>0</v>
      </c>
      <c r="K447" s="10" t="n">
        <v>111</v>
      </c>
      <c r="L447" s="10" t="n">
        <v>0</v>
      </c>
      <c r="M447" s="10" t="n">
        <v>0</v>
      </c>
      <c r="N447" s="10" t="n">
        <v>0</v>
      </c>
      <c r="O447" s="10" t="n">
        <v>0</v>
      </c>
      <c r="P447" s="10" t="n">
        <v>-83.3</v>
      </c>
      <c r="Q447" s="10" t="n">
        <v>0</v>
      </c>
      <c r="R447" s="10" t="n">
        <v>1193.7</v>
      </c>
      <c r="S447" s="10" t="n">
        <v>0</v>
      </c>
      <c r="T447" s="10" t="n">
        <v>0</v>
      </c>
      <c r="U447" s="10" t="n">
        <v>0</v>
      </c>
    </row>
    <row r="448" customFormat="false" ht="15" hidden="false" customHeight="false" outlineLevel="0" collapsed="false">
      <c r="A448" s="7" t="s">
        <v>394</v>
      </c>
      <c r="B448" s="7" t="s">
        <v>65</v>
      </c>
      <c r="C448" s="7" t="s">
        <v>815</v>
      </c>
      <c r="D448" s="10" t="n">
        <v>0</v>
      </c>
      <c r="E448" s="10" t="n">
        <v>0</v>
      </c>
      <c r="F448" s="10" t="n">
        <v>179.2</v>
      </c>
      <c r="G448" s="10" t="n">
        <v>0</v>
      </c>
      <c r="H448" s="10" t="n">
        <v>0</v>
      </c>
      <c r="I448" s="10" t="n">
        <v>0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0" t="n">
        <v>0</v>
      </c>
      <c r="P448" s="10" t="n">
        <v>0</v>
      </c>
      <c r="Q448" s="10" t="n">
        <v>0</v>
      </c>
      <c r="R448" s="10" t="n">
        <v>0</v>
      </c>
      <c r="S448" s="10" t="n">
        <v>0</v>
      </c>
      <c r="T448" s="10" t="n">
        <v>0</v>
      </c>
      <c r="U448" s="10" t="n">
        <v>0</v>
      </c>
    </row>
    <row r="449" customFormat="false" ht="15" hidden="false" customHeight="false" outlineLevel="0" collapsed="false">
      <c r="A449" s="7" t="s">
        <v>394</v>
      </c>
      <c r="B449" s="7" t="s">
        <v>81</v>
      </c>
      <c r="C449" s="7" t="s">
        <v>816</v>
      </c>
      <c r="D449" s="10" t="n">
        <v>0</v>
      </c>
      <c r="E449" s="10" t="n">
        <v>0</v>
      </c>
      <c r="F449" s="10" t="n">
        <v>12298.4</v>
      </c>
      <c r="G449" s="10" t="n">
        <v>0</v>
      </c>
      <c r="H449" s="10" t="n">
        <v>0</v>
      </c>
      <c r="I449" s="10" t="n">
        <v>68574.3</v>
      </c>
      <c r="J449" s="10" t="n">
        <v>0</v>
      </c>
      <c r="K449" s="10" t="n">
        <v>486.2</v>
      </c>
      <c r="L449" s="10" t="n">
        <v>-37.4</v>
      </c>
      <c r="M449" s="10" t="n">
        <v>120.8</v>
      </c>
      <c r="N449" s="10" t="n">
        <v>120.8</v>
      </c>
      <c r="O449" s="10" t="n">
        <v>160.3</v>
      </c>
      <c r="P449" s="10" t="n">
        <v>-112.2</v>
      </c>
      <c r="Q449" s="10" t="n">
        <v>63005.9</v>
      </c>
      <c r="R449" s="10" t="n">
        <v>4829.9</v>
      </c>
      <c r="S449" s="10" t="n">
        <v>0</v>
      </c>
      <c r="T449" s="10" t="n">
        <v>0</v>
      </c>
      <c r="U449" s="10" t="n">
        <v>0</v>
      </c>
    </row>
    <row r="450" customFormat="false" ht="15" hidden="false" customHeight="false" outlineLevel="0" collapsed="false">
      <c r="A450" s="7" t="s">
        <v>394</v>
      </c>
      <c r="B450" s="7" t="s">
        <v>196</v>
      </c>
      <c r="C450" s="7" t="s">
        <v>817</v>
      </c>
      <c r="D450" s="10" t="n">
        <v>0</v>
      </c>
      <c r="E450" s="10" t="n">
        <v>0</v>
      </c>
      <c r="F450" s="10" t="n">
        <v>1511.3</v>
      </c>
      <c r="G450" s="10" t="n">
        <v>0</v>
      </c>
      <c r="H450" s="10" t="n">
        <v>31.4</v>
      </c>
      <c r="I450" s="10" t="n">
        <v>2792.2</v>
      </c>
      <c r="J450" s="10" t="n">
        <v>0</v>
      </c>
      <c r="K450" s="10" t="n">
        <v>137.6</v>
      </c>
      <c r="L450" s="10" t="n">
        <v>-82.6</v>
      </c>
      <c r="M450" s="10" t="n">
        <v>0</v>
      </c>
      <c r="N450" s="10" t="n">
        <v>176.9</v>
      </c>
      <c r="O450" s="10" t="n">
        <v>0</v>
      </c>
      <c r="P450" s="10" t="n">
        <v>-192.6</v>
      </c>
      <c r="Q450" s="10" t="n">
        <v>2147.5</v>
      </c>
      <c r="R450" s="10" t="n">
        <v>605.4</v>
      </c>
      <c r="S450" s="10" t="n">
        <v>0</v>
      </c>
      <c r="T450" s="10" t="n">
        <v>0</v>
      </c>
      <c r="U450" s="10" t="n">
        <v>0</v>
      </c>
    </row>
    <row r="451" customFormat="false" ht="15" hidden="false" customHeight="false" outlineLevel="0" collapsed="false">
      <c r="A451" s="7" t="s">
        <v>394</v>
      </c>
      <c r="B451" s="7" t="s">
        <v>265</v>
      </c>
      <c r="C451" s="7" t="s">
        <v>818</v>
      </c>
      <c r="D451" s="10" t="n">
        <v>0</v>
      </c>
      <c r="E451" s="10" t="n">
        <v>0</v>
      </c>
      <c r="F451" s="10" t="n">
        <v>15765.3</v>
      </c>
      <c r="G451" s="10" t="n">
        <v>0</v>
      </c>
      <c r="H451" s="10" t="n">
        <v>0</v>
      </c>
      <c r="I451" s="10" t="n">
        <v>6878</v>
      </c>
      <c r="J451" s="10" t="n">
        <v>0</v>
      </c>
      <c r="K451" s="10" t="n">
        <v>590.7</v>
      </c>
      <c r="L451" s="10" t="n">
        <v>-262.5</v>
      </c>
      <c r="M451" s="10" t="n">
        <v>212.6</v>
      </c>
      <c r="N451" s="10" t="n">
        <v>283.4</v>
      </c>
      <c r="O451" s="10" t="n">
        <v>0</v>
      </c>
      <c r="P451" s="10" t="n">
        <v>-1165.5</v>
      </c>
      <c r="Q451" s="10" t="n">
        <v>0</v>
      </c>
      <c r="R451" s="10" t="n">
        <v>7219.3</v>
      </c>
      <c r="S451" s="10" t="n">
        <v>0</v>
      </c>
      <c r="T451" s="10" t="n">
        <v>0</v>
      </c>
      <c r="U451" s="10" t="n">
        <v>0</v>
      </c>
    </row>
    <row r="452" customFormat="false" ht="15" hidden="false" customHeight="false" outlineLevel="0" collapsed="false">
      <c r="A452" s="7" t="s">
        <v>394</v>
      </c>
      <c r="B452" s="7" t="s">
        <v>50</v>
      </c>
      <c r="C452" s="7" t="s">
        <v>819</v>
      </c>
      <c r="D452" s="10" t="n">
        <v>0</v>
      </c>
      <c r="E452" s="10" t="n">
        <v>0</v>
      </c>
      <c r="F452" s="10" t="n">
        <v>1256.9</v>
      </c>
      <c r="G452" s="10" t="n">
        <v>0</v>
      </c>
      <c r="H452" s="10" t="n">
        <v>0</v>
      </c>
      <c r="I452" s="10" t="n">
        <v>38220.3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0" t="n">
        <v>0</v>
      </c>
      <c r="P452" s="10" t="n">
        <v>0</v>
      </c>
      <c r="Q452" s="10" t="n">
        <v>38220.3</v>
      </c>
      <c r="R452" s="10" t="n">
        <v>0</v>
      </c>
      <c r="S452" s="10" t="n">
        <v>0</v>
      </c>
      <c r="T452" s="10" t="n">
        <v>0</v>
      </c>
      <c r="U452" s="10" t="n">
        <v>0</v>
      </c>
    </row>
    <row r="453" customFormat="false" ht="15" hidden="false" customHeight="false" outlineLevel="0" collapsed="false">
      <c r="A453" s="7" t="s">
        <v>394</v>
      </c>
      <c r="B453" s="7" t="s">
        <v>50</v>
      </c>
      <c r="C453" s="7" t="s">
        <v>820</v>
      </c>
      <c r="D453" s="10" t="n">
        <v>0</v>
      </c>
      <c r="E453" s="10" t="n">
        <v>0</v>
      </c>
      <c r="F453" s="10" t="n">
        <v>3323.9</v>
      </c>
      <c r="G453" s="10" t="n">
        <v>0</v>
      </c>
      <c r="H453" s="10" t="n">
        <v>0</v>
      </c>
      <c r="I453" s="10" t="n">
        <v>86595.2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0" t="n">
        <v>0</v>
      </c>
      <c r="P453" s="10" t="n">
        <v>0</v>
      </c>
      <c r="Q453" s="10" t="n">
        <v>86595.2</v>
      </c>
      <c r="R453" s="10" t="n">
        <v>0</v>
      </c>
      <c r="S453" s="10" t="n">
        <v>0</v>
      </c>
      <c r="T453" s="10" t="n">
        <v>0</v>
      </c>
      <c r="U453" s="10" t="n">
        <v>0</v>
      </c>
    </row>
    <row r="454" customFormat="false" ht="15" hidden="false" customHeight="false" outlineLevel="0" collapsed="false">
      <c r="A454" s="7" t="s">
        <v>394</v>
      </c>
      <c r="B454" s="7" t="s">
        <v>50</v>
      </c>
      <c r="C454" s="7" t="s">
        <v>821</v>
      </c>
      <c r="D454" s="10" t="n">
        <v>0</v>
      </c>
      <c r="E454" s="10" t="n">
        <v>0</v>
      </c>
      <c r="F454" s="10" t="n">
        <v>3606.2</v>
      </c>
      <c r="G454" s="10" t="n">
        <v>0</v>
      </c>
      <c r="H454" s="10" t="n">
        <v>0</v>
      </c>
      <c r="I454" s="10" t="n">
        <v>82929.1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0" t="n">
        <v>0</v>
      </c>
      <c r="P454" s="10" t="n">
        <v>0</v>
      </c>
      <c r="Q454" s="10" t="n">
        <v>82929.1</v>
      </c>
      <c r="R454" s="10" t="n">
        <v>0</v>
      </c>
      <c r="S454" s="10" t="n">
        <v>0</v>
      </c>
      <c r="T454" s="10" t="n">
        <v>0</v>
      </c>
      <c r="U454" s="10" t="n">
        <v>0</v>
      </c>
    </row>
    <row r="455" customFormat="false" ht="15" hidden="false" customHeight="false" outlineLevel="0" collapsed="false">
      <c r="A455" s="7" t="s">
        <v>394</v>
      </c>
      <c r="B455" s="7" t="s">
        <v>50</v>
      </c>
      <c r="C455" s="7" t="s">
        <v>822</v>
      </c>
      <c r="D455" s="10" t="n">
        <v>0</v>
      </c>
      <c r="E455" s="10" t="n">
        <v>0</v>
      </c>
      <c r="F455" s="10" t="n">
        <v>3709.6</v>
      </c>
      <c r="G455" s="10" t="n">
        <v>0</v>
      </c>
      <c r="H455" s="10" t="n">
        <v>0</v>
      </c>
      <c r="I455" s="10" t="n">
        <v>71479.1</v>
      </c>
      <c r="J455" s="10" t="n">
        <v>0</v>
      </c>
      <c r="K455" s="10" t="n">
        <v>0</v>
      </c>
      <c r="L455" s="10" t="n">
        <v>0</v>
      </c>
      <c r="M455" s="10" t="n">
        <v>0</v>
      </c>
      <c r="N455" s="10" t="n">
        <v>0</v>
      </c>
      <c r="O455" s="10" t="n">
        <v>0</v>
      </c>
      <c r="P455" s="10" t="n">
        <v>0</v>
      </c>
      <c r="Q455" s="10" t="n">
        <v>71479.1</v>
      </c>
      <c r="R455" s="10" t="n">
        <v>0</v>
      </c>
      <c r="S455" s="10" t="n">
        <v>0</v>
      </c>
      <c r="T455" s="10" t="n">
        <v>0</v>
      </c>
      <c r="U455" s="10" t="n">
        <v>0</v>
      </c>
    </row>
    <row r="456" customFormat="false" ht="15" hidden="false" customHeight="false" outlineLevel="0" collapsed="false">
      <c r="A456" s="7" t="s">
        <v>394</v>
      </c>
      <c r="B456" s="7" t="s">
        <v>50</v>
      </c>
      <c r="C456" s="7" t="s">
        <v>823</v>
      </c>
      <c r="D456" s="10" t="n">
        <v>0</v>
      </c>
      <c r="E456" s="10" t="n">
        <v>0</v>
      </c>
      <c r="F456" s="10" t="n">
        <v>1579.8</v>
      </c>
      <c r="G456" s="10" t="n">
        <v>0</v>
      </c>
      <c r="H456" s="10" t="n">
        <v>0</v>
      </c>
      <c r="I456" s="10" t="n">
        <v>11165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0" t="n">
        <v>0</v>
      </c>
      <c r="P456" s="10" t="n">
        <v>0</v>
      </c>
      <c r="Q456" s="10" t="n">
        <v>11165</v>
      </c>
      <c r="R456" s="10" t="n">
        <v>0</v>
      </c>
      <c r="S456" s="10" t="n">
        <v>33.5</v>
      </c>
      <c r="T456" s="10" t="n">
        <v>0</v>
      </c>
      <c r="U456" s="10" t="n">
        <v>0</v>
      </c>
    </row>
    <row r="457" customFormat="false" ht="15" hidden="false" customHeight="false" outlineLevel="0" collapsed="false">
      <c r="A457" s="7" t="s">
        <v>394</v>
      </c>
      <c r="B457" s="7" t="s">
        <v>44</v>
      </c>
      <c r="C457" s="7" t="s">
        <v>824</v>
      </c>
      <c r="D457" s="10" t="n">
        <v>0</v>
      </c>
      <c r="E457" s="10" t="n">
        <v>0</v>
      </c>
      <c r="F457" s="10" t="n">
        <v>-37.8</v>
      </c>
      <c r="G457" s="10" t="n">
        <v>0</v>
      </c>
      <c r="H457" s="10" t="n">
        <v>0</v>
      </c>
      <c r="I457" s="10" t="n">
        <v>0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0" t="n">
        <v>0</v>
      </c>
      <c r="P457" s="10" t="n">
        <v>0</v>
      </c>
      <c r="Q457" s="10" t="n">
        <v>0</v>
      </c>
      <c r="R457" s="10" t="n">
        <v>0</v>
      </c>
      <c r="S457" s="10" t="n">
        <v>0</v>
      </c>
      <c r="T457" s="10" t="n">
        <v>0</v>
      </c>
      <c r="U457" s="10" t="n">
        <v>0</v>
      </c>
    </row>
    <row r="458" customFormat="false" ht="15" hidden="false" customHeight="false" outlineLevel="0" collapsed="false">
      <c r="A458" s="7" t="s">
        <v>394</v>
      </c>
      <c r="B458" s="7" t="s">
        <v>198</v>
      </c>
      <c r="C458" s="7" t="s">
        <v>825</v>
      </c>
      <c r="D458" s="10" t="n">
        <v>0</v>
      </c>
      <c r="E458" s="10" t="n">
        <v>0</v>
      </c>
      <c r="F458" s="10" t="n">
        <v>-165.4</v>
      </c>
      <c r="G458" s="10" t="n">
        <v>0</v>
      </c>
      <c r="H458" s="10" t="n">
        <v>0</v>
      </c>
      <c r="I458" s="10" t="n">
        <v>0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  <c r="S458" s="10" t="n">
        <v>0</v>
      </c>
      <c r="T458" s="10" t="n">
        <v>0</v>
      </c>
      <c r="U458" s="10" t="n">
        <v>0</v>
      </c>
    </row>
    <row r="459" customFormat="false" ht="15" hidden="false" customHeight="false" outlineLevel="0" collapsed="false">
      <c r="A459" s="7" t="s">
        <v>394</v>
      </c>
      <c r="B459" s="7" t="s">
        <v>115</v>
      </c>
      <c r="C459" s="7" t="s">
        <v>826</v>
      </c>
      <c r="D459" s="10" t="n">
        <v>0</v>
      </c>
      <c r="E459" s="10" t="n">
        <v>0</v>
      </c>
      <c r="F459" s="10" t="n">
        <v>5207</v>
      </c>
      <c r="G459" s="10" t="n">
        <v>0</v>
      </c>
      <c r="H459" s="10" t="n">
        <v>0</v>
      </c>
      <c r="I459" s="10" t="n">
        <v>25918.2</v>
      </c>
      <c r="J459" s="10" t="n">
        <v>0</v>
      </c>
      <c r="K459" s="10" t="n">
        <v>431.2</v>
      </c>
      <c r="L459" s="10" t="n">
        <v>0</v>
      </c>
      <c r="M459" s="10" t="n">
        <v>40.2</v>
      </c>
      <c r="N459" s="10" t="n">
        <v>60.3</v>
      </c>
      <c r="O459" s="10" t="n">
        <v>0</v>
      </c>
      <c r="P459" s="10" t="n">
        <v>-15.4</v>
      </c>
      <c r="Q459" s="10" t="n">
        <v>18579.7</v>
      </c>
      <c r="R459" s="10" t="n">
        <v>6822.2</v>
      </c>
      <c r="S459" s="10" t="n">
        <v>0</v>
      </c>
      <c r="T459" s="10" t="n">
        <v>0</v>
      </c>
      <c r="U459" s="10" t="n">
        <v>0</v>
      </c>
    </row>
    <row r="460" customFormat="false" ht="15" hidden="false" customHeight="false" outlineLevel="0" collapsed="false">
      <c r="A460" s="7" t="s">
        <v>394</v>
      </c>
      <c r="B460" s="7" t="s">
        <v>160</v>
      </c>
      <c r="C460" s="7" t="s">
        <v>826</v>
      </c>
      <c r="D460" s="10" t="n">
        <v>0</v>
      </c>
      <c r="E460" s="10" t="n">
        <v>0</v>
      </c>
      <c r="F460" s="10" t="n">
        <v>7084.9</v>
      </c>
      <c r="G460" s="10" t="n">
        <v>0</v>
      </c>
      <c r="H460" s="10" t="n">
        <v>0</v>
      </c>
      <c r="I460" s="10" t="n">
        <v>38080.5</v>
      </c>
      <c r="J460" s="10" t="n">
        <v>0</v>
      </c>
      <c r="K460" s="10" t="n">
        <v>385</v>
      </c>
      <c r="L460" s="10" t="n">
        <v>0</v>
      </c>
      <c r="M460" s="10" t="n">
        <v>180.9</v>
      </c>
      <c r="N460" s="10" t="n">
        <v>181</v>
      </c>
      <c r="O460" s="10" t="n">
        <v>0</v>
      </c>
      <c r="P460" s="10" t="n">
        <v>-30.8</v>
      </c>
      <c r="Q460" s="10" t="n">
        <v>28832.9</v>
      </c>
      <c r="R460" s="10" t="n">
        <v>8531.6</v>
      </c>
      <c r="S460" s="10" t="n">
        <v>0</v>
      </c>
      <c r="T460" s="10" t="n">
        <v>0</v>
      </c>
      <c r="U460" s="10" t="n">
        <v>0</v>
      </c>
    </row>
    <row r="461" customFormat="false" ht="15" hidden="false" customHeight="false" outlineLevel="0" collapsed="false">
      <c r="A461" s="7" t="s">
        <v>394</v>
      </c>
      <c r="B461" s="7" t="s">
        <v>174</v>
      </c>
      <c r="C461" s="7" t="s">
        <v>826</v>
      </c>
      <c r="D461" s="10" t="n">
        <v>0</v>
      </c>
      <c r="E461" s="10" t="n">
        <v>0</v>
      </c>
      <c r="F461" s="10" t="n">
        <v>7215.3</v>
      </c>
      <c r="G461" s="10" t="n">
        <v>0</v>
      </c>
      <c r="H461" s="10" t="n">
        <v>0</v>
      </c>
      <c r="I461" s="10" t="n">
        <v>35520.6</v>
      </c>
      <c r="J461" s="10" t="n">
        <v>0</v>
      </c>
      <c r="K461" s="10" t="n">
        <v>338.8</v>
      </c>
      <c r="L461" s="10" t="n">
        <v>0</v>
      </c>
      <c r="M461" s="10" t="n">
        <v>100.5</v>
      </c>
      <c r="N461" s="10" t="n">
        <v>0</v>
      </c>
      <c r="O461" s="10" t="n">
        <v>0</v>
      </c>
      <c r="P461" s="10" t="n">
        <v>-61.6</v>
      </c>
      <c r="Q461" s="10" t="n">
        <v>26241.7</v>
      </c>
      <c r="R461" s="10" t="n">
        <v>8901.2</v>
      </c>
      <c r="S461" s="10" t="n">
        <v>0</v>
      </c>
      <c r="T461" s="10" t="n">
        <v>0</v>
      </c>
      <c r="U461" s="10" t="n">
        <v>0</v>
      </c>
    </row>
    <row r="462" customFormat="false" ht="15" hidden="false" customHeight="false" outlineLevel="0" collapsed="false">
      <c r="A462" s="7" t="s">
        <v>394</v>
      </c>
      <c r="B462" s="7" t="s">
        <v>175</v>
      </c>
      <c r="C462" s="7" t="s">
        <v>826</v>
      </c>
      <c r="D462" s="10" t="n">
        <v>0</v>
      </c>
      <c r="E462" s="10" t="n">
        <v>0</v>
      </c>
      <c r="F462" s="10" t="n">
        <v>4056.1</v>
      </c>
      <c r="G462" s="10" t="n">
        <v>0</v>
      </c>
      <c r="H462" s="10" t="n">
        <v>0</v>
      </c>
      <c r="I462" s="10" t="n">
        <v>20155.3</v>
      </c>
      <c r="J462" s="10" t="n">
        <v>0</v>
      </c>
      <c r="K462" s="10" t="n">
        <v>30.8</v>
      </c>
      <c r="L462" s="10" t="n">
        <v>0</v>
      </c>
      <c r="M462" s="10" t="n">
        <v>80.4</v>
      </c>
      <c r="N462" s="10" t="n">
        <v>156.5</v>
      </c>
      <c r="O462" s="10" t="n">
        <v>0</v>
      </c>
      <c r="P462" s="10" t="n">
        <v>-61.6</v>
      </c>
      <c r="Q462" s="10" t="n">
        <v>16083.8</v>
      </c>
      <c r="R462" s="10" t="n">
        <v>3865.4</v>
      </c>
      <c r="S462" s="10" t="n">
        <v>0</v>
      </c>
      <c r="T462" s="10" t="n">
        <v>0</v>
      </c>
      <c r="U462" s="10" t="n">
        <v>0</v>
      </c>
    </row>
    <row r="463" customFormat="false" ht="15" hidden="false" customHeight="false" outlineLevel="0" collapsed="false">
      <c r="A463" s="7" t="s">
        <v>394</v>
      </c>
      <c r="B463" s="7" t="s">
        <v>240</v>
      </c>
      <c r="C463" s="7" t="s">
        <v>827</v>
      </c>
      <c r="D463" s="10" t="n">
        <v>0</v>
      </c>
      <c r="E463" s="10" t="n">
        <v>0</v>
      </c>
      <c r="F463" s="10" t="n">
        <v>7117.5</v>
      </c>
      <c r="G463" s="10" t="n">
        <v>0</v>
      </c>
      <c r="H463" s="10" t="n">
        <v>0</v>
      </c>
      <c r="I463" s="10" t="n">
        <v>0</v>
      </c>
      <c r="J463" s="10" t="n">
        <v>0</v>
      </c>
      <c r="K463" s="10" t="n">
        <v>0</v>
      </c>
      <c r="L463" s="10" t="n">
        <v>0</v>
      </c>
      <c r="M463" s="10" t="n">
        <v>0</v>
      </c>
      <c r="N463" s="10" t="n">
        <v>0</v>
      </c>
      <c r="O463" s="10" t="n">
        <v>0</v>
      </c>
      <c r="P463" s="10" t="n">
        <v>0</v>
      </c>
      <c r="Q463" s="10" t="n">
        <v>0</v>
      </c>
      <c r="R463" s="10" t="n">
        <v>0</v>
      </c>
      <c r="S463" s="10" t="n">
        <v>0</v>
      </c>
      <c r="T463" s="10" t="n">
        <v>0</v>
      </c>
      <c r="U463" s="10" t="n">
        <v>0</v>
      </c>
    </row>
    <row r="464" customFormat="false" ht="15" hidden="false" customHeight="false" outlineLevel="0" collapsed="false">
      <c r="A464" s="7" t="s">
        <v>394</v>
      </c>
      <c r="B464" s="7" t="s">
        <v>170</v>
      </c>
      <c r="C464" s="7" t="s">
        <v>828</v>
      </c>
      <c r="D464" s="10" t="n">
        <v>0</v>
      </c>
      <c r="E464" s="10" t="n">
        <v>0</v>
      </c>
      <c r="F464" s="10" t="n">
        <v>472.3</v>
      </c>
      <c r="G464" s="10" t="n">
        <v>0</v>
      </c>
      <c r="H464" s="10" t="n">
        <v>136</v>
      </c>
      <c r="I464" s="10" t="n">
        <v>1504.7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70.6</v>
      </c>
      <c r="O464" s="10" t="n">
        <v>0</v>
      </c>
      <c r="P464" s="10" t="n">
        <v>0</v>
      </c>
      <c r="Q464" s="10" t="n">
        <v>1434.1</v>
      </c>
      <c r="R464" s="10" t="n">
        <v>0</v>
      </c>
      <c r="S464" s="10" t="n">
        <v>0</v>
      </c>
      <c r="T464" s="10" t="n">
        <v>0</v>
      </c>
      <c r="U464" s="10" t="n">
        <v>0</v>
      </c>
    </row>
    <row r="465" customFormat="false" ht="15" hidden="false" customHeight="false" outlineLevel="0" collapsed="false">
      <c r="A465" s="7" t="s">
        <v>394</v>
      </c>
      <c r="B465" s="7" t="s">
        <v>332</v>
      </c>
      <c r="C465" s="7" t="s">
        <v>829</v>
      </c>
      <c r="D465" s="10" t="n">
        <v>0</v>
      </c>
      <c r="E465" s="10" t="n">
        <v>0</v>
      </c>
      <c r="F465" s="10" t="n">
        <v>-43.2</v>
      </c>
      <c r="G465" s="10" t="n">
        <v>0</v>
      </c>
      <c r="H465" s="10" t="n">
        <v>0</v>
      </c>
      <c r="I465" s="10" t="n">
        <v>0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0" t="n">
        <v>0</v>
      </c>
      <c r="P465" s="10" t="n">
        <v>0</v>
      </c>
      <c r="Q465" s="10" t="n">
        <v>0</v>
      </c>
      <c r="R465" s="10" t="n">
        <v>0</v>
      </c>
      <c r="S465" s="10" t="n">
        <v>0</v>
      </c>
      <c r="T465" s="10" t="n">
        <v>0</v>
      </c>
      <c r="U465" s="10" t="n">
        <v>0</v>
      </c>
    </row>
    <row r="466" customFormat="false" ht="15" hidden="false" customHeight="false" outlineLevel="0" collapsed="false">
      <c r="A466" s="7" t="s">
        <v>394</v>
      </c>
      <c r="B466" s="7" t="s">
        <v>344</v>
      </c>
      <c r="C466" s="7" t="s">
        <v>829</v>
      </c>
      <c r="D466" s="10" t="n">
        <v>0</v>
      </c>
      <c r="E466" s="10" t="n">
        <v>0</v>
      </c>
      <c r="F466" s="10" t="n">
        <v>33</v>
      </c>
      <c r="G466" s="10" t="n">
        <v>0</v>
      </c>
      <c r="H466" s="10" t="n">
        <v>0</v>
      </c>
      <c r="I466" s="10" t="n">
        <v>0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0</v>
      </c>
      <c r="O466" s="10" t="n">
        <v>0</v>
      </c>
      <c r="P466" s="10" t="n">
        <v>0</v>
      </c>
      <c r="Q466" s="10" t="n">
        <v>0</v>
      </c>
      <c r="R466" s="10" t="n">
        <v>0</v>
      </c>
      <c r="S466" s="10" t="n">
        <v>0</v>
      </c>
      <c r="T466" s="10" t="n">
        <v>0</v>
      </c>
      <c r="U466" s="10" t="n">
        <v>0</v>
      </c>
    </row>
    <row r="467" customFormat="false" ht="15" hidden="false" customHeight="false" outlineLevel="0" collapsed="false">
      <c r="A467" s="7" t="s">
        <v>394</v>
      </c>
      <c r="B467" s="7" t="s">
        <v>325</v>
      </c>
      <c r="C467" s="7" t="s">
        <v>829</v>
      </c>
      <c r="D467" s="10" t="n">
        <v>0</v>
      </c>
      <c r="E467" s="10" t="n">
        <v>0</v>
      </c>
      <c r="F467" s="10" t="n">
        <v>133.6</v>
      </c>
      <c r="G467" s="10" t="n">
        <v>0</v>
      </c>
      <c r="H467" s="10" t="n">
        <v>0</v>
      </c>
      <c r="I467" s="10" t="n">
        <v>0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0" t="n">
        <v>0</v>
      </c>
      <c r="P467" s="10" t="n">
        <v>0</v>
      </c>
      <c r="Q467" s="10" t="n">
        <v>0</v>
      </c>
      <c r="R467" s="10" t="n">
        <v>0</v>
      </c>
      <c r="S467" s="10" t="n">
        <v>0</v>
      </c>
      <c r="T467" s="10" t="n">
        <v>0</v>
      </c>
      <c r="U467" s="10" t="n">
        <v>0</v>
      </c>
    </row>
    <row r="468" customFormat="false" ht="15" hidden="false" customHeight="false" outlineLevel="0" collapsed="false">
      <c r="A468" s="7" t="s">
        <v>394</v>
      </c>
      <c r="B468" s="7" t="s">
        <v>96</v>
      </c>
      <c r="C468" s="7" t="s">
        <v>830</v>
      </c>
      <c r="D468" s="10" t="n">
        <v>0</v>
      </c>
      <c r="E468" s="10" t="n">
        <v>0</v>
      </c>
      <c r="F468" s="10" t="n">
        <v>4318.7</v>
      </c>
      <c r="G468" s="10" t="n">
        <v>0</v>
      </c>
      <c r="H468" s="10" t="n">
        <v>0</v>
      </c>
      <c r="I468" s="10" t="n">
        <v>30816.1</v>
      </c>
      <c r="J468" s="10" t="n">
        <v>0</v>
      </c>
      <c r="K468" s="10" t="n">
        <v>778</v>
      </c>
      <c r="L468" s="10" t="n">
        <v>0</v>
      </c>
      <c r="M468" s="10" t="n">
        <v>0</v>
      </c>
      <c r="N468" s="10" t="n">
        <v>100</v>
      </c>
      <c r="O468" s="10" t="n">
        <v>62.2</v>
      </c>
      <c r="P468" s="10" t="n">
        <v>-124.5</v>
      </c>
      <c r="Q468" s="10" t="n">
        <v>27666.3</v>
      </c>
      <c r="R468" s="10" t="n">
        <v>2334</v>
      </c>
      <c r="S468" s="10" t="n">
        <v>0</v>
      </c>
      <c r="T468" s="10" t="n">
        <v>0</v>
      </c>
      <c r="U468" s="10" t="n">
        <v>0</v>
      </c>
    </row>
    <row r="469" customFormat="false" ht="15" hidden="false" customHeight="false" outlineLevel="0" collapsed="false">
      <c r="A469" s="7" t="s">
        <v>394</v>
      </c>
      <c r="B469" s="7" t="s">
        <v>70</v>
      </c>
      <c r="C469" s="7" t="s">
        <v>831</v>
      </c>
      <c r="D469" s="10" t="n">
        <v>0</v>
      </c>
      <c r="E469" s="10" t="n">
        <v>0</v>
      </c>
      <c r="F469" s="10" t="n">
        <v>14703.8</v>
      </c>
      <c r="G469" s="10" t="n">
        <v>0</v>
      </c>
      <c r="H469" s="10" t="n">
        <v>0</v>
      </c>
      <c r="I469" s="10" t="n">
        <v>41284.6</v>
      </c>
      <c r="J469" s="10" t="n">
        <v>0</v>
      </c>
      <c r="K469" s="10" t="n">
        <v>76.9</v>
      </c>
      <c r="L469" s="10" t="n">
        <v>0</v>
      </c>
      <c r="M469" s="10" t="n">
        <v>0</v>
      </c>
      <c r="N469" s="10" t="n">
        <v>0</v>
      </c>
      <c r="O469" s="10" t="n">
        <v>117.7</v>
      </c>
      <c r="P469" s="10" t="n">
        <v>-11.8</v>
      </c>
      <c r="Q469" s="10" t="n">
        <v>32526.4</v>
      </c>
      <c r="R469" s="10" t="n">
        <v>8575.4</v>
      </c>
      <c r="S469" s="10" t="n">
        <v>0</v>
      </c>
      <c r="T469" s="10" t="n">
        <v>0</v>
      </c>
      <c r="U469" s="10" t="n">
        <v>0</v>
      </c>
    </row>
    <row r="470" customFormat="false" ht="15" hidden="false" customHeight="false" outlineLevel="0" collapsed="false">
      <c r="A470" s="7" t="s">
        <v>394</v>
      </c>
      <c r="B470" s="7" t="s">
        <v>93</v>
      </c>
      <c r="C470" s="7" t="s">
        <v>831</v>
      </c>
      <c r="D470" s="10" t="n">
        <v>0</v>
      </c>
      <c r="E470" s="10" t="n">
        <v>0</v>
      </c>
      <c r="F470" s="10" t="n">
        <v>9335.6</v>
      </c>
      <c r="G470" s="10" t="n">
        <v>0</v>
      </c>
      <c r="H470" s="10" t="n">
        <v>0</v>
      </c>
      <c r="I470" s="10" t="n">
        <v>34596.7</v>
      </c>
      <c r="J470" s="10" t="n">
        <v>0</v>
      </c>
      <c r="K470" s="10" t="n">
        <v>1504.3</v>
      </c>
      <c r="L470" s="10" t="n">
        <v>-11</v>
      </c>
      <c r="M470" s="10" t="n">
        <v>0</v>
      </c>
      <c r="N470" s="10" t="n">
        <v>-22.5</v>
      </c>
      <c r="O470" s="10" t="n">
        <v>58.8</v>
      </c>
      <c r="P470" s="10" t="n">
        <v>-43.9</v>
      </c>
      <c r="Q470" s="10" t="n">
        <v>28005.4</v>
      </c>
      <c r="R470" s="10" t="n">
        <v>5105.7</v>
      </c>
      <c r="S470" s="10" t="n">
        <v>0</v>
      </c>
      <c r="T470" s="10" t="n">
        <v>0</v>
      </c>
      <c r="U470" s="10" t="n">
        <v>0</v>
      </c>
    </row>
    <row r="471" customFormat="false" ht="15" hidden="false" customHeight="false" outlineLevel="0" collapsed="false">
      <c r="A471" s="7" t="s">
        <v>394</v>
      </c>
      <c r="B471" s="7" t="s">
        <v>92</v>
      </c>
      <c r="C471" s="7" t="s">
        <v>831</v>
      </c>
      <c r="D471" s="10" t="n">
        <v>0</v>
      </c>
      <c r="E471" s="10" t="n">
        <v>0</v>
      </c>
      <c r="F471" s="10" t="n">
        <v>4364.1</v>
      </c>
      <c r="G471" s="10" t="n">
        <v>0</v>
      </c>
      <c r="H471" s="10" t="n">
        <v>0</v>
      </c>
      <c r="I471" s="10" t="n">
        <v>21006.6</v>
      </c>
      <c r="J471" s="10" t="n">
        <v>0</v>
      </c>
      <c r="K471" s="10" t="n">
        <v>32.9</v>
      </c>
      <c r="L471" s="10" t="n">
        <v>0</v>
      </c>
      <c r="M471" s="10" t="n">
        <v>0</v>
      </c>
      <c r="N471" s="10" t="n">
        <v>176.5</v>
      </c>
      <c r="O471" s="10" t="n">
        <v>0</v>
      </c>
      <c r="P471" s="10" t="n">
        <v>-43.9</v>
      </c>
      <c r="Q471" s="10" t="n">
        <v>17832.6</v>
      </c>
      <c r="R471" s="10" t="n">
        <v>3008.5</v>
      </c>
      <c r="S471" s="10" t="n">
        <v>0</v>
      </c>
      <c r="T471" s="10" t="n">
        <v>0</v>
      </c>
      <c r="U471" s="10" t="n">
        <v>0</v>
      </c>
    </row>
    <row r="472" customFormat="false" ht="15" hidden="false" customHeight="false" outlineLevel="0" collapsed="false">
      <c r="A472" s="7" t="s">
        <v>394</v>
      </c>
      <c r="B472" s="7" t="s">
        <v>129</v>
      </c>
      <c r="C472" s="7" t="s">
        <v>831</v>
      </c>
      <c r="D472" s="10" t="n">
        <v>0</v>
      </c>
      <c r="E472" s="10" t="n">
        <v>0</v>
      </c>
      <c r="F472" s="10" t="n">
        <v>4693.4</v>
      </c>
      <c r="G472" s="10" t="n">
        <v>0</v>
      </c>
      <c r="H472" s="10" t="n">
        <v>0</v>
      </c>
      <c r="I472" s="10" t="n">
        <v>13834.2</v>
      </c>
      <c r="J472" s="10" t="n">
        <v>0</v>
      </c>
      <c r="K472" s="10" t="n">
        <v>32.9</v>
      </c>
      <c r="L472" s="10" t="n">
        <v>0</v>
      </c>
      <c r="M472" s="10" t="n">
        <v>0</v>
      </c>
      <c r="N472" s="10" t="n">
        <v>0</v>
      </c>
      <c r="O472" s="10" t="n">
        <v>0</v>
      </c>
      <c r="P472" s="10" t="n">
        <v>0</v>
      </c>
      <c r="Q472" s="10" t="n">
        <v>9936.3</v>
      </c>
      <c r="R472" s="10" t="n">
        <v>3865</v>
      </c>
      <c r="S472" s="10" t="n">
        <v>0</v>
      </c>
      <c r="T472" s="10" t="n">
        <v>0</v>
      </c>
      <c r="U472" s="10" t="n">
        <v>0</v>
      </c>
    </row>
    <row r="473" customFormat="false" ht="15" hidden="false" customHeight="false" outlineLevel="0" collapsed="false">
      <c r="A473" s="7" t="s">
        <v>394</v>
      </c>
      <c r="B473" s="7" t="s">
        <v>186</v>
      </c>
      <c r="C473" s="7" t="s">
        <v>832</v>
      </c>
      <c r="D473" s="10" t="n">
        <v>0</v>
      </c>
      <c r="E473" s="10" t="n">
        <v>0</v>
      </c>
      <c r="F473" s="10" t="n">
        <v>248.3</v>
      </c>
      <c r="G473" s="10" t="n">
        <v>0</v>
      </c>
      <c r="H473" s="10" t="n">
        <v>0</v>
      </c>
      <c r="I473" s="10" t="n">
        <v>70.6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n">
        <v>0</v>
      </c>
      <c r="O473" s="10" t="n">
        <v>0</v>
      </c>
      <c r="P473" s="10" t="n">
        <v>-70.6</v>
      </c>
      <c r="Q473" s="10" t="n">
        <v>0</v>
      </c>
      <c r="R473" s="10" t="n">
        <v>141.1</v>
      </c>
      <c r="S473" s="10" t="n">
        <v>0</v>
      </c>
      <c r="T473" s="10" t="n">
        <v>0</v>
      </c>
      <c r="U473" s="10" t="n">
        <v>0</v>
      </c>
    </row>
    <row r="474" customFormat="false" ht="15" hidden="false" customHeight="false" outlineLevel="0" collapsed="false">
      <c r="A474" s="7" t="s">
        <v>394</v>
      </c>
      <c r="B474" s="7" t="s">
        <v>186</v>
      </c>
      <c r="C474" s="7" t="s">
        <v>833</v>
      </c>
      <c r="D474" s="10" t="n">
        <v>0</v>
      </c>
      <c r="E474" s="10" t="n">
        <v>0</v>
      </c>
      <c r="F474" s="10" t="n">
        <v>1102.3</v>
      </c>
      <c r="G474" s="10" t="n">
        <v>0</v>
      </c>
      <c r="H474" s="10" t="n">
        <v>0</v>
      </c>
      <c r="I474" s="10" t="n">
        <v>1161.8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0</v>
      </c>
      <c r="O474" s="10" t="n">
        <v>0</v>
      </c>
      <c r="P474" s="10" t="n">
        <v>-324.3</v>
      </c>
      <c r="Q474" s="10" t="n">
        <v>964.7</v>
      </c>
      <c r="R474" s="10" t="n">
        <v>521.4</v>
      </c>
      <c r="S474" s="10" t="n">
        <v>0</v>
      </c>
      <c r="T474" s="10" t="n">
        <v>0</v>
      </c>
      <c r="U474" s="10" t="n">
        <v>0</v>
      </c>
    </row>
    <row r="475" customFormat="false" ht="15" hidden="false" customHeight="false" outlineLevel="0" collapsed="false">
      <c r="A475" s="7" t="s">
        <v>394</v>
      </c>
      <c r="B475" s="7" t="s">
        <v>186</v>
      </c>
      <c r="C475" s="7" t="s">
        <v>834</v>
      </c>
      <c r="D475" s="10" t="n">
        <v>0</v>
      </c>
      <c r="E475" s="10" t="n">
        <v>0</v>
      </c>
      <c r="F475" s="10" t="n">
        <v>806</v>
      </c>
      <c r="G475" s="10" t="n">
        <v>0</v>
      </c>
      <c r="H475" s="10" t="n">
        <v>0</v>
      </c>
      <c r="I475" s="10" t="n">
        <v>421.4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0" t="n">
        <v>0</v>
      </c>
      <c r="P475" s="10" t="n">
        <v>-477.7</v>
      </c>
      <c r="Q475" s="10" t="n">
        <v>452.2</v>
      </c>
      <c r="R475" s="10" t="n">
        <v>446.9</v>
      </c>
      <c r="S475" s="10" t="n">
        <v>0</v>
      </c>
      <c r="T475" s="10" t="n">
        <v>0</v>
      </c>
      <c r="U475" s="10" t="n">
        <v>0</v>
      </c>
    </row>
    <row r="476" customFormat="false" ht="15" hidden="false" customHeight="false" outlineLevel="0" collapsed="false">
      <c r="A476" s="7" t="s">
        <v>394</v>
      </c>
      <c r="B476" s="7" t="s">
        <v>186</v>
      </c>
      <c r="C476" s="7" t="s">
        <v>835</v>
      </c>
      <c r="D476" s="10" t="n">
        <v>0</v>
      </c>
      <c r="E476" s="10" t="n">
        <v>0</v>
      </c>
      <c r="F476" s="10" t="n">
        <v>718.1</v>
      </c>
      <c r="G476" s="10" t="n">
        <v>0</v>
      </c>
      <c r="H476" s="10" t="n">
        <v>0</v>
      </c>
      <c r="I476" s="10" t="n">
        <v>1064.8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0" t="n">
        <v>0</v>
      </c>
      <c r="P476" s="10" t="n">
        <v>-350.6</v>
      </c>
      <c r="Q476" s="10" t="n">
        <v>1117.4</v>
      </c>
      <c r="R476" s="10" t="n">
        <v>298</v>
      </c>
      <c r="S476" s="10" t="n">
        <v>0</v>
      </c>
      <c r="T476" s="10" t="n">
        <v>0</v>
      </c>
      <c r="U476" s="10" t="n">
        <v>0</v>
      </c>
    </row>
    <row r="477" customFormat="false" ht="15" hidden="false" customHeight="false" outlineLevel="0" collapsed="false">
      <c r="A477" s="7" t="s">
        <v>394</v>
      </c>
      <c r="B477" s="7" t="s">
        <v>166</v>
      </c>
      <c r="C477" s="7" t="s">
        <v>836</v>
      </c>
      <c r="D477" s="10" t="n">
        <v>0</v>
      </c>
      <c r="E477" s="10" t="n">
        <v>0</v>
      </c>
      <c r="F477" s="10" t="n">
        <v>0</v>
      </c>
      <c r="G477" s="10" t="n">
        <v>0</v>
      </c>
      <c r="H477" s="10" t="n">
        <v>0</v>
      </c>
      <c r="I477" s="10" t="n">
        <v>369.2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0" t="n">
        <v>0</v>
      </c>
      <c r="P477" s="10" t="n">
        <v>-211.7</v>
      </c>
      <c r="Q477" s="10" t="n">
        <v>510.3</v>
      </c>
      <c r="R477" s="10" t="n">
        <v>70.6</v>
      </c>
      <c r="S477" s="10" t="n">
        <v>0</v>
      </c>
      <c r="T477" s="10" t="n">
        <v>0</v>
      </c>
      <c r="U477" s="10" t="n">
        <v>0</v>
      </c>
    </row>
    <row r="478" customFormat="false" ht="15" hidden="false" customHeight="false" outlineLevel="0" collapsed="false">
      <c r="A478" s="7" t="s">
        <v>394</v>
      </c>
      <c r="B478" s="7" t="s">
        <v>166</v>
      </c>
      <c r="C478" s="7" t="s">
        <v>837</v>
      </c>
      <c r="D478" s="10" t="n">
        <v>0</v>
      </c>
      <c r="E478" s="10" t="n">
        <v>0</v>
      </c>
      <c r="F478" s="10" t="n">
        <v>507.7</v>
      </c>
      <c r="G478" s="10" t="n">
        <v>0</v>
      </c>
      <c r="H478" s="10" t="n">
        <v>0</v>
      </c>
      <c r="I478" s="10" t="n">
        <v>729.8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0" t="n">
        <v>0</v>
      </c>
      <c r="P478" s="10" t="n">
        <v>-249.8</v>
      </c>
      <c r="Q478" s="10" t="n">
        <v>607.1</v>
      </c>
      <c r="R478" s="10" t="n">
        <v>372.5</v>
      </c>
      <c r="S478" s="10" t="n">
        <v>0</v>
      </c>
      <c r="T478" s="10" t="n">
        <v>0</v>
      </c>
      <c r="U478" s="10" t="n">
        <v>0</v>
      </c>
    </row>
    <row r="479" customFormat="false" ht="15" hidden="false" customHeight="false" outlineLevel="0" collapsed="false">
      <c r="A479" s="7" t="s">
        <v>394</v>
      </c>
      <c r="B479" s="7" t="s">
        <v>166</v>
      </c>
      <c r="C479" s="7" t="s">
        <v>838</v>
      </c>
      <c r="D479" s="10" t="n">
        <v>0</v>
      </c>
      <c r="E479" s="10" t="n">
        <v>0</v>
      </c>
      <c r="F479" s="10" t="n">
        <v>548.9</v>
      </c>
      <c r="G479" s="10" t="n">
        <v>0</v>
      </c>
      <c r="H479" s="10" t="n">
        <v>0</v>
      </c>
      <c r="I479" s="10" t="n">
        <v>2178.4</v>
      </c>
      <c r="J479" s="10" t="n">
        <v>0</v>
      </c>
      <c r="K479" s="10" t="n">
        <v>149</v>
      </c>
      <c r="L479" s="10" t="n">
        <v>0</v>
      </c>
      <c r="M479" s="10" t="n">
        <v>0</v>
      </c>
      <c r="N479" s="10" t="n">
        <v>0</v>
      </c>
      <c r="O479" s="10" t="n">
        <v>0</v>
      </c>
      <c r="P479" s="10" t="n">
        <v>-425.1</v>
      </c>
      <c r="Q479" s="10" t="n">
        <v>1933</v>
      </c>
      <c r="R479" s="10" t="n">
        <v>521.4</v>
      </c>
      <c r="S479" s="10" t="n">
        <v>0</v>
      </c>
      <c r="T479" s="10" t="n">
        <v>0</v>
      </c>
      <c r="U479" s="10" t="n">
        <v>0</v>
      </c>
    </row>
    <row r="480" customFormat="false" ht="15" hidden="false" customHeight="false" outlineLevel="0" collapsed="false">
      <c r="A480" s="7" t="s">
        <v>394</v>
      </c>
      <c r="B480" s="7" t="s">
        <v>166</v>
      </c>
      <c r="C480" s="7" t="s">
        <v>839</v>
      </c>
      <c r="D480" s="10" t="n">
        <v>0</v>
      </c>
      <c r="E480" s="10" t="n">
        <v>0</v>
      </c>
      <c r="F480" s="10" t="n">
        <v>377.3</v>
      </c>
      <c r="G480" s="10" t="n">
        <v>0</v>
      </c>
      <c r="H480" s="10" t="n">
        <v>0</v>
      </c>
      <c r="I480" s="10" t="n">
        <v>1385.3</v>
      </c>
      <c r="J480" s="10" t="n">
        <v>0</v>
      </c>
      <c r="K480" s="10" t="n">
        <v>223.5</v>
      </c>
      <c r="L480" s="10" t="n">
        <v>0</v>
      </c>
      <c r="M480" s="10" t="n">
        <v>0</v>
      </c>
      <c r="N480" s="10" t="n">
        <v>0</v>
      </c>
      <c r="O480" s="10" t="n">
        <v>0</v>
      </c>
      <c r="P480" s="10" t="n">
        <v>-249.8</v>
      </c>
      <c r="Q480" s="10" t="n">
        <v>964.7</v>
      </c>
      <c r="R480" s="10" t="n">
        <v>446.9</v>
      </c>
      <c r="S480" s="10" t="n">
        <v>0</v>
      </c>
      <c r="T480" s="10" t="n">
        <v>0</v>
      </c>
      <c r="U480" s="10" t="n">
        <v>0</v>
      </c>
    </row>
    <row r="481" customFormat="false" ht="15" hidden="false" customHeight="false" outlineLevel="0" collapsed="false">
      <c r="A481" s="7" t="s">
        <v>394</v>
      </c>
      <c r="B481" s="7" t="s">
        <v>159</v>
      </c>
      <c r="C481" s="7" t="s">
        <v>659</v>
      </c>
      <c r="D481" s="10" t="n">
        <v>0</v>
      </c>
      <c r="E481" s="10" t="n">
        <v>0</v>
      </c>
      <c r="F481" s="10" t="n">
        <v>413.3</v>
      </c>
      <c r="G481" s="10" t="n">
        <v>0</v>
      </c>
      <c r="H481" s="10" t="n">
        <v>0</v>
      </c>
      <c r="I481" s="10" t="n">
        <v>256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0</v>
      </c>
      <c r="O481" s="10" t="n">
        <v>0</v>
      </c>
      <c r="P481" s="10" t="n">
        <v>-256</v>
      </c>
      <c r="Q481" s="10" t="n">
        <v>0</v>
      </c>
      <c r="R481" s="10" t="n">
        <v>512</v>
      </c>
      <c r="S481" s="10" t="n">
        <v>0</v>
      </c>
      <c r="T481" s="10" t="n">
        <v>0</v>
      </c>
      <c r="U481" s="10" t="n">
        <v>0</v>
      </c>
    </row>
    <row r="482" customFormat="false" ht="15" hidden="false" customHeight="false" outlineLevel="0" collapsed="false">
      <c r="A482" s="7" t="s">
        <v>394</v>
      </c>
      <c r="B482" s="7" t="s">
        <v>159</v>
      </c>
      <c r="C482" s="7" t="s">
        <v>658</v>
      </c>
      <c r="D482" s="10" t="n">
        <v>0</v>
      </c>
      <c r="E482" s="10" t="n">
        <v>0</v>
      </c>
      <c r="F482" s="10" t="n">
        <v>145.3</v>
      </c>
      <c r="G482" s="10" t="n">
        <v>0</v>
      </c>
      <c r="H482" s="10" t="n">
        <v>0</v>
      </c>
      <c r="I482" s="10" t="n">
        <v>2323.6</v>
      </c>
      <c r="J482" s="10" t="n">
        <v>0</v>
      </c>
      <c r="K482" s="10" t="n">
        <v>0</v>
      </c>
      <c r="L482" s="10" t="n">
        <v>0</v>
      </c>
      <c r="M482" s="10" t="n">
        <v>0</v>
      </c>
      <c r="N482" s="10" t="n">
        <v>0</v>
      </c>
      <c r="O482" s="10" t="n">
        <v>0</v>
      </c>
      <c r="P482" s="10" t="n">
        <v>-596.3</v>
      </c>
      <c r="Q482" s="10" t="n">
        <v>1479.8</v>
      </c>
      <c r="R482" s="10" t="n">
        <v>1440.1</v>
      </c>
      <c r="S482" s="10" t="n">
        <v>0</v>
      </c>
      <c r="T482" s="10" t="n">
        <v>0</v>
      </c>
      <c r="U482" s="10" t="n">
        <v>0</v>
      </c>
    </row>
    <row r="483" customFormat="false" ht="15" hidden="false" customHeight="false" outlineLevel="0" collapsed="false">
      <c r="A483" s="7" t="s">
        <v>394</v>
      </c>
      <c r="B483" s="7" t="s">
        <v>159</v>
      </c>
      <c r="C483" s="7" t="s">
        <v>660</v>
      </c>
      <c r="D483" s="10" t="n">
        <v>0</v>
      </c>
      <c r="E483" s="10" t="n">
        <v>0</v>
      </c>
      <c r="F483" s="10" t="n">
        <v>290.5</v>
      </c>
      <c r="G483" s="10" t="n">
        <v>0</v>
      </c>
      <c r="H483" s="10" t="n">
        <v>0</v>
      </c>
      <c r="I483" s="10" t="n">
        <v>1575.9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0" t="n">
        <v>0</v>
      </c>
      <c r="P483" s="10" t="n">
        <v>-596.3</v>
      </c>
      <c r="Q483" s="10" t="n">
        <v>407.3</v>
      </c>
      <c r="R483" s="10" t="n">
        <v>1764.9</v>
      </c>
      <c r="S483" s="10" t="n">
        <v>0</v>
      </c>
      <c r="T483" s="10" t="n">
        <v>0</v>
      </c>
      <c r="U483" s="10" t="n">
        <v>0</v>
      </c>
    </row>
    <row r="484" customFormat="false" ht="15" hidden="false" customHeight="false" outlineLevel="0" collapsed="false">
      <c r="A484" s="7" t="s">
        <v>394</v>
      </c>
      <c r="B484" s="7" t="s">
        <v>159</v>
      </c>
      <c r="C484" s="7" t="s">
        <v>657</v>
      </c>
      <c r="D484" s="10" t="n">
        <v>0</v>
      </c>
      <c r="E484" s="10" t="n">
        <v>0</v>
      </c>
      <c r="F484" s="10" t="n">
        <v>153.1</v>
      </c>
      <c r="G484" s="10" t="n">
        <v>0</v>
      </c>
      <c r="H484" s="10" t="n">
        <v>0</v>
      </c>
      <c r="I484" s="10" t="n">
        <v>96.1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O484" s="10" t="n">
        <v>0</v>
      </c>
      <c r="P484" s="10" t="n">
        <v>-189</v>
      </c>
      <c r="Q484" s="10" t="n">
        <v>285.1</v>
      </c>
      <c r="R484" s="10" t="n">
        <v>0</v>
      </c>
      <c r="S484" s="10" t="n">
        <v>0</v>
      </c>
      <c r="T484" s="10" t="n">
        <v>0</v>
      </c>
      <c r="U484" s="10" t="n">
        <v>0</v>
      </c>
    </row>
    <row r="485" customFormat="false" ht="15" hidden="false" customHeight="false" outlineLevel="0" collapsed="false">
      <c r="A485" s="7" t="s">
        <v>394</v>
      </c>
      <c r="B485" s="7" t="s">
        <v>159</v>
      </c>
      <c r="C485" s="7" t="s">
        <v>840</v>
      </c>
      <c r="D485" s="10" t="n">
        <v>0</v>
      </c>
      <c r="E485" s="10" t="n">
        <v>0</v>
      </c>
      <c r="F485" s="10" t="n">
        <v>22.4</v>
      </c>
      <c r="G485" s="10" t="n">
        <v>0</v>
      </c>
      <c r="H485" s="10" t="n">
        <v>0</v>
      </c>
      <c r="I485" s="10" t="n">
        <v>-596.3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0" t="n">
        <v>0</v>
      </c>
      <c r="P485" s="10" t="n">
        <v>-596.3</v>
      </c>
      <c r="Q485" s="10" t="n">
        <v>0</v>
      </c>
      <c r="R485" s="10" t="n">
        <v>0</v>
      </c>
      <c r="S485" s="10" t="n">
        <v>0</v>
      </c>
      <c r="T485" s="10" t="n">
        <v>0</v>
      </c>
      <c r="U485" s="10" t="n">
        <v>0</v>
      </c>
    </row>
    <row r="486" customFormat="false" ht="15" hidden="false" customHeight="false" outlineLevel="0" collapsed="false">
      <c r="A486" s="7" t="s">
        <v>394</v>
      </c>
      <c r="B486" s="7" t="s">
        <v>150</v>
      </c>
      <c r="C486" s="7" t="s">
        <v>841</v>
      </c>
      <c r="D486" s="10" t="n">
        <v>0</v>
      </c>
      <c r="E486" s="10" t="n">
        <v>0</v>
      </c>
      <c r="F486" s="10" t="n">
        <v>154.6</v>
      </c>
      <c r="G486" s="10" t="n">
        <v>0</v>
      </c>
      <c r="H486" s="10" t="n">
        <v>0</v>
      </c>
      <c r="I486" s="10" t="n">
        <v>0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0</v>
      </c>
      <c r="O486" s="10" t="n">
        <v>0</v>
      </c>
      <c r="P486" s="10" t="n">
        <v>0</v>
      </c>
      <c r="Q486" s="10" t="n">
        <v>0</v>
      </c>
      <c r="R486" s="10" t="n">
        <v>0</v>
      </c>
      <c r="S486" s="10" t="n">
        <v>0</v>
      </c>
      <c r="T486" s="10" t="n">
        <v>0</v>
      </c>
      <c r="U486" s="10" t="n">
        <v>0</v>
      </c>
    </row>
    <row r="487" customFormat="false" ht="15" hidden="false" customHeight="false" outlineLevel="0" collapsed="false">
      <c r="A487" s="7" t="s">
        <v>394</v>
      </c>
      <c r="B487" s="7" t="s">
        <v>150</v>
      </c>
      <c r="C487" s="7" t="s">
        <v>842</v>
      </c>
      <c r="D487" s="10" t="n">
        <v>0</v>
      </c>
      <c r="E487" s="10" t="n">
        <v>0</v>
      </c>
      <c r="F487" s="10" t="n">
        <v>490.3</v>
      </c>
      <c r="G487" s="10" t="n">
        <v>0</v>
      </c>
      <c r="H487" s="10" t="n">
        <v>0</v>
      </c>
      <c r="I487" s="10" t="n">
        <v>2413.3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0</v>
      </c>
      <c r="O487" s="10" t="n">
        <v>0</v>
      </c>
      <c r="P487" s="10" t="n">
        <v>-324.3</v>
      </c>
      <c r="Q487" s="10" t="n">
        <v>1918.1</v>
      </c>
      <c r="R487" s="10" t="n">
        <v>819.4</v>
      </c>
      <c r="S487" s="10" t="n">
        <v>0</v>
      </c>
      <c r="T487" s="10" t="n">
        <v>0</v>
      </c>
      <c r="U487" s="10" t="n">
        <v>0</v>
      </c>
    </row>
    <row r="488" customFormat="false" ht="15" hidden="false" customHeight="false" outlineLevel="0" collapsed="false">
      <c r="A488" s="7" t="s">
        <v>394</v>
      </c>
      <c r="B488" s="7" t="s">
        <v>150</v>
      </c>
      <c r="C488" s="7" t="s">
        <v>843</v>
      </c>
      <c r="D488" s="10" t="n">
        <v>0</v>
      </c>
      <c r="E488" s="10" t="n">
        <v>0</v>
      </c>
      <c r="F488" s="10" t="n">
        <v>231.9</v>
      </c>
      <c r="G488" s="10" t="n">
        <v>0</v>
      </c>
      <c r="H488" s="10" t="n">
        <v>0</v>
      </c>
      <c r="I488" s="10" t="n">
        <v>2282.9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0" t="n">
        <v>0</v>
      </c>
      <c r="P488" s="10" t="n">
        <v>-473.2</v>
      </c>
      <c r="Q488" s="10" t="n">
        <v>1638.8</v>
      </c>
      <c r="R488" s="10" t="n">
        <v>1117.4</v>
      </c>
      <c r="S488" s="10" t="n">
        <v>0</v>
      </c>
      <c r="T488" s="10" t="n">
        <v>0</v>
      </c>
      <c r="U488" s="10" t="n">
        <v>0</v>
      </c>
    </row>
    <row r="489" customFormat="false" ht="15" hidden="false" customHeight="false" outlineLevel="0" collapsed="false">
      <c r="A489" s="7" t="s">
        <v>394</v>
      </c>
      <c r="B489" s="7" t="s">
        <v>150</v>
      </c>
      <c r="C489" s="7" t="s">
        <v>844</v>
      </c>
      <c r="D489" s="10" t="n">
        <v>0</v>
      </c>
      <c r="E489" s="10" t="n">
        <v>0</v>
      </c>
      <c r="F489" s="10" t="n">
        <v>72.1</v>
      </c>
      <c r="G489" s="10" t="n">
        <v>0</v>
      </c>
      <c r="H489" s="10" t="n">
        <v>0</v>
      </c>
      <c r="I489" s="10" t="n">
        <v>245.4</v>
      </c>
      <c r="J489" s="10" t="n">
        <v>0</v>
      </c>
      <c r="K489" s="10" t="n">
        <v>298</v>
      </c>
      <c r="L489" s="10" t="n">
        <v>0</v>
      </c>
      <c r="M489" s="10" t="n">
        <v>0</v>
      </c>
      <c r="N489" s="10" t="n">
        <v>0</v>
      </c>
      <c r="O489" s="10" t="n">
        <v>0</v>
      </c>
      <c r="P489" s="10" t="n">
        <v>-425.1</v>
      </c>
      <c r="Q489" s="10" t="n">
        <v>0</v>
      </c>
      <c r="R489" s="10" t="n">
        <v>372.5</v>
      </c>
      <c r="S489" s="10" t="n">
        <v>0</v>
      </c>
      <c r="T489" s="10" t="n">
        <v>0</v>
      </c>
      <c r="U489" s="10" t="n">
        <v>0</v>
      </c>
    </row>
    <row r="490" customFormat="false" ht="15" hidden="false" customHeight="false" outlineLevel="0" collapsed="false">
      <c r="A490" s="7" t="s">
        <v>394</v>
      </c>
      <c r="B490" s="7" t="s">
        <v>165</v>
      </c>
      <c r="C490" s="7" t="s">
        <v>845</v>
      </c>
      <c r="D490" s="10" t="n">
        <v>0</v>
      </c>
      <c r="E490" s="10" t="n">
        <v>0</v>
      </c>
      <c r="F490" s="10" t="n">
        <v>231.9</v>
      </c>
      <c r="G490" s="10" t="n">
        <v>0</v>
      </c>
      <c r="H490" s="10" t="n">
        <v>0</v>
      </c>
      <c r="I490" s="10" t="n">
        <v>0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O490" s="10" t="n">
        <v>0</v>
      </c>
      <c r="P490" s="10" t="n">
        <v>0</v>
      </c>
      <c r="Q490" s="10" t="n">
        <v>0</v>
      </c>
      <c r="R490" s="10" t="n">
        <v>0</v>
      </c>
      <c r="S490" s="10" t="n">
        <v>0</v>
      </c>
      <c r="T490" s="10" t="n">
        <v>0</v>
      </c>
      <c r="U490" s="10" t="n">
        <v>0</v>
      </c>
    </row>
    <row r="491" customFormat="false" ht="15" hidden="false" customHeight="false" outlineLevel="0" collapsed="false">
      <c r="A491" s="7" t="s">
        <v>394</v>
      </c>
      <c r="B491" s="7" t="s">
        <v>165</v>
      </c>
      <c r="C491" s="7" t="s">
        <v>846</v>
      </c>
      <c r="D491" s="10" t="n">
        <v>0</v>
      </c>
      <c r="E491" s="10" t="n">
        <v>0</v>
      </c>
      <c r="F491" s="10" t="n">
        <v>724.8</v>
      </c>
      <c r="G491" s="10" t="n">
        <v>0</v>
      </c>
      <c r="H491" s="10" t="n">
        <v>0</v>
      </c>
      <c r="I491" s="10" t="n">
        <v>1746.6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0</v>
      </c>
      <c r="O491" s="10" t="n">
        <v>0</v>
      </c>
      <c r="P491" s="10" t="n">
        <v>-249.8</v>
      </c>
      <c r="Q491" s="10" t="n">
        <v>1772.9</v>
      </c>
      <c r="R491" s="10" t="n">
        <v>223.5</v>
      </c>
      <c r="S491" s="10" t="n">
        <v>0</v>
      </c>
      <c r="T491" s="10" t="n">
        <v>0</v>
      </c>
      <c r="U491" s="10" t="n">
        <v>0</v>
      </c>
    </row>
    <row r="492" customFormat="false" ht="15" hidden="false" customHeight="false" outlineLevel="0" collapsed="false">
      <c r="A492" s="7" t="s">
        <v>394</v>
      </c>
      <c r="B492" s="7" t="s">
        <v>165</v>
      </c>
      <c r="C492" s="7" t="s">
        <v>847</v>
      </c>
      <c r="D492" s="10" t="n">
        <v>0</v>
      </c>
      <c r="E492" s="10" t="n">
        <v>0</v>
      </c>
      <c r="F492" s="10" t="n">
        <v>309.2</v>
      </c>
      <c r="G492" s="10" t="n">
        <v>0</v>
      </c>
      <c r="H492" s="10" t="n">
        <v>0</v>
      </c>
      <c r="I492" s="10" t="n">
        <v>1273.3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0" t="n">
        <v>0</v>
      </c>
      <c r="P492" s="10" t="n">
        <v>-425.1</v>
      </c>
      <c r="Q492" s="10" t="n">
        <v>1549.4</v>
      </c>
      <c r="R492" s="10" t="n">
        <v>149</v>
      </c>
      <c r="S492" s="10" t="n">
        <v>0</v>
      </c>
      <c r="T492" s="10" t="n">
        <v>0</v>
      </c>
      <c r="U492" s="10" t="n">
        <v>0</v>
      </c>
    </row>
    <row r="493" customFormat="false" ht="15" hidden="false" customHeight="false" outlineLevel="0" collapsed="false">
      <c r="A493" s="7" t="s">
        <v>394</v>
      </c>
      <c r="B493" s="7" t="s">
        <v>165</v>
      </c>
      <c r="C493" s="7" t="s">
        <v>848</v>
      </c>
      <c r="D493" s="10" t="n">
        <v>0</v>
      </c>
      <c r="E493" s="10" t="n">
        <v>0</v>
      </c>
      <c r="F493" s="10" t="n">
        <v>77.3</v>
      </c>
      <c r="G493" s="10" t="n">
        <v>0</v>
      </c>
      <c r="H493" s="10" t="n">
        <v>0</v>
      </c>
      <c r="I493" s="10" t="n">
        <v>688.6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0" t="n">
        <v>0</v>
      </c>
      <c r="P493" s="10" t="n">
        <v>-425.1</v>
      </c>
      <c r="Q493" s="10" t="n">
        <v>815.7</v>
      </c>
      <c r="R493" s="10" t="n">
        <v>298</v>
      </c>
      <c r="S493" s="10" t="n">
        <v>0</v>
      </c>
      <c r="T493" s="10" t="n">
        <v>0</v>
      </c>
      <c r="U493" s="10" t="n">
        <v>0</v>
      </c>
    </row>
    <row r="494" customFormat="false" ht="15" hidden="false" customHeight="false" outlineLevel="0" collapsed="false">
      <c r="A494" s="7" t="s">
        <v>394</v>
      </c>
      <c r="B494" s="7" t="s">
        <v>206</v>
      </c>
      <c r="C494" s="7" t="s">
        <v>849</v>
      </c>
      <c r="D494" s="10" t="n">
        <v>0</v>
      </c>
      <c r="E494" s="10" t="n">
        <v>0</v>
      </c>
      <c r="F494" s="10" t="n">
        <v>0</v>
      </c>
      <c r="G494" s="10" t="n">
        <v>0</v>
      </c>
      <c r="H494" s="10" t="n">
        <v>0</v>
      </c>
      <c r="I494" s="10" t="n">
        <v>-213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0" t="n">
        <v>0</v>
      </c>
      <c r="P494" s="10" t="n">
        <v>0</v>
      </c>
      <c r="Q494" s="10" t="n">
        <v>-213</v>
      </c>
      <c r="R494" s="10" t="n">
        <v>0</v>
      </c>
      <c r="S494" s="10" t="n">
        <v>0</v>
      </c>
      <c r="T494" s="10" t="n">
        <v>0</v>
      </c>
      <c r="U494" s="10" t="n">
        <v>0</v>
      </c>
    </row>
    <row r="495" customFormat="false" ht="15" hidden="false" customHeight="false" outlineLevel="0" collapsed="false">
      <c r="A495" s="7" t="s">
        <v>394</v>
      </c>
      <c r="B495" s="7" t="s">
        <v>227</v>
      </c>
      <c r="C495" s="7" t="s">
        <v>849</v>
      </c>
      <c r="D495" s="10" t="n">
        <v>0</v>
      </c>
      <c r="E495" s="10" t="n">
        <v>0</v>
      </c>
      <c r="F495" s="10" t="n">
        <v>0</v>
      </c>
      <c r="G495" s="10" t="n">
        <v>0</v>
      </c>
      <c r="H495" s="10" t="n">
        <v>0</v>
      </c>
      <c r="I495" s="10" t="n">
        <v>-106.5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0" t="n">
        <v>0</v>
      </c>
      <c r="P495" s="10" t="n">
        <v>0</v>
      </c>
      <c r="Q495" s="10" t="n">
        <v>-106.5</v>
      </c>
      <c r="R495" s="10" t="n">
        <v>0</v>
      </c>
      <c r="S495" s="10" t="n">
        <v>0</v>
      </c>
      <c r="T495" s="10" t="n">
        <v>0</v>
      </c>
      <c r="U495" s="10" t="n">
        <v>0</v>
      </c>
    </row>
    <row r="496" customFormat="false" ht="15" hidden="false" customHeight="false" outlineLevel="0" collapsed="false">
      <c r="A496" s="7" t="s">
        <v>394</v>
      </c>
      <c r="B496" s="7" t="s">
        <v>226</v>
      </c>
      <c r="C496" s="7" t="s">
        <v>849</v>
      </c>
      <c r="D496" s="10" t="n">
        <v>0</v>
      </c>
      <c r="E496" s="10" t="n">
        <v>0</v>
      </c>
      <c r="F496" s="10" t="n">
        <v>0</v>
      </c>
      <c r="G496" s="10" t="n">
        <v>0</v>
      </c>
      <c r="H496" s="10" t="n">
        <v>0</v>
      </c>
      <c r="I496" s="10" t="n">
        <v>-106.5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0" t="n">
        <v>0</v>
      </c>
      <c r="P496" s="10" t="n">
        <v>0</v>
      </c>
      <c r="Q496" s="10" t="n">
        <v>-106.5</v>
      </c>
      <c r="R496" s="10" t="n">
        <v>0</v>
      </c>
      <c r="S496" s="10" t="n">
        <v>0</v>
      </c>
      <c r="T496" s="10" t="n">
        <v>0</v>
      </c>
      <c r="U496" s="10" t="n">
        <v>0</v>
      </c>
    </row>
    <row r="497" customFormat="false" ht="15" hidden="false" customHeight="false" outlineLevel="0" collapsed="false">
      <c r="A497" s="7" t="s">
        <v>394</v>
      </c>
      <c r="B497" s="7" t="s">
        <v>228</v>
      </c>
      <c r="C497" s="7" t="s">
        <v>849</v>
      </c>
      <c r="D497" s="10" t="n">
        <v>0</v>
      </c>
      <c r="E497" s="10" t="n">
        <v>0</v>
      </c>
      <c r="F497" s="10" t="n">
        <v>0</v>
      </c>
      <c r="G497" s="10" t="n">
        <v>0</v>
      </c>
      <c r="H497" s="10" t="n">
        <v>0</v>
      </c>
      <c r="I497" s="10" t="n">
        <v>-106.5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0" t="n">
        <v>0</v>
      </c>
      <c r="P497" s="10" t="n">
        <v>0</v>
      </c>
      <c r="Q497" s="10" t="n">
        <v>-106.5</v>
      </c>
      <c r="R497" s="10" t="n">
        <v>0</v>
      </c>
      <c r="S497" s="10" t="n">
        <v>0</v>
      </c>
      <c r="T497" s="10" t="n">
        <v>0</v>
      </c>
      <c r="U497" s="10" t="n">
        <v>0</v>
      </c>
    </row>
    <row r="498" customFormat="false" ht="15" hidden="false" customHeight="false" outlineLevel="0" collapsed="false">
      <c r="A498" s="7" t="s">
        <v>394</v>
      </c>
      <c r="B498" s="7" t="s">
        <v>180</v>
      </c>
      <c r="C498" s="7" t="s">
        <v>850</v>
      </c>
      <c r="D498" s="10" t="n">
        <v>0</v>
      </c>
      <c r="E498" s="10" t="n">
        <v>0</v>
      </c>
      <c r="F498" s="10" t="n">
        <v>830.5</v>
      </c>
      <c r="G498" s="10" t="n">
        <v>0</v>
      </c>
      <c r="H498" s="10" t="n">
        <v>0</v>
      </c>
      <c r="I498" s="10" t="n">
        <v>1880.3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0</v>
      </c>
      <c r="O498" s="10" t="n">
        <v>0</v>
      </c>
      <c r="P498" s="10" t="n">
        <v>0</v>
      </c>
      <c r="Q498" s="10" t="n">
        <v>1880.3</v>
      </c>
      <c r="R498" s="10" t="n">
        <v>0</v>
      </c>
      <c r="S498" s="10" t="n">
        <v>0</v>
      </c>
      <c r="T498" s="10" t="n">
        <v>0</v>
      </c>
      <c r="U498" s="10" t="n">
        <v>0</v>
      </c>
    </row>
    <row r="499" customFormat="false" ht="15" hidden="false" customHeight="false" outlineLevel="0" collapsed="false">
      <c r="A499" s="7" t="s">
        <v>394</v>
      </c>
      <c r="B499" s="7" t="s">
        <v>180</v>
      </c>
      <c r="C499" s="7" t="s">
        <v>851</v>
      </c>
      <c r="D499" s="10" t="n">
        <v>0</v>
      </c>
      <c r="E499" s="10" t="n">
        <v>0</v>
      </c>
      <c r="F499" s="10" t="n">
        <v>1474.1</v>
      </c>
      <c r="G499" s="10" t="n">
        <v>0</v>
      </c>
      <c r="H499" s="10" t="n">
        <v>0</v>
      </c>
      <c r="I499" s="10" t="n">
        <v>3212.4</v>
      </c>
      <c r="J499" s="10" t="n">
        <v>0</v>
      </c>
      <c r="K499" s="10" t="n">
        <v>1086.1</v>
      </c>
      <c r="L499" s="10" t="n">
        <v>-271.5</v>
      </c>
      <c r="M499" s="10" t="n">
        <v>0</v>
      </c>
      <c r="N499" s="10" t="n">
        <v>0</v>
      </c>
      <c r="O499" s="10" t="n">
        <v>0</v>
      </c>
      <c r="P499" s="10" t="n">
        <v>-955.5</v>
      </c>
      <c r="Q499" s="10" t="n">
        <v>2674.5</v>
      </c>
      <c r="R499" s="10" t="n">
        <v>678.8</v>
      </c>
      <c r="S499" s="10" t="n">
        <v>0</v>
      </c>
      <c r="T499" s="10" t="n">
        <v>0</v>
      </c>
      <c r="U499" s="10" t="n">
        <v>0</v>
      </c>
    </row>
    <row r="500" customFormat="false" ht="15" hidden="false" customHeight="false" outlineLevel="0" collapsed="false">
      <c r="A500" s="7" t="s">
        <v>394</v>
      </c>
      <c r="B500" s="7" t="s">
        <v>180</v>
      </c>
      <c r="C500" s="7" t="s">
        <v>852</v>
      </c>
      <c r="D500" s="10" t="n">
        <v>0</v>
      </c>
      <c r="E500" s="10" t="n">
        <v>0</v>
      </c>
      <c r="F500" s="10" t="n">
        <v>2570.5</v>
      </c>
      <c r="G500" s="10" t="n">
        <v>0</v>
      </c>
      <c r="H500" s="10" t="n">
        <v>0</v>
      </c>
      <c r="I500" s="10" t="n">
        <v>5160</v>
      </c>
      <c r="J500" s="10" t="n">
        <v>0</v>
      </c>
      <c r="K500" s="10" t="n">
        <v>135.8</v>
      </c>
      <c r="L500" s="10" t="n">
        <v>0</v>
      </c>
      <c r="M500" s="10" t="n">
        <v>0</v>
      </c>
      <c r="N500" s="10" t="n">
        <v>0</v>
      </c>
      <c r="O500" s="10" t="n">
        <v>0</v>
      </c>
      <c r="P500" s="10" t="n">
        <v>-1044.3</v>
      </c>
      <c r="Q500" s="10" t="n">
        <v>4167.8</v>
      </c>
      <c r="R500" s="10" t="n">
        <v>1900.6</v>
      </c>
      <c r="S500" s="10" t="n">
        <v>0</v>
      </c>
      <c r="T500" s="10" t="n">
        <v>0</v>
      </c>
      <c r="U500" s="10" t="n">
        <v>0</v>
      </c>
    </row>
    <row r="501" customFormat="false" ht="15" hidden="false" customHeight="false" outlineLevel="0" collapsed="false">
      <c r="A501" s="7" t="s">
        <v>394</v>
      </c>
      <c r="B501" s="7" t="s">
        <v>180</v>
      </c>
      <c r="C501" s="7" t="s">
        <v>853</v>
      </c>
      <c r="D501" s="10" t="n">
        <v>0</v>
      </c>
      <c r="E501" s="10" t="n">
        <v>0</v>
      </c>
      <c r="F501" s="10" t="n">
        <v>1455.4</v>
      </c>
      <c r="G501" s="10" t="n">
        <v>0</v>
      </c>
      <c r="H501" s="10" t="n">
        <v>0</v>
      </c>
      <c r="I501" s="10" t="n">
        <v>1887.1</v>
      </c>
      <c r="J501" s="10" t="n">
        <v>0</v>
      </c>
      <c r="K501" s="10" t="n">
        <v>271.5</v>
      </c>
      <c r="L501" s="10" t="n">
        <v>0</v>
      </c>
      <c r="M501" s="10" t="n">
        <v>0</v>
      </c>
      <c r="N501" s="10" t="n">
        <v>0</v>
      </c>
      <c r="O501" s="10" t="n">
        <v>0</v>
      </c>
      <c r="P501" s="10" t="n">
        <v>-407.3</v>
      </c>
      <c r="Q501" s="10" t="n">
        <v>1751.3</v>
      </c>
      <c r="R501" s="10" t="n">
        <v>271.5</v>
      </c>
      <c r="S501" s="10" t="n">
        <v>0</v>
      </c>
      <c r="T501" s="10" t="n">
        <v>0</v>
      </c>
      <c r="U501" s="10" t="n">
        <v>0</v>
      </c>
    </row>
    <row r="502" customFormat="false" ht="15" hidden="false" customHeight="false" outlineLevel="0" collapsed="false">
      <c r="A502" s="7" t="s">
        <v>394</v>
      </c>
      <c r="B502" s="7" t="s">
        <v>180</v>
      </c>
      <c r="C502" s="7" t="s">
        <v>854</v>
      </c>
      <c r="D502" s="10" t="n">
        <v>0</v>
      </c>
      <c r="E502" s="10" t="n">
        <v>0</v>
      </c>
      <c r="F502" s="10" t="n">
        <v>112.7</v>
      </c>
      <c r="G502" s="10" t="n">
        <v>0</v>
      </c>
      <c r="H502" s="10" t="n">
        <v>0</v>
      </c>
      <c r="I502" s="10" t="n">
        <v>375.2</v>
      </c>
      <c r="J502" s="10" t="n">
        <v>0</v>
      </c>
      <c r="K502" s="10" t="n">
        <v>271.5</v>
      </c>
      <c r="L502" s="10" t="n">
        <v>0</v>
      </c>
      <c r="M502" s="10" t="n">
        <v>0</v>
      </c>
      <c r="N502" s="10" t="n">
        <v>0</v>
      </c>
      <c r="O502" s="10" t="n">
        <v>0</v>
      </c>
      <c r="P502" s="10" t="n">
        <v>-1044.3</v>
      </c>
      <c r="Q502" s="10" t="n">
        <v>469.1</v>
      </c>
      <c r="R502" s="10" t="n">
        <v>678.8</v>
      </c>
      <c r="S502" s="10" t="n">
        <v>0</v>
      </c>
      <c r="T502" s="10" t="n">
        <v>0</v>
      </c>
      <c r="U502" s="10" t="n">
        <v>0</v>
      </c>
    </row>
    <row r="503" customFormat="false" ht="15" hidden="false" customHeight="false" outlineLevel="0" collapsed="false">
      <c r="A503" s="7" t="s">
        <v>394</v>
      </c>
      <c r="B503" s="7" t="s">
        <v>198</v>
      </c>
      <c r="C503" s="7" t="s">
        <v>855</v>
      </c>
      <c r="D503" s="10" t="n">
        <v>0</v>
      </c>
      <c r="E503" s="10" t="n">
        <v>0</v>
      </c>
      <c r="F503" s="10" t="n">
        <v>0</v>
      </c>
      <c r="G503" s="10" t="n">
        <v>0</v>
      </c>
      <c r="H503" s="10" t="n">
        <v>0</v>
      </c>
      <c r="I503" s="10" t="n">
        <v>-570.3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n">
        <v>0</v>
      </c>
      <c r="O503" s="10" t="n">
        <v>0</v>
      </c>
      <c r="P503" s="10" t="n">
        <v>0</v>
      </c>
      <c r="Q503" s="10" t="n">
        <v>-570.3</v>
      </c>
      <c r="R503" s="10" t="n">
        <v>0</v>
      </c>
      <c r="S503" s="10" t="n">
        <v>0</v>
      </c>
      <c r="T503" s="10" t="n">
        <v>0</v>
      </c>
      <c r="U503" s="10" t="n">
        <v>0</v>
      </c>
    </row>
    <row r="504" customFormat="false" ht="15" hidden="false" customHeight="false" outlineLevel="0" collapsed="false">
      <c r="A504" s="7" t="s">
        <v>394</v>
      </c>
      <c r="B504" s="7" t="s">
        <v>231</v>
      </c>
      <c r="C504" s="7" t="s">
        <v>856</v>
      </c>
      <c r="D504" s="10" t="n">
        <v>0</v>
      </c>
      <c r="E504" s="10" t="n">
        <v>0</v>
      </c>
      <c r="F504" s="10" t="n">
        <v>108.7</v>
      </c>
      <c r="G504" s="10" t="n">
        <v>0</v>
      </c>
      <c r="H504" s="10" t="n">
        <v>0</v>
      </c>
      <c r="I504" s="10" t="n">
        <v>0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0" t="n">
        <v>0</v>
      </c>
      <c r="P504" s="10" t="n">
        <v>0</v>
      </c>
      <c r="Q504" s="10" t="n">
        <v>0</v>
      </c>
      <c r="R504" s="10" t="n">
        <v>0</v>
      </c>
      <c r="S504" s="10" t="n">
        <v>0</v>
      </c>
      <c r="T504" s="10" t="n">
        <v>0</v>
      </c>
      <c r="U504" s="10" t="n">
        <v>0</v>
      </c>
    </row>
    <row r="505" customFormat="false" ht="15" hidden="false" customHeight="false" outlineLevel="0" collapsed="false">
      <c r="A505" s="7" t="s">
        <v>394</v>
      </c>
      <c r="B505" s="7" t="s">
        <v>231</v>
      </c>
      <c r="C505" s="7" t="s">
        <v>857</v>
      </c>
      <c r="D505" s="10" t="n">
        <v>0</v>
      </c>
      <c r="E505" s="10" t="n">
        <v>0</v>
      </c>
      <c r="F505" s="10" t="n">
        <v>108.7</v>
      </c>
      <c r="G505" s="10" t="n">
        <v>0</v>
      </c>
      <c r="H505" s="10" t="n">
        <v>0</v>
      </c>
      <c r="I505" s="10" t="n">
        <v>-188.4</v>
      </c>
      <c r="J505" s="10" t="n">
        <v>0</v>
      </c>
      <c r="K505" s="10" t="n">
        <v>0</v>
      </c>
      <c r="L505" s="10" t="n">
        <v>0</v>
      </c>
      <c r="M505" s="10" t="n">
        <v>0</v>
      </c>
      <c r="N505" s="10" t="n">
        <v>0</v>
      </c>
      <c r="O505" s="10" t="n">
        <v>0</v>
      </c>
      <c r="P505" s="10" t="n">
        <v>0</v>
      </c>
      <c r="Q505" s="10" t="n">
        <v>-188.4</v>
      </c>
      <c r="R505" s="10" t="n">
        <v>0</v>
      </c>
      <c r="S505" s="10" t="n">
        <v>0</v>
      </c>
      <c r="T505" s="10" t="n">
        <v>0</v>
      </c>
      <c r="U505" s="10" t="n">
        <v>0</v>
      </c>
    </row>
    <row r="506" customFormat="false" ht="15" hidden="false" customHeight="false" outlineLevel="0" collapsed="false">
      <c r="A506" s="7" t="s">
        <v>394</v>
      </c>
      <c r="B506" s="7" t="s">
        <v>313</v>
      </c>
      <c r="C506" s="7" t="s">
        <v>858</v>
      </c>
      <c r="D506" s="10" t="n">
        <v>0</v>
      </c>
      <c r="E506" s="10" t="n">
        <v>0</v>
      </c>
      <c r="F506" s="10" t="n">
        <v>108.7</v>
      </c>
      <c r="G506" s="10" t="n">
        <v>0</v>
      </c>
      <c r="H506" s="10" t="n">
        <v>0</v>
      </c>
      <c r="I506" s="10" t="n">
        <v>0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O506" s="10" t="n">
        <v>0</v>
      </c>
      <c r="P506" s="10" t="n">
        <v>0</v>
      </c>
      <c r="Q506" s="10" t="n">
        <v>0</v>
      </c>
      <c r="R506" s="10" t="n">
        <v>0</v>
      </c>
      <c r="S506" s="10" t="n">
        <v>0</v>
      </c>
      <c r="T506" s="10" t="n">
        <v>0</v>
      </c>
      <c r="U506" s="10" t="n">
        <v>0</v>
      </c>
    </row>
    <row r="507" customFormat="false" ht="15" hidden="false" customHeight="false" outlineLevel="0" collapsed="false">
      <c r="A507" s="7" t="s">
        <v>394</v>
      </c>
      <c r="B507" s="7" t="s">
        <v>313</v>
      </c>
      <c r="C507" s="7" t="s">
        <v>859</v>
      </c>
      <c r="D507" s="10" t="n">
        <v>0</v>
      </c>
      <c r="E507" s="10" t="n">
        <v>0</v>
      </c>
      <c r="F507" s="10" t="n">
        <v>108.7</v>
      </c>
      <c r="G507" s="10" t="n">
        <v>0</v>
      </c>
      <c r="H507" s="10" t="n">
        <v>0</v>
      </c>
      <c r="I507" s="10" t="n">
        <v>0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0" t="n">
        <v>0</v>
      </c>
      <c r="P507" s="10" t="n">
        <v>0</v>
      </c>
      <c r="Q507" s="10" t="n">
        <v>0</v>
      </c>
      <c r="R507" s="10" t="n">
        <v>0</v>
      </c>
      <c r="S507" s="10" t="n">
        <v>0</v>
      </c>
      <c r="T507" s="10" t="n">
        <v>0</v>
      </c>
      <c r="U507" s="10" t="n">
        <v>0</v>
      </c>
    </row>
    <row r="508" customFormat="false" ht="15" hidden="false" customHeight="false" outlineLevel="0" collapsed="false">
      <c r="A508" s="7" t="s">
        <v>394</v>
      </c>
      <c r="B508" s="7" t="s">
        <v>314</v>
      </c>
      <c r="C508" s="7" t="s">
        <v>860</v>
      </c>
      <c r="D508" s="10" t="n">
        <v>0</v>
      </c>
      <c r="E508" s="10" t="n">
        <v>0</v>
      </c>
      <c r="F508" s="10" t="n">
        <v>108.7</v>
      </c>
      <c r="G508" s="10" t="n">
        <v>0</v>
      </c>
      <c r="H508" s="10" t="n">
        <v>0</v>
      </c>
      <c r="I508" s="10" t="n">
        <v>0</v>
      </c>
      <c r="J508" s="10" t="n">
        <v>0</v>
      </c>
      <c r="K508" s="10" t="n">
        <v>0</v>
      </c>
      <c r="L508" s="10" t="n">
        <v>0</v>
      </c>
      <c r="M508" s="10" t="n">
        <v>0</v>
      </c>
      <c r="N508" s="10" t="n">
        <v>0</v>
      </c>
      <c r="O508" s="10" t="n">
        <v>0</v>
      </c>
      <c r="P508" s="10" t="n">
        <v>0</v>
      </c>
      <c r="Q508" s="10" t="n">
        <v>0</v>
      </c>
      <c r="R508" s="10" t="n">
        <v>0</v>
      </c>
      <c r="S508" s="10" t="n">
        <v>0</v>
      </c>
      <c r="T508" s="10" t="n">
        <v>0</v>
      </c>
      <c r="U508" s="10" t="n">
        <v>0</v>
      </c>
    </row>
    <row r="509" customFormat="false" ht="15" hidden="false" customHeight="false" outlineLevel="0" collapsed="false">
      <c r="A509" s="7" t="s">
        <v>394</v>
      </c>
      <c r="B509" s="7" t="s">
        <v>314</v>
      </c>
      <c r="C509" s="7" t="s">
        <v>861</v>
      </c>
      <c r="D509" s="10" t="n">
        <v>0</v>
      </c>
      <c r="E509" s="10" t="n">
        <v>0</v>
      </c>
      <c r="F509" s="10" t="n">
        <v>108.7</v>
      </c>
      <c r="G509" s="10" t="n">
        <v>0</v>
      </c>
      <c r="H509" s="10" t="n">
        <v>0</v>
      </c>
      <c r="I509" s="10" t="n">
        <v>0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0</v>
      </c>
      <c r="O509" s="10" t="n">
        <v>0</v>
      </c>
      <c r="P509" s="10" t="n">
        <v>0</v>
      </c>
      <c r="Q509" s="10" t="n">
        <v>0</v>
      </c>
      <c r="R509" s="10" t="n">
        <v>0</v>
      </c>
      <c r="S509" s="10" t="n">
        <v>0</v>
      </c>
      <c r="T509" s="10" t="n">
        <v>0</v>
      </c>
      <c r="U509" s="10" t="n">
        <v>0</v>
      </c>
    </row>
    <row r="510" customFormat="false" ht="15" hidden="false" customHeight="false" outlineLevel="0" collapsed="false">
      <c r="A510" s="7" t="s">
        <v>394</v>
      </c>
      <c r="B510" s="7" t="s">
        <v>315</v>
      </c>
      <c r="C510" s="7" t="s">
        <v>862</v>
      </c>
      <c r="D510" s="10" t="n">
        <v>0</v>
      </c>
      <c r="E510" s="10" t="n">
        <v>0</v>
      </c>
      <c r="F510" s="10" t="n">
        <v>108.7</v>
      </c>
      <c r="G510" s="10" t="n">
        <v>0</v>
      </c>
      <c r="H510" s="10" t="n">
        <v>0</v>
      </c>
      <c r="I510" s="10" t="n">
        <v>0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  <c r="S510" s="10" t="n">
        <v>0</v>
      </c>
      <c r="T510" s="10" t="n">
        <v>0</v>
      </c>
      <c r="U510" s="10" t="n">
        <v>0</v>
      </c>
    </row>
    <row r="511" customFormat="false" ht="15" hidden="false" customHeight="false" outlineLevel="0" collapsed="false">
      <c r="A511" s="7" t="s">
        <v>394</v>
      </c>
      <c r="B511" s="7" t="s">
        <v>315</v>
      </c>
      <c r="C511" s="7" t="s">
        <v>863</v>
      </c>
      <c r="D511" s="10" t="n">
        <v>0</v>
      </c>
      <c r="E511" s="10" t="n">
        <v>0</v>
      </c>
      <c r="F511" s="10" t="n">
        <v>108.7</v>
      </c>
      <c r="G511" s="10" t="n">
        <v>0</v>
      </c>
      <c r="H511" s="10" t="n">
        <v>0</v>
      </c>
      <c r="I511" s="10" t="n">
        <v>0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0" t="n">
        <v>0</v>
      </c>
      <c r="P511" s="10" t="n">
        <v>0</v>
      </c>
      <c r="Q511" s="10" t="n">
        <v>0</v>
      </c>
      <c r="R511" s="10" t="n">
        <v>0</v>
      </c>
      <c r="S511" s="10" t="n">
        <v>0</v>
      </c>
      <c r="T511" s="10" t="n">
        <v>0</v>
      </c>
      <c r="U511" s="10" t="n">
        <v>0</v>
      </c>
    </row>
    <row r="512" customFormat="false" ht="15" hidden="false" customHeight="false" outlineLevel="0" collapsed="false">
      <c r="A512" s="7" t="s">
        <v>394</v>
      </c>
      <c r="B512" s="7" t="s">
        <v>18</v>
      </c>
      <c r="C512" s="7" t="s">
        <v>864</v>
      </c>
      <c r="D512" s="10" t="n">
        <v>0</v>
      </c>
      <c r="E512" s="10" t="n">
        <v>0</v>
      </c>
      <c r="F512" s="10" t="n">
        <v>0</v>
      </c>
      <c r="G512" s="10" t="n">
        <v>0</v>
      </c>
      <c r="H512" s="10" t="n">
        <v>0</v>
      </c>
      <c r="I512" s="10" t="n">
        <v>-26.4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0</v>
      </c>
      <c r="O512" s="10" t="n">
        <v>0</v>
      </c>
      <c r="P512" s="10" t="n">
        <v>-26.4</v>
      </c>
      <c r="Q512" s="10" t="n">
        <v>0</v>
      </c>
      <c r="R512" s="10" t="n">
        <v>0</v>
      </c>
      <c r="S512" s="10" t="n">
        <v>0</v>
      </c>
      <c r="T512" s="10" t="n">
        <v>0</v>
      </c>
      <c r="U512" s="10" t="n">
        <v>0</v>
      </c>
    </row>
    <row r="513" customFormat="false" ht="15" hidden="false" customHeight="false" outlineLevel="0" collapsed="false">
      <c r="A513" s="7" t="s">
        <v>394</v>
      </c>
      <c r="B513" s="7" t="s">
        <v>18</v>
      </c>
      <c r="C513" s="7" t="s">
        <v>865</v>
      </c>
      <c r="D513" s="10" t="n">
        <v>0</v>
      </c>
      <c r="E513" s="10" t="n">
        <v>0</v>
      </c>
      <c r="F513" s="10" t="n">
        <v>0</v>
      </c>
      <c r="G513" s="10" t="n">
        <v>0</v>
      </c>
      <c r="H513" s="10" t="n">
        <v>0</v>
      </c>
      <c r="I513" s="10" t="n">
        <v>-48</v>
      </c>
      <c r="J513" s="10" t="n">
        <v>0</v>
      </c>
      <c r="K513" s="10" t="n">
        <v>0</v>
      </c>
      <c r="L513" s="10" t="n">
        <v>0</v>
      </c>
      <c r="M513" s="10" t="n">
        <v>0</v>
      </c>
      <c r="N513" s="10" t="n">
        <v>0</v>
      </c>
      <c r="O513" s="10" t="n">
        <v>-48</v>
      </c>
      <c r="P513" s="10" t="n">
        <v>0</v>
      </c>
      <c r="Q513" s="10" t="n">
        <v>0</v>
      </c>
      <c r="R513" s="10" t="n">
        <v>0</v>
      </c>
      <c r="S513" s="10" t="n">
        <v>0</v>
      </c>
      <c r="T513" s="10" t="n">
        <v>0</v>
      </c>
      <c r="U513" s="10" t="n">
        <v>0</v>
      </c>
    </row>
    <row r="514" customFormat="false" ht="15" hidden="false" customHeight="false" outlineLevel="0" collapsed="false">
      <c r="A514" s="7" t="s">
        <v>394</v>
      </c>
      <c r="B514" s="7" t="s">
        <v>18</v>
      </c>
      <c r="C514" s="7" t="s">
        <v>866</v>
      </c>
      <c r="D514" s="10" t="n">
        <v>0</v>
      </c>
      <c r="E514" s="10" t="n">
        <v>0</v>
      </c>
      <c r="F514" s="10" t="n">
        <v>0</v>
      </c>
      <c r="G514" s="10" t="n">
        <v>0</v>
      </c>
      <c r="H514" s="10" t="n">
        <v>0</v>
      </c>
      <c r="I514" s="10" t="n">
        <v>-24</v>
      </c>
      <c r="J514" s="10" t="n">
        <v>0</v>
      </c>
      <c r="K514" s="10" t="n">
        <v>0</v>
      </c>
      <c r="L514" s="10" t="n">
        <v>0</v>
      </c>
      <c r="M514" s="10" t="n">
        <v>0</v>
      </c>
      <c r="N514" s="10" t="n">
        <v>0</v>
      </c>
      <c r="O514" s="10" t="n">
        <v>0</v>
      </c>
      <c r="P514" s="10" t="n">
        <v>-24</v>
      </c>
      <c r="Q514" s="10" t="n">
        <v>0</v>
      </c>
      <c r="R514" s="10" t="n">
        <v>0</v>
      </c>
      <c r="S514" s="10" t="n">
        <v>0</v>
      </c>
      <c r="T514" s="10" t="n">
        <v>0</v>
      </c>
      <c r="U514" s="10" t="n">
        <v>0</v>
      </c>
    </row>
    <row r="515" customFormat="false" ht="15" hidden="false" customHeight="false" outlineLevel="0" collapsed="false">
      <c r="A515" s="7" t="s">
        <v>394</v>
      </c>
      <c r="B515" s="7" t="s">
        <v>147</v>
      </c>
      <c r="C515" s="7" t="s">
        <v>867</v>
      </c>
      <c r="D515" s="10" t="n">
        <v>0</v>
      </c>
      <c r="E515" s="10" t="n">
        <v>0</v>
      </c>
      <c r="F515" s="10" t="n">
        <v>922.3</v>
      </c>
      <c r="G515" s="10" t="n">
        <v>0</v>
      </c>
      <c r="H515" s="10" t="n">
        <v>0</v>
      </c>
      <c r="I515" s="10" t="n">
        <v>5113.7</v>
      </c>
      <c r="J515" s="10" t="n">
        <v>0</v>
      </c>
      <c r="K515" s="10" t="n">
        <v>0</v>
      </c>
      <c r="L515" s="10" t="n">
        <v>0</v>
      </c>
      <c r="M515" s="10" t="n">
        <v>0</v>
      </c>
      <c r="N515" s="10" t="n">
        <v>0</v>
      </c>
      <c r="O515" s="10" t="n">
        <v>0</v>
      </c>
      <c r="P515" s="10" t="n">
        <v>0</v>
      </c>
      <c r="Q515" s="10" t="n">
        <v>5113.7</v>
      </c>
      <c r="R515" s="10" t="n">
        <v>0</v>
      </c>
      <c r="S515" s="10" t="n">
        <v>0</v>
      </c>
      <c r="T515" s="10" t="n">
        <v>0</v>
      </c>
      <c r="U515" s="10" t="n">
        <v>0</v>
      </c>
    </row>
    <row r="516" customFormat="false" ht="15" hidden="false" customHeight="false" outlineLevel="0" collapsed="false">
      <c r="A516" s="7" t="s">
        <v>394</v>
      </c>
      <c r="B516" s="7" t="s">
        <v>131</v>
      </c>
      <c r="C516" s="7" t="s">
        <v>867</v>
      </c>
      <c r="D516" s="10" t="n">
        <v>0</v>
      </c>
      <c r="E516" s="10" t="n">
        <v>0</v>
      </c>
      <c r="F516" s="10" t="n">
        <v>1162.2</v>
      </c>
      <c r="G516" s="10" t="n">
        <v>0</v>
      </c>
      <c r="H516" s="10" t="n">
        <v>0</v>
      </c>
      <c r="I516" s="10" t="n">
        <v>7344.8</v>
      </c>
      <c r="J516" s="10" t="n">
        <v>0</v>
      </c>
      <c r="K516" s="10" t="n">
        <v>0</v>
      </c>
      <c r="L516" s="10" t="n">
        <v>0</v>
      </c>
      <c r="M516" s="10" t="n">
        <v>0</v>
      </c>
      <c r="N516" s="10" t="n">
        <v>0</v>
      </c>
      <c r="O516" s="10" t="n">
        <v>0</v>
      </c>
      <c r="P516" s="10" t="n">
        <v>0</v>
      </c>
      <c r="Q516" s="10" t="n">
        <v>7344.8</v>
      </c>
      <c r="R516" s="10" t="n">
        <v>0</v>
      </c>
      <c r="S516" s="10" t="n">
        <v>0</v>
      </c>
      <c r="T516" s="10" t="n">
        <v>0</v>
      </c>
      <c r="U516" s="10" t="n">
        <v>0</v>
      </c>
    </row>
    <row r="517" customFormat="false" ht="15" hidden="false" customHeight="false" outlineLevel="0" collapsed="false">
      <c r="A517" s="7" t="s">
        <v>394</v>
      </c>
      <c r="B517" s="7" t="s">
        <v>135</v>
      </c>
      <c r="C517" s="7" t="s">
        <v>867</v>
      </c>
      <c r="D517" s="10" t="n">
        <v>0</v>
      </c>
      <c r="E517" s="10" t="n">
        <v>0</v>
      </c>
      <c r="F517" s="10" t="n">
        <v>857.1</v>
      </c>
      <c r="G517" s="10" t="n">
        <v>0</v>
      </c>
      <c r="H517" s="10" t="n">
        <v>0</v>
      </c>
      <c r="I517" s="10" t="n">
        <v>6998.3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0</v>
      </c>
      <c r="O517" s="10" t="n">
        <v>0</v>
      </c>
      <c r="P517" s="10" t="n">
        <v>0</v>
      </c>
      <c r="Q517" s="10" t="n">
        <v>6998.3</v>
      </c>
      <c r="R517" s="10" t="n">
        <v>0</v>
      </c>
      <c r="S517" s="10" t="n">
        <v>0</v>
      </c>
      <c r="T517" s="10" t="n">
        <v>0</v>
      </c>
      <c r="U517" s="10" t="n">
        <v>0</v>
      </c>
    </row>
    <row r="518" customFormat="false" ht="15" hidden="false" customHeight="false" outlineLevel="0" collapsed="false">
      <c r="A518" s="7" t="s">
        <v>394</v>
      </c>
      <c r="B518" s="7" t="s">
        <v>163</v>
      </c>
      <c r="C518" s="7" t="s">
        <v>867</v>
      </c>
      <c r="D518" s="10" t="n">
        <v>0</v>
      </c>
      <c r="E518" s="10" t="n">
        <v>0</v>
      </c>
      <c r="F518" s="10" t="n">
        <v>469.4</v>
      </c>
      <c r="G518" s="10" t="n">
        <v>0</v>
      </c>
      <c r="H518" s="10" t="n">
        <v>0</v>
      </c>
      <c r="I518" s="10" t="n">
        <v>2156.6</v>
      </c>
      <c r="J518" s="10" t="n">
        <v>0</v>
      </c>
      <c r="K518" s="10" t="n">
        <v>0</v>
      </c>
      <c r="L518" s="10" t="n">
        <v>0</v>
      </c>
      <c r="M518" s="10" t="n">
        <v>0</v>
      </c>
      <c r="N518" s="10" t="n">
        <v>0</v>
      </c>
      <c r="O518" s="10" t="n">
        <v>0</v>
      </c>
      <c r="P518" s="10" t="n">
        <v>0</v>
      </c>
      <c r="Q518" s="10" t="n">
        <v>2156.6</v>
      </c>
      <c r="R518" s="10" t="n">
        <v>0</v>
      </c>
      <c r="S518" s="10" t="n">
        <v>0</v>
      </c>
      <c r="T518" s="10" t="n">
        <v>0</v>
      </c>
      <c r="U518" s="10" t="n">
        <v>0</v>
      </c>
    </row>
    <row r="519" customFormat="false" ht="15" hidden="false" customHeight="false" outlineLevel="0" collapsed="false">
      <c r="A519" s="7" t="s">
        <v>394</v>
      </c>
      <c r="B519" s="7" t="s">
        <v>154</v>
      </c>
      <c r="C519" s="7" t="s">
        <v>868</v>
      </c>
      <c r="D519" s="10" t="n">
        <v>0</v>
      </c>
      <c r="E519" s="10" t="n">
        <v>0</v>
      </c>
      <c r="F519" s="10" t="n">
        <v>1071.9</v>
      </c>
      <c r="G519" s="10" t="n">
        <v>0</v>
      </c>
      <c r="H519" s="10" t="n">
        <v>0</v>
      </c>
      <c r="I519" s="10" t="n">
        <v>6942.4</v>
      </c>
      <c r="J519" s="10" t="n">
        <v>0</v>
      </c>
      <c r="K519" s="10" t="n">
        <v>0</v>
      </c>
      <c r="L519" s="10" t="n">
        <v>0</v>
      </c>
      <c r="M519" s="10" t="n">
        <v>0</v>
      </c>
      <c r="N519" s="10" t="n">
        <v>0</v>
      </c>
      <c r="O519" s="10" t="n">
        <v>0</v>
      </c>
      <c r="P519" s="10" t="n">
        <v>0</v>
      </c>
      <c r="Q519" s="10" t="n">
        <v>6942.4</v>
      </c>
      <c r="R519" s="10" t="n">
        <v>0</v>
      </c>
      <c r="S519" s="10" t="n">
        <v>0</v>
      </c>
      <c r="T519" s="10" t="n">
        <v>0</v>
      </c>
      <c r="U519" s="10" t="n">
        <v>0</v>
      </c>
    </row>
    <row r="520" customFormat="false" ht="15" hidden="false" customHeight="false" outlineLevel="0" collapsed="false">
      <c r="A520" s="7" t="s">
        <v>394</v>
      </c>
      <c r="B520" s="7" t="s">
        <v>139</v>
      </c>
      <c r="C520" s="7" t="s">
        <v>868</v>
      </c>
      <c r="D520" s="10" t="n">
        <v>0</v>
      </c>
      <c r="E520" s="10" t="n">
        <v>0</v>
      </c>
      <c r="F520" s="10" t="n">
        <v>1685.9</v>
      </c>
      <c r="G520" s="10" t="n">
        <v>0</v>
      </c>
      <c r="H520" s="10" t="n">
        <v>0</v>
      </c>
      <c r="I520" s="10" t="n">
        <v>11927.2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0</v>
      </c>
      <c r="O520" s="10" t="n">
        <v>0</v>
      </c>
      <c r="P520" s="10" t="n">
        <v>0</v>
      </c>
      <c r="Q520" s="10" t="n">
        <v>11927.2</v>
      </c>
      <c r="R520" s="10" t="n">
        <v>0</v>
      </c>
      <c r="S520" s="10" t="n">
        <v>0</v>
      </c>
      <c r="T520" s="10" t="n">
        <v>0</v>
      </c>
      <c r="U520" s="10" t="n">
        <v>0</v>
      </c>
    </row>
    <row r="521" customFormat="false" ht="15" hidden="false" customHeight="false" outlineLevel="0" collapsed="false">
      <c r="A521" s="7" t="s">
        <v>394</v>
      </c>
      <c r="B521" s="7" t="s">
        <v>117</v>
      </c>
      <c r="C521" s="7" t="s">
        <v>868</v>
      </c>
      <c r="D521" s="10" t="n">
        <v>0</v>
      </c>
      <c r="E521" s="10" t="n">
        <v>0</v>
      </c>
      <c r="F521" s="10" t="n">
        <v>1331.6</v>
      </c>
      <c r="G521" s="10" t="n">
        <v>0</v>
      </c>
      <c r="H521" s="10" t="n">
        <v>0</v>
      </c>
      <c r="I521" s="10" t="n">
        <v>11254.2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0</v>
      </c>
      <c r="O521" s="10" t="n">
        <v>0</v>
      </c>
      <c r="P521" s="10" t="n">
        <v>0</v>
      </c>
      <c r="Q521" s="10" t="n">
        <v>11254.2</v>
      </c>
      <c r="R521" s="10" t="n">
        <v>0</v>
      </c>
      <c r="S521" s="10" t="n">
        <v>0</v>
      </c>
      <c r="T521" s="10" t="n">
        <v>0</v>
      </c>
      <c r="U521" s="10" t="n">
        <v>0</v>
      </c>
    </row>
    <row r="522" customFormat="false" ht="15" hidden="false" customHeight="false" outlineLevel="0" collapsed="false">
      <c r="A522" s="7" t="s">
        <v>394</v>
      </c>
      <c r="B522" s="7" t="s">
        <v>212</v>
      </c>
      <c r="C522" s="7" t="s">
        <v>868</v>
      </c>
      <c r="D522" s="10" t="n">
        <v>0</v>
      </c>
      <c r="E522" s="10" t="n">
        <v>0</v>
      </c>
      <c r="F522" s="10" t="n">
        <v>609.4</v>
      </c>
      <c r="G522" s="10" t="n">
        <v>0</v>
      </c>
      <c r="H522" s="10" t="n">
        <v>0</v>
      </c>
      <c r="I522" s="10" t="n">
        <v>1770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0</v>
      </c>
      <c r="O522" s="10" t="n">
        <v>0</v>
      </c>
      <c r="P522" s="10" t="n">
        <v>0</v>
      </c>
      <c r="Q522" s="10" t="n">
        <v>1770</v>
      </c>
      <c r="R522" s="10" t="n">
        <v>0</v>
      </c>
      <c r="S522" s="10" t="n">
        <v>0</v>
      </c>
      <c r="T522" s="10" t="n">
        <v>0</v>
      </c>
      <c r="U522" s="10" t="n">
        <v>0</v>
      </c>
    </row>
    <row r="523" customFormat="false" ht="15" hidden="false" customHeight="false" outlineLevel="0" collapsed="false">
      <c r="A523" s="7" t="s">
        <v>394</v>
      </c>
      <c r="B523" s="7" t="s">
        <v>281</v>
      </c>
      <c r="C523" s="7" t="s">
        <v>869</v>
      </c>
      <c r="D523" s="10" t="n">
        <v>0</v>
      </c>
      <c r="E523" s="10" t="n">
        <v>0</v>
      </c>
      <c r="F523" s="10" t="n">
        <v>-50</v>
      </c>
      <c r="G523" s="10" t="n">
        <v>0</v>
      </c>
      <c r="H523" s="10" t="n">
        <v>0</v>
      </c>
      <c r="I523" s="10" t="n">
        <v>-65.6</v>
      </c>
      <c r="J523" s="10" t="n">
        <v>0</v>
      </c>
      <c r="K523" s="10" t="n">
        <v>0</v>
      </c>
      <c r="L523" s="10" t="n">
        <v>0</v>
      </c>
      <c r="M523" s="10" t="n">
        <v>0</v>
      </c>
      <c r="N523" s="10" t="n">
        <v>0</v>
      </c>
      <c r="O523" s="10" t="n">
        <v>0</v>
      </c>
      <c r="P523" s="10" t="n">
        <v>-65.6</v>
      </c>
      <c r="Q523" s="10" t="n">
        <v>0</v>
      </c>
      <c r="R523" s="10" t="n">
        <v>0</v>
      </c>
      <c r="S523" s="10" t="n">
        <v>0</v>
      </c>
      <c r="T523" s="10" t="n">
        <v>0</v>
      </c>
      <c r="U523" s="10" t="n">
        <v>-94.5</v>
      </c>
    </row>
    <row r="524" customFormat="false" ht="15" hidden="false" customHeight="false" outlineLevel="0" collapsed="false">
      <c r="A524" s="7" t="s">
        <v>394</v>
      </c>
      <c r="B524" s="7" t="s">
        <v>281</v>
      </c>
      <c r="C524" s="7" t="s">
        <v>870</v>
      </c>
      <c r="D524" s="10" t="n">
        <v>0</v>
      </c>
      <c r="E524" s="10" t="n">
        <v>0</v>
      </c>
      <c r="F524" s="10" t="n">
        <v>150.9</v>
      </c>
      <c r="G524" s="10" t="n">
        <v>0</v>
      </c>
      <c r="H524" s="10" t="n">
        <v>0</v>
      </c>
      <c r="I524" s="10" t="n">
        <v>196.9</v>
      </c>
      <c r="J524" s="10" t="n">
        <v>0</v>
      </c>
      <c r="K524" s="10" t="n">
        <v>0</v>
      </c>
      <c r="L524" s="10" t="n">
        <v>-65.6</v>
      </c>
      <c r="M524" s="10" t="n">
        <v>0</v>
      </c>
      <c r="N524" s="10" t="n">
        <v>0</v>
      </c>
      <c r="O524" s="10" t="n">
        <v>0</v>
      </c>
      <c r="P524" s="10" t="n">
        <v>-65.6</v>
      </c>
      <c r="Q524" s="10" t="n">
        <v>0</v>
      </c>
      <c r="R524" s="10" t="n">
        <v>328.2</v>
      </c>
      <c r="S524" s="10" t="n">
        <v>0</v>
      </c>
      <c r="T524" s="10" t="n">
        <v>0</v>
      </c>
      <c r="U524" s="10" t="n">
        <v>-94.9</v>
      </c>
    </row>
    <row r="525" customFormat="false" ht="15" hidden="false" customHeight="false" outlineLevel="0" collapsed="false">
      <c r="A525" s="7" t="s">
        <v>394</v>
      </c>
      <c r="B525" s="7" t="s">
        <v>104</v>
      </c>
      <c r="C525" s="7" t="s">
        <v>871</v>
      </c>
      <c r="D525" s="10" t="n">
        <v>0</v>
      </c>
      <c r="E525" s="10" t="n">
        <v>0</v>
      </c>
      <c r="F525" s="10" t="n">
        <v>2631.5</v>
      </c>
      <c r="G525" s="10" t="n">
        <v>0</v>
      </c>
      <c r="H525" s="10" t="n">
        <v>0</v>
      </c>
      <c r="I525" s="10" t="n">
        <v>35507.8</v>
      </c>
      <c r="J525" s="10" t="n">
        <v>0</v>
      </c>
      <c r="K525" s="10" t="n">
        <v>132.2</v>
      </c>
      <c r="L525" s="10" t="n">
        <v>0</v>
      </c>
      <c r="M525" s="10" t="n">
        <v>189</v>
      </c>
      <c r="N525" s="10" t="n">
        <v>94.6</v>
      </c>
      <c r="O525" s="10" t="n">
        <v>0</v>
      </c>
      <c r="P525" s="10" t="n">
        <v>0</v>
      </c>
      <c r="Q525" s="10" t="n">
        <v>33989.9</v>
      </c>
      <c r="R525" s="10" t="n">
        <v>1102</v>
      </c>
      <c r="S525" s="10" t="n">
        <v>0</v>
      </c>
      <c r="T525" s="10" t="n">
        <v>0</v>
      </c>
      <c r="U525" s="10" t="n">
        <v>0</v>
      </c>
    </row>
    <row r="526" customFormat="false" ht="15" hidden="false" customHeight="false" outlineLevel="0" collapsed="false">
      <c r="A526" s="7" t="s">
        <v>394</v>
      </c>
      <c r="B526" s="7" t="s">
        <v>48</v>
      </c>
      <c r="C526" s="7" t="s">
        <v>872</v>
      </c>
      <c r="D526" s="10" t="n">
        <v>0</v>
      </c>
      <c r="E526" s="10" t="n">
        <v>0</v>
      </c>
      <c r="F526" s="10" t="n">
        <v>64415.4</v>
      </c>
      <c r="G526" s="10" t="n">
        <v>0</v>
      </c>
      <c r="H526" s="10" t="n">
        <v>0</v>
      </c>
      <c r="I526" s="10" t="n">
        <v>40511</v>
      </c>
      <c r="J526" s="10" t="n">
        <v>0</v>
      </c>
      <c r="K526" s="10" t="n">
        <v>1351.5</v>
      </c>
      <c r="L526" s="10" t="n">
        <v>0</v>
      </c>
      <c r="M526" s="10" t="n">
        <v>0</v>
      </c>
      <c r="N526" s="10" t="n">
        <v>992.1</v>
      </c>
      <c r="O526" s="10" t="n">
        <v>0</v>
      </c>
      <c r="P526" s="10" t="n">
        <v>-159</v>
      </c>
      <c r="Q526" s="10" t="n">
        <v>34271.9</v>
      </c>
      <c r="R526" s="10" t="n">
        <v>4054.5</v>
      </c>
      <c r="S526" s="10" t="n">
        <v>203.3</v>
      </c>
      <c r="T526" s="10" t="n">
        <v>0</v>
      </c>
      <c r="U526" s="10" t="n">
        <v>0</v>
      </c>
    </row>
    <row r="527" customFormat="false" ht="15" hidden="false" customHeight="false" outlineLevel="0" collapsed="false">
      <c r="A527" s="7" t="s">
        <v>394</v>
      </c>
      <c r="B527" s="7" t="s">
        <v>127</v>
      </c>
      <c r="C527" s="7" t="s">
        <v>873</v>
      </c>
      <c r="D527" s="10" t="n">
        <v>0</v>
      </c>
      <c r="E527" s="10" t="n">
        <v>0</v>
      </c>
      <c r="F527" s="10" t="n">
        <v>7407.9</v>
      </c>
      <c r="G527" s="10" t="n">
        <v>0</v>
      </c>
      <c r="H527" s="10" t="n">
        <v>0</v>
      </c>
      <c r="I527" s="10" t="n">
        <v>14406.4</v>
      </c>
      <c r="J527" s="10" t="n">
        <v>0</v>
      </c>
      <c r="K527" s="10" t="n">
        <v>97</v>
      </c>
      <c r="L527" s="10" t="n">
        <v>0</v>
      </c>
      <c r="M527" s="10" t="n">
        <v>259.8</v>
      </c>
      <c r="N527" s="10" t="n">
        <v>52</v>
      </c>
      <c r="O527" s="10" t="n">
        <v>0</v>
      </c>
      <c r="P527" s="10" t="n">
        <v>0</v>
      </c>
      <c r="Q527" s="10" t="n">
        <v>13367.2</v>
      </c>
      <c r="R527" s="10" t="n">
        <v>630.4</v>
      </c>
      <c r="S527" s="10" t="n">
        <v>0</v>
      </c>
      <c r="T527" s="10" t="n">
        <v>0</v>
      </c>
      <c r="U527" s="10" t="n">
        <v>0</v>
      </c>
    </row>
    <row r="528" customFormat="false" ht="15" hidden="false" customHeight="false" outlineLevel="0" collapsed="false">
      <c r="A528" s="7" t="s">
        <v>394</v>
      </c>
      <c r="B528" s="7" t="s">
        <v>48</v>
      </c>
      <c r="C528" s="7" t="s">
        <v>874</v>
      </c>
      <c r="D528" s="10" t="n">
        <v>0</v>
      </c>
      <c r="E528" s="10" t="n">
        <v>0</v>
      </c>
      <c r="F528" s="10" t="n">
        <v>7262.4</v>
      </c>
      <c r="G528" s="10" t="n">
        <v>0</v>
      </c>
      <c r="H528" s="10" t="n">
        <v>0</v>
      </c>
      <c r="I528" s="10" t="n">
        <v>5912.4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-70.9</v>
      </c>
      <c r="O528" s="10" t="n">
        <v>0</v>
      </c>
      <c r="P528" s="10" t="n">
        <v>0</v>
      </c>
      <c r="Q528" s="10" t="n">
        <v>5983.3</v>
      </c>
      <c r="R528" s="10" t="n">
        <v>0</v>
      </c>
      <c r="S528" s="10" t="n">
        <v>0</v>
      </c>
      <c r="T528" s="10" t="n">
        <v>0</v>
      </c>
      <c r="U528" s="10" t="n">
        <v>0</v>
      </c>
    </row>
    <row r="529" customFormat="false" ht="15" hidden="false" customHeight="false" outlineLevel="0" collapsed="false">
      <c r="A529" s="7" t="s">
        <v>394</v>
      </c>
      <c r="B529" s="7" t="s">
        <v>339</v>
      </c>
      <c r="C529" s="7" t="s">
        <v>875</v>
      </c>
      <c r="D529" s="10" t="n">
        <v>0</v>
      </c>
      <c r="E529" s="10" t="n">
        <v>0</v>
      </c>
      <c r="F529" s="10" t="n">
        <v>-32.5</v>
      </c>
      <c r="G529" s="10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0</v>
      </c>
      <c r="N529" s="10" t="n">
        <v>0</v>
      </c>
      <c r="O529" s="10" t="n">
        <v>0</v>
      </c>
      <c r="P529" s="10" t="n">
        <v>0</v>
      </c>
      <c r="Q529" s="10" t="n">
        <v>0</v>
      </c>
      <c r="R529" s="10" t="n">
        <v>0</v>
      </c>
      <c r="S529" s="10" t="n">
        <v>0</v>
      </c>
      <c r="T529" s="10" t="n">
        <v>0</v>
      </c>
      <c r="U529" s="10" t="n">
        <v>0</v>
      </c>
    </row>
    <row r="530" customFormat="false" ht="15" hidden="false" customHeight="false" outlineLevel="0" collapsed="false">
      <c r="A530" s="7" t="s">
        <v>394</v>
      </c>
      <c r="B530" s="7" t="s">
        <v>268</v>
      </c>
      <c r="C530" s="7" t="s">
        <v>876</v>
      </c>
      <c r="D530" s="10" t="n">
        <v>0</v>
      </c>
      <c r="E530" s="10" t="n">
        <v>0</v>
      </c>
      <c r="F530" s="10" t="n">
        <v>8370</v>
      </c>
      <c r="G530" s="10" t="n">
        <v>0</v>
      </c>
      <c r="H530" s="10" t="n">
        <v>0</v>
      </c>
      <c r="I530" s="10" t="n">
        <v>29.7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29.7</v>
      </c>
      <c r="O530" s="10" t="n">
        <v>0</v>
      </c>
      <c r="P530" s="10" t="n">
        <v>0</v>
      </c>
      <c r="Q530" s="10" t="n">
        <v>0</v>
      </c>
      <c r="R530" s="10" t="n">
        <v>0</v>
      </c>
      <c r="S530" s="10" t="n">
        <v>0</v>
      </c>
      <c r="T530" s="10" t="n">
        <v>0</v>
      </c>
      <c r="U530" s="10" t="n">
        <v>0</v>
      </c>
    </row>
    <row r="531" customFormat="false" ht="15" hidden="false" customHeight="false" outlineLevel="0" collapsed="false">
      <c r="A531" s="7" t="s">
        <v>394</v>
      </c>
      <c r="B531" s="7" t="s">
        <v>268</v>
      </c>
      <c r="C531" s="7" t="s">
        <v>877</v>
      </c>
      <c r="D531" s="10" t="n">
        <v>0</v>
      </c>
      <c r="E531" s="10" t="n">
        <v>0</v>
      </c>
      <c r="F531" s="10" t="n">
        <v>5494.6</v>
      </c>
      <c r="G531" s="10" t="n">
        <v>0</v>
      </c>
      <c r="H531" s="10" t="n">
        <v>0</v>
      </c>
      <c r="I531" s="10" t="n">
        <v>59.5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59.5</v>
      </c>
      <c r="O531" s="10" t="n">
        <v>0</v>
      </c>
      <c r="P531" s="10" t="n">
        <v>0</v>
      </c>
      <c r="Q531" s="10" t="n">
        <v>0</v>
      </c>
      <c r="R531" s="10" t="n">
        <v>0</v>
      </c>
      <c r="S531" s="10" t="n">
        <v>0</v>
      </c>
      <c r="T531" s="10" t="n">
        <v>0</v>
      </c>
      <c r="U531" s="10" t="n">
        <v>0</v>
      </c>
    </row>
    <row r="532" customFormat="false" ht="15" hidden="false" customHeight="false" outlineLevel="0" collapsed="false">
      <c r="A532" s="7" t="s">
        <v>394</v>
      </c>
      <c r="B532" s="7" t="s">
        <v>268</v>
      </c>
      <c r="C532" s="7" t="s">
        <v>878</v>
      </c>
      <c r="D532" s="10" t="n">
        <v>0</v>
      </c>
      <c r="E532" s="10" t="n">
        <v>0</v>
      </c>
      <c r="F532" s="10" t="n">
        <v>7783.2</v>
      </c>
      <c r="G532" s="10" t="n">
        <v>0</v>
      </c>
      <c r="H532" s="10" t="n">
        <v>0</v>
      </c>
      <c r="I532" s="10" t="n">
        <v>29.7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29.7</v>
      </c>
      <c r="O532" s="10" t="n">
        <v>0</v>
      </c>
      <c r="P532" s="10" t="n">
        <v>0</v>
      </c>
      <c r="Q532" s="10" t="n">
        <v>0</v>
      </c>
      <c r="R532" s="10" t="n">
        <v>0</v>
      </c>
      <c r="S532" s="10" t="n">
        <v>0</v>
      </c>
      <c r="T532" s="10" t="n">
        <v>0</v>
      </c>
      <c r="U532" s="10" t="n">
        <v>0</v>
      </c>
    </row>
    <row r="533" customFormat="false" ht="15" hidden="false" customHeight="false" outlineLevel="0" collapsed="false">
      <c r="A533" s="7" t="s">
        <v>394</v>
      </c>
      <c r="B533" s="7" t="s">
        <v>268</v>
      </c>
      <c r="C533" s="7" t="s">
        <v>879</v>
      </c>
      <c r="D533" s="10" t="n">
        <v>0</v>
      </c>
      <c r="E533" s="10" t="n">
        <v>0</v>
      </c>
      <c r="F533" s="10" t="n">
        <v>4108.5</v>
      </c>
      <c r="G533" s="10" t="n">
        <v>0</v>
      </c>
      <c r="H533" s="10" t="n">
        <v>0</v>
      </c>
      <c r="I533" s="10" t="n">
        <v>29.7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29.7</v>
      </c>
      <c r="O533" s="10" t="n">
        <v>0</v>
      </c>
      <c r="P533" s="10" t="n">
        <v>0</v>
      </c>
      <c r="Q533" s="10" t="n">
        <v>0</v>
      </c>
      <c r="R533" s="10" t="n">
        <v>0</v>
      </c>
      <c r="S533" s="10" t="n">
        <v>0</v>
      </c>
      <c r="T533" s="10" t="n">
        <v>0</v>
      </c>
      <c r="U533" s="10" t="n">
        <v>0</v>
      </c>
    </row>
    <row r="534" customFormat="false" ht="15" hidden="false" customHeight="false" outlineLevel="0" collapsed="false">
      <c r="A534" s="7" t="s">
        <v>394</v>
      </c>
      <c r="B534" s="7" t="s">
        <v>268</v>
      </c>
      <c r="C534" s="7" t="s">
        <v>880</v>
      </c>
      <c r="D534" s="10" t="n">
        <v>0</v>
      </c>
      <c r="E534" s="10" t="n">
        <v>0</v>
      </c>
      <c r="F534" s="10" t="n">
        <v>1423</v>
      </c>
      <c r="G534" s="10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0</v>
      </c>
      <c r="N534" s="10" t="n">
        <v>0</v>
      </c>
      <c r="O534" s="10" t="n">
        <v>0</v>
      </c>
      <c r="P534" s="10" t="n">
        <v>0</v>
      </c>
      <c r="Q534" s="10" t="n">
        <v>0</v>
      </c>
      <c r="R534" s="10" t="n">
        <v>0</v>
      </c>
      <c r="S534" s="10" t="n">
        <v>0</v>
      </c>
      <c r="T534" s="10" t="n">
        <v>0</v>
      </c>
      <c r="U534" s="10" t="n">
        <v>0</v>
      </c>
    </row>
    <row r="535" customFormat="false" ht="15" hidden="false" customHeight="false" outlineLevel="0" collapsed="false">
      <c r="A535" s="7" t="s">
        <v>394</v>
      </c>
      <c r="B535" s="7" t="s">
        <v>267</v>
      </c>
      <c r="C535" s="7" t="s">
        <v>881</v>
      </c>
      <c r="D535" s="10" t="n">
        <v>0</v>
      </c>
      <c r="E535" s="10" t="n">
        <v>0</v>
      </c>
      <c r="F535" s="10" t="n">
        <v>11265.9</v>
      </c>
      <c r="G535" s="10" t="n">
        <v>0</v>
      </c>
      <c r="H535" s="10" t="n">
        <v>0</v>
      </c>
      <c r="I535" s="10" t="n">
        <v>1310.2</v>
      </c>
      <c r="J535" s="10" t="n">
        <v>0</v>
      </c>
      <c r="K535" s="10" t="n">
        <v>749.3</v>
      </c>
      <c r="L535" s="10" t="n">
        <v>0</v>
      </c>
      <c r="M535" s="10" t="n">
        <v>0</v>
      </c>
      <c r="N535" s="10" t="n">
        <v>89.2</v>
      </c>
      <c r="O535" s="10" t="n">
        <v>0</v>
      </c>
      <c r="P535" s="10" t="n">
        <v>-27.8</v>
      </c>
      <c r="Q535" s="10" t="n">
        <v>0</v>
      </c>
      <c r="R535" s="10" t="n">
        <v>499.5</v>
      </c>
      <c r="S535" s="10" t="n">
        <v>0</v>
      </c>
      <c r="T535" s="10" t="n">
        <v>0</v>
      </c>
      <c r="U535" s="10" t="n">
        <v>0</v>
      </c>
    </row>
    <row r="536" customFormat="false" ht="15" hidden="false" customHeight="false" outlineLevel="0" collapsed="false">
      <c r="A536" s="7" t="s">
        <v>394</v>
      </c>
      <c r="B536" s="7" t="s">
        <v>267</v>
      </c>
      <c r="C536" s="7" t="s">
        <v>882</v>
      </c>
      <c r="D536" s="10" t="n">
        <v>0</v>
      </c>
      <c r="E536" s="10" t="n">
        <v>0</v>
      </c>
      <c r="F536" s="10" t="n">
        <v>8104.1</v>
      </c>
      <c r="G536" s="10" t="n">
        <v>0</v>
      </c>
      <c r="H536" s="10" t="n">
        <v>0</v>
      </c>
      <c r="I536" s="10" t="n">
        <v>390.5</v>
      </c>
      <c r="J536" s="10" t="n">
        <v>0</v>
      </c>
      <c r="K536" s="10" t="n">
        <v>249.8</v>
      </c>
      <c r="L536" s="10" t="n">
        <v>0</v>
      </c>
      <c r="M536" s="10" t="n">
        <v>0</v>
      </c>
      <c r="N536" s="10" t="n">
        <v>29.7</v>
      </c>
      <c r="O536" s="10" t="n">
        <v>0</v>
      </c>
      <c r="P536" s="10" t="n">
        <v>0</v>
      </c>
      <c r="Q536" s="10" t="n">
        <v>0</v>
      </c>
      <c r="R536" s="10" t="n">
        <v>111</v>
      </c>
      <c r="S536" s="10" t="n">
        <v>0</v>
      </c>
      <c r="T536" s="10" t="n">
        <v>0</v>
      </c>
      <c r="U536" s="10" t="n">
        <v>0</v>
      </c>
    </row>
    <row r="537" customFormat="false" ht="15" hidden="false" customHeight="false" outlineLevel="0" collapsed="false">
      <c r="A537" s="7" t="s">
        <v>394</v>
      </c>
      <c r="B537" s="7" t="s">
        <v>267</v>
      </c>
      <c r="C537" s="7" t="s">
        <v>883</v>
      </c>
      <c r="D537" s="10" t="n">
        <v>0</v>
      </c>
      <c r="E537" s="10" t="n">
        <v>0</v>
      </c>
      <c r="F537" s="10" t="n">
        <v>8129.6</v>
      </c>
      <c r="G537" s="10" t="n">
        <v>0</v>
      </c>
      <c r="H537" s="10" t="n">
        <v>0</v>
      </c>
      <c r="I537" s="10" t="n">
        <v>1110</v>
      </c>
      <c r="J537" s="10" t="n">
        <v>0</v>
      </c>
      <c r="K537" s="10" t="n">
        <v>471.8</v>
      </c>
      <c r="L537" s="10" t="n">
        <v>0</v>
      </c>
      <c r="M537" s="10" t="n">
        <v>0</v>
      </c>
      <c r="N537" s="10" t="n">
        <v>0</v>
      </c>
      <c r="O537" s="10" t="n">
        <v>0</v>
      </c>
      <c r="P537" s="10" t="n">
        <v>0</v>
      </c>
      <c r="Q537" s="10" t="n">
        <v>0</v>
      </c>
      <c r="R537" s="10" t="n">
        <v>638.3</v>
      </c>
      <c r="S537" s="10" t="n">
        <v>0</v>
      </c>
      <c r="T537" s="10" t="n">
        <v>0</v>
      </c>
      <c r="U537" s="10" t="n">
        <v>0</v>
      </c>
    </row>
    <row r="538" customFormat="false" ht="15" hidden="false" customHeight="false" outlineLevel="0" collapsed="false">
      <c r="A538" s="7" t="s">
        <v>394</v>
      </c>
      <c r="B538" s="7" t="s">
        <v>267</v>
      </c>
      <c r="C538" s="7" t="s">
        <v>884</v>
      </c>
      <c r="D538" s="10" t="n">
        <v>0</v>
      </c>
      <c r="E538" s="10" t="n">
        <v>0</v>
      </c>
      <c r="F538" s="10" t="n">
        <v>3671.8</v>
      </c>
      <c r="G538" s="10" t="n">
        <v>0</v>
      </c>
      <c r="H538" s="10" t="n">
        <v>0</v>
      </c>
      <c r="I538" s="10" t="n">
        <v>362.7</v>
      </c>
      <c r="J538" s="10" t="n">
        <v>0</v>
      </c>
      <c r="K538" s="10" t="n">
        <v>305.3</v>
      </c>
      <c r="L538" s="10" t="n">
        <v>0</v>
      </c>
      <c r="M538" s="10" t="n">
        <v>0</v>
      </c>
      <c r="N538" s="10" t="n">
        <v>29.7</v>
      </c>
      <c r="O538" s="10" t="n">
        <v>0</v>
      </c>
      <c r="P538" s="10" t="n">
        <v>-27.8</v>
      </c>
      <c r="Q538" s="10" t="n">
        <v>0</v>
      </c>
      <c r="R538" s="10" t="n">
        <v>55.5</v>
      </c>
      <c r="S538" s="10" t="n">
        <v>0</v>
      </c>
      <c r="T538" s="10" t="n">
        <v>0</v>
      </c>
      <c r="U538" s="10" t="n">
        <v>0</v>
      </c>
    </row>
    <row r="539" customFormat="false" ht="15" hidden="false" customHeight="false" outlineLevel="0" collapsed="false">
      <c r="A539" s="7" t="s">
        <v>394</v>
      </c>
      <c r="B539" s="7" t="s">
        <v>267</v>
      </c>
      <c r="C539" s="7" t="s">
        <v>885</v>
      </c>
      <c r="D539" s="10" t="n">
        <v>0</v>
      </c>
      <c r="E539" s="10" t="n">
        <v>0</v>
      </c>
      <c r="F539" s="10" t="n">
        <v>2454.1</v>
      </c>
      <c r="G539" s="10" t="n">
        <v>0</v>
      </c>
      <c r="H539" s="10" t="n">
        <v>0</v>
      </c>
      <c r="I539" s="10" t="n">
        <v>555</v>
      </c>
      <c r="J539" s="10" t="n">
        <v>0</v>
      </c>
      <c r="K539" s="10" t="n">
        <v>333</v>
      </c>
      <c r="L539" s="10" t="n">
        <v>0</v>
      </c>
      <c r="M539" s="10" t="n">
        <v>0</v>
      </c>
      <c r="N539" s="10" t="n">
        <v>0</v>
      </c>
      <c r="O539" s="10" t="n">
        <v>0</v>
      </c>
      <c r="P539" s="10" t="n">
        <v>-55.5</v>
      </c>
      <c r="Q539" s="10" t="n">
        <v>0</v>
      </c>
      <c r="R539" s="10" t="n">
        <v>277.5</v>
      </c>
      <c r="S539" s="10" t="n">
        <v>0</v>
      </c>
      <c r="T539" s="10" t="n">
        <v>0</v>
      </c>
      <c r="U539" s="10" t="n">
        <v>0</v>
      </c>
    </row>
    <row r="540" customFormat="false" ht="15" hidden="false" customHeight="false" outlineLevel="0" collapsed="false">
      <c r="A540" s="7" t="s">
        <v>394</v>
      </c>
      <c r="B540" s="7" t="s">
        <v>274</v>
      </c>
      <c r="C540" s="7" t="s">
        <v>886</v>
      </c>
      <c r="D540" s="10" t="n">
        <v>0</v>
      </c>
      <c r="E540" s="10" t="n">
        <v>0</v>
      </c>
      <c r="F540" s="10" t="n">
        <v>2610.1</v>
      </c>
      <c r="G540" s="10" t="n">
        <v>0</v>
      </c>
      <c r="H540" s="10" t="n">
        <v>0</v>
      </c>
      <c r="I540" s="10" t="n">
        <v>59.5</v>
      </c>
      <c r="J540" s="10" t="n">
        <v>0</v>
      </c>
      <c r="K540" s="10" t="n">
        <v>0</v>
      </c>
      <c r="L540" s="10" t="n">
        <v>0</v>
      </c>
      <c r="M540" s="10" t="n">
        <v>0</v>
      </c>
      <c r="N540" s="10" t="n">
        <v>59.5</v>
      </c>
      <c r="O540" s="10" t="n">
        <v>0</v>
      </c>
      <c r="P540" s="10" t="n">
        <v>0</v>
      </c>
      <c r="Q540" s="10" t="n">
        <v>0</v>
      </c>
      <c r="R540" s="10" t="n">
        <v>0</v>
      </c>
      <c r="S540" s="10" t="n">
        <v>0</v>
      </c>
      <c r="T540" s="10" t="n">
        <v>0</v>
      </c>
      <c r="U540" s="10" t="n">
        <v>0</v>
      </c>
    </row>
    <row r="541" customFormat="false" ht="15" hidden="false" customHeight="false" outlineLevel="0" collapsed="false">
      <c r="A541" s="7" t="s">
        <v>394</v>
      </c>
      <c r="B541" s="7" t="s">
        <v>274</v>
      </c>
      <c r="C541" s="7" t="s">
        <v>887</v>
      </c>
      <c r="D541" s="10" t="n">
        <v>0</v>
      </c>
      <c r="E541" s="10" t="n">
        <v>0</v>
      </c>
      <c r="F541" s="10" t="n">
        <v>5003.7</v>
      </c>
      <c r="G541" s="10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0</v>
      </c>
      <c r="N541" s="10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  <c r="S541" s="10" t="n">
        <v>0</v>
      </c>
      <c r="T541" s="10" t="n">
        <v>0</v>
      </c>
      <c r="U541" s="10" t="n">
        <v>0</v>
      </c>
    </row>
    <row r="542" customFormat="false" ht="15" hidden="false" customHeight="false" outlineLevel="0" collapsed="false">
      <c r="A542" s="7" t="s">
        <v>394</v>
      </c>
      <c r="B542" s="7" t="s">
        <v>274</v>
      </c>
      <c r="C542" s="7" t="s">
        <v>888</v>
      </c>
      <c r="D542" s="10" t="n">
        <v>0</v>
      </c>
      <c r="E542" s="10" t="n">
        <v>0</v>
      </c>
      <c r="F542" s="10" t="n">
        <v>3501.7</v>
      </c>
      <c r="G542" s="10" t="n">
        <v>0</v>
      </c>
      <c r="H542" s="10" t="n">
        <v>0</v>
      </c>
      <c r="I542" s="10" t="n">
        <v>59.5</v>
      </c>
      <c r="J542" s="10" t="n">
        <v>0</v>
      </c>
      <c r="K542" s="10" t="n">
        <v>0</v>
      </c>
      <c r="L542" s="10" t="n">
        <v>0</v>
      </c>
      <c r="M542" s="10" t="n">
        <v>0</v>
      </c>
      <c r="N542" s="10" t="n">
        <v>59.5</v>
      </c>
      <c r="O542" s="10" t="n">
        <v>0</v>
      </c>
      <c r="P542" s="10" t="n">
        <v>0</v>
      </c>
      <c r="Q542" s="10" t="n">
        <v>0</v>
      </c>
      <c r="R542" s="10" t="n">
        <v>0</v>
      </c>
      <c r="S542" s="10" t="n">
        <v>0</v>
      </c>
      <c r="T542" s="10" t="n">
        <v>0</v>
      </c>
      <c r="U542" s="10" t="n">
        <v>0</v>
      </c>
    </row>
    <row r="543" customFormat="false" ht="15" hidden="false" customHeight="false" outlineLevel="0" collapsed="false">
      <c r="A543" s="7" t="s">
        <v>394</v>
      </c>
      <c r="B543" s="7" t="s">
        <v>274</v>
      </c>
      <c r="C543" s="7" t="s">
        <v>889</v>
      </c>
      <c r="D543" s="10" t="n">
        <v>0</v>
      </c>
      <c r="E543" s="10" t="n">
        <v>0</v>
      </c>
      <c r="F543" s="10" t="n">
        <v>2618.2</v>
      </c>
      <c r="G543" s="10" t="n">
        <v>0</v>
      </c>
      <c r="H543" s="10" t="n">
        <v>0</v>
      </c>
      <c r="I543" s="10" t="n">
        <v>59.5</v>
      </c>
      <c r="J543" s="10" t="n">
        <v>0</v>
      </c>
      <c r="K543" s="10" t="n">
        <v>0</v>
      </c>
      <c r="L543" s="10" t="n">
        <v>0</v>
      </c>
      <c r="M543" s="10" t="n">
        <v>0</v>
      </c>
      <c r="N543" s="10" t="n">
        <v>59.5</v>
      </c>
      <c r="O543" s="10" t="n">
        <v>0</v>
      </c>
      <c r="P543" s="10" t="n">
        <v>0</v>
      </c>
      <c r="Q543" s="10" t="n">
        <v>0</v>
      </c>
      <c r="R543" s="10" t="n">
        <v>0</v>
      </c>
      <c r="S543" s="10" t="n">
        <v>27.8</v>
      </c>
      <c r="T543" s="10" t="n">
        <v>0</v>
      </c>
      <c r="U543" s="10" t="n">
        <v>0</v>
      </c>
    </row>
    <row r="544" customFormat="false" ht="15" hidden="false" customHeight="false" outlineLevel="0" collapsed="false">
      <c r="A544" s="7" t="s">
        <v>394</v>
      </c>
      <c r="B544" s="7" t="s">
        <v>274</v>
      </c>
      <c r="C544" s="7" t="s">
        <v>890</v>
      </c>
      <c r="D544" s="10" t="n">
        <v>0</v>
      </c>
      <c r="E544" s="10" t="n">
        <v>0</v>
      </c>
      <c r="F544" s="10" t="n">
        <v>119.4</v>
      </c>
      <c r="G544" s="10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0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0</v>
      </c>
      <c r="S544" s="10" t="n">
        <v>27.8</v>
      </c>
      <c r="T544" s="10" t="n">
        <v>0</v>
      </c>
      <c r="U544" s="10" t="n">
        <v>0</v>
      </c>
    </row>
    <row r="545" customFormat="false" ht="15" hidden="false" customHeight="false" outlineLevel="0" collapsed="false">
      <c r="A545" s="7" t="s">
        <v>394</v>
      </c>
      <c r="B545" s="7" t="s">
        <v>158</v>
      </c>
      <c r="C545" s="7" t="s">
        <v>891</v>
      </c>
      <c r="D545" s="10" t="n">
        <v>0</v>
      </c>
      <c r="E545" s="10" t="n">
        <v>0</v>
      </c>
      <c r="F545" s="10" t="n">
        <v>1297.9</v>
      </c>
      <c r="G545" s="10" t="n">
        <v>0</v>
      </c>
      <c r="H545" s="10" t="n">
        <v>0</v>
      </c>
      <c r="I545" s="10" t="n">
        <v>5827.9</v>
      </c>
      <c r="J545" s="10" t="n">
        <v>0</v>
      </c>
      <c r="K545" s="10" t="n">
        <v>0</v>
      </c>
      <c r="L545" s="10" t="n">
        <v>0</v>
      </c>
      <c r="M545" s="10" t="n">
        <v>0</v>
      </c>
      <c r="N545" s="10" t="n">
        <v>0</v>
      </c>
      <c r="O545" s="10" t="n">
        <v>0</v>
      </c>
      <c r="P545" s="10" t="n">
        <v>-40.6</v>
      </c>
      <c r="Q545" s="10" t="n">
        <v>5300.6</v>
      </c>
      <c r="R545" s="10" t="n">
        <v>567.8</v>
      </c>
      <c r="S545" s="10" t="n">
        <v>0</v>
      </c>
      <c r="T545" s="10" t="n">
        <v>0</v>
      </c>
      <c r="U545" s="10" t="n">
        <v>0</v>
      </c>
    </row>
    <row r="546" customFormat="false" ht="15" hidden="false" customHeight="false" outlineLevel="0" collapsed="false">
      <c r="A546" s="7" t="s">
        <v>394</v>
      </c>
      <c r="B546" s="7" t="s">
        <v>338</v>
      </c>
      <c r="C546" s="7" t="s">
        <v>892</v>
      </c>
      <c r="D546" s="10" t="n">
        <v>0</v>
      </c>
      <c r="E546" s="10" t="n">
        <v>0</v>
      </c>
      <c r="F546" s="10" t="n">
        <v>75.5</v>
      </c>
      <c r="G546" s="10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n">
        <v>0</v>
      </c>
      <c r="O546" s="10" t="n">
        <v>0</v>
      </c>
      <c r="P546" s="10" t="n">
        <v>0</v>
      </c>
      <c r="Q546" s="10" t="n">
        <v>0</v>
      </c>
      <c r="R546" s="10" t="n">
        <v>0</v>
      </c>
      <c r="S546" s="10" t="n">
        <v>0</v>
      </c>
      <c r="T546" s="10" t="n">
        <v>0</v>
      </c>
      <c r="U546" s="10" t="n">
        <v>0</v>
      </c>
    </row>
    <row r="547" customFormat="false" ht="15" hidden="false" customHeight="false" outlineLevel="0" collapsed="false">
      <c r="A547" s="7" t="s">
        <v>394</v>
      </c>
      <c r="B547" s="7" t="s">
        <v>316</v>
      </c>
      <c r="C547" s="7" t="s">
        <v>893</v>
      </c>
      <c r="D547" s="10" t="n">
        <v>0</v>
      </c>
      <c r="E547" s="10" t="n">
        <v>0</v>
      </c>
      <c r="F547" s="10" t="n">
        <v>401</v>
      </c>
      <c r="G547" s="10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0</v>
      </c>
      <c r="N547" s="10" t="n">
        <v>0</v>
      </c>
      <c r="O547" s="10" t="n">
        <v>0</v>
      </c>
      <c r="P547" s="10" t="n">
        <v>0</v>
      </c>
      <c r="Q547" s="10" t="n">
        <v>0</v>
      </c>
      <c r="R547" s="10" t="n">
        <v>0</v>
      </c>
      <c r="S547" s="10" t="n">
        <v>0</v>
      </c>
      <c r="T547" s="10" t="n">
        <v>0</v>
      </c>
      <c r="U547" s="10" t="n">
        <v>0</v>
      </c>
    </row>
    <row r="548" customFormat="false" ht="15" hidden="false" customHeight="false" outlineLevel="0" collapsed="false">
      <c r="A548" s="7" t="s">
        <v>394</v>
      </c>
      <c r="B548" s="7" t="s">
        <v>285</v>
      </c>
      <c r="C548" s="7" t="s">
        <v>894</v>
      </c>
      <c r="D548" s="10" t="n">
        <v>0</v>
      </c>
      <c r="E548" s="10" t="n">
        <v>0</v>
      </c>
      <c r="F548" s="10" t="n">
        <v>1431.1</v>
      </c>
      <c r="G548" s="10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0</v>
      </c>
      <c r="N548" s="10" t="n">
        <v>0</v>
      </c>
      <c r="O548" s="10" t="n">
        <v>0</v>
      </c>
      <c r="P548" s="10" t="n">
        <v>0</v>
      </c>
      <c r="Q548" s="10" t="n">
        <v>0</v>
      </c>
      <c r="R548" s="10" t="n">
        <v>0</v>
      </c>
      <c r="S548" s="10" t="n">
        <v>0</v>
      </c>
      <c r="T548" s="10" t="n">
        <v>0</v>
      </c>
      <c r="U548" s="10" t="n">
        <v>0</v>
      </c>
    </row>
    <row r="549" customFormat="false" ht="15" hidden="false" customHeight="false" outlineLevel="0" collapsed="false">
      <c r="A549" s="7" t="s">
        <v>394</v>
      </c>
      <c r="B549" s="7" t="s">
        <v>301</v>
      </c>
      <c r="C549" s="7" t="s">
        <v>895</v>
      </c>
      <c r="D549" s="10" t="n">
        <v>0</v>
      </c>
      <c r="E549" s="10" t="n">
        <v>0</v>
      </c>
      <c r="F549" s="10" t="n">
        <v>-100</v>
      </c>
      <c r="G549" s="10" t="n">
        <v>0</v>
      </c>
      <c r="H549" s="10" t="n">
        <v>0</v>
      </c>
      <c r="I549" s="10" t="n">
        <v>-7.2</v>
      </c>
      <c r="J549" s="10" t="n">
        <v>0</v>
      </c>
      <c r="K549" s="10" t="n">
        <v>0</v>
      </c>
      <c r="L549" s="10" t="n">
        <v>0</v>
      </c>
      <c r="M549" s="10" t="n">
        <v>-7.2</v>
      </c>
      <c r="N549" s="10" t="n">
        <v>0</v>
      </c>
      <c r="O549" s="10" t="n">
        <v>0</v>
      </c>
      <c r="P549" s="10" t="n">
        <v>0</v>
      </c>
      <c r="Q549" s="10" t="n">
        <v>0</v>
      </c>
      <c r="R549" s="10" t="n">
        <v>0</v>
      </c>
      <c r="S549" s="10" t="n">
        <v>0</v>
      </c>
      <c r="T549" s="10" t="n">
        <v>0</v>
      </c>
      <c r="U549" s="10" t="n">
        <v>0</v>
      </c>
    </row>
    <row r="550" customFormat="false" ht="15" hidden="false" customHeight="false" outlineLevel="0" collapsed="false">
      <c r="A550" s="7" t="s">
        <v>394</v>
      </c>
      <c r="B550" s="7" t="s">
        <v>145</v>
      </c>
      <c r="C550" s="7" t="s">
        <v>896</v>
      </c>
      <c r="D550" s="10" t="n">
        <v>0</v>
      </c>
      <c r="E550" s="10" t="n">
        <v>0</v>
      </c>
      <c r="F550" s="10" t="n">
        <v>2651</v>
      </c>
      <c r="G550" s="10" t="n">
        <v>0</v>
      </c>
      <c r="H550" s="10" t="n">
        <v>0</v>
      </c>
      <c r="I550" s="10" t="n">
        <v>10951.3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0</v>
      </c>
      <c r="O550" s="10" t="n">
        <v>0</v>
      </c>
      <c r="P550" s="10" t="n">
        <v>0</v>
      </c>
      <c r="Q550" s="10" t="n">
        <v>10951.3</v>
      </c>
      <c r="R550" s="10" t="n">
        <v>0</v>
      </c>
      <c r="S550" s="10" t="n">
        <v>0</v>
      </c>
      <c r="T550" s="10" t="n">
        <v>0</v>
      </c>
      <c r="U550" s="10" t="n">
        <v>0</v>
      </c>
    </row>
    <row r="551" customFormat="false" ht="15" hidden="false" customHeight="false" outlineLevel="0" collapsed="false">
      <c r="A551" s="7" t="s">
        <v>394</v>
      </c>
      <c r="B551" s="7" t="s">
        <v>145</v>
      </c>
      <c r="C551" s="7" t="s">
        <v>897</v>
      </c>
      <c r="D551" s="10" t="n">
        <v>0</v>
      </c>
      <c r="E551" s="10" t="n">
        <v>0</v>
      </c>
      <c r="F551" s="10" t="n">
        <v>4671.1</v>
      </c>
      <c r="G551" s="10" t="n">
        <v>0</v>
      </c>
      <c r="H551" s="10" t="n">
        <v>0</v>
      </c>
      <c r="I551" s="10" t="n">
        <v>16470.8</v>
      </c>
      <c r="J551" s="10" t="n">
        <v>0</v>
      </c>
      <c r="K551" s="10" t="n">
        <v>0</v>
      </c>
      <c r="L551" s="10" t="n">
        <v>0</v>
      </c>
      <c r="M551" s="10" t="n">
        <v>0</v>
      </c>
      <c r="N551" s="10" t="n">
        <v>0</v>
      </c>
      <c r="O551" s="10" t="n">
        <v>0</v>
      </c>
      <c r="P551" s="10" t="n">
        <v>0</v>
      </c>
      <c r="Q551" s="10" t="n">
        <v>16470.8</v>
      </c>
      <c r="R551" s="10" t="n">
        <v>0</v>
      </c>
      <c r="S551" s="10" t="n">
        <v>0</v>
      </c>
      <c r="T551" s="10" t="n">
        <v>0</v>
      </c>
      <c r="U551" s="10" t="n">
        <v>0</v>
      </c>
    </row>
    <row r="552" customFormat="false" ht="15" hidden="false" customHeight="false" outlineLevel="0" collapsed="false">
      <c r="A552" s="7" t="s">
        <v>394</v>
      </c>
      <c r="B552" s="7" t="s">
        <v>145</v>
      </c>
      <c r="C552" s="7" t="s">
        <v>898</v>
      </c>
      <c r="D552" s="10" t="n">
        <v>0</v>
      </c>
      <c r="E552" s="10" t="n">
        <v>0</v>
      </c>
      <c r="F552" s="10" t="n">
        <v>3457.6</v>
      </c>
      <c r="G552" s="10" t="n">
        <v>0</v>
      </c>
      <c r="H552" s="10" t="n">
        <v>0</v>
      </c>
      <c r="I552" s="10" t="n">
        <v>9621.9</v>
      </c>
      <c r="J552" s="10" t="n">
        <v>0</v>
      </c>
      <c r="K552" s="10" t="n">
        <v>0</v>
      </c>
      <c r="L552" s="10" t="n">
        <v>0</v>
      </c>
      <c r="M552" s="10" t="n">
        <v>0</v>
      </c>
      <c r="N552" s="10" t="n">
        <v>0</v>
      </c>
      <c r="O552" s="10" t="n">
        <v>0</v>
      </c>
      <c r="P552" s="10" t="n">
        <v>0</v>
      </c>
      <c r="Q552" s="10" t="n">
        <v>9621.9</v>
      </c>
      <c r="R552" s="10" t="n">
        <v>0</v>
      </c>
      <c r="S552" s="10" t="n">
        <v>0</v>
      </c>
      <c r="T552" s="10" t="n">
        <v>0</v>
      </c>
      <c r="U552" s="10" t="n">
        <v>0</v>
      </c>
    </row>
    <row r="553" customFormat="false" ht="15" hidden="false" customHeight="false" outlineLevel="0" collapsed="false">
      <c r="A553" s="7" t="s">
        <v>394</v>
      </c>
      <c r="B553" s="7" t="s">
        <v>145</v>
      </c>
      <c r="C553" s="7" t="s">
        <v>899</v>
      </c>
      <c r="D553" s="10" t="n">
        <v>0</v>
      </c>
      <c r="E553" s="10" t="n">
        <v>0</v>
      </c>
      <c r="F553" s="10" t="n">
        <v>4014.8</v>
      </c>
      <c r="G553" s="10" t="n">
        <v>0</v>
      </c>
      <c r="H553" s="10" t="n">
        <v>0</v>
      </c>
      <c r="I553" s="10" t="n">
        <v>13563.4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n">
        <v>0</v>
      </c>
      <c r="O553" s="10" t="n">
        <v>0</v>
      </c>
      <c r="P553" s="10" t="n">
        <v>0</v>
      </c>
      <c r="Q553" s="10" t="n">
        <v>13563.4</v>
      </c>
      <c r="R553" s="10" t="n">
        <v>0</v>
      </c>
      <c r="S553" s="10" t="n">
        <v>0</v>
      </c>
      <c r="T553" s="10" t="n">
        <v>0</v>
      </c>
      <c r="U553" s="10" t="n">
        <v>0</v>
      </c>
    </row>
    <row r="554" customFormat="false" ht="15" hidden="false" customHeight="false" outlineLevel="0" collapsed="false">
      <c r="A554" s="7" t="s">
        <v>394</v>
      </c>
      <c r="B554" s="7" t="s">
        <v>137</v>
      </c>
      <c r="C554" s="7" t="s">
        <v>900</v>
      </c>
      <c r="D554" s="10" t="n">
        <v>0</v>
      </c>
      <c r="E554" s="10" t="n">
        <v>0</v>
      </c>
      <c r="F554" s="10" t="n">
        <v>7071.1</v>
      </c>
      <c r="G554" s="10" t="n">
        <v>0</v>
      </c>
      <c r="H554" s="10" t="n">
        <v>0</v>
      </c>
      <c r="I554" s="10" t="n">
        <v>12532.2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n">
        <v>0</v>
      </c>
      <c r="O554" s="10" t="n">
        <v>0</v>
      </c>
      <c r="P554" s="10" t="n">
        <v>0</v>
      </c>
      <c r="Q554" s="10" t="n">
        <v>12532.2</v>
      </c>
      <c r="R554" s="10" t="n">
        <v>0</v>
      </c>
      <c r="S554" s="10" t="n">
        <v>0</v>
      </c>
      <c r="T554" s="10" t="n">
        <v>0</v>
      </c>
      <c r="U554" s="10" t="n">
        <v>0</v>
      </c>
    </row>
    <row r="555" customFormat="false" ht="15" hidden="false" customHeight="false" outlineLevel="0" collapsed="false">
      <c r="A555" s="7" t="s">
        <v>394</v>
      </c>
      <c r="B555" s="7" t="s">
        <v>85</v>
      </c>
      <c r="C555" s="7" t="s">
        <v>901</v>
      </c>
      <c r="D555" s="10" t="n">
        <v>0</v>
      </c>
      <c r="E555" s="10" t="n">
        <v>0</v>
      </c>
      <c r="F555" s="10" t="n">
        <v>4463.1</v>
      </c>
      <c r="G555" s="10" t="n">
        <v>0</v>
      </c>
      <c r="H555" s="10" t="n">
        <v>0</v>
      </c>
      <c r="I555" s="10" t="n">
        <v>18164.7</v>
      </c>
      <c r="J555" s="10" t="n">
        <v>0</v>
      </c>
      <c r="K555" s="10" t="n">
        <v>0</v>
      </c>
      <c r="L555" s="10" t="n">
        <v>0</v>
      </c>
      <c r="M555" s="10" t="n">
        <v>0</v>
      </c>
      <c r="N555" s="10" t="n">
        <v>0</v>
      </c>
      <c r="O555" s="10" t="n">
        <v>0</v>
      </c>
      <c r="P555" s="10" t="n">
        <v>0</v>
      </c>
      <c r="Q555" s="10" t="n">
        <v>18164.7</v>
      </c>
      <c r="R555" s="10" t="n">
        <v>0</v>
      </c>
      <c r="S555" s="10" t="n">
        <v>0</v>
      </c>
      <c r="T555" s="10" t="n">
        <v>0</v>
      </c>
      <c r="U555" s="10" t="n">
        <v>0</v>
      </c>
    </row>
    <row r="556" customFormat="false" ht="15" hidden="false" customHeight="false" outlineLevel="0" collapsed="false">
      <c r="A556" s="7" t="s">
        <v>394</v>
      </c>
      <c r="B556" s="7" t="s">
        <v>86</v>
      </c>
      <c r="C556" s="7" t="s">
        <v>902</v>
      </c>
      <c r="D556" s="10" t="n">
        <v>0</v>
      </c>
      <c r="E556" s="10" t="n">
        <v>0</v>
      </c>
      <c r="F556" s="10" t="n">
        <v>3741.1</v>
      </c>
      <c r="G556" s="10" t="n">
        <v>0</v>
      </c>
      <c r="H556" s="10" t="n">
        <v>0</v>
      </c>
      <c r="I556" s="10" t="n">
        <v>15795.7</v>
      </c>
      <c r="J556" s="10" t="n">
        <v>0</v>
      </c>
      <c r="K556" s="10" t="n">
        <v>0</v>
      </c>
      <c r="L556" s="10" t="n">
        <v>0</v>
      </c>
      <c r="M556" s="10" t="n">
        <v>0</v>
      </c>
      <c r="N556" s="10" t="n">
        <v>0</v>
      </c>
      <c r="O556" s="10" t="n">
        <v>0</v>
      </c>
      <c r="P556" s="10" t="n">
        <v>0</v>
      </c>
      <c r="Q556" s="10" t="n">
        <v>15795.7</v>
      </c>
      <c r="R556" s="10" t="n">
        <v>0</v>
      </c>
      <c r="S556" s="10" t="n">
        <v>0</v>
      </c>
      <c r="T556" s="10" t="n">
        <v>0</v>
      </c>
      <c r="U556" s="10" t="n">
        <v>0</v>
      </c>
    </row>
    <row r="557" customFormat="false" ht="15" hidden="false" customHeight="false" outlineLevel="0" collapsed="false">
      <c r="A557" s="7" t="s">
        <v>394</v>
      </c>
      <c r="B557" s="7" t="s">
        <v>95</v>
      </c>
      <c r="C557" s="7" t="s">
        <v>903</v>
      </c>
      <c r="D557" s="10" t="n">
        <v>0</v>
      </c>
      <c r="E557" s="10" t="n">
        <v>0</v>
      </c>
      <c r="F557" s="10" t="n">
        <v>1926.5</v>
      </c>
      <c r="G557" s="10" t="n">
        <v>0</v>
      </c>
      <c r="H557" s="10" t="n">
        <v>0</v>
      </c>
      <c r="I557" s="10" t="n">
        <v>11512.2</v>
      </c>
      <c r="J557" s="10" t="n">
        <v>0</v>
      </c>
      <c r="K557" s="10" t="n">
        <v>0</v>
      </c>
      <c r="L557" s="10" t="n">
        <v>0</v>
      </c>
      <c r="M557" s="10" t="n">
        <v>0</v>
      </c>
      <c r="N557" s="10" t="n">
        <v>0</v>
      </c>
      <c r="O557" s="10" t="n">
        <v>0</v>
      </c>
      <c r="P557" s="10" t="n">
        <v>0</v>
      </c>
      <c r="Q557" s="10" t="n">
        <v>11512.2</v>
      </c>
      <c r="R557" s="10" t="n">
        <v>0</v>
      </c>
      <c r="S557" s="10" t="n">
        <v>0</v>
      </c>
      <c r="T557" s="10" t="n">
        <v>0</v>
      </c>
      <c r="U557" s="10" t="n">
        <v>0</v>
      </c>
    </row>
    <row r="558" customFormat="false" ht="15" hidden="false" customHeight="false" outlineLevel="0" collapsed="false">
      <c r="A558" s="7" t="s">
        <v>394</v>
      </c>
      <c r="B558" s="7" t="s">
        <v>330</v>
      </c>
      <c r="C558" s="7" t="s">
        <v>904</v>
      </c>
      <c r="D558" s="10" t="n">
        <v>0</v>
      </c>
      <c r="E558" s="10" t="n">
        <v>0</v>
      </c>
      <c r="F558" s="10" t="n">
        <v>92.1</v>
      </c>
      <c r="G558" s="10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0</v>
      </c>
      <c r="N558" s="10" t="n">
        <v>0</v>
      </c>
      <c r="O558" s="10" t="n">
        <v>0</v>
      </c>
      <c r="P558" s="10" t="n">
        <v>0</v>
      </c>
      <c r="Q558" s="10" t="n">
        <v>0</v>
      </c>
      <c r="R558" s="10" t="n">
        <v>0</v>
      </c>
      <c r="S558" s="10" t="n">
        <v>0</v>
      </c>
      <c r="T558" s="10" t="n">
        <v>0</v>
      </c>
      <c r="U558" s="10" t="n">
        <v>0</v>
      </c>
    </row>
    <row r="559" customFormat="false" ht="15" hidden="false" customHeight="false" outlineLevel="0" collapsed="false">
      <c r="A559" s="7" t="s">
        <v>394</v>
      </c>
      <c r="B559" s="7" t="s">
        <v>304</v>
      </c>
      <c r="C559" s="7" t="s">
        <v>905</v>
      </c>
      <c r="D559" s="10" t="n">
        <v>0</v>
      </c>
      <c r="E559" s="10" t="n">
        <v>0</v>
      </c>
      <c r="F559" s="10" t="n">
        <v>310.5</v>
      </c>
      <c r="G559" s="10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0</v>
      </c>
      <c r="N559" s="10" t="n">
        <v>0</v>
      </c>
      <c r="O559" s="10" t="n">
        <v>0</v>
      </c>
      <c r="P559" s="10" t="n">
        <v>0</v>
      </c>
      <c r="Q559" s="10" t="n">
        <v>0</v>
      </c>
      <c r="R559" s="10" t="n">
        <v>0</v>
      </c>
      <c r="S559" s="10" t="n">
        <v>0</v>
      </c>
      <c r="T559" s="10" t="n">
        <v>0</v>
      </c>
      <c r="U559" s="10" t="n">
        <v>0</v>
      </c>
    </row>
    <row r="560" customFormat="false" ht="15" hidden="false" customHeight="false" outlineLevel="0" collapsed="false">
      <c r="A560" s="7" t="s">
        <v>394</v>
      </c>
      <c r="B560" s="7" t="s">
        <v>334</v>
      </c>
      <c r="C560" s="7" t="s">
        <v>906</v>
      </c>
      <c r="D560" s="10" t="n">
        <v>0</v>
      </c>
      <c r="E560" s="10" t="n">
        <v>0</v>
      </c>
      <c r="F560" s="10" t="n">
        <v>-75.6</v>
      </c>
      <c r="G560" s="10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0</v>
      </c>
      <c r="O560" s="10" t="n">
        <v>0</v>
      </c>
      <c r="P560" s="10" t="n">
        <v>0</v>
      </c>
      <c r="Q560" s="10" t="n">
        <v>0</v>
      </c>
      <c r="R560" s="10" t="n">
        <v>0</v>
      </c>
      <c r="S560" s="10" t="n">
        <v>0</v>
      </c>
      <c r="T560" s="10" t="n">
        <v>0</v>
      </c>
      <c r="U560" s="10" t="n">
        <v>0</v>
      </c>
    </row>
    <row r="561" customFormat="false" ht="15" hidden="false" customHeight="false" outlineLevel="0" collapsed="false">
      <c r="A561" s="7" t="s">
        <v>394</v>
      </c>
      <c r="B561" s="7" t="s">
        <v>128</v>
      </c>
      <c r="C561" s="7" t="s">
        <v>907</v>
      </c>
      <c r="D561" s="10" t="n">
        <v>0</v>
      </c>
      <c r="E561" s="10" t="n">
        <v>0</v>
      </c>
      <c r="F561" s="10" t="n">
        <v>12736.4</v>
      </c>
      <c r="G561" s="10" t="n">
        <v>0</v>
      </c>
      <c r="H561" s="10" t="n">
        <v>0</v>
      </c>
      <c r="I561" s="10" t="n">
        <v>45804.2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0</v>
      </c>
      <c r="O561" s="10" t="n">
        <v>0</v>
      </c>
      <c r="P561" s="10" t="n">
        <v>0</v>
      </c>
      <c r="Q561" s="10" t="n">
        <v>45804.2</v>
      </c>
      <c r="R561" s="10" t="n">
        <v>0</v>
      </c>
      <c r="S561" s="10" t="n">
        <v>0</v>
      </c>
      <c r="T561" s="10" t="n">
        <v>0</v>
      </c>
      <c r="U561" s="10" t="n">
        <v>0</v>
      </c>
    </row>
    <row r="562" customFormat="false" ht="15" hidden="false" customHeight="false" outlineLevel="0" collapsed="false">
      <c r="A562" s="7" t="s">
        <v>394</v>
      </c>
      <c r="B562" s="7" t="s">
        <v>128</v>
      </c>
      <c r="C562" s="7" t="s">
        <v>908</v>
      </c>
      <c r="D562" s="10" t="n">
        <v>0</v>
      </c>
      <c r="E562" s="10" t="n">
        <v>0</v>
      </c>
      <c r="F562" s="10" t="n">
        <v>8753.6</v>
      </c>
      <c r="G562" s="10" t="n">
        <v>0</v>
      </c>
      <c r="H562" s="10" t="n">
        <v>0</v>
      </c>
      <c r="I562" s="10" t="n">
        <v>39247.7</v>
      </c>
      <c r="J562" s="10" t="n">
        <v>0</v>
      </c>
      <c r="K562" s="10" t="n">
        <v>0</v>
      </c>
      <c r="L562" s="10" t="n">
        <v>0</v>
      </c>
      <c r="M562" s="10" t="n">
        <v>0</v>
      </c>
      <c r="N562" s="10" t="n">
        <v>0</v>
      </c>
      <c r="O562" s="10" t="n">
        <v>0</v>
      </c>
      <c r="P562" s="10" t="n">
        <v>0</v>
      </c>
      <c r="Q562" s="10" t="n">
        <v>39247.7</v>
      </c>
      <c r="R562" s="10" t="n">
        <v>0</v>
      </c>
      <c r="S562" s="10" t="n">
        <v>0</v>
      </c>
      <c r="T562" s="10" t="n">
        <v>0</v>
      </c>
      <c r="U562" s="10" t="n">
        <v>0</v>
      </c>
    </row>
    <row r="563" customFormat="false" ht="15" hidden="false" customHeight="false" outlineLevel="0" collapsed="false">
      <c r="A563" s="7" t="s">
        <v>394</v>
      </c>
      <c r="B563" s="7" t="s">
        <v>128</v>
      </c>
      <c r="C563" s="7" t="s">
        <v>909</v>
      </c>
      <c r="D563" s="10" t="n">
        <v>0</v>
      </c>
      <c r="E563" s="10" t="n">
        <v>0</v>
      </c>
      <c r="F563" s="10" t="n">
        <v>6162.7</v>
      </c>
      <c r="G563" s="10" t="n">
        <v>0</v>
      </c>
      <c r="H563" s="10" t="n">
        <v>0</v>
      </c>
      <c r="I563" s="10" t="n">
        <v>28808.8</v>
      </c>
      <c r="J563" s="10" t="n">
        <v>0</v>
      </c>
      <c r="K563" s="10" t="n">
        <v>0</v>
      </c>
      <c r="L563" s="10" t="n">
        <v>0</v>
      </c>
      <c r="M563" s="10" t="n">
        <v>0</v>
      </c>
      <c r="N563" s="10" t="n">
        <v>0</v>
      </c>
      <c r="O563" s="10" t="n">
        <v>0</v>
      </c>
      <c r="P563" s="10" t="n">
        <v>0</v>
      </c>
      <c r="Q563" s="10" t="n">
        <v>28808.8</v>
      </c>
      <c r="R563" s="10" t="n">
        <v>0</v>
      </c>
      <c r="S563" s="10" t="n">
        <v>0</v>
      </c>
      <c r="T563" s="10" t="n">
        <v>0</v>
      </c>
      <c r="U563" s="10" t="n">
        <v>0</v>
      </c>
    </row>
    <row r="564" customFormat="false" ht="15" hidden="false" customHeight="false" outlineLevel="0" collapsed="false">
      <c r="A564" s="7" t="s">
        <v>394</v>
      </c>
      <c r="B564" s="7" t="s">
        <v>128</v>
      </c>
      <c r="C564" s="7" t="s">
        <v>910</v>
      </c>
      <c r="D564" s="10" t="n">
        <v>0</v>
      </c>
      <c r="E564" s="10" t="n">
        <v>0</v>
      </c>
      <c r="F564" s="10" t="n">
        <v>4720.2</v>
      </c>
      <c r="G564" s="10" t="n">
        <v>0</v>
      </c>
      <c r="H564" s="10" t="n">
        <v>0</v>
      </c>
      <c r="I564" s="10" t="n">
        <v>22776.9</v>
      </c>
      <c r="J564" s="10" t="n">
        <v>0</v>
      </c>
      <c r="K564" s="10" t="n">
        <v>0</v>
      </c>
      <c r="L564" s="10" t="n">
        <v>0</v>
      </c>
      <c r="M564" s="10" t="n">
        <v>0</v>
      </c>
      <c r="N564" s="10" t="n">
        <v>0</v>
      </c>
      <c r="O564" s="10" t="n">
        <v>0</v>
      </c>
      <c r="P564" s="10" t="n">
        <v>0</v>
      </c>
      <c r="Q564" s="10" t="n">
        <v>22776.9</v>
      </c>
      <c r="R564" s="10" t="n">
        <v>0</v>
      </c>
      <c r="S564" s="10" t="n">
        <v>0</v>
      </c>
      <c r="T564" s="10" t="n">
        <v>0</v>
      </c>
      <c r="U564" s="10" t="n">
        <v>0</v>
      </c>
    </row>
    <row r="565" customFormat="false" ht="15" hidden="false" customHeight="false" outlineLevel="0" collapsed="false">
      <c r="A565" s="7" t="s">
        <v>394</v>
      </c>
      <c r="B565" s="7" t="s">
        <v>106</v>
      </c>
      <c r="C565" s="7" t="s">
        <v>911</v>
      </c>
      <c r="D565" s="10" t="n">
        <v>0</v>
      </c>
      <c r="E565" s="10" t="n">
        <v>0</v>
      </c>
      <c r="F565" s="10" t="n">
        <v>-54.7</v>
      </c>
      <c r="G565" s="10" t="n">
        <v>0</v>
      </c>
      <c r="H565" s="10" t="n">
        <v>0</v>
      </c>
      <c r="I565" s="10" t="n">
        <v>4298.7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0</v>
      </c>
      <c r="O565" s="10" t="n">
        <v>0</v>
      </c>
      <c r="P565" s="10" t="n">
        <v>0</v>
      </c>
      <c r="Q565" s="10" t="n">
        <v>4298.7</v>
      </c>
      <c r="R565" s="10" t="n">
        <v>0</v>
      </c>
      <c r="S565" s="10" t="n">
        <v>0</v>
      </c>
      <c r="T565" s="10" t="n">
        <v>0</v>
      </c>
      <c r="U565" s="10" t="n">
        <v>0</v>
      </c>
    </row>
    <row r="566" customFormat="false" ht="15" hidden="false" customHeight="false" outlineLevel="0" collapsed="false">
      <c r="A566" s="7" t="s">
        <v>394</v>
      </c>
      <c r="B566" s="7" t="s">
        <v>140</v>
      </c>
      <c r="C566" s="7" t="s">
        <v>911</v>
      </c>
      <c r="D566" s="10" t="n">
        <v>0</v>
      </c>
      <c r="E566" s="10" t="n">
        <v>0</v>
      </c>
      <c r="F566" s="10" t="n">
        <v>-53.5</v>
      </c>
      <c r="G566" s="10" t="n">
        <v>0</v>
      </c>
      <c r="H566" s="10" t="n">
        <v>0</v>
      </c>
      <c r="I566" s="10" t="n">
        <v>1673</v>
      </c>
      <c r="J566" s="10" t="n">
        <v>0</v>
      </c>
      <c r="K566" s="10" t="n">
        <v>0</v>
      </c>
      <c r="L566" s="10" t="n">
        <v>0</v>
      </c>
      <c r="M566" s="10" t="n">
        <v>0</v>
      </c>
      <c r="N566" s="10" t="n">
        <v>0</v>
      </c>
      <c r="O566" s="10" t="n">
        <v>0</v>
      </c>
      <c r="P566" s="10" t="n">
        <v>0</v>
      </c>
      <c r="Q566" s="10" t="n">
        <v>1673</v>
      </c>
      <c r="R566" s="10" t="n">
        <v>0</v>
      </c>
      <c r="S566" s="10" t="n">
        <v>0</v>
      </c>
      <c r="T566" s="10" t="n">
        <v>0</v>
      </c>
      <c r="U566" s="10" t="n">
        <v>0</v>
      </c>
    </row>
    <row r="567" customFormat="false" ht="15" hidden="false" customHeight="false" outlineLevel="0" collapsed="false">
      <c r="A567" s="7" t="s">
        <v>394</v>
      </c>
      <c r="B567" s="7" t="s">
        <v>106</v>
      </c>
      <c r="C567" s="7" t="s">
        <v>912</v>
      </c>
      <c r="D567" s="10" t="n">
        <v>0</v>
      </c>
      <c r="E567" s="10" t="n">
        <v>0</v>
      </c>
      <c r="F567" s="10" t="n">
        <v>-90.5</v>
      </c>
      <c r="G567" s="10" t="n">
        <v>0</v>
      </c>
      <c r="H567" s="10" t="n">
        <v>0</v>
      </c>
      <c r="I567" s="10" t="n">
        <v>3993.5</v>
      </c>
      <c r="J567" s="10" t="n">
        <v>0</v>
      </c>
      <c r="K567" s="10" t="n">
        <v>0</v>
      </c>
      <c r="L567" s="10" t="n">
        <v>0</v>
      </c>
      <c r="M567" s="10" t="n">
        <v>0</v>
      </c>
      <c r="N567" s="10" t="n">
        <v>0</v>
      </c>
      <c r="O567" s="10" t="n">
        <v>0</v>
      </c>
      <c r="P567" s="10" t="n">
        <v>0</v>
      </c>
      <c r="Q567" s="10" t="n">
        <v>3993.5</v>
      </c>
      <c r="R567" s="10" t="n">
        <v>0</v>
      </c>
      <c r="S567" s="10" t="n">
        <v>0</v>
      </c>
      <c r="T567" s="10" t="n">
        <v>0</v>
      </c>
      <c r="U567" s="10" t="n">
        <v>0</v>
      </c>
    </row>
    <row r="568" customFormat="false" ht="15" hidden="false" customHeight="false" outlineLevel="0" collapsed="false">
      <c r="A568" s="7" t="s">
        <v>394</v>
      </c>
      <c r="B568" s="7" t="s">
        <v>121</v>
      </c>
      <c r="C568" s="7" t="s">
        <v>912</v>
      </c>
      <c r="D568" s="10" t="n">
        <v>0</v>
      </c>
      <c r="E568" s="10" t="n">
        <v>0</v>
      </c>
      <c r="F568" s="10" t="n">
        <v>-55.3</v>
      </c>
      <c r="G568" s="10" t="n">
        <v>0</v>
      </c>
      <c r="H568" s="10" t="n">
        <v>0</v>
      </c>
      <c r="I568" s="10" t="n">
        <v>5450</v>
      </c>
      <c r="J568" s="10" t="n">
        <v>0</v>
      </c>
      <c r="K568" s="10" t="n">
        <v>0</v>
      </c>
      <c r="L568" s="10" t="n">
        <v>0</v>
      </c>
      <c r="M568" s="10" t="n">
        <v>0</v>
      </c>
      <c r="N568" s="10" t="n">
        <v>0</v>
      </c>
      <c r="O568" s="10" t="n">
        <v>0</v>
      </c>
      <c r="P568" s="10" t="n">
        <v>0</v>
      </c>
      <c r="Q568" s="10" t="n">
        <v>5450</v>
      </c>
      <c r="R568" s="10" t="n">
        <v>0</v>
      </c>
      <c r="S568" s="10" t="n">
        <v>0</v>
      </c>
      <c r="T568" s="10" t="n">
        <v>0</v>
      </c>
      <c r="U568" s="10" t="n">
        <v>0</v>
      </c>
    </row>
    <row r="569" customFormat="false" ht="15" hidden="false" customHeight="false" outlineLevel="0" collapsed="false">
      <c r="A569" s="7" t="s">
        <v>394</v>
      </c>
      <c r="B569" s="7" t="s">
        <v>98</v>
      </c>
      <c r="C569" s="7" t="s">
        <v>913</v>
      </c>
      <c r="D569" s="10" t="n">
        <v>0</v>
      </c>
      <c r="E569" s="10" t="n">
        <v>0</v>
      </c>
      <c r="F569" s="10" t="n">
        <v>17465.6</v>
      </c>
      <c r="G569" s="10" t="n">
        <v>0</v>
      </c>
      <c r="H569" s="10" t="n">
        <v>0</v>
      </c>
      <c r="I569" s="10" t="n">
        <v>30910.4</v>
      </c>
      <c r="J569" s="10" t="n">
        <v>0</v>
      </c>
      <c r="K569" s="10" t="n">
        <v>0</v>
      </c>
      <c r="L569" s="10" t="n">
        <v>0</v>
      </c>
      <c r="M569" s="10" t="n">
        <v>212.3</v>
      </c>
      <c r="N569" s="10" t="n">
        <v>123.8</v>
      </c>
      <c r="O569" s="10" t="n">
        <v>0</v>
      </c>
      <c r="P569" s="10" t="n">
        <v>0</v>
      </c>
      <c r="Q569" s="10" t="n">
        <v>30574.4</v>
      </c>
      <c r="R569" s="10" t="n">
        <v>0</v>
      </c>
      <c r="S569" s="10" t="n">
        <v>0</v>
      </c>
      <c r="T569" s="10" t="n">
        <v>0</v>
      </c>
      <c r="U569" s="10" t="n">
        <v>0</v>
      </c>
    </row>
    <row r="570" customFormat="false" ht="15" hidden="false" customHeight="false" outlineLevel="0" collapsed="false">
      <c r="A570" s="7" t="s">
        <v>394</v>
      </c>
      <c r="B570" s="7" t="s">
        <v>157</v>
      </c>
      <c r="C570" s="7" t="s">
        <v>914</v>
      </c>
      <c r="D570" s="10" t="n">
        <v>0</v>
      </c>
      <c r="E570" s="10" t="n">
        <v>0</v>
      </c>
      <c r="F570" s="10" t="n">
        <v>4004.4</v>
      </c>
      <c r="G570" s="10" t="n">
        <v>0</v>
      </c>
      <c r="H570" s="10" t="n">
        <v>0</v>
      </c>
      <c r="I570" s="10" t="n">
        <v>3384.7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n">
        <v>0</v>
      </c>
      <c r="O570" s="10" t="n">
        <v>0</v>
      </c>
      <c r="P570" s="10" t="n">
        <v>0</v>
      </c>
      <c r="Q570" s="10" t="n">
        <v>3384.7</v>
      </c>
      <c r="R570" s="10" t="n">
        <v>0</v>
      </c>
      <c r="S570" s="10" t="n">
        <v>0</v>
      </c>
      <c r="T570" s="10" t="n">
        <v>0</v>
      </c>
      <c r="U570" s="10" t="n">
        <v>0</v>
      </c>
    </row>
    <row r="571" customFormat="false" ht="15" hidden="false" customHeight="false" outlineLevel="0" collapsed="false">
      <c r="A571" s="7" t="s">
        <v>394</v>
      </c>
      <c r="B571" s="7" t="s">
        <v>271</v>
      </c>
      <c r="C571" s="7" t="s">
        <v>915</v>
      </c>
      <c r="D571" s="10" t="n">
        <v>0</v>
      </c>
      <c r="E571" s="10" t="n">
        <v>0</v>
      </c>
      <c r="F571" s="10" t="n">
        <v>15998.7</v>
      </c>
      <c r="G571" s="10" t="n">
        <v>0</v>
      </c>
      <c r="H571" s="10" t="n">
        <v>0</v>
      </c>
      <c r="I571" s="10" t="n">
        <v>0</v>
      </c>
      <c r="J571" s="10" t="n">
        <v>0</v>
      </c>
      <c r="K571" s="10" t="n">
        <v>0</v>
      </c>
      <c r="L571" s="10" t="n">
        <v>0</v>
      </c>
      <c r="M571" s="10" t="n">
        <v>0</v>
      </c>
      <c r="N571" s="10" t="n">
        <v>0</v>
      </c>
      <c r="O571" s="10" t="n">
        <v>0</v>
      </c>
      <c r="P571" s="10" t="n">
        <v>0</v>
      </c>
      <c r="Q571" s="10" t="n">
        <v>0</v>
      </c>
      <c r="R571" s="10" t="n">
        <v>0</v>
      </c>
      <c r="S571" s="10" t="n">
        <v>0</v>
      </c>
      <c r="T571" s="10" t="n">
        <v>0</v>
      </c>
      <c r="U571" s="10" t="n">
        <v>0</v>
      </c>
    </row>
    <row r="572" customFormat="false" ht="15" hidden="false" customHeight="false" outlineLevel="0" collapsed="false">
      <c r="A572" s="7" t="s">
        <v>394</v>
      </c>
      <c r="B572" s="7" t="s">
        <v>219</v>
      </c>
      <c r="C572" s="7" t="s">
        <v>520</v>
      </c>
      <c r="D572" s="10" t="n">
        <v>0</v>
      </c>
      <c r="E572" s="10" t="n">
        <v>0</v>
      </c>
      <c r="F572" s="10" t="n">
        <v>6752.6</v>
      </c>
      <c r="G572" s="10" t="n">
        <v>0</v>
      </c>
      <c r="H572" s="10" t="n">
        <v>0</v>
      </c>
      <c r="I572" s="10" t="n">
        <v>2640.1</v>
      </c>
      <c r="J572" s="10" t="n">
        <v>0</v>
      </c>
      <c r="K572" s="10" t="n">
        <v>0</v>
      </c>
      <c r="L572" s="10" t="n">
        <v>0</v>
      </c>
      <c r="M572" s="10" t="n">
        <v>0</v>
      </c>
      <c r="N572" s="10" t="n">
        <v>0</v>
      </c>
      <c r="O572" s="10" t="n">
        <v>0</v>
      </c>
      <c r="P572" s="10" t="n">
        <v>0</v>
      </c>
      <c r="Q572" s="10" t="n">
        <v>2640.1</v>
      </c>
      <c r="R572" s="10" t="n">
        <v>0</v>
      </c>
      <c r="S572" s="10" t="n">
        <v>0</v>
      </c>
      <c r="T572" s="10" t="n">
        <v>0</v>
      </c>
      <c r="U572" s="10" t="n">
        <v>0</v>
      </c>
    </row>
    <row r="573" customFormat="false" ht="15" hidden="false" customHeight="false" outlineLevel="0" collapsed="false">
      <c r="A573" s="7" t="s">
        <v>394</v>
      </c>
      <c r="B573" s="7" t="s">
        <v>122</v>
      </c>
      <c r="C573" s="7" t="s">
        <v>916</v>
      </c>
      <c r="D573" s="10" t="n">
        <v>0</v>
      </c>
      <c r="E573" s="10" t="n">
        <v>0</v>
      </c>
      <c r="F573" s="10" t="n">
        <v>6503.9</v>
      </c>
      <c r="G573" s="10" t="n">
        <v>0</v>
      </c>
      <c r="H573" s="10" t="n">
        <v>0</v>
      </c>
      <c r="I573" s="10" t="n">
        <v>62831.2</v>
      </c>
      <c r="J573" s="10" t="n">
        <v>0</v>
      </c>
      <c r="K573" s="10" t="n">
        <v>0</v>
      </c>
      <c r="L573" s="10" t="n">
        <v>0</v>
      </c>
      <c r="M573" s="10" t="n">
        <v>0</v>
      </c>
      <c r="N573" s="10" t="n">
        <v>0</v>
      </c>
      <c r="O573" s="10" t="n">
        <v>0</v>
      </c>
      <c r="P573" s="10" t="n">
        <v>0</v>
      </c>
      <c r="Q573" s="10" t="n">
        <v>62831.2</v>
      </c>
      <c r="R573" s="10" t="n">
        <v>0</v>
      </c>
      <c r="S573" s="10" t="n">
        <v>0</v>
      </c>
      <c r="T573" s="10" t="n">
        <v>0</v>
      </c>
      <c r="U573" s="10" t="n">
        <v>0</v>
      </c>
    </row>
    <row r="574" customFormat="false" ht="15" hidden="false" customHeight="false" outlineLevel="0" collapsed="false">
      <c r="A574" s="7" t="s">
        <v>394</v>
      </c>
      <c r="B574" s="7" t="s">
        <v>38</v>
      </c>
      <c r="C574" s="7" t="s">
        <v>917</v>
      </c>
      <c r="D574" s="10" t="n">
        <v>0</v>
      </c>
      <c r="E574" s="10" t="n">
        <v>0</v>
      </c>
      <c r="F574" s="10" t="n">
        <v>700.1</v>
      </c>
      <c r="G574" s="10" t="n">
        <v>0</v>
      </c>
      <c r="H574" s="10" t="n">
        <v>0</v>
      </c>
      <c r="I574" s="10" t="n">
        <v>80570.4</v>
      </c>
      <c r="J574" s="10" t="n">
        <v>0</v>
      </c>
      <c r="K574" s="10" t="n">
        <v>0</v>
      </c>
      <c r="L574" s="10" t="n">
        <v>0</v>
      </c>
      <c r="M574" s="10" t="n">
        <v>0</v>
      </c>
      <c r="N574" s="10" t="n">
        <v>0</v>
      </c>
      <c r="O574" s="10" t="n">
        <v>0</v>
      </c>
      <c r="P574" s="10" t="n">
        <v>0</v>
      </c>
      <c r="Q574" s="10" t="n">
        <v>80570.4</v>
      </c>
      <c r="R574" s="10" t="n">
        <v>0</v>
      </c>
      <c r="S574" s="10" t="n">
        <v>0</v>
      </c>
      <c r="T574" s="10" t="n">
        <v>0</v>
      </c>
      <c r="U574" s="10" t="n">
        <v>0</v>
      </c>
    </row>
    <row r="575" customFormat="false" ht="15" hidden="false" customHeight="false" outlineLevel="0" collapsed="false">
      <c r="A575" s="7" t="s">
        <v>394</v>
      </c>
      <c r="B575" s="7" t="s">
        <v>38</v>
      </c>
      <c r="C575" s="7" t="s">
        <v>918</v>
      </c>
      <c r="D575" s="10" t="n">
        <v>0</v>
      </c>
      <c r="E575" s="10" t="n">
        <v>0</v>
      </c>
      <c r="F575" s="10" t="n">
        <v>2137.3</v>
      </c>
      <c r="G575" s="10" t="n">
        <v>0</v>
      </c>
      <c r="H575" s="10" t="n">
        <v>0</v>
      </c>
      <c r="I575" s="10" t="n">
        <v>87621.8</v>
      </c>
      <c r="J575" s="10" t="n">
        <v>0</v>
      </c>
      <c r="K575" s="10" t="n">
        <v>0</v>
      </c>
      <c r="L575" s="10" t="n">
        <v>0</v>
      </c>
      <c r="M575" s="10" t="n">
        <v>0</v>
      </c>
      <c r="N575" s="10" t="n">
        <v>0</v>
      </c>
      <c r="O575" s="10" t="n">
        <v>0</v>
      </c>
      <c r="P575" s="10" t="n">
        <v>0</v>
      </c>
      <c r="Q575" s="10" t="n">
        <v>87621.8</v>
      </c>
      <c r="R575" s="10" t="n">
        <v>0</v>
      </c>
      <c r="S575" s="10" t="n">
        <v>0</v>
      </c>
      <c r="T575" s="10" t="n">
        <v>0</v>
      </c>
      <c r="U575" s="10" t="n">
        <v>0</v>
      </c>
    </row>
    <row r="576" customFormat="false" ht="15" hidden="false" customHeight="false" outlineLevel="0" collapsed="false">
      <c r="A576" s="7" t="s">
        <v>394</v>
      </c>
      <c r="B576" s="7" t="s">
        <v>38</v>
      </c>
      <c r="C576" s="7" t="s">
        <v>919</v>
      </c>
      <c r="D576" s="10" t="n">
        <v>0</v>
      </c>
      <c r="E576" s="10" t="n">
        <v>0</v>
      </c>
      <c r="F576" s="10" t="n">
        <v>2824.7</v>
      </c>
      <c r="G576" s="10" t="n">
        <v>0</v>
      </c>
      <c r="H576" s="10" t="n">
        <v>0</v>
      </c>
      <c r="I576" s="10" t="n">
        <v>97534</v>
      </c>
      <c r="J576" s="10" t="n">
        <v>0</v>
      </c>
      <c r="K576" s="10" t="n">
        <v>0</v>
      </c>
      <c r="L576" s="10" t="n">
        <v>0</v>
      </c>
      <c r="M576" s="10" t="n">
        <v>0</v>
      </c>
      <c r="N576" s="10" t="n">
        <v>0</v>
      </c>
      <c r="O576" s="10" t="n">
        <v>0</v>
      </c>
      <c r="P576" s="10" t="n">
        <v>0</v>
      </c>
      <c r="Q576" s="10" t="n">
        <v>97534</v>
      </c>
      <c r="R576" s="10" t="n">
        <v>0</v>
      </c>
      <c r="S576" s="10" t="n">
        <v>0</v>
      </c>
      <c r="T576" s="10" t="n">
        <v>0</v>
      </c>
      <c r="U576" s="10" t="n">
        <v>0</v>
      </c>
    </row>
    <row r="577" customFormat="false" ht="15" hidden="false" customHeight="false" outlineLevel="0" collapsed="false">
      <c r="A577" s="7" t="s">
        <v>394</v>
      </c>
      <c r="B577" s="7" t="s">
        <v>39</v>
      </c>
      <c r="C577" s="7" t="s">
        <v>920</v>
      </c>
      <c r="D577" s="10" t="n">
        <v>0</v>
      </c>
      <c r="E577" s="10" t="n">
        <v>0</v>
      </c>
      <c r="F577" s="10" t="n">
        <v>700.1</v>
      </c>
      <c r="G577" s="10" t="n">
        <v>0</v>
      </c>
      <c r="H577" s="10" t="n">
        <v>0</v>
      </c>
      <c r="I577" s="10" t="n">
        <v>82352.3</v>
      </c>
      <c r="J577" s="10" t="n">
        <v>0</v>
      </c>
      <c r="K577" s="10" t="n">
        <v>0</v>
      </c>
      <c r="L577" s="10" t="n">
        <v>0</v>
      </c>
      <c r="M577" s="10" t="n">
        <v>0</v>
      </c>
      <c r="N577" s="10" t="n">
        <v>0</v>
      </c>
      <c r="O577" s="10" t="n">
        <v>0</v>
      </c>
      <c r="P577" s="10" t="n">
        <v>0</v>
      </c>
      <c r="Q577" s="10" t="n">
        <v>82352.3</v>
      </c>
      <c r="R577" s="10" t="n">
        <v>0</v>
      </c>
      <c r="S577" s="10" t="n">
        <v>0</v>
      </c>
      <c r="T577" s="10" t="n">
        <v>0</v>
      </c>
      <c r="U577" s="10" t="n">
        <v>0</v>
      </c>
    </row>
    <row r="578" customFormat="false" ht="15" hidden="false" customHeight="false" outlineLevel="0" collapsed="false">
      <c r="A578" s="7" t="s">
        <v>394</v>
      </c>
      <c r="B578" s="7" t="s">
        <v>40</v>
      </c>
      <c r="C578" s="7" t="s">
        <v>920</v>
      </c>
      <c r="D578" s="10" t="n">
        <v>0</v>
      </c>
      <c r="E578" s="10" t="n">
        <v>0</v>
      </c>
      <c r="F578" s="10" t="n">
        <v>2384.9</v>
      </c>
      <c r="G578" s="10" t="n">
        <v>0</v>
      </c>
      <c r="H578" s="10" t="n">
        <v>0</v>
      </c>
      <c r="I578" s="10" t="n">
        <v>90203.7</v>
      </c>
      <c r="J578" s="10" t="n">
        <v>0</v>
      </c>
      <c r="K578" s="10" t="n">
        <v>0</v>
      </c>
      <c r="L578" s="10" t="n">
        <v>0</v>
      </c>
      <c r="M578" s="10" t="n">
        <v>0</v>
      </c>
      <c r="N578" s="10" t="n">
        <v>0</v>
      </c>
      <c r="O578" s="10" t="n">
        <v>0</v>
      </c>
      <c r="P578" s="10" t="n">
        <v>0</v>
      </c>
      <c r="Q578" s="10" t="n">
        <v>90203.7</v>
      </c>
      <c r="R578" s="10" t="n">
        <v>0</v>
      </c>
      <c r="S578" s="10" t="n">
        <v>0</v>
      </c>
      <c r="T578" s="10" t="n">
        <v>0</v>
      </c>
      <c r="U578" s="10" t="n">
        <v>0</v>
      </c>
    </row>
    <row r="579" customFormat="false" ht="15" hidden="false" customHeight="false" outlineLevel="0" collapsed="false">
      <c r="A579" s="7" t="s">
        <v>394</v>
      </c>
      <c r="B579" s="7" t="s">
        <v>41</v>
      </c>
      <c r="C579" s="7" t="s">
        <v>920</v>
      </c>
      <c r="D579" s="10" t="n">
        <v>0</v>
      </c>
      <c r="E579" s="10" t="n">
        <v>0</v>
      </c>
      <c r="F579" s="10" t="n">
        <v>2114</v>
      </c>
      <c r="G579" s="10" t="n">
        <v>0</v>
      </c>
      <c r="H579" s="10" t="n">
        <v>0</v>
      </c>
      <c r="I579" s="10" t="n">
        <v>92093.6</v>
      </c>
      <c r="J579" s="10" t="n">
        <v>0</v>
      </c>
      <c r="K579" s="10" t="n">
        <v>0</v>
      </c>
      <c r="L579" s="10" t="n">
        <v>0</v>
      </c>
      <c r="M579" s="10" t="n">
        <v>0</v>
      </c>
      <c r="N579" s="10" t="n">
        <v>0</v>
      </c>
      <c r="O579" s="10" t="n">
        <v>0</v>
      </c>
      <c r="P579" s="10" t="n">
        <v>0</v>
      </c>
      <c r="Q579" s="10" t="n">
        <v>92093.6</v>
      </c>
      <c r="R579" s="10" t="n">
        <v>0</v>
      </c>
      <c r="S579" s="10" t="n">
        <v>0</v>
      </c>
      <c r="T579" s="10" t="n">
        <v>0</v>
      </c>
      <c r="U579" s="10" t="n">
        <v>0</v>
      </c>
    </row>
    <row r="580" customFormat="false" ht="15" hidden="false" customHeight="false" outlineLevel="0" collapsed="false">
      <c r="A580" s="7" t="s">
        <v>394</v>
      </c>
      <c r="B580" s="7" t="s">
        <v>39</v>
      </c>
      <c r="C580" s="7" t="s">
        <v>921</v>
      </c>
      <c r="D580" s="10" t="n">
        <v>0</v>
      </c>
      <c r="E580" s="10" t="n">
        <v>0</v>
      </c>
      <c r="F580" s="10" t="n">
        <v>902.8</v>
      </c>
      <c r="G580" s="10" t="n">
        <v>0</v>
      </c>
      <c r="H580" s="10" t="n">
        <v>0</v>
      </c>
      <c r="I580" s="10" t="n">
        <v>82079.4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n">
        <v>0</v>
      </c>
      <c r="O580" s="10" t="n">
        <v>0</v>
      </c>
      <c r="P580" s="10" t="n">
        <v>0</v>
      </c>
      <c r="Q580" s="10" t="n">
        <v>82079.4</v>
      </c>
      <c r="R580" s="10" t="n">
        <v>0</v>
      </c>
      <c r="S580" s="10" t="n">
        <v>0</v>
      </c>
      <c r="T580" s="10" t="n">
        <v>0</v>
      </c>
      <c r="U580" s="10" t="n">
        <v>0</v>
      </c>
    </row>
    <row r="581" customFormat="false" ht="15" hidden="false" customHeight="false" outlineLevel="0" collapsed="false">
      <c r="A581" s="7" t="s">
        <v>394</v>
      </c>
      <c r="B581" s="7" t="s">
        <v>40</v>
      </c>
      <c r="C581" s="7" t="s">
        <v>921</v>
      </c>
      <c r="D581" s="10" t="n">
        <v>0</v>
      </c>
      <c r="E581" s="10" t="n">
        <v>0</v>
      </c>
      <c r="F581" s="10" t="n">
        <v>2358.5</v>
      </c>
      <c r="G581" s="10" t="n">
        <v>0</v>
      </c>
      <c r="H581" s="10" t="n">
        <v>0</v>
      </c>
      <c r="I581" s="10" t="n">
        <v>98563.4</v>
      </c>
      <c r="J581" s="10" t="n">
        <v>0</v>
      </c>
      <c r="K581" s="10" t="n">
        <v>0</v>
      </c>
      <c r="L581" s="10" t="n">
        <v>0</v>
      </c>
      <c r="M581" s="10" t="n">
        <v>0</v>
      </c>
      <c r="N581" s="10" t="n">
        <v>0</v>
      </c>
      <c r="O581" s="10" t="n">
        <v>0</v>
      </c>
      <c r="P581" s="10" t="n">
        <v>0</v>
      </c>
      <c r="Q581" s="10" t="n">
        <v>98563.4</v>
      </c>
      <c r="R581" s="10" t="n">
        <v>0</v>
      </c>
      <c r="S581" s="10" t="n">
        <v>0</v>
      </c>
      <c r="T581" s="10" t="n">
        <v>0</v>
      </c>
      <c r="U581" s="10" t="n">
        <v>0</v>
      </c>
    </row>
    <row r="582" customFormat="false" ht="15" hidden="false" customHeight="false" outlineLevel="0" collapsed="false">
      <c r="A582" s="7" t="s">
        <v>394</v>
      </c>
      <c r="B582" s="7" t="s">
        <v>41</v>
      </c>
      <c r="C582" s="7" t="s">
        <v>921</v>
      </c>
      <c r="D582" s="10" t="n">
        <v>0</v>
      </c>
      <c r="E582" s="10" t="n">
        <v>0</v>
      </c>
      <c r="F582" s="10" t="n">
        <v>2158.5</v>
      </c>
      <c r="G582" s="10" t="n">
        <v>0</v>
      </c>
      <c r="H582" s="10" t="n">
        <v>0</v>
      </c>
      <c r="I582" s="10" t="n">
        <v>105681.3</v>
      </c>
      <c r="J582" s="10" t="n">
        <v>0</v>
      </c>
      <c r="K582" s="10" t="n">
        <v>0</v>
      </c>
      <c r="L582" s="10" t="n">
        <v>0</v>
      </c>
      <c r="M582" s="10" t="n">
        <v>0</v>
      </c>
      <c r="N582" s="10" t="n">
        <v>0</v>
      </c>
      <c r="O582" s="10" t="n">
        <v>0</v>
      </c>
      <c r="P582" s="10" t="n">
        <v>0</v>
      </c>
      <c r="Q582" s="10" t="n">
        <v>105681.3</v>
      </c>
      <c r="R582" s="10" t="n">
        <v>0</v>
      </c>
      <c r="S582" s="10" t="n">
        <v>0</v>
      </c>
      <c r="T582" s="10" t="n">
        <v>0</v>
      </c>
      <c r="U582" s="10" t="n">
        <v>0</v>
      </c>
    </row>
    <row r="583" customFormat="false" ht="15" hidden="false" customHeight="false" outlineLevel="0" collapsed="false">
      <c r="A583" s="7" t="s">
        <v>394</v>
      </c>
      <c r="B583" s="7" t="s">
        <v>43</v>
      </c>
      <c r="C583" s="7" t="s">
        <v>922</v>
      </c>
      <c r="D583" s="10" t="n">
        <v>0</v>
      </c>
      <c r="E583" s="10" t="n">
        <v>0</v>
      </c>
      <c r="F583" s="10" t="n">
        <v>28.8</v>
      </c>
      <c r="G583" s="10" t="n">
        <v>0</v>
      </c>
      <c r="H583" s="10" t="n">
        <v>0</v>
      </c>
      <c r="I583" s="10" t="n">
        <v>0</v>
      </c>
      <c r="J583" s="10" t="n">
        <v>0</v>
      </c>
      <c r="K583" s="10" t="n">
        <v>0</v>
      </c>
      <c r="L583" s="10" t="n">
        <v>0</v>
      </c>
      <c r="M583" s="10" t="n">
        <v>0</v>
      </c>
      <c r="N583" s="10" t="n">
        <v>0</v>
      </c>
      <c r="O583" s="10" t="n">
        <v>0</v>
      </c>
      <c r="P583" s="10" t="n">
        <v>0</v>
      </c>
      <c r="Q583" s="10" t="n">
        <v>0</v>
      </c>
      <c r="R583" s="10" t="n">
        <v>0</v>
      </c>
      <c r="S583" s="10" t="n">
        <v>0</v>
      </c>
      <c r="T583" s="10" t="n">
        <v>0</v>
      </c>
      <c r="U583" s="10" t="n">
        <v>0</v>
      </c>
    </row>
    <row r="584" customFormat="false" ht="15" hidden="false" customHeight="false" outlineLevel="0" collapsed="false">
      <c r="A584" s="7" t="s">
        <v>394</v>
      </c>
      <c r="B584" s="7" t="s">
        <v>132</v>
      </c>
      <c r="C584" s="7" t="s">
        <v>923</v>
      </c>
      <c r="D584" s="10" t="n">
        <v>0</v>
      </c>
      <c r="E584" s="10" t="n">
        <v>0</v>
      </c>
      <c r="F584" s="10" t="n">
        <v>2988.8</v>
      </c>
      <c r="G584" s="10" t="n">
        <v>0</v>
      </c>
      <c r="H584" s="10" t="n">
        <v>0</v>
      </c>
      <c r="I584" s="10" t="n">
        <v>2362.3</v>
      </c>
      <c r="J584" s="10" t="n">
        <v>0</v>
      </c>
      <c r="K584" s="10" t="n">
        <v>0</v>
      </c>
      <c r="L584" s="10" t="n">
        <v>0</v>
      </c>
      <c r="M584" s="10" t="n">
        <v>0</v>
      </c>
      <c r="N584" s="10" t="n">
        <v>0</v>
      </c>
      <c r="O584" s="10" t="n">
        <v>0</v>
      </c>
      <c r="P584" s="10" t="n">
        <v>0</v>
      </c>
      <c r="Q584" s="10" t="n">
        <v>2362.3</v>
      </c>
      <c r="R584" s="10" t="n">
        <v>0</v>
      </c>
      <c r="S584" s="10" t="n">
        <v>0</v>
      </c>
      <c r="T584" s="10" t="n">
        <v>0</v>
      </c>
      <c r="U584" s="10" t="n">
        <v>0</v>
      </c>
    </row>
    <row r="585" customFormat="false" ht="15" hidden="false" customHeight="false" outlineLevel="0" collapsed="false">
      <c r="A585" s="7" t="s">
        <v>394</v>
      </c>
      <c r="B585" s="7" t="s">
        <v>132</v>
      </c>
      <c r="C585" s="7" t="s">
        <v>924</v>
      </c>
      <c r="D585" s="10" t="n">
        <v>0</v>
      </c>
      <c r="E585" s="10" t="n">
        <v>0</v>
      </c>
      <c r="F585" s="10" t="n">
        <v>3826.8</v>
      </c>
      <c r="G585" s="10" t="n">
        <v>0</v>
      </c>
      <c r="H585" s="10" t="n">
        <v>254.7</v>
      </c>
      <c r="I585" s="10" t="n">
        <v>2786.5</v>
      </c>
      <c r="J585" s="10" t="n">
        <v>0</v>
      </c>
      <c r="K585" s="10" t="n">
        <v>0</v>
      </c>
      <c r="L585" s="10" t="n">
        <v>0</v>
      </c>
      <c r="M585" s="10" t="n">
        <v>0</v>
      </c>
      <c r="N585" s="10" t="n">
        <v>0</v>
      </c>
      <c r="O585" s="10" t="n">
        <v>0</v>
      </c>
      <c r="P585" s="10" t="n">
        <v>0</v>
      </c>
      <c r="Q585" s="10" t="n">
        <v>2786.5</v>
      </c>
      <c r="R585" s="10" t="n">
        <v>0</v>
      </c>
      <c r="S585" s="10" t="n">
        <v>0</v>
      </c>
      <c r="T585" s="10" t="n">
        <v>0</v>
      </c>
      <c r="U585" s="10" t="n">
        <v>0</v>
      </c>
    </row>
    <row r="586" customFormat="false" ht="15" hidden="false" customHeight="false" outlineLevel="0" collapsed="false">
      <c r="A586" s="7" t="s">
        <v>394</v>
      </c>
      <c r="B586" s="7" t="s">
        <v>144</v>
      </c>
      <c r="C586" s="7" t="s">
        <v>925</v>
      </c>
      <c r="D586" s="10" t="n">
        <v>0</v>
      </c>
      <c r="E586" s="10" t="n">
        <v>0</v>
      </c>
      <c r="F586" s="10" t="n">
        <v>19629.5</v>
      </c>
      <c r="G586" s="10" t="n">
        <v>0</v>
      </c>
      <c r="H586" s="10" t="n">
        <v>0</v>
      </c>
      <c r="I586" s="10" t="n">
        <v>12662</v>
      </c>
      <c r="J586" s="10" t="n">
        <v>0</v>
      </c>
      <c r="K586" s="10" t="n">
        <v>0</v>
      </c>
      <c r="L586" s="10" t="n">
        <v>0</v>
      </c>
      <c r="M586" s="10" t="n">
        <v>0</v>
      </c>
      <c r="N586" s="10" t="n">
        <v>0</v>
      </c>
      <c r="O586" s="10" t="n">
        <v>0</v>
      </c>
      <c r="P586" s="10" t="n">
        <v>0</v>
      </c>
      <c r="Q586" s="10" t="n">
        <v>12662</v>
      </c>
      <c r="R586" s="10" t="n">
        <v>0</v>
      </c>
      <c r="S586" s="10" t="n">
        <v>0</v>
      </c>
      <c r="T586" s="10" t="n">
        <v>0</v>
      </c>
      <c r="U586" s="10" t="n">
        <v>0</v>
      </c>
    </row>
    <row r="587" customFormat="false" ht="15" hidden="false" customHeight="false" outlineLevel="0" collapsed="false">
      <c r="A587" s="7" t="s">
        <v>394</v>
      </c>
      <c r="B587" s="7" t="s">
        <v>64</v>
      </c>
      <c r="C587" s="7" t="s">
        <v>926</v>
      </c>
      <c r="D587" s="10" t="n">
        <v>0</v>
      </c>
      <c r="E587" s="10" t="n">
        <v>0</v>
      </c>
      <c r="F587" s="10" t="n">
        <v>215.4</v>
      </c>
      <c r="G587" s="10" t="n">
        <v>0</v>
      </c>
      <c r="H587" s="10" t="n">
        <v>0</v>
      </c>
      <c r="I587" s="10" t="n">
        <v>0</v>
      </c>
      <c r="J587" s="10" t="n">
        <v>0</v>
      </c>
      <c r="K587" s="10" t="n">
        <v>0</v>
      </c>
      <c r="L587" s="10" t="n">
        <v>0</v>
      </c>
      <c r="M587" s="10" t="n">
        <v>0</v>
      </c>
      <c r="N587" s="10" t="n">
        <v>0</v>
      </c>
      <c r="O587" s="10" t="n">
        <v>0</v>
      </c>
      <c r="P587" s="10" t="n">
        <v>0</v>
      </c>
      <c r="Q587" s="10" t="n">
        <v>0</v>
      </c>
      <c r="R587" s="10" t="n">
        <v>0</v>
      </c>
      <c r="S587" s="10" t="n">
        <v>0</v>
      </c>
      <c r="T587" s="10" t="n">
        <v>0</v>
      </c>
      <c r="U587" s="10" t="n">
        <v>0</v>
      </c>
    </row>
    <row r="588" customFormat="false" ht="15" hidden="false" customHeight="false" outlineLevel="0" collapsed="false">
      <c r="A588" s="7" t="s">
        <v>394</v>
      </c>
      <c r="B588" s="7" t="s">
        <v>64</v>
      </c>
      <c r="C588" s="7" t="s">
        <v>927</v>
      </c>
      <c r="D588" s="10" t="n">
        <v>0</v>
      </c>
      <c r="E588" s="10" t="n">
        <v>0</v>
      </c>
      <c r="F588" s="10" t="n">
        <v>646.1</v>
      </c>
      <c r="G588" s="10" t="n">
        <v>0</v>
      </c>
      <c r="H588" s="10" t="n">
        <v>0</v>
      </c>
      <c r="I588" s="10" t="n">
        <v>0</v>
      </c>
      <c r="J588" s="10" t="n">
        <v>0</v>
      </c>
      <c r="K588" s="10" t="n">
        <v>0</v>
      </c>
      <c r="L588" s="10" t="n">
        <v>0</v>
      </c>
      <c r="M588" s="10" t="n">
        <v>0</v>
      </c>
      <c r="N588" s="10" t="n">
        <v>0</v>
      </c>
      <c r="O588" s="10" t="n">
        <v>0</v>
      </c>
      <c r="P588" s="10" t="n">
        <v>0</v>
      </c>
      <c r="Q588" s="10" t="n">
        <v>0</v>
      </c>
      <c r="R588" s="10" t="n">
        <v>0</v>
      </c>
      <c r="S588" s="10" t="n">
        <v>0</v>
      </c>
      <c r="T588" s="10" t="n">
        <v>0</v>
      </c>
      <c r="U588" s="10" t="n">
        <v>0</v>
      </c>
    </row>
    <row r="589" customFormat="false" ht="15" hidden="false" customHeight="false" outlineLevel="0" collapsed="false">
      <c r="A589" s="7" t="s">
        <v>394</v>
      </c>
      <c r="B589" s="7" t="s">
        <v>64</v>
      </c>
      <c r="C589" s="7" t="s">
        <v>928</v>
      </c>
      <c r="D589" s="10" t="n">
        <v>0</v>
      </c>
      <c r="E589" s="10" t="n">
        <v>0</v>
      </c>
      <c r="F589" s="10" t="n">
        <v>646.1</v>
      </c>
      <c r="G589" s="10" t="n">
        <v>0</v>
      </c>
      <c r="H589" s="10" t="n">
        <v>0</v>
      </c>
      <c r="I589" s="10" t="n">
        <v>0</v>
      </c>
      <c r="J589" s="10" t="n">
        <v>0</v>
      </c>
      <c r="K589" s="10" t="n">
        <v>0</v>
      </c>
      <c r="L589" s="10" t="n">
        <v>0</v>
      </c>
      <c r="M589" s="10" t="n">
        <v>0</v>
      </c>
      <c r="N589" s="10" t="n">
        <v>0</v>
      </c>
      <c r="O589" s="10" t="n">
        <v>0</v>
      </c>
      <c r="P589" s="10" t="n">
        <v>0</v>
      </c>
      <c r="Q589" s="10" t="n">
        <v>0</v>
      </c>
      <c r="R589" s="10" t="n">
        <v>0</v>
      </c>
      <c r="S589" s="10" t="n">
        <v>0</v>
      </c>
      <c r="T589" s="10" t="n">
        <v>0</v>
      </c>
      <c r="U589" s="10" t="n">
        <v>0</v>
      </c>
    </row>
    <row r="590" customFormat="false" ht="15" hidden="false" customHeight="false" outlineLevel="0" collapsed="false">
      <c r="A590" s="7" t="s">
        <v>394</v>
      </c>
      <c r="B590" s="7" t="s">
        <v>64</v>
      </c>
      <c r="C590" s="7" t="s">
        <v>929</v>
      </c>
      <c r="D590" s="10" t="n">
        <v>0</v>
      </c>
      <c r="E590" s="10" t="n">
        <v>0</v>
      </c>
      <c r="F590" s="10" t="n">
        <v>1263.5</v>
      </c>
      <c r="G590" s="10" t="n">
        <v>0</v>
      </c>
      <c r="H590" s="10" t="n">
        <v>0</v>
      </c>
      <c r="I590" s="10" t="n">
        <v>0</v>
      </c>
      <c r="J590" s="10" t="n">
        <v>0</v>
      </c>
      <c r="K590" s="10" t="n">
        <v>0</v>
      </c>
      <c r="L590" s="10" t="n">
        <v>0</v>
      </c>
      <c r="M590" s="10" t="n">
        <v>0</v>
      </c>
      <c r="N590" s="10" t="n">
        <v>0</v>
      </c>
      <c r="O590" s="10" t="n">
        <v>0</v>
      </c>
      <c r="P590" s="10" t="n">
        <v>0</v>
      </c>
      <c r="Q590" s="10" t="n">
        <v>0</v>
      </c>
      <c r="R590" s="10" t="n">
        <v>0</v>
      </c>
      <c r="S590" s="10" t="n">
        <v>0</v>
      </c>
      <c r="T590" s="10" t="n">
        <v>0</v>
      </c>
      <c r="U590" s="10" t="n">
        <v>0</v>
      </c>
    </row>
    <row r="591" customFormat="false" ht="15" hidden="false" customHeight="false" outlineLevel="0" collapsed="false">
      <c r="A591" s="7" t="s">
        <v>394</v>
      </c>
      <c r="B591" s="7" t="s">
        <v>64</v>
      </c>
      <c r="C591" s="7" t="s">
        <v>930</v>
      </c>
      <c r="D591" s="10" t="n">
        <v>0</v>
      </c>
      <c r="E591" s="10" t="n">
        <v>0</v>
      </c>
      <c r="F591" s="10" t="n">
        <v>1263.5</v>
      </c>
      <c r="G591" s="10" t="n">
        <v>0</v>
      </c>
      <c r="H591" s="10" t="n">
        <v>0</v>
      </c>
      <c r="I591" s="10" t="n">
        <v>0</v>
      </c>
      <c r="J591" s="10" t="n">
        <v>0</v>
      </c>
      <c r="K591" s="10" t="n">
        <v>0</v>
      </c>
      <c r="L591" s="10" t="n">
        <v>0</v>
      </c>
      <c r="M591" s="10" t="n">
        <v>0</v>
      </c>
      <c r="N591" s="10" t="n">
        <v>0</v>
      </c>
      <c r="O591" s="10" t="n">
        <v>0</v>
      </c>
      <c r="P591" s="10" t="n">
        <v>0</v>
      </c>
      <c r="Q591" s="10" t="n">
        <v>0</v>
      </c>
      <c r="R591" s="10" t="n">
        <v>0</v>
      </c>
      <c r="S591" s="10" t="n">
        <v>0</v>
      </c>
      <c r="T591" s="10" t="n">
        <v>0</v>
      </c>
      <c r="U591" s="10" t="n">
        <v>0</v>
      </c>
    </row>
    <row r="592" customFormat="false" ht="15" hidden="false" customHeight="false" outlineLevel="0" collapsed="false">
      <c r="A592" s="7" t="s">
        <v>931</v>
      </c>
      <c r="B592" s="7" t="s">
        <v>82</v>
      </c>
      <c r="C592" s="7" t="s">
        <v>395</v>
      </c>
      <c r="D592" s="10" t="n">
        <v>0</v>
      </c>
      <c r="E592" s="10" t="n">
        <v>0</v>
      </c>
      <c r="F592" s="10" t="n">
        <v>328</v>
      </c>
      <c r="G592" s="10" t="n">
        <v>0</v>
      </c>
      <c r="H592" s="10" t="n">
        <v>0</v>
      </c>
      <c r="I592" s="10" t="n">
        <v>1164</v>
      </c>
      <c r="J592" s="10" t="n">
        <v>0</v>
      </c>
      <c r="K592" s="10" t="n">
        <v>13</v>
      </c>
      <c r="L592" s="10" t="n">
        <v>0</v>
      </c>
      <c r="M592" s="10" t="n">
        <v>0</v>
      </c>
      <c r="N592" s="10" t="n">
        <v>0</v>
      </c>
      <c r="O592" s="10" t="n">
        <v>0</v>
      </c>
      <c r="P592" s="10" t="n">
        <v>-8</v>
      </c>
      <c r="Q592" s="10" t="n">
        <v>1030</v>
      </c>
      <c r="R592" s="10" t="n">
        <v>129</v>
      </c>
      <c r="S592" s="10" t="n">
        <v>0</v>
      </c>
      <c r="T592" s="10" t="n">
        <v>0</v>
      </c>
      <c r="U592" s="10" t="n">
        <v>0</v>
      </c>
    </row>
    <row r="593" customFormat="false" ht="15" hidden="false" customHeight="false" outlineLevel="0" collapsed="false">
      <c r="A593" s="7" t="s">
        <v>931</v>
      </c>
      <c r="B593" s="7" t="s">
        <v>82</v>
      </c>
      <c r="C593" s="7" t="s">
        <v>396</v>
      </c>
      <c r="D593" s="10" t="n">
        <v>0</v>
      </c>
      <c r="E593" s="10" t="n">
        <v>0</v>
      </c>
      <c r="F593" s="10" t="n">
        <v>415</v>
      </c>
      <c r="G593" s="10" t="n">
        <v>0</v>
      </c>
      <c r="H593" s="10" t="n">
        <v>0</v>
      </c>
      <c r="I593" s="10" t="n">
        <v>1310</v>
      </c>
      <c r="J593" s="10" t="n">
        <v>0</v>
      </c>
      <c r="K593" s="10" t="n">
        <v>5</v>
      </c>
      <c r="L593" s="10" t="n">
        <v>0</v>
      </c>
      <c r="M593" s="10" t="n">
        <v>0</v>
      </c>
      <c r="N593" s="10" t="n">
        <v>0</v>
      </c>
      <c r="O593" s="10" t="n">
        <v>2</v>
      </c>
      <c r="P593" s="10" t="n">
        <v>-13</v>
      </c>
      <c r="Q593" s="10" t="n">
        <v>1142</v>
      </c>
      <c r="R593" s="10" t="n">
        <v>174</v>
      </c>
      <c r="S593" s="10" t="n">
        <v>0</v>
      </c>
      <c r="T593" s="10" t="n">
        <v>0</v>
      </c>
      <c r="U593" s="10" t="n">
        <v>0</v>
      </c>
    </row>
    <row r="594" customFormat="false" ht="15" hidden="false" customHeight="false" outlineLevel="0" collapsed="false">
      <c r="A594" s="7" t="s">
        <v>931</v>
      </c>
      <c r="B594" s="7" t="s">
        <v>293</v>
      </c>
      <c r="C594" s="7" t="s">
        <v>397</v>
      </c>
      <c r="D594" s="10" t="n">
        <v>0</v>
      </c>
      <c r="E594" s="10" t="n">
        <v>0</v>
      </c>
      <c r="F594" s="10" t="n">
        <v>261</v>
      </c>
      <c r="G594" s="10" t="n">
        <v>0</v>
      </c>
      <c r="H594" s="10" t="n">
        <v>0</v>
      </c>
      <c r="I594" s="10" t="n">
        <v>118</v>
      </c>
      <c r="J594" s="10" t="n">
        <v>0</v>
      </c>
      <c r="K594" s="10" t="n">
        <v>8</v>
      </c>
      <c r="L594" s="10" t="n">
        <v>0</v>
      </c>
      <c r="M594" s="10" t="n">
        <v>0</v>
      </c>
      <c r="N594" s="10" t="n">
        <v>0</v>
      </c>
      <c r="O594" s="10" t="n">
        <v>14</v>
      </c>
      <c r="P594" s="10" t="n">
        <v>-2</v>
      </c>
      <c r="Q594" s="10" t="n">
        <v>0</v>
      </c>
      <c r="R594" s="10" t="n">
        <v>98</v>
      </c>
      <c r="S594" s="10" t="n">
        <v>0</v>
      </c>
      <c r="T594" s="10" t="n">
        <v>0</v>
      </c>
      <c r="U594" s="10" t="n">
        <v>0</v>
      </c>
    </row>
    <row r="595" customFormat="false" ht="15" hidden="false" customHeight="false" outlineLevel="0" collapsed="false">
      <c r="A595" s="7" t="s">
        <v>931</v>
      </c>
      <c r="B595" s="7" t="s">
        <v>308</v>
      </c>
      <c r="C595" s="7" t="s">
        <v>398</v>
      </c>
      <c r="D595" s="10" t="n">
        <v>0</v>
      </c>
      <c r="E595" s="10" t="n">
        <v>0</v>
      </c>
      <c r="F595" s="10" t="n">
        <v>70</v>
      </c>
      <c r="G595" s="10" t="n">
        <v>0</v>
      </c>
      <c r="H595" s="10" t="n">
        <v>0</v>
      </c>
      <c r="I595" s="10" t="n">
        <v>0</v>
      </c>
      <c r="J595" s="10" t="n">
        <v>0</v>
      </c>
      <c r="K595" s="10" t="n">
        <v>0</v>
      </c>
      <c r="L595" s="10" t="n">
        <v>0</v>
      </c>
      <c r="M595" s="10" t="n">
        <v>0</v>
      </c>
      <c r="N595" s="10" t="n">
        <v>0</v>
      </c>
      <c r="O595" s="10" t="n">
        <v>0</v>
      </c>
      <c r="P595" s="10" t="n">
        <v>0</v>
      </c>
      <c r="Q595" s="10" t="n">
        <v>0</v>
      </c>
      <c r="R595" s="10" t="n">
        <v>0</v>
      </c>
      <c r="S595" s="10" t="n">
        <v>0</v>
      </c>
      <c r="T595" s="10" t="n">
        <v>0</v>
      </c>
      <c r="U595" s="10" t="n">
        <v>0</v>
      </c>
    </row>
    <row r="596" customFormat="false" ht="15" hidden="false" customHeight="false" outlineLevel="0" collapsed="false">
      <c r="A596" s="7" t="s">
        <v>931</v>
      </c>
      <c r="B596" s="7" t="s">
        <v>337</v>
      </c>
      <c r="C596" s="7" t="s">
        <v>399</v>
      </c>
      <c r="D596" s="10" t="n">
        <v>0</v>
      </c>
      <c r="E596" s="10" t="n">
        <v>0</v>
      </c>
      <c r="F596" s="10" t="n">
        <v>20</v>
      </c>
      <c r="G596" s="10" t="n">
        <v>0</v>
      </c>
      <c r="H596" s="10" t="n">
        <v>0</v>
      </c>
      <c r="I596" s="10" t="n">
        <v>0</v>
      </c>
      <c r="J596" s="10" t="n">
        <v>0</v>
      </c>
      <c r="K596" s="10" t="n">
        <v>0</v>
      </c>
      <c r="L596" s="10" t="n">
        <v>0</v>
      </c>
      <c r="M596" s="10" t="n">
        <v>0</v>
      </c>
      <c r="N596" s="10" t="n">
        <v>0</v>
      </c>
      <c r="O596" s="10" t="n">
        <v>0</v>
      </c>
      <c r="P596" s="10" t="n">
        <v>0</v>
      </c>
      <c r="Q596" s="10" t="n">
        <v>0</v>
      </c>
      <c r="R596" s="10" t="n">
        <v>0</v>
      </c>
      <c r="S596" s="10" t="n">
        <v>0</v>
      </c>
      <c r="T596" s="10" t="n">
        <v>0</v>
      </c>
      <c r="U596" s="10" t="n">
        <v>0</v>
      </c>
    </row>
    <row r="597" customFormat="false" ht="15" hidden="false" customHeight="false" outlineLevel="0" collapsed="false">
      <c r="A597" s="7" t="s">
        <v>931</v>
      </c>
      <c r="B597" s="7" t="s">
        <v>341</v>
      </c>
      <c r="C597" s="7" t="s">
        <v>400</v>
      </c>
      <c r="D597" s="10" t="n">
        <v>0</v>
      </c>
      <c r="E597" s="10" t="n">
        <v>0</v>
      </c>
      <c r="F597" s="10" t="n">
        <v>19</v>
      </c>
      <c r="G597" s="10" t="n">
        <v>0</v>
      </c>
      <c r="H597" s="10" t="n">
        <v>0</v>
      </c>
      <c r="I597" s="10" t="n">
        <v>0</v>
      </c>
      <c r="J597" s="10" t="n">
        <v>0</v>
      </c>
      <c r="K597" s="10" t="n">
        <v>0</v>
      </c>
      <c r="L597" s="10" t="n">
        <v>0</v>
      </c>
      <c r="M597" s="10" t="n">
        <v>0</v>
      </c>
      <c r="N597" s="10" t="n">
        <v>0</v>
      </c>
      <c r="O597" s="10" t="n">
        <v>0</v>
      </c>
      <c r="P597" s="10" t="n">
        <v>0</v>
      </c>
      <c r="Q597" s="10" t="n">
        <v>0</v>
      </c>
      <c r="R597" s="10" t="n">
        <v>0</v>
      </c>
      <c r="S597" s="10" t="n">
        <v>0</v>
      </c>
      <c r="T597" s="10" t="n">
        <v>0</v>
      </c>
      <c r="U597" s="10" t="n">
        <v>0</v>
      </c>
    </row>
    <row r="598" customFormat="false" ht="15" hidden="false" customHeight="false" outlineLevel="0" collapsed="false">
      <c r="A598" s="7" t="s">
        <v>931</v>
      </c>
      <c r="B598" s="7" t="s">
        <v>336</v>
      </c>
      <c r="C598" s="7" t="s">
        <v>401</v>
      </c>
      <c r="D598" s="10" t="n">
        <v>0</v>
      </c>
      <c r="E598" s="10" t="n">
        <v>0</v>
      </c>
      <c r="F598" s="10" t="n">
        <v>47</v>
      </c>
      <c r="G598" s="10" t="n">
        <v>0</v>
      </c>
      <c r="H598" s="10" t="n">
        <v>0</v>
      </c>
      <c r="I598" s="10" t="n">
        <v>0</v>
      </c>
      <c r="J598" s="10" t="n">
        <v>0</v>
      </c>
      <c r="K598" s="10" t="n">
        <v>0</v>
      </c>
      <c r="L598" s="10" t="n">
        <v>0</v>
      </c>
      <c r="M598" s="10" t="n">
        <v>0</v>
      </c>
      <c r="N598" s="10" t="n">
        <v>0</v>
      </c>
      <c r="O598" s="10" t="n">
        <v>0</v>
      </c>
      <c r="P598" s="10" t="n">
        <v>0</v>
      </c>
      <c r="Q598" s="10" t="n">
        <v>0</v>
      </c>
      <c r="R598" s="10" t="n">
        <v>0</v>
      </c>
      <c r="S598" s="10" t="n">
        <v>0</v>
      </c>
      <c r="T598" s="10" t="n">
        <v>0</v>
      </c>
      <c r="U598" s="10" t="n">
        <v>0</v>
      </c>
    </row>
    <row r="599" customFormat="false" ht="15" hidden="false" customHeight="false" outlineLevel="0" collapsed="false">
      <c r="A599" s="7" t="s">
        <v>931</v>
      </c>
      <c r="B599" s="7" t="s">
        <v>143</v>
      </c>
      <c r="C599" s="7" t="s">
        <v>402</v>
      </c>
      <c r="D599" s="10" t="n">
        <v>0</v>
      </c>
      <c r="E599" s="10" t="n">
        <v>0</v>
      </c>
      <c r="F599" s="10" t="n">
        <v>124</v>
      </c>
      <c r="G599" s="10" t="n">
        <v>0</v>
      </c>
      <c r="H599" s="10" t="n">
        <v>0</v>
      </c>
      <c r="I599" s="10" t="n">
        <v>252</v>
      </c>
      <c r="J599" s="10" t="n">
        <v>0</v>
      </c>
      <c r="K599" s="10" t="n">
        <v>7</v>
      </c>
      <c r="L599" s="10" t="n">
        <v>0</v>
      </c>
      <c r="M599" s="10" t="n">
        <v>0</v>
      </c>
      <c r="N599" s="10" t="n">
        <v>0</v>
      </c>
      <c r="O599" s="10" t="n">
        <v>0</v>
      </c>
      <c r="P599" s="10" t="n">
        <v>-4</v>
      </c>
      <c r="Q599" s="10" t="n">
        <v>199</v>
      </c>
      <c r="R599" s="10" t="n">
        <v>50</v>
      </c>
      <c r="S599" s="10" t="n">
        <v>0</v>
      </c>
      <c r="T599" s="10" t="n">
        <v>0</v>
      </c>
      <c r="U599" s="10" t="n">
        <v>0</v>
      </c>
    </row>
    <row r="600" customFormat="false" ht="15" hidden="false" customHeight="false" outlineLevel="0" collapsed="false">
      <c r="A600" s="7" t="s">
        <v>931</v>
      </c>
      <c r="B600" s="7" t="s">
        <v>91</v>
      </c>
      <c r="C600" s="7" t="s">
        <v>403</v>
      </c>
      <c r="D600" s="10" t="n">
        <v>0</v>
      </c>
      <c r="E600" s="10" t="n">
        <v>0</v>
      </c>
      <c r="F600" s="10" t="n">
        <v>296</v>
      </c>
      <c r="G600" s="10" t="n">
        <v>0</v>
      </c>
      <c r="H600" s="10" t="n">
        <v>42</v>
      </c>
      <c r="I600" s="10" t="n">
        <v>2062</v>
      </c>
      <c r="J600" s="10" t="n">
        <v>0</v>
      </c>
      <c r="K600" s="10" t="n">
        <v>20</v>
      </c>
      <c r="L600" s="10" t="n">
        <v>-1</v>
      </c>
      <c r="M600" s="10" t="n">
        <v>3</v>
      </c>
      <c r="N600" s="10" t="n">
        <v>2</v>
      </c>
      <c r="O600" s="10" t="n">
        <v>0</v>
      </c>
      <c r="P600" s="10" t="n">
        <v>-5</v>
      </c>
      <c r="Q600" s="10" t="n">
        <v>1909</v>
      </c>
      <c r="R600" s="10" t="n">
        <v>134</v>
      </c>
      <c r="S600" s="10" t="n">
        <v>0</v>
      </c>
      <c r="T600" s="10" t="n">
        <v>0</v>
      </c>
      <c r="U600" s="10" t="n">
        <v>0</v>
      </c>
    </row>
    <row r="601" customFormat="false" ht="15" hidden="false" customHeight="false" outlineLevel="0" collapsed="false">
      <c r="A601" s="7" t="s">
        <v>931</v>
      </c>
      <c r="B601" s="7" t="s">
        <v>119</v>
      </c>
      <c r="C601" s="7" t="s">
        <v>404</v>
      </c>
      <c r="D601" s="10" t="n">
        <v>0</v>
      </c>
      <c r="E601" s="10" t="n">
        <v>0</v>
      </c>
      <c r="F601" s="10" t="n">
        <v>21</v>
      </c>
      <c r="G601" s="10" t="n">
        <v>0</v>
      </c>
      <c r="H601" s="10" t="n">
        <v>0</v>
      </c>
      <c r="I601" s="10" t="n">
        <v>30</v>
      </c>
      <c r="J601" s="10" t="n">
        <v>0</v>
      </c>
      <c r="K601" s="10" t="n">
        <v>0</v>
      </c>
      <c r="L601" s="10" t="n">
        <v>0</v>
      </c>
      <c r="M601" s="10" t="n">
        <v>0</v>
      </c>
      <c r="N601" s="10" t="n">
        <v>0</v>
      </c>
      <c r="O601" s="10" t="n">
        <v>0</v>
      </c>
      <c r="P601" s="10" t="n">
        <v>-2</v>
      </c>
      <c r="Q601" s="10" t="n">
        <v>30</v>
      </c>
      <c r="R601" s="10" t="n">
        <v>2</v>
      </c>
      <c r="S601" s="10" t="n">
        <v>0</v>
      </c>
      <c r="T601" s="10" t="n">
        <v>0</v>
      </c>
      <c r="U601" s="10" t="n">
        <v>0</v>
      </c>
    </row>
    <row r="602" customFormat="false" ht="15" hidden="false" customHeight="false" outlineLevel="0" collapsed="false">
      <c r="A602" s="7" t="s">
        <v>931</v>
      </c>
      <c r="B602" s="7" t="s">
        <v>119</v>
      </c>
      <c r="C602" s="7" t="s">
        <v>405</v>
      </c>
      <c r="D602" s="10" t="n">
        <v>0</v>
      </c>
      <c r="E602" s="10" t="n">
        <v>0</v>
      </c>
      <c r="F602" s="10" t="n">
        <v>42</v>
      </c>
      <c r="G602" s="10" t="n">
        <v>0</v>
      </c>
      <c r="H602" s="10" t="n">
        <v>0</v>
      </c>
      <c r="I602" s="10" t="n">
        <v>89</v>
      </c>
      <c r="J602" s="10" t="n">
        <v>0</v>
      </c>
      <c r="K602" s="10" t="n">
        <v>0</v>
      </c>
      <c r="L602" s="10" t="n">
        <v>0</v>
      </c>
      <c r="M602" s="10" t="n">
        <v>0</v>
      </c>
      <c r="N602" s="10" t="n">
        <v>0</v>
      </c>
      <c r="O602" s="10" t="n">
        <v>0</v>
      </c>
      <c r="P602" s="10" t="n">
        <v>0</v>
      </c>
      <c r="Q602" s="10" t="n">
        <v>75</v>
      </c>
      <c r="R602" s="10" t="n">
        <v>14</v>
      </c>
      <c r="S602" s="10" t="n">
        <v>0</v>
      </c>
      <c r="T602" s="10" t="n">
        <v>0</v>
      </c>
      <c r="U602" s="10" t="n">
        <v>0</v>
      </c>
    </row>
    <row r="603" customFormat="false" ht="15" hidden="false" customHeight="false" outlineLevel="0" collapsed="false">
      <c r="A603" s="7" t="s">
        <v>931</v>
      </c>
      <c r="B603" s="7" t="s">
        <v>119</v>
      </c>
      <c r="C603" s="7" t="s">
        <v>406</v>
      </c>
      <c r="D603" s="10" t="n">
        <v>0</v>
      </c>
      <c r="E603" s="10" t="n">
        <v>0</v>
      </c>
      <c r="F603" s="10" t="n">
        <v>73</v>
      </c>
      <c r="G603" s="10" t="n">
        <v>0</v>
      </c>
      <c r="H603" s="10" t="n">
        <v>0</v>
      </c>
      <c r="I603" s="10" t="n">
        <v>114</v>
      </c>
      <c r="J603" s="10" t="n">
        <v>0</v>
      </c>
      <c r="K603" s="10" t="n">
        <v>5</v>
      </c>
      <c r="L603" s="10" t="n">
        <v>0</v>
      </c>
      <c r="M603" s="10" t="n">
        <v>0</v>
      </c>
      <c r="N603" s="10" t="n">
        <v>0</v>
      </c>
      <c r="O603" s="10" t="n">
        <v>0</v>
      </c>
      <c r="P603" s="10" t="n">
        <v>-3</v>
      </c>
      <c r="Q603" s="10" t="n">
        <v>96</v>
      </c>
      <c r="R603" s="10" t="n">
        <v>16</v>
      </c>
      <c r="S603" s="10" t="n">
        <v>0</v>
      </c>
      <c r="T603" s="10" t="n">
        <v>0</v>
      </c>
      <c r="U603" s="10" t="n">
        <v>0</v>
      </c>
    </row>
    <row r="604" customFormat="false" ht="15" hidden="false" customHeight="false" outlineLevel="0" collapsed="false">
      <c r="A604" s="7" t="s">
        <v>931</v>
      </c>
      <c r="B604" s="7" t="s">
        <v>141</v>
      </c>
      <c r="C604" s="7" t="s">
        <v>407</v>
      </c>
      <c r="D604" s="10" t="n">
        <v>0</v>
      </c>
      <c r="E604" s="10" t="n">
        <v>0</v>
      </c>
      <c r="F604" s="10" t="n">
        <v>2</v>
      </c>
      <c r="G604" s="10" t="n">
        <v>0</v>
      </c>
      <c r="H604" s="10" t="n">
        <v>0</v>
      </c>
      <c r="I604" s="10" t="n">
        <v>24</v>
      </c>
      <c r="J604" s="10" t="n">
        <v>0</v>
      </c>
      <c r="K604" s="10" t="n">
        <v>0</v>
      </c>
      <c r="L604" s="10" t="n">
        <v>0</v>
      </c>
      <c r="M604" s="10" t="n">
        <v>0</v>
      </c>
      <c r="N604" s="10" t="n">
        <v>0</v>
      </c>
      <c r="O604" s="10" t="n">
        <v>0</v>
      </c>
      <c r="P604" s="10" t="n">
        <v>0</v>
      </c>
      <c r="Q604" s="10" t="n">
        <v>22</v>
      </c>
      <c r="R604" s="10" t="n">
        <v>2</v>
      </c>
      <c r="S604" s="10" t="n">
        <v>0</v>
      </c>
      <c r="T604" s="10" t="n">
        <v>0</v>
      </c>
      <c r="U604" s="10" t="n">
        <v>0</v>
      </c>
    </row>
    <row r="605" customFormat="false" ht="15" hidden="false" customHeight="false" outlineLevel="0" collapsed="false">
      <c r="A605" s="7" t="s">
        <v>931</v>
      </c>
      <c r="B605" s="7" t="s">
        <v>141</v>
      </c>
      <c r="C605" s="7" t="s">
        <v>408</v>
      </c>
      <c r="D605" s="10" t="n">
        <v>0</v>
      </c>
      <c r="E605" s="10" t="n">
        <v>0</v>
      </c>
      <c r="F605" s="10" t="n">
        <v>16</v>
      </c>
      <c r="G605" s="10" t="n">
        <v>0</v>
      </c>
      <c r="H605" s="10" t="n">
        <v>0</v>
      </c>
      <c r="I605" s="10" t="n">
        <v>54</v>
      </c>
      <c r="J605" s="10" t="n">
        <v>0</v>
      </c>
      <c r="K605" s="10" t="n">
        <v>0</v>
      </c>
      <c r="L605" s="10" t="n">
        <v>0</v>
      </c>
      <c r="M605" s="10" t="n">
        <v>0</v>
      </c>
      <c r="N605" s="10" t="n">
        <v>0</v>
      </c>
      <c r="O605" s="10" t="n">
        <v>0</v>
      </c>
      <c r="P605" s="10" t="n">
        <v>-2</v>
      </c>
      <c r="Q605" s="10" t="n">
        <v>52</v>
      </c>
      <c r="R605" s="10" t="n">
        <v>4</v>
      </c>
      <c r="S605" s="10" t="n">
        <v>0</v>
      </c>
      <c r="T605" s="10" t="n">
        <v>0</v>
      </c>
      <c r="U605" s="10" t="n">
        <v>0</v>
      </c>
    </row>
    <row r="606" customFormat="false" ht="15" hidden="false" customHeight="false" outlineLevel="0" collapsed="false">
      <c r="A606" s="7" t="s">
        <v>931</v>
      </c>
      <c r="B606" s="7" t="s">
        <v>183</v>
      </c>
      <c r="C606" s="7" t="s">
        <v>409</v>
      </c>
      <c r="D606" s="10" t="n">
        <v>0</v>
      </c>
      <c r="E606" s="10" t="n">
        <v>0</v>
      </c>
      <c r="F606" s="10" t="n">
        <v>12</v>
      </c>
      <c r="G606" s="10" t="n">
        <v>0</v>
      </c>
      <c r="H606" s="10" t="n">
        <v>0</v>
      </c>
      <c r="I606" s="10" t="n">
        <v>42</v>
      </c>
      <c r="J606" s="10" t="n">
        <v>0</v>
      </c>
      <c r="K606" s="10" t="n">
        <v>0</v>
      </c>
      <c r="L606" s="10" t="n">
        <v>0</v>
      </c>
      <c r="M606" s="10" t="n">
        <v>0</v>
      </c>
      <c r="N606" s="10" t="n">
        <v>0</v>
      </c>
      <c r="O606" s="10" t="n">
        <v>0</v>
      </c>
      <c r="P606" s="10" t="n">
        <v>-2</v>
      </c>
      <c r="Q606" s="10" t="n">
        <v>39</v>
      </c>
      <c r="R606" s="10" t="n">
        <v>5</v>
      </c>
      <c r="S606" s="10" t="n">
        <v>0</v>
      </c>
      <c r="T606" s="10" t="n">
        <v>0</v>
      </c>
      <c r="U606" s="10" t="n">
        <v>0</v>
      </c>
    </row>
    <row r="607" customFormat="false" ht="15" hidden="false" customHeight="false" outlineLevel="0" collapsed="false">
      <c r="A607" s="7" t="s">
        <v>931</v>
      </c>
      <c r="B607" s="7" t="s">
        <v>168</v>
      </c>
      <c r="C607" s="7" t="s">
        <v>410</v>
      </c>
      <c r="D607" s="10" t="n">
        <v>0</v>
      </c>
      <c r="E607" s="10" t="n">
        <v>0</v>
      </c>
      <c r="F607" s="10" t="n">
        <v>7</v>
      </c>
      <c r="G607" s="10" t="n">
        <v>0</v>
      </c>
      <c r="H607" s="10" t="n">
        <v>0</v>
      </c>
      <c r="I607" s="10" t="n">
        <v>27</v>
      </c>
      <c r="J607" s="10" t="n">
        <v>0</v>
      </c>
      <c r="K607" s="10" t="n">
        <v>0</v>
      </c>
      <c r="L607" s="10" t="n">
        <v>0</v>
      </c>
      <c r="M607" s="10" t="n">
        <v>0</v>
      </c>
      <c r="N607" s="10" t="n">
        <v>5</v>
      </c>
      <c r="O607" s="10" t="n">
        <v>0</v>
      </c>
      <c r="P607" s="10" t="n">
        <v>-3</v>
      </c>
      <c r="Q607" s="10" t="n">
        <v>20</v>
      </c>
      <c r="R607" s="10" t="n">
        <v>5</v>
      </c>
      <c r="S607" s="10" t="n">
        <v>0</v>
      </c>
      <c r="T607" s="10" t="n">
        <v>0</v>
      </c>
      <c r="U607" s="10" t="n">
        <v>0</v>
      </c>
    </row>
    <row r="608" customFormat="false" ht="15" hidden="false" customHeight="false" outlineLevel="0" collapsed="false">
      <c r="A608" s="7" t="s">
        <v>931</v>
      </c>
      <c r="B608" s="7" t="s">
        <v>168</v>
      </c>
      <c r="C608" s="7" t="s">
        <v>411</v>
      </c>
      <c r="D608" s="10" t="n">
        <v>0</v>
      </c>
      <c r="E608" s="10" t="n">
        <v>0</v>
      </c>
      <c r="F608" s="10" t="n">
        <v>18</v>
      </c>
      <c r="G608" s="10" t="n">
        <v>0</v>
      </c>
      <c r="H608" s="10" t="n">
        <v>0</v>
      </c>
      <c r="I608" s="10" t="n">
        <v>51</v>
      </c>
      <c r="J608" s="10" t="n">
        <v>0</v>
      </c>
      <c r="K608" s="10" t="n">
        <v>9</v>
      </c>
      <c r="L608" s="10" t="n">
        <v>-1</v>
      </c>
      <c r="M608" s="10" t="n">
        <v>0</v>
      </c>
      <c r="N608" s="10" t="n">
        <v>0</v>
      </c>
      <c r="O608" s="10" t="n">
        <v>0</v>
      </c>
      <c r="P608" s="10" t="n">
        <v>-6</v>
      </c>
      <c r="Q608" s="10" t="n">
        <v>35</v>
      </c>
      <c r="R608" s="10" t="n">
        <v>14</v>
      </c>
      <c r="S608" s="10" t="n">
        <v>0</v>
      </c>
      <c r="T608" s="10" t="n">
        <v>0</v>
      </c>
      <c r="U608" s="10" t="n">
        <v>0</v>
      </c>
    </row>
    <row r="609" customFormat="false" ht="15" hidden="false" customHeight="false" outlineLevel="0" collapsed="false">
      <c r="A609" s="7" t="s">
        <v>931</v>
      </c>
      <c r="B609" s="7" t="s">
        <v>168</v>
      </c>
      <c r="C609" s="7" t="s">
        <v>412</v>
      </c>
      <c r="D609" s="10" t="n">
        <v>0</v>
      </c>
      <c r="E609" s="10" t="n">
        <v>0</v>
      </c>
      <c r="F609" s="10" t="n">
        <v>20</v>
      </c>
      <c r="G609" s="10" t="n">
        <v>0</v>
      </c>
      <c r="H609" s="10" t="n">
        <v>0</v>
      </c>
      <c r="I609" s="10" t="n">
        <v>34</v>
      </c>
      <c r="J609" s="10" t="n">
        <v>0</v>
      </c>
      <c r="K609" s="10" t="n">
        <v>0</v>
      </c>
      <c r="L609" s="10" t="n">
        <v>0</v>
      </c>
      <c r="M609" s="10" t="n">
        <v>0</v>
      </c>
      <c r="N609" s="10" t="n">
        <v>0</v>
      </c>
      <c r="O609" s="10" t="n">
        <v>0</v>
      </c>
      <c r="P609" s="10" t="n">
        <v>0</v>
      </c>
      <c r="Q609" s="10" t="n">
        <v>34</v>
      </c>
      <c r="R609" s="10" t="n">
        <v>0</v>
      </c>
      <c r="S609" s="10" t="n">
        <v>0</v>
      </c>
      <c r="T609" s="10" t="n">
        <v>0</v>
      </c>
      <c r="U609" s="10" t="n">
        <v>0</v>
      </c>
    </row>
    <row r="610" customFormat="false" ht="15" hidden="false" customHeight="false" outlineLevel="0" collapsed="false">
      <c r="A610" s="7" t="s">
        <v>931</v>
      </c>
      <c r="B610" s="7" t="s">
        <v>248</v>
      </c>
      <c r="C610" s="7" t="s">
        <v>413</v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>
        <v>-1</v>
      </c>
      <c r="J610" s="10" t="n">
        <v>0</v>
      </c>
      <c r="K610" s="10" t="n">
        <v>0</v>
      </c>
      <c r="L610" s="10" t="n">
        <v>0</v>
      </c>
      <c r="M610" s="10" t="n">
        <v>0</v>
      </c>
      <c r="N610" s="10" t="n">
        <v>0</v>
      </c>
      <c r="O610" s="10" t="n">
        <v>0</v>
      </c>
      <c r="P610" s="10" t="n">
        <v>0</v>
      </c>
      <c r="Q610" s="10" t="n">
        <v>-1</v>
      </c>
      <c r="R610" s="10" t="n">
        <v>0</v>
      </c>
      <c r="S610" s="10" t="n">
        <v>0</v>
      </c>
      <c r="T610" s="10" t="n">
        <v>0</v>
      </c>
      <c r="U610" s="10" t="n">
        <v>0</v>
      </c>
    </row>
    <row r="611" customFormat="false" ht="15" hidden="false" customHeight="false" outlineLevel="0" collapsed="false">
      <c r="A611" s="7" t="s">
        <v>931</v>
      </c>
      <c r="B611" s="7" t="s">
        <v>109</v>
      </c>
      <c r="C611" s="7" t="s">
        <v>404</v>
      </c>
      <c r="D611" s="10" t="n">
        <v>0</v>
      </c>
      <c r="E611" s="10" t="n">
        <v>0</v>
      </c>
      <c r="F611" s="10" t="n">
        <v>52</v>
      </c>
      <c r="G611" s="10" t="n">
        <v>0</v>
      </c>
      <c r="H611" s="10" t="n">
        <v>0</v>
      </c>
      <c r="I611" s="10" t="n">
        <v>87</v>
      </c>
      <c r="J611" s="10" t="n">
        <v>0</v>
      </c>
      <c r="K611" s="10" t="n">
        <v>0</v>
      </c>
      <c r="L611" s="10" t="n">
        <v>0</v>
      </c>
      <c r="M611" s="10" t="n">
        <v>0</v>
      </c>
      <c r="N611" s="10" t="n">
        <v>10</v>
      </c>
      <c r="O611" s="10" t="n">
        <v>0</v>
      </c>
      <c r="P611" s="10" t="n">
        <v>0</v>
      </c>
      <c r="Q611" s="10" t="n">
        <v>77</v>
      </c>
      <c r="R611" s="10" t="n">
        <v>0</v>
      </c>
      <c r="S611" s="10" t="n">
        <v>0</v>
      </c>
      <c r="T611" s="10" t="n">
        <v>0</v>
      </c>
      <c r="U611" s="10" t="n">
        <v>0</v>
      </c>
    </row>
    <row r="612" customFormat="false" ht="15" hidden="false" customHeight="false" outlineLevel="0" collapsed="false">
      <c r="A612" s="7" t="s">
        <v>931</v>
      </c>
      <c r="B612" s="7" t="s">
        <v>109</v>
      </c>
      <c r="C612" s="7" t="s">
        <v>414</v>
      </c>
      <c r="D612" s="10" t="n">
        <v>0</v>
      </c>
      <c r="E612" s="10" t="n">
        <v>0</v>
      </c>
      <c r="F612" s="10" t="n">
        <v>90</v>
      </c>
      <c r="G612" s="10" t="n">
        <v>0</v>
      </c>
      <c r="H612" s="10" t="n">
        <v>29</v>
      </c>
      <c r="I612" s="10" t="n">
        <v>173</v>
      </c>
      <c r="J612" s="10" t="n">
        <v>0</v>
      </c>
      <c r="K612" s="10" t="n">
        <v>6</v>
      </c>
      <c r="L612" s="10" t="n">
        <v>0</v>
      </c>
      <c r="M612" s="10" t="n">
        <v>0</v>
      </c>
      <c r="N612" s="10" t="n">
        <v>0</v>
      </c>
      <c r="O612" s="10" t="n">
        <v>0</v>
      </c>
      <c r="P612" s="10" t="n">
        <v>0</v>
      </c>
      <c r="Q612" s="10" t="n">
        <v>148</v>
      </c>
      <c r="R612" s="10" t="n">
        <v>19</v>
      </c>
      <c r="S612" s="10" t="n">
        <v>4</v>
      </c>
      <c r="T612" s="10" t="n">
        <v>0</v>
      </c>
      <c r="U612" s="10" t="n">
        <v>0</v>
      </c>
    </row>
    <row r="613" customFormat="false" ht="15" hidden="false" customHeight="false" outlineLevel="0" collapsed="false">
      <c r="A613" s="7" t="s">
        <v>931</v>
      </c>
      <c r="B613" s="7" t="s">
        <v>109</v>
      </c>
      <c r="C613" s="7" t="s">
        <v>415</v>
      </c>
      <c r="D613" s="10" t="n">
        <v>0</v>
      </c>
      <c r="E613" s="10" t="n">
        <v>0</v>
      </c>
      <c r="F613" s="10" t="n">
        <v>146</v>
      </c>
      <c r="G613" s="10" t="n">
        <v>0</v>
      </c>
      <c r="H613" s="10" t="n">
        <v>34</v>
      </c>
      <c r="I613" s="10" t="n">
        <v>213</v>
      </c>
      <c r="J613" s="10" t="n">
        <v>0</v>
      </c>
      <c r="K613" s="10" t="n">
        <v>0</v>
      </c>
      <c r="L613" s="10" t="n">
        <v>0</v>
      </c>
      <c r="M613" s="10" t="n">
        <v>0</v>
      </c>
      <c r="N613" s="10" t="n">
        <v>0</v>
      </c>
      <c r="O613" s="10" t="n">
        <v>0</v>
      </c>
      <c r="P613" s="10" t="n">
        <v>0</v>
      </c>
      <c r="Q613" s="10" t="n">
        <v>213</v>
      </c>
      <c r="R613" s="10" t="n">
        <v>0</v>
      </c>
      <c r="S613" s="10" t="n">
        <v>0</v>
      </c>
      <c r="T613" s="10" t="n">
        <v>0</v>
      </c>
      <c r="U613" s="10" t="n">
        <v>0</v>
      </c>
    </row>
    <row r="614" customFormat="false" ht="15" hidden="false" customHeight="false" outlineLevel="0" collapsed="false">
      <c r="A614" s="7" t="s">
        <v>931</v>
      </c>
      <c r="B614" s="7" t="s">
        <v>120</v>
      </c>
      <c r="C614" s="7" t="s">
        <v>416</v>
      </c>
      <c r="D614" s="10" t="n">
        <v>0</v>
      </c>
      <c r="E614" s="10" t="n">
        <v>0</v>
      </c>
      <c r="F614" s="10" t="n">
        <v>13</v>
      </c>
      <c r="G614" s="10" t="n">
        <v>0</v>
      </c>
      <c r="H614" s="10" t="n">
        <v>4</v>
      </c>
      <c r="I614" s="10" t="n">
        <v>42</v>
      </c>
      <c r="J614" s="10" t="n">
        <v>0</v>
      </c>
      <c r="K614" s="10" t="n">
        <v>0</v>
      </c>
      <c r="L614" s="10" t="n">
        <v>0</v>
      </c>
      <c r="M614" s="10" t="n">
        <v>0</v>
      </c>
      <c r="N614" s="10" t="n">
        <v>0</v>
      </c>
      <c r="O614" s="10" t="n">
        <v>0</v>
      </c>
      <c r="P614" s="10" t="n">
        <v>0</v>
      </c>
      <c r="Q614" s="10" t="n">
        <v>42</v>
      </c>
      <c r="R614" s="10" t="n">
        <v>0</v>
      </c>
      <c r="S614" s="10" t="n">
        <v>0</v>
      </c>
      <c r="T614" s="10" t="n">
        <v>0</v>
      </c>
      <c r="U614" s="10" t="n">
        <v>0</v>
      </c>
    </row>
    <row r="615" customFormat="false" ht="15" hidden="false" customHeight="false" outlineLevel="0" collapsed="false">
      <c r="A615" s="7" t="s">
        <v>931</v>
      </c>
      <c r="B615" s="7" t="s">
        <v>120</v>
      </c>
      <c r="C615" s="7" t="s">
        <v>417</v>
      </c>
      <c r="D615" s="10" t="n">
        <v>0</v>
      </c>
      <c r="E615" s="10" t="n">
        <v>0</v>
      </c>
      <c r="F615" s="10" t="n">
        <v>26</v>
      </c>
      <c r="G615" s="10" t="n">
        <v>0</v>
      </c>
      <c r="H615" s="10" t="n">
        <v>4</v>
      </c>
      <c r="I615" s="10" t="n">
        <v>57</v>
      </c>
      <c r="J615" s="10" t="n">
        <v>0</v>
      </c>
      <c r="K615" s="10" t="n">
        <v>0</v>
      </c>
      <c r="L615" s="10" t="n">
        <v>0</v>
      </c>
      <c r="M615" s="10" t="n">
        <v>0</v>
      </c>
      <c r="N615" s="10" t="n">
        <v>0</v>
      </c>
      <c r="O615" s="10" t="n">
        <v>0</v>
      </c>
      <c r="P615" s="10" t="n">
        <v>0</v>
      </c>
      <c r="Q615" s="10" t="n">
        <v>57</v>
      </c>
      <c r="R615" s="10" t="n">
        <v>0</v>
      </c>
      <c r="S615" s="10" t="n">
        <v>0</v>
      </c>
      <c r="T615" s="10" t="n">
        <v>0</v>
      </c>
      <c r="U615" s="10" t="n">
        <v>0</v>
      </c>
    </row>
    <row r="616" customFormat="false" ht="15" hidden="false" customHeight="false" outlineLevel="0" collapsed="false">
      <c r="A616" s="7" t="s">
        <v>931</v>
      </c>
      <c r="B616" s="7" t="s">
        <v>120</v>
      </c>
      <c r="C616" s="7" t="s">
        <v>418</v>
      </c>
      <c r="D616" s="10" t="n">
        <v>0</v>
      </c>
      <c r="E616" s="10" t="n">
        <v>0</v>
      </c>
      <c r="F616" s="10" t="n">
        <v>23</v>
      </c>
      <c r="G616" s="10" t="n">
        <v>0</v>
      </c>
      <c r="H616" s="10" t="n">
        <v>14</v>
      </c>
      <c r="I616" s="10" t="n">
        <v>62</v>
      </c>
      <c r="J616" s="10" t="n">
        <v>0</v>
      </c>
      <c r="K616" s="10" t="n">
        <v>0</v>
      </c>
      <c r="L616" s="10" t="n">
        <v>0</v>
      </c>
      <c r="M616" s="10" t="n">
        <v>0</v>
      </c>
      <c r="N616" s="10" t="n">
        <v>0</v>
      </c>
      <c r="O616" s="10" t="n">
        <v>0</v>
      </c>
      <c r="P616" s="10" t="n">
        <v>0</v>
      </c>
      <c r="Q616" s="10" t="n">
        <v>58</v>
      </c>
      <c r="R616" s="10" t="n">
        <v>4</v>
      </c>
      <c r="S616" s="10" t="n">
        <v>0</v>
      </c>
      <c r="T616" s="10" t="n">
        <v>0</v>
      </c>
      <c r="U616" s="10" t="n">
        <v>0</v>
      </c>
    </row>
    <row r="617" customFormat="false" ht="15" hidden="false" customHeight="false" outlineLevel="0" collapsed="false">
      <c r="A617" s="7" t="s">
        <v>931</v>
      </c>
      <c r="B617" s="7" t="s">
        <v>177</v>
      </c>
      <c r="C617" s="7" t="s">
        <v>419</v>
      </c>
      <c r="D617" s="10" t="n">
        <v>0</v>
      </c>
      <c r="E617" s="10" t="n">
        <v>0</v>
      </c>
      <c r="F617" s="10" t="n">
        <v>34</v>
      </c>
      <c r="G617" s="10" t="n">
        <v>0</v>
      </c>
      <c r="H617" s="10" t="n">
        <v>0</v>
      </c>
      <c r="I617" s="10" t="n">
        <v>29</v>
      </c>
      <c r="J617" s="10" t="n">
        <v>0</v>
      </c>
      <c r="K617" s="10" t="n">
        <v>5</v>
      </c>
      <c r="L617" s="10" t="n">
        <v>0</v>
      </c>
      <c r="M617" s="10" t="n">
        <v>0</v>
      </c>
      <c r="N617" s="10" t="n">
        <v>0</v>
      </c>
      <c r="O617" s="10" t="n">
        <v>0</v>
      </c>
      <c r="P617" s="10" t="n">
        <v>-3</v>
      </c>
      <c r="Q617" s="10" t="n">
        <v>25</v>
      </c>
      <c r="R617" s="10" t="n">
        <v>2</v>
      </c>
      <c r="S617" s="10" t="n">
        <v>0</v>
      </c>
      <c r="T617" s="10" t="n">
        <v>0</v>
      </c>
      <c r="U617" s="10" t="n">
        <v>0</v>
      </c>
    </row>
    <row r="618" customFormat="false" ht="15" hidden="false" customHeight="false" outlineLevel="0" collapsed="false">
      <c r="A618" s="7" t="s">
        <v>931</v>
      </c>
      <c r="B618" s="7" t="s">
        <v>177</v>
      </c>
      <c r="C618" s="7" t="s">
        <v>420</v>
      </c>
      <c r="D618" s="10" t="n">
        <v>0</v>
      </c>
      <c r="E618" s="10" t="n">
        <v>0</v>
      </c>
      <c r="F618" s="10" t="n">
        <v>61</v>
      </c>
      <c r="G618" s="10" t="n">
        <v>0</v>
      </c>
      <c r="H618" s="10" t="n">
        <v>1</v>
      </c>
      <c r="I618" s="10" t="n">
        <v>88</v>
      </c>
      <c r="J618" s="10" t="n">
        <v>0</v>
      </c>
      <c r="K618" s="10" t="n">
        <v>5</v>
      </c>
      <c r="L618" s="10" t="n">
        <v>-1</v>
      </c>
      <c r="M618" s="10" t="n">
        <v>0</v>
      </c>
      <c r="N618" s="10" t="n">
        <v>0</v>
      </c>
      <c r="O618" s="10" t="n">
        <v>0</v>
      </c>
      <c r="P618" s="10" t="n">
        <v>-2</v>
      </c>
      <c r="Q618" s="10" t="n">
        <v>78</v>
      </c>
      <c r="R618" s="10" t="n">
        <v>8</v>
      </c>
      <c r="S618" s="10" t="n">
        <v>4</v>
      </c>
      <c r="T618" s="10" t="n">
        <v>0</v>
      </c>
      <c r="U618" s="10" t="n">
        <v>0</v>
      </c>
    </row>
    <row r="619" customFormat="false" ht="15" hidden="false" customHeight="false" outlineLevel="0" collapsed="false">
      <c r="A619" s="7" t="s">
        <v>931</v>
      </c>
      <c r="B619" s="7" t="s">
        <v>177</v>
      </c>
      <c r="C619" s="7" t="s">
        <v>421</v>
      </c>
      <c r="D619" s="10" t="n">
        <v>0</v>
      </c>
      <c r="E619" s="10" t="n">
        <v>0</v>
      </c>
      <c r="F619" s="10" t="n">
        <v>49</v>
      </c>
      <c r="G619" s="10" t="n">
        <v>0</v>
      </c>
      <c r="H619" s="10" t="n">
        <v>29</v>
      </c>
      <c r="I619" s="10" t="n">
        <v>92</v>
      </c>
      <c r="J619" s="10" t="n">
        <v>0</v>
      </c>
      <c r="K619" s="10" t="n">
        <v>0</v>
      </c>
      <c r="L619" s="10" t="n">
        <v>0</v>
      </c>
      <c r="M619" s="10" t="n">
        <v>0</v>
      </c>
      <c r="N619" s="10" t="n">
        <v>0</v>
      </c>
      <c r="O619" s="10" t="n">
        <v>0</v>
      </c>
      <c r="P619" s="10" t="n">
        <v>-2</v>
      </c>
      <c r="Q619" s="10" t="n">
        <v>85</v>
      </c>
      <c r="R619" s="10" t="n">
        <v>9</v>
      </c>
      <c r="S619" s="10" t="n">
        <v>0</v>
      </c>
      <c r="T619" s="10" t="n">
        <v>0</v>
      </c>
      <c r="U619" s="10" t="n">
        <v>0</v>
      </c>
    </row>
    <row r="620" customFormat="false" ht="15" hidden="false" customHeight="false" outlineLevel="0" collapsed="false">
      <c r="A620" s="7" t="s">
        <v>931</v>
      </c>
      <c r="B620" s="7" t="s">
        <v>243</v>
      </c>
      <c r="C620" s="7" t="s">
        <v>422</v>
      </c>
      <c r="D620" s="10" t="n">
        <v>0</v>
      </c>
      <c r="E620" s="10" t="n">
        <v>0</v>
      </c>
      <c r="F620" s="10" t="n">
        <v>-5</v>
      </c>
      <c r="G620" s="10" t="n">
        <v>0</v>
      </c>
      <c r="H620" s="10" t="n">
        <v>0</v>
      </c>
      <c r="I620" s="10" t="n">
        <v>1</v>
      </c>
      <c r="J620" s="10" t="n">
        <v>0</v>
      </c>
      <c r="K620" s="10" t="n">
        <v>0</v>
      </c>
      <c r="L620" s="10" t="n">
        <v>0</v>
      </c>
      <c r="M620" s="10" t="n">
        <v>0</v>
      </c>
      <c r="N620" s="10" t="n">
        <v>0</v>
      </c>
      <c r="O620" s="10" t="n">
        <v>0</v>
      </c>
      <c r="P620" s="10" t="n">
        <v>-2</v>
      </c>
      <c r="Q620" s="10" t="n">
        <v>-2</v>
      </c>
      <c r="R620" s="10" t="n">
        <v>5</v>
      </c>
      <c r="S620" s="10" t="n">
        <v>0</v>
      </c>
      <c r="T620" s="10" t="n">
        <v>0</v>
      </c>
      <c r="U620" s="10" t="n">
        <v>-1</v>
      </c>
    </row>
    <row r="621" customFormat="false" ht="15" hidden="false" customHeight="false" outlineLevel="0" collapsed="false">
      <c r="A621" s="7" t="s">
        <v>931</v>
      </c>
      <c r="B621" s="7" t="s">
        <v>213</v>
      </c>
      <c r="C621" s="7" t="s">
        <v>423</v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>
        <v>-1</v>
      </c>
      <c r="J621" s="10" t="n">
        <v>0</v>
      </c>
      <c r="K621" s="10" t="n">
        <v>0</v>
      </c>
      <c r="L621" s="10" t="n">
        <v>0</v>
      </c>
      <c r="M621" s="10" t="n">
        <v>0</v>
      </c>
      <c r="N621" s="10" t="n">
        <v>0</v>
      </c>
      <c r="O621" s="10" t="n">
        <v>0</v>
      </c>
      <c r="P621" s="10" t="n">
        <v>-1</v>
      </c>
      <c r="Q621" s="10" t="n">
        <v>0</v>
      </c>
      <c r="R621" s="10" t="n">
        <v>0</v>
      </c>
      <c r="S621" s="10" t="n">
        <v>0</v>
      </c>
      <c r="T621" s="10" t="n">
        <v>0</v>
      </c>
      <c r="U621" s="10" t="n">
        <v>0</v>
      </c>
    </row>
    <row r="622" customFormat="false" ht="15" hidden="false" customHeight="false" outlineLevel="0" collapsed="false">
      <c r="A622" s="7" t="s">
        <v>931</v>
      </c>
      <c r="B622" s="7" t="s">
        <v>213</v>
      </c>
      <c r="C622" s="7" t="s">
        <v>424</v>
      </c>
      <c r="D622" s="10" t="n">
        <v>0</v>
      </c>
      <c r="E622" s="10" t="n">
        <v>0</v>
      </c>
      <c r="F622" s="10" t="n">
        <v>-1</v>
      </c>
      <c r="G622" s="10" t="n">
        <v>0</v>
      </c>
      <c r="H622" s="10" t="n">
        <v>0</v>
      </c>
      <c r="I622" s="10" t="n">
        <v>0</v>
      </c>
      <c r="J622" s="10" t="n">
        <v>0</v>
      </c>
      <c r="K622" s="10" t="n">
        <v>0</v>
      </c>
      <c r="L622" s="10" t="n">
        <v>0</v>
      </c>
      <c r="M622" s="10" t="n">
        <v>0</v>
      </c>
      <c r="N622" s="10" t="n">
        <v>0</v>
      </c>
      <c r="O622" s="10" t="n">
        <v>0</v>
      </c>
      <c r="P622" s="10" t="n">
        <v>0</v>
      </c>
      <c r="Q622" s="10" t="n">
        <v>0</v>
      </c>
      <c r="R622" s="10" t="n">
        <v>0</v>
      </c>
      <c r="S622" s="10" t="n">
        <v>0</v>
      </c>
      <c r="T622" s="10" t="n">
        <v>0</v>
      </c>
      <c r="U622" s="10" t="n">
        <v>0</v>
      </c>
    </row>
    <row r="623" customFormat="false" ht="15" hidden="false" customHeight="false" outlineLevel="0" collapsed="false">
      <c r="A623" s="7" t="s">
        <v>931</v>
      </c>
      <c r="B623" s="7" t="s">
        <v>213</v>
      </c>
      <c r="C623" s="7" t="s">
        <v>425</v>
      </c>
      <c r="D623" s="10" t="n">
        <v>0</v>
      </c>
      <c r="E623" s="10" t="n">
        <v>0</v>
      </c>
      <c r="F623" s="10" t="n">
        <v>1</v>
      </c>
      <c r="G623" s="10" t="n">
        <v>0</v>
      </c>
      <c r="H623" s="10" t="n">
        <v>0</v>
      </c>
      <c r="I623" s="10" t="n">
        <v>0</v>
      </c>
      <c r="J623" s="10" t="n">
        <v>0</v>
      </c>
      <c r="K623" s="10" t="n">
        <v>0</v>
      </c>
      <c r="L623" s="10" t="n">
        <v>0</v>
      </c>
      <c r="M623" s="10" t="n">
        <v>0</v>
      </c>
      <c r="N623" s="10" t="n">
        <v>0</v>
      </c>
      <c r="O623" s="10" t="n">
        <v>0</v>
      </c>
      <c r="P623" s="10" t="n">
        <v>0</v>
      </c>
      <c r="Q623" s="10" t="n">
        <v>0</v>
      </c>
      <c r="R623" s="10" t="n">
        <v>0</v>
      </c>
      <c r="S623" s="10" t="n">
        <v>0</v>
      </c>
      <c r="T623" s="10" t="n">
        <v>0</v>
      </c>
      <c r="U623" s="10" t="n">
        <v>0</v>
      </c>
    </row>
    <row r="624" customFormat="false" ht="15" hidden="false" customHeight="false" outlineLevel="0" collapsed="false">
      <c r="A624" s="7" t="s">
        <v>931</v>
      </c>
      <c r="B624" s="7" t="s">
        <v>213</v>
      </c>
      <c r="C624" s="7" t="s">
        <v>426</v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>
        <v>-1</v>
      </c>
      <c r="J624" s="10" t="n">
        <v>0</v>
      </c>
      <c r="K624" s="10" t="n">
        <v>0</v>
      </c>
      <c r="L624" s="10" t="n">
        <v>0</v>
      </c>
      <c r="M624" s="10" t="n">
        <v>0</v>
      </c>
      <c r="N624" s="10" t="n">
        <v>0</v>
      </c>
      <c r="O624" s="10" t="n">
        <v>0</v>
      </c>
      <c r="P624" s="10" t="n">
        <v>0</v>
      </c>
      <c r="Q624" s="10" t="n">
        <v>-1</v>
      </c>
      <c r="R624" s="10" t="n">
        <v>0</v>
      </c>
      <c r="S624" s="10" t="n">
        <v>0</v>
      </c>
      <c r="T624" s="10" t="n">
        <v>0</v>
      </c>
      <c r="U624" s="10" t="n">
        <v>0</v>
      </c>
    </row>
    <row r="625" customFormat="false" ht="15" hidden="false" customHeight="false" outlineLevel="0" collapsed="false">
      <c r="A625" s="7" t="s">
        <v>931</v>
      </c>
      <c r="B625" s="7" t="s">
        <v>173</v>
      </c>
      <c r="C625" s="7" t="s">
        <v>427</v>
      </c>
      <c r="D625" s="10" t="n">
        <v>0</v>
      </c>
      <c r="E625" s="10" t="n">
        <v>0</v>
      </c>
      <c r="F625" s="10" t="n">
        <v>4</v>
      </c>
      <c r="G625" s="10" t="n">
        <v>0</v>
      </c>
      <c r="H625" s="10" t="n">
        <v>0</v>
      </c>
      <c r="I625" s="10" t="n">
        <v>8</v>
      </c>
      <c r="J625" s="10" t="n">
        <v>0</v>
      </c>
      <c r="K625" s="10" t="n">
        <v>2</v>
      </c>
      <c r="L625" s="10" t="n">
        <v>0</v>
      </c>
      <c r="M625" s="10" t="n">
        <v>0</v>
      </c>
      <c r="N625" s="10" t="n">
        <v>0</v>
      </c>
      <c r="O625" s="10" t="n">
        <v>0</v>
      </c>
      <c r="P625" s="10" t="n">
        <v>-7</v>
      </c>
      <c r="Q625" s="10" t="n">
        <v>2</v>
      </c>
      <c r="R625" s="10" t="n">
        <v>11</v>
      </c>
      <c r="S625" s="10" t="n">
        <v>0</v>
      </c>
      <c r="T625" s="10" t="n">
        <v>0</v>
      </c>
      <c r="U625" s="10" t="n">
        <v>-1</v>
      </c>
    </row>
    <row r="626" customFormat="false" ht="15" hidden="false" customHeight="false" outlineLevel="0" collapsed="false">
      <c r="A626" s="7" t="s">
        <v>931</v>
      </c>
      <c r="B626" s="7" t="s">
        <v>173</v>
      </c>
      <c r="C626" s="7" t="s">
        <v>428</v>
      </c>
      <c r="D626" s="10" t="n">
        <v>0</v>
      </c>
      <c r="E626" s="10" t="n">
        <v>0</v>
      </c>
      <c r="F626" s="10" t="n">
        <v>2</v>
      </c>
      <c r="G626" s="10" t="n">
        <v>0</v>
      </c>
      <c r="H626" s="10" t="n">
        <v>0</v>
      </c>
      <c r="I626" s="10" t="n">
        <v>-6</v>
      </c>
      <c r="J626" s="10" t="n">
        <v>0</v>
      </c>
      <c r="K626" s="10" t="n">
        <v>0</v>
      </c>
      <c r="L626" s="10" t="n">
        <v>0</v>
      </c>
      <c r="M626" s="10" t="n">
        <v>0</v>
      </c>
      <c r="N626" s="10" t="n">
        <v>0</v>
      </c>
      <c r="O626" s="10" t="n">
        <v>0</v>
      </c>
      <c r="P626" s="10" t="n">
        <v>-11</v>
      </c>
      <c r="Q626" s="10" t="n">
        <v>-3</v>
      </c>
      <c r="R626" s="10" t="n">
        <v>8</v>
      </c>
      <c r="S626" s="10" t="n">
        <v>0</v>
      </c>
      <c r="T626" s="10" t="n">
        <v>0</v>
      </c>
      <c r="U626" s="10" t="n">
        <v>0</v>
      </c>
    </row>
    <row r="627" customFormat="false" ht="15" hidden="false" customHeight="false" outlineLevel="0" collapsed="false">
      <c r="A627" s="7" t="s">
        <v>931</v>
      </c>
      <c r="B627" s="7" t="s">
        <v>173</v>
      </c>
      <c r="C627" s="7" t="s">
        <v>429</v>
      </c>
      <c r="D627" s="10" t="n">
        <v>0</v>
      </c>
      <c r="E627" s="10" t="n">
        <v>0</v>
      </c>
      <c r="F627" s="10" t="n">
        <v>4</v>
      </c>
      <c r="G627" s="10" t="n">
        <v>0</v>
      </c>
      <c r="H627" s="10" t="n">
        <v>0</v>
      </c>
      <c r="I627" s="10" t="n">
        <v>0</v>
      </c>
      <c r="J627" s="10" t="n">
        <v>0</v>
      </c>
      <c r="K627" s="10" t="n">
        <v>0</v>
      </c>
      <c r="L627" s="10" t="n">
        <v>0</v>
      </c>
      <c r="M627" s="10" t="n">
        <v>0</v>
      </c>
      <c r="N627" s="10" t="n">
        <v>0</v>
      </c>
      <c r="O627" s="10" t="n">
        <v>0</v>
      </c>
      <c r="P627" s="10" t="n">
        <v>-5</v>
      </c>
      <c r="Q627" s="10" t="n">
        <v>-2</v>
      </c>
      <c r="R627" s="10" t="n">
        <v>7</v>
      </c>
      <c r="S627" s="10" t="n">
        <v>0</v>
      </c>
      <c r="T627" s="10" t="n">
        <v>0</v>
      </c>
      <c r="U627" s="10" t="n">
        <v>-1</v>
      </c>
    </row>
    <row r="628" customFormat="false" ht="15" hidden="false" customHeight="false" outlineLevel="0" collapsed="false">
      <c r="A628" s="7" t="s">
        <v>931</v>
      </c>
      <c r="B628" s="7" t="s">
        <v>173</v>
      </c>
      <c r="C628" s="7" t="s">
        <v>430</v>
      </c>
      <c r="D628" s="10" t="n">
        <v>0</v>
      </c>
      <c r="E628" s="10" t="n">
        <v>0</v>
      </c>
      <c r="F628" s="10" t="n">
        <v>6</v>
      </c>
      <c r="G628" s="10" t="n">
        <v>0</v>
      </c>
      <c r="H628" s="10" t="n">
        <v>0</v>
      </c>
      <c r="I628" s="10" t="n">
        <v>-7</v>
      </c>
      <c r="J628" s="10" t="n">
        <v>0</v>
      </c>
      <c r="K628" s="10" t="n">
        <v>0</v>
      </c>
      <c r="L628" s="10" t="n">
        <v>0</v>
      </c>
      <c r="M628" s="10" t="n">
        <v>0</v>
      </c>
      <c r="N628" s="10" t="n">
        <v>1</v>
      </c>
      <c r="O628" s="10" t="n">
        <v>0</v>
      </c>
      <c r="P628" s="10" t="n">
        <v>-8</v>
      </c>
      <c r="Q628" s="10" t="n">
        <v>-6</v>
      </c>
      <c r="R628" s="10" t="n">
        <v>6</v>
      </c>
      <c r="S628" s="10" t="n">
        <v>0</v>
      </c>
      <c r="T628" s="10" t="n">
        <v>0</v>
      </c>
      <c r="U628" s="10" t="n">
        <v>0</v>
      </c>
    </row>
    <row r="629" customFormat="false" ht="15" hidden="false" customHeight="false" outlineLevel="0" collapsed="false">
      <c r="A629" s="7" t="s">
        <v>931</v>
      </c>
      <c r="B629" s="7" t="s">
        <v>173</v>
      </c>
      <c r="C629" s="7" t="s">
        <v>431</v>
      </c>
      <c r="D629" s="10" t="n">
        <v>0</v>
      </c>
      <c r="E629" s="10" t="n">
        <v>0</v>
      </c>
      <c r="F629" s="10" t="n">
        <v>6</v>
      </c>
      <c r="G629" s="10" t="n">
        <v>0</v>
      </c>
      <c r="H629" s="10" t="n">
        <v>0</v>
      </c>
      <c r="I629" s="10" t="n">
        <v>3</v>
      </c>
      <c r="J629" s="10" t="n">
        <v>0</v>
      </c>
      <c r="K629" s="10" t="n">
        <v>0</v>
      </c>
      <c r="L629" s="10" t="n">
        <v>0</v>
      </c>
      <c r="M629" s="10" t="n">
        <v>0</v>
      </c>
      <c r="N629" s="10" t="n">
        <v>0</v>
      </c>
      <c r="O629" s="10" t="n">
        <v>0</v>
      </c>
      <c r="P629" s="10" t="n">
        <v>-5</v>
      </c>
      <c r="Q629" s="10" t="n">
        <v>3</v>
      </c>
      <c r="R629" s="10" t="n">
        <v>5</v>
      </c>
      <c r="S629" s="10" t="n">
        <v>0</v>
      </c>
      <c r="T629" s="10" t="n">
        <v>0</v>
      </c>
      <c r="U629" s="10" t="n">
        <v>-1</v>
      </c>
    </row>
    <row r="630" customFormat="false" ht="15" hidden="false" customHeight="false" outlineLevel="0" collapsed="false">
      <c r="A630" s="7" t="s">
        <v>931</v>
      </c>
      <c r="B630" s="7" t="s">
        <v>249</v>
      </c>
      <c r="C630" s="7" t="s">
        <v>432</v>
      </c>
      <c r="D630" s="10" t="n">
        <v>0</v>
      </c>
      <c r="E630" s="10" t="n">
        <v>0</v>
      </c>
      <c r="F630" s="10" t="n">
        <v>1</v>
      </c>
      <c r="G630" s="10" t="n">
        <v>0</v>
      </c>
      <c r="H630" s="10" t="n">
        <v>0</v>
      </c>
      <c r="I630" s="10" t="n">
        <v>0</v>
      </c>
      <c r="J630" s="10" t="n">
        <v>0</v>
      </c>
      <c r="K630" s="10" t="n">
        <v>0</v>
      </c>
      <c r="L630" s="10" t="n">
        <v>0</v>
      </c>
      <c r="M630" s="10" t="n">
        <v>0</v>
      </c>
      <c r="N630" s="10" t="n">
        <v>0</v>
      </c>
      <c r="O630" s="10" t="n">
        <v>0</v>
      </c>
      <c r="P630" s="10" t="n">
        <v>0</v>
      </c>
      <c r="Q630" s="10" t="n">
        <v>0</v>
      </c>
      <c r="R630" s="10" t="n">
        <v>0</v>
      </c>
      <c r="S630" s="10" t="n">
        <v>0</v>
      </c>
      <c r="T630" s="10" t="n">
        <v>0</v>
      </c>
      <c r="U630" s="10" t="n">
        <v>0</v>
      </c>
    </row>
    <row r="631" customFormat="false" ht="15" hidden="false" customHeight="false" outlineLevel="0" collapsed="false">
      <c r="A631" s="7" t="s">
        <v>931</v>
      </c>
      <c r="B631" s="7" t="s">
        <v>249</v>
      </c>
      <c r="C631" s="7" t="s">
        <v>433</v>
      </c>
      <c r="D631" s="10" t="n">
        <v>0</v>
      </c>
      <c r="E631" s="10" t="n">
        <v>0</v>
      </c>
      <c r="F631" s="10" t="n">
        <v>4</v>
      </c>
      <c r="G631" s="10" t="n">
        <v>0</v>
      </c>
      <c r="H631" s="10" t="n">
        <v>0</v>
      </c>
      <c r="I631" s="10" t="n">
        <v>1</v>
      </c>
      <c r="J631" s="10" t="n">
        <v>0</v>
      </c>
      <c r="K631" s="10" t="n">
        <v>0</v>
      </c>
      <c r="L631" s="10" t="n">
        <v>0</v>
      </c>
      <c r="M631" s="10" t="n">
        <v>0</v>
      </c>
      <c r="N631" s="10" t="n">
        <v>0</v>
      </c>
      <c r="O631" s="10" t="n">
        <v>0</v>
      </c>
      <c r="P631" s="10" t="n">
        <v>-1</v>
      </c>
      <c r="Q631" s="10" t="n">
        <v>0</v>
      </c>
      <c r="R631" s="10" t="n">
        <v>2</v>
      </c>
      <c r="S631" s="10" t="n">
        <v>0</v>
      </c>
      <c r="T631" s="10" t="n">
        <v>0</v>
      </c>
      <c r="U631" s="10" t="n">
        <v>0</v>
      </c>
    </row>
    <row r="632" customFormat="false" ht="15" hidden="false" customHeight="false" outlineLevel="0" collapsed="false">
      <c r="A632" s="7" t="s">
        <v>931</v>
      </c>
      <c r="B632" s="7" t="s">
        <v>249</v>
      </c>
      <c r="C632" s="7" t="s">
        <v>434</v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>
        <v>2</v>
      </c>
      <c r="J632" s="10" t="n">
        <v>0</v>
      </c>
      <c r="K632" s="10" t="n">
        <v>0</v>
      </c>
      <c r="L632" s="10" t="n">
        <v>0</v>
      </c>
      <c r="M632" s="10" t="n">
        <v>0</v>
      </c>
      <c r="N632" s="10" t="n">
        <v>0</v>
      </c>
      <c r="O632" s="10" t="n">
        <v>0</v>
      </c>
      <c r="P632" s="10" t="n">
        <v>0</v>
      </c>
      <c r="Q632" s="10" t="n">
        <v>0</v>
      </c>
      <c r="R632" s="10" t="n">
        <v>2</v>
      </c>
      <c r="S632" s="10" t="n">
        <v>0</v>
      </c>
      <c r="T632" s="10" t="n">
        <v>0</v>
      </c>
      <c r="U632" s="10" t="n">
        <v>0</v>
      </c>
    </row>
    <row r="633" customFormat="false" ht="15" hidden="false" customHeight="false" outlineLevel="0" collapsed="false">
      <c r="A633" s="7" t="s">
        <v>931</v>
      </c>
      <c r="B633" s="7" t="s">
        <v>249</v>
      </c>
      <c r="C633" s="7" t="s">
        <v>435</v>
      </c>
      <c r="D633" s="10" t="n">
        <v>0</v>
      </c>
      <c r="E633" s="10" t="n">
        <v>0</v>
      </c>
      <c r="F633" s="10" t="n">
        <v>4</v>
      </c>
      <c r="G633" s="10" t="n">
        <v>0</v>
      </c>
      <c r="H633" s="10" t="n">
        <v>0</v>
      </c>
      <c r="I633" s="10" t="n">
        <v>-1</v>
      </c>
      <c r="J633" s="10" t="n">
        <v>0</v>
      </c>
      <c r="K633" s="10" t="n">
        <v>0</v>
      </c>
      <c r="L633" s="10" t="n">
        <v>0</v>
      </c>
      <c r="M633" s="10" t="n">
        <v>0</v>
      </c>
      <c r="N633" s="10" t="n">
        <v>0</v>
      </c>
      <c r="O633" s="10" t="n">
        <v>0</v>
      </c>
      <c r="P633" s="10" t="n">
        <v>0</v>
      </c>
      <c r="Q633" s="10" t="n">
        <v>-1</v>
      </c>
      <c r="R633" s="10" t="n">
        <v>0</v>
      </c>
      <c r="S633" s="10" t="n">
        <v>0</v>
      </c>
      <c r="T633" s="10" t="n">
        <v>0</v>
      </c>
      <c r="U633" s="10" t="n">
        <v>0</v>
      </c>
    </row>
    <row r="634" customFormat="false" ht="15" hidden="false" customHeight="false" outlineLevel="0" collapsed="false">
      <c r="A634" s="7" t="s">
        <v>931</v>
      </c>
      <c r="B634" s="7" t="s">
        <v>311</v>
      </c>
      <c r="C634" s="7" t="s">
        <v>437</v>
      </c>
      <c r="D634" s="10" t="n">
        <v>0</v>
      </c>
      <c r="E634" s="10" t="n">
        <v>0</v>
      </c>
      <c r="F634" s="10" t="n">
        <v>1</v>
      </c>
      <c r="G634" s="10" t="n">
        <v>0</v>
      </c>
      <c r="H634" s="10" t="n">
        <v>0</v>
      </c>
      <c r="I634" s="10" t="n">
        <v>0</v>
      </c>
      <c r="J634" s="10" t="n">
        <v>0</v>
      </c>
      <c r="K634" s="10" t="n">
        <v>0</v>
      </c>
      <c r="L634" s="10" t="n">
        <v>0</v>
      </c>
      <c r="M634" s="10" t="n">
        <v>0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0</v>
      </c>
      <c r="S634" s="10" t="n">
        <v>0</v>
      </c>
      <c r="T634" s="10" t="n">
        <v>0</v>
      </c>
      <c r="U634" s="10" t="n">
        <v>0</v>
      </c>
    </row>
    <row r="635" customFormat="false" ht="15" hidden="false" customHeight="false" outlineLevel="0" collapsed="false">
      <c r="A635" s="7" t="s">
        <v>931</v>
      </c>
      <c r="B635" s="7" t="s">
        <v>79</v>
      </c>
      <c r="C635" s="7" t="s">
        <v>438</v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>
        <v>6</v>
      </c>
      <c r="J635" s="10" t="n">
        <v>0</v>
      </c>
      <c r="K635" s="10" t="n">
        <v>0</v>
      </c>
      <c r="L635" s="10" t="n">
        <v>0</v>
      </c>
      <c r="M635" s="10" t="n">
        <v>0</v>
      </c>
      <c r="N635" s="10" t="n">
        <v>0</v>
      </c>
      <c r="O635" s="10" t="n">
        <v>0</v>
      </c>
      <c r="P635" s="10" t="n">
        <v>0</v>
      </c>
      <c r="Q635" s="10" t="n">
        <v>6</v>
      </c>
      <c r="R635" s="10" t="n">
        <v>0</v>
      </c>
      <c r="S635" s="10" t="n">
        <v>0</v>
      </c>
      <c r="T635" s="10" t="n">
        <v>0</v>
      </c>
      <c r="U635" s="10" t="n">
        <v>0</v>
      </c>
    </row>
    <row r="636" customFormat="false" ht="15" hidden="false" customHeight="false" outlineLevel="0" collapsed="false">
      <c r="A636" s="7" t="s">
        <v>931</v>
      </c>
      <c r="B636" s="7" t="s">
        <v>79</v>
      </c>
      <c r="C636" s="7" t="s">
        <v>439</v>
      </c>
      <c r="D636" s="10" t="n">
        <v>0</v>
      </c>
      <c r="E636" s="10" t="n">
        <v>0</v>
      </c>
      <c r="F636" s="10" t="n">
        <v>12</v>
      </c>
      <c r="G636" s="10" t="n">
        <v>0</v>
      </c>
      <c r="H636" s="10" t="n">
        <v>0</v>
      </c>
      <c r="I636" s="10" t="n">
        <v>60</v>
      </c>
      <c r="J636" s="10" t="n">
        <v>0</v>
      </c>
      <c r="K636" s="10" t="n">
        <v>0</v>
      </c>
      <c r="L636" s="10" t="n">
        <v>0</v>
      </c>
      <c r="M636" s="10" t="n">
        <v>0</v>
      </c>
      <c r="N636" s="10" t="n">
        <v>0</v>
      </c>
      <c r="O636" s="10" t="n">
        <v>0</v>
      </c>
      <c r="P636" s="10" t="n">
        <v>0</v>
      </c>
      <c r="Q636" s="10" t="n">
        <v>58</v>
      </c>
      <c r="R636" s="10" t="n">
        <v>2</v>
      </c>
      <c r="S636" s="10" t="n">
        <v>0</v>
      </c>
      <c r="T636" s="10" t="n">
        <v>0</v>
      </c>
      <c r="U636" s="10" t="n">
        <v>0</v>
      </c>
    </row>
    <row r="637" customFormat="false" ht="15" hidden="false" customHeight="false" outlineLevel="0" collapsed="false">
      <c r="A637" s="7" t="s">
        <v>931</v>
      </c>
      <c r="B637" s="7" t="s">
        <v>79</v>
      </c>
      <c r="C637" s="7" t="s">
        <v>440</v>
      </c>
      <c r="D637" s="10" t="n">
        <v>0</v>
      </c>
      <c r="E637" s="10" t="n">
        <v>0</v>
      </c>
      <c r="F637" s="10" t="n">
        <v>14</v>
      </c>
      <c r="G637" s="10" t="n">
        <v>0</v>
      </c>
      <c r="H637" s="10" t="n">
        <v>1</v>
      </c>
      <c r="I637" s="10" t="n">
        <v>40</v>
      </c>
      <c r="J637" s="10" t="n">
        <v>0</v>
      </c>
      <c r="K637" s="10" t="n">
        <v>0</v>
      </c>
      <c r="L637" s="10" t="n">
        <v>0</v>
      </c>
      <c r="M637" s="10" t="n">
        <v>0</v>
      </c>
      <c r="N637" s="10" t="n">
        <v>0</v>
      </c>
      <c r="O637" s="10" t="n">
        <v>0</v>
      </c>
      <c r="P637" s="10" t="n">
        <v>0</v>
      </c>
      <c r="Q637" s="10" t="n">
        <v>37</v>
      </c>
      <c r="R637" s="10" t="n">
        <v>3</v>
      </c>
      <c r="S637" s="10" t="n">
        <v>0</v>
      </c>
      <c r="T637" s="10" t="n">
        <v>0</v>
      </c>
      <c r="U637" s="10" t="n">
        <v>0</v>
      </c>
    </row>
    <row r="638" customFormat="false" ht="15" hidden="false" customHeight="false" outlineLevel="0" collapsed="false">
      <c r="A638" s="7" t="s">
        <v>931</v>
      </c>
      <c r="B638" s="7" t="s">
        <v>79</v>
      </c>
      <c r="C638" s="7" t="s">
        <v>441</v>
      </c>
      <c r="D638" s="10" t="n">
        <v>0</v>
      </c>
      <c r="E638" s="10" t="n">
        <v>0</v>
      </c>
      <c r="F638" s="10" t="n">
        <v>16</v>
      </c>
      <c r="G638" s="10" t="n">
        <v>0</v>
      </c>
      <c r="H638" s="10" t="n">
        <v>0</v>
      </c>
      <c r="I638" s="10" t="n">
        <v>67</v>
      </c>
      <c r="J638" s="10" t="n">
        <v>0</v>
      </c>
      <c r="K638" s="10" t="n">
        <v>0</v>
      </c>
      <c r="L638" s="10" t="n">
        <v>0</v>
      </c>
      <c r="M638" s="10" t="n">
        <v>0</v>
      </c>
      <c r="N638" s="10" t="n">
        <v>0</v>
      </c>
      <c r="O638" s="10" t="n">
        <v>0</v>
      </c>
      <c r="P638" s="10" t="n">
        <v>0</v>
      </c>
      <c r="Q638" s="10" t="n">
        <v>65</v>
      </c>
      <c r="R638" s="10" t="n">
        <v>2</v>
      </c>
      <c r="S638" s="10" t="n">
        <v>0</v>
      </c>
      <c r="T638" s="10" t="n">
        <v>0</v>
      </c>
      <c r="U638" s="10" t="n">
        <v>0</v>
      </c>
    </row>
    <row r="639" customFormat="false" ht="15" hidden="false" customHeight="false" outlineLevel="0" collapsed="false">
      <c r="A639" s="7" t="s">
        <v>931</v>
      </c>
      <c r="B639" s="7" t="s">
        <v>79</v>
      </c>
      <c r="C639" s="7" t="s">
        <v>442</v>
      </c>
      <c r="D639" s="10" t="n">
        <v>0</v>
      </c>
      <c r="E639" s="10" t="n">
        <v>0</v>
      </c>
      <c r="F639" s="10" t="n">
        <v>1</v>
      </c>
      <c r="G639" s="10" t="n">
        <v>0</v>
      </c>
      <c r="H639" s="10" t="n">
        <v>0</v>
      </c>
      <c r="I639" s="10" t="n">
        <v>4</v>
      </c>
      <c r="J639" s="10" t="n">
        <v>0</v>
      </c>
      <c r="K639" s="10" t="n">
        <v>0</v>
      </c>
      <c r="L639" s="10" t="n">
        <v>0</v>
      </c>
      <c r="M639" s="10" t="n">
        <v>0</v>
      </c>
      <c r="N639" s="10" t="n">
        <v>0</v>
      </c>
      <c r="O639" s="10" t="n">
        <v>0</v>
      </c>
      <c r="P639" s="10" t="n">
        <v>0</v>
      </c>
      <c r="Q639" s="10" t="n">
        <v>4</v>
      </c>
      <c r="R639" s="10" t="n">
        <v>0</v>
      </c>
      <c r="S639" s="10" t="n">
        <v>0</v>
      </c>
      <c r="T639" s="10" t="n">
        <v>0</v>
      </c>
      <c r="U639" s="10" t="n">
        <v>0</v>
      </c>
    </row>
    <row r="640" customFormat="false" ht="15" hidden="false" customHeight="false" outlineLevel="0" collapsed="false">
      <c r="A640" s="7" t="s">
        <v>931</v>
      </c>
      <c r="B640" s="7" t="s">
        <v>57</v>
      </c>
      <c r="C640" s="7" t="s">
        <v>443</v>
      </c>
      <c r="D640" s="10" t="n">
        <v>0</v>
      </c>
      <c r="E640" s="10" t="n">
        <v>0</v>
      </c>
      <c r="F640" s="10" t="n">
        <v>6</v>
      </c>
      <c r="G640" s="10" t="n">
        <v>0</v>
      </c>
      <c r="H640" s="10" t="n">
        <v>0</v>
      </c>
      <c r="I640" s="10" t="n">
        <v>166</v>
      </c>
      <c r="J640" s="10" t="n">
        <v>0</v>
      </c>
      <c r="K640" s="10" t="n">
        <v>1</v>
      </c>
      <c r="L640" s="10" t="n">
        <v>0</v>
      </c>
      <c r="M640" s="10" t="n">
        <v>0</v>
      </c>
      <c r="N640" s="10" t="n">
        <v>0</v>
      </c>
      <c r="O640" s="10" t="n">
        <v>0</v>
      </c>
      <c r="P640" s="10" t="n">
        <v>-6</v>
      </c>
      <c r="Q640" s="10" t="n">
        <v>147</v>
      </c>
      <c r="R640" s="10" t="n">
        <v>24</v>
      </c>
      <c r="S640" s="10" t="n">
        <v>0</v>
      </c>
      <c r="T640" s="10" t="n">
        <v>0</v>
      </c>
      <c r="U640" s="10" t="n">
        <v>-1</v>
      </c>
    </row>
    <row r="641" customFormat="false" ht="15" hidden="false" customHeight="false" outlineLevel="0" collapsed="false">
      <c r="A641" s="7" t="s">
        <v>931</v>
      </c>
      <c r="B641" s="7" t="s">
        <v>57</v>
      </c>
      <c r="C641" s="7" t="s">
        <v>444</v>
      </c>
      <c r="D641" s="10" t="n">
        <v>0</v>
      </c>
      <c r="E641" s="10" t="n">
        <v>0</v>
      </c>
      <c r="F641" s="10" t="n">
        <v>46</v>
      </c>
      <c r="G641" s="10" t="n">
        <v>0</v>
      </c>
      <c r="H641" s="10" t="n">
        <v>0</v>
      </c>
      <c r="I641" s="10" t="n">
        <v>479</v>
      </c>
      <c r="J641" s="10" t="n">
        <v>0</v>
      </c>
      <c r="K641" s="10" t="n">
        <v>0</v>
      </c>
      <c r="L641" s="10" t="n">
        <v>0</v>
      </c>
      <c r="M641" s="10" t="n">
        <v>0</v>
      </c>
      <c r="N641" s="10" t="n">
        <v>0</v>
      </c>
      <c r="O641" s="10" t="n">
        <v>0</v>
      </c>
      <c r="P641" s="10" t="n">
        <v>-3</v>
      </c>
      <c r="Q641" s="10" t="n">
        <v>412</v>
      </c>
      <c r="R641" s="10" t="n">
        <v>70</v>
      </c>
      <c r="S641" s="10" t="n">
        <v>0</v>
      </c>
      <c r="T641" s="10" t="n">
        <v>0</v>
      </c>
      <c r="U641" s="10" t="n">
        <v>-1</v>
      </c>
    </row>
    <row r="642" customFormat="false" ht="15" hidden="false" customHeight="false" outlineLevel="0" collapsed="false">
      <c r="A642" s="7" t="s">
        <v>931</v>
      </c>
      <c r="B642" s="7" t="s">
        <v>57</v>
      </c>
      <c r="C642" s="7" t="s">
        <v>445</v>
      </c>
      <c r="D642" s="10" t="n">
        <v>0</v>
      </c>
      <c r="E642" s="10" t="n">
        <v>0</v>
      </c>
      <c r="F642" s="10" t="n">
        <v>43</v>
      </c>
      <c r="G642" s="10" t="n">
        <v>0</v>
      </c>
      <c r="H642" s="10" t="n">
        <v>0</v>
      </c>
      <c r="I642" s="10" t="n">
        <v>360</v>
      </c>
      <c r="J642" s="10" t="n">
        <v>0</v>
      </c>
      <c r="K642" s="10" t="n">
        <v>0</v>
      </c>
      <c r="L642" s="10" t="n">
        <v>0</v>
      </c>
      <c r="M642" s="10" t="n">
        <v>0</v>
      </c>
      <c r="N642" s="10" t="n">
        <v>0</v>
      </c>
      <c r="O642" s="10" t="n">
        <v>0</v>
      </c>
      <c r="P642" s="10" t="n">
        <v>-7</v>
      </c>
      <c r="Q642" s="10" t="n">
        <v>313</v>
      </c>
      <c r="R642" s="10" t="n">
        <v>54</v>
      </c>
      <c r="S642" s="10" t="n">
        <v>0</v>
      </c>
      <c r="T642" s="10" t="n">
        <v>0</v>
      </c>
      <c r="U642" s="10" t="n">
        <v>0</v>
      </c>
    </row>
    <row r="643" customFormat="false" ht="15" hidden="false" customHeight="false" outlineLevel="0" collapsed="false">
      <c r="A643" s="7" t="s">
        <v>931</v>
      </c>
      <c r="B643" s="7" t="s">
        <v>57</v>
      </c>
      <c r="C643" s="7" t="s">
        <v>446</v>
      </c>
      <c r="D643" s="10" t="n">
        <v>0</v>
      </c>
      <c r="E643" s="10" t="n">
        <v>0</v>
      </c>
      <c r="F643" s="10" t="n">
        <v>47</v>
      </c>
      <c r="G643" s="10" t="n">
        <v>0</v>
      </c>
      <c r="H643" s="10" t="n">
        <v>0</v>
      </c>
      <c r="I643" s="10" t="n">
        <v>465</v>
      </c>
      <c r="J643" s="10" t="n">
        <v>0</v>
      </c>
      <c r="K643" s="10" t="n">
        <v>0</v>
      </c>
      <c r="L643" s="10" t="n">
        <v>0</v>
      </c>
      <c r="M643" s="10" t="n">
        <v>0</v>
      </c>
      <c r="N643" s="10" t="n">
        <v>0</v>
      </c>
      <c r="O643" s="10" t="n">
        <v>0</v>
      </c>
      <c r="P643" s="10" t="n">
        <v>-10</v>
      </c>
      <c r="Q643" s="10" t="n">
        <v>399</v>
      </c>
      <c r="R643" s="10" t="n">
        <v>76</v>
      </c>
      <c r="S643" s="10" t="n">
        <v>0</v>
      </c>
      <c r="T643" s="10" t="n">
        <v>0</v>
      </c>
      <c r="U643" s="10" t="n">
        <v>-2</v>
      </c>
    </row>
    <row r="644" customFormat="false" ht="15" hidden="false" customHeight="false" outlineLevel="0" collapsed="false">
      <c r="A644" s="7" t="s">
        <v>931</v>
      </c>
      <c r="B644" s="7" t="s">
        <v>57</v>
      </c>
      <c r="C644" s="7" t="s">
        <v>447</v>
      </c>
      <c r="D644" s="10" t="n">
        <v>0</v>
      </c>
      <c r="E644" s="10" t="n">
        <v>0</v>
      </c>
      <c r="F644" s="10" t="n">
        <v>30</v>
      </c>
      <c r="G644" s="10" t="n">
        <v>0</v>
      </c>
      <c r="H644" s="10" t="n">
        <v>0</v>
      </c>
      <c r="I644" s="10" t="n">
        <v>126</v>
      </c>
      <c r="J644" s="10" t="n">
        <v>0</v>
      </c>
      <c r="K644" s="10" t="n">
        <v>0</v>
      </c>
      <c r="L644" s="10" t="n">
        <v>0</v>
      </c>
      <c r="M644" s="10" t="n">
        <v>0</v>
      </c>
      <c r="N644" s="10" t="n">
        <v>0</v>
      </c>
      <c r="O644" s="10" t="n">
        <v>0</v>
      </c>
      <c r="P644" s="10" t="n">
        <v>-7</v>
      </c>
      <c r="Q644" s="10" t="n">
        <v>98</v>
      </c>
      <c r="R644" s="10" t="n">
        <v>35</v>
      </c>
      <c r="S644" s="10" t="n">
        <v>0</v>
      </c>
      <c r="T644" s="10" t="n">
        <v>0</v>
      </c>
      <c r="U644" s="10" t="n">
        <v>-1</v>
      </c>
    </row>
    <row r="645" customFormat="false" ht="15" hidden="false" customHeight="false" outlineLevel="0" collapsed="false">
      <c r="A645" s="7" t="s">
        <v>931</v>
      </c>
      <c r="B645" s="7" t="s">
        <v>256</v>
      </c>
      <c r="C645" s="7" t="s">
        <v>448</v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>
        <v>-1</v>
      </c>
      <c r="J645" s="10" t="n">
        <v>0</v>
      </c>
      <c r="K645" s="10" t="n">
        <v>0</v>
      </c>
      <c r="L645" s="10" t="n">
        <v>0</v>
      </c>
      <c r="M645" s="10" t="n">
        <v>0</v>
      </c>
      <c r="N645" s="10" t="n">
        <v>0</v>
      </c>
      <c r="O645" s="10" t="n">
        <v>0</v>
      </c>
      <c r="P645" s="10" t="n">
        <v>0</v>
      </c>
      <c r="Q645" s="10" t="n">
        <v>-1</v>
      </c>
      <c r="R645" s="10" t="n">
        <v>0</v>
      </c>
      <c r="S645" s="10" t="n">
        <v>0</v>
      </c>
      <c r="T645" s="10" t="n">
        <v>0</v>
      </c>
      <c r="U645" s="10" t="n">
        <v>0</v>
      </c>
    </row>
    <row r="646" customFormat="false" ht="15" hidden="false" customHeight="false" outlineLevel="0" collapsed="false">
      <c r="A646" s="7" t="s">
        <v>931</v>
      </c>
      <c r="B646" s="7" t="s">
        <v>202</v>
      </c>
      <c r="C646" s="7" t="s">
        <v>449</v>
      </c>
      <c r="D646" s="10" t="n">
        <v>0</v>
      </c>
      <c r="E646" s="10" t="n">
        <v>0</v>
      </c>
      <c r="F646" s="10" t="n">
        <v>-1</v>
      </c>
      <c r="G646" s="10" t="n">
        <v>0</v>
      </c>
      <c r="H646" s="10" t="n">
        <v>0</v>
      </c>
      <c r="I646" s="10" t="n">
        <v>0</v>
      </c>
      <c r="J646" s="10" t="n">
        <v>0</v>
      </c>
      <c r="K646" s="10" t="n">
        <v>0</v>
      </c>
      <c r="L646" s="10" t="n">
        <v>0</v>
      </c>
      <c r="M646" s="10" t="n">
        <v>0</v>
      </c>
      <c r="N646" s="10" t="n">
        <v>0</v>
      </c>
      <c r="O646" s="10" t="n">
        <v>0</v>
      </c>
      <c r="P646" s="10" t="n">
        <v>0</v>
      </c>
      <c r="Q646" s="10" t="n">
        <v>0</v>
      </c>
      <c r="R646" s="10" t="n">
        <v>0</v>
      </c>
      <c r="S646" s="10" t="n">
        <v>0</v>
      </c>
      <c r="T646" s="10" t="n">
        <v>0</v>
      </c>
      <c r="U646" s="10" t="n">
        <v>0</v>
      </c>
    </row>
    <row r="647" customFormat="false" ht="15" hidden="false" customHeight="false" outlineLevel="0" collapsed="false">
      <c r="A647" s="7" t="s">
        <v>931</v>
      </c>
      <c r="B647" s="7" t="s">
        <v>202</v>
      </c>
      <c r="C647" s="7" t="s">
        <v>450</v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>
        <v>2</v>
      </c>
      <c r="J647" s="10" t="n">
        <v>0</v>
      </c>
      <c r="K647" s="10" t="n">
        <v>1</v>
      </c>
      <c r="L647" s="10" t="n">
        <v>0</v>
      </c>
      <c r="M647" s="10" t="n">
        <v>0</v>
      </c>
      <c r="N647" s="10" t="n">
        <v>0</v>
      </c>
      <c r="O647" s="10" t="n">
        <v>0</v>
      </c>
      <c r="P647" s="10" t="n">
        <v>0</v>
      </c>
      <c r="Q647" s="10" t="n">
        <v>0</v>
      </c>
      <c r="R647" s="10" t="n">
        <v>1</v>
      </c>
      <c r="S647" s="10" t="n">
        <v>0</v>
      </c>
      <c r="T647" s="10" t="n">
        <v>0</v>
      </c>
      <c r="U647" s="10" t="n">
        <v>0</v>
      </c>
    </row>
    <row r="648" customFormat="false" ht="15" hidden="false" customHeight="false" outlineLevel="0" collapsed="false">
      <c r="A648" s="7" t="s">
        <v>931</v>
      </c>
      <c r="B648" s="7" t="s">
        <v>100</v>
      </c>
      <c r="C648" s="7" t="s">
        <v>451</v>
      </c>
      <c r="D648" s="10" t="n">
        <v>0</v>
      </c>
      <c r="E648" s="10" t="n">
        <v>0</v>
      </c>
      <c r="F648" s="10" t="n">
        <v>167</v>
      </c>
      <c r="G648" s="10" t="n">
        <v>0</v>
      </c>
      <c r="H648" s="10" t="n">
        <v>0</v>
      </c>
      <c r="I648" s="10" t="n">
        <v>289</v>
      </c>
      <c r="J648" s="10" t="n">
        <v>0</v>
      </c>
      <c r="K648" s="10" t="n">
        <v>4</v>
      </c>
      <c r="L648" s="10" t="n">
        <v>0</v>
      </c>
      <c r="M648" s="10" t="n">
        <v>0</v>
      </c>
      <c r="N648" s="10" t="n">
        <v>2</v>
      </c>
      <c r="O648" s="10" t="n">
        <v>1</v>
      </c>
      <c r="P648" s="10" t="n">
        <v>-7</v>
      </c>
      <c r="Q648" s="10" t="n">
        <v>189</v>
      </c>
      <c r="R648" s="10" t="n">
        <v>100</v>
      </c>
      <c r="S648" s="10" t="n">
        <v>0</v>
      </c>
      <c r="T648" s="10" t="n">
        <v>0</v>
      </c>
      <c r="U648" s="10" t="n">
        <v>0</v>
      </c>
    </row>
    <row r="649" customFormat="false" ht="15" hidden="false" customHeight="false" outlineLevel="0" collapsed="false">
      <c r="A649" s="7" t="s">
        <v>931</v>
      </c>
      <c r="B649" s="7" t="s">
        <v>100</v>
      </c>
      <c r="C649" s="7" t="s">
        <v>452</v>
      </c>
      <c r="D649" s="10" t="n">
        <v>0</v>
      </c>
      <c r="E649" s="10" t="n">
        <v>0</v>
      </c>
      <c r="F649" s="10" t="n">
        <v>194</v>
      </c>
      <c r="G649" s="10" t="n">
        <v>0</v>
      </c>
      <c r="H649" s="10" t="n">
        <v>0</v>
      </c>
      <c r="I649" s="10" t="n">
        <v>389</v>
      </c>
      <c r="J649" s="10" t="n">
        <v>0</v>
      </c>
      <c r="K649" s="10" t="n">
        <v>6</v>
      </c>
      <c r="L649" s="10" t="n">
        <v>0</v>
      </c>
      <c r="M649" s="10" t="n">
        <v>0</v>
      </c>
      <c r="N649" s="10" t="n">
        <v>0</v>
      </c>
      <c r="O649" s="10" t="n">
        <v>2</v>
      </c>
      <c r="P649" s="10" t="n">
        <v>-6</v>
      </c>
      <c r="Q649" s="10" t="n">
        <v>282</v>
      </c>
      <c r="R649" s="10" t="n">
        <v>105</v>
      </c>
      <c r="S649" s="10" t="n">
        <v>0</v>
      </c>
      <c r="T649" s="10" t="n">
        <v>0</v>
      </c>
      <c r="U649" s="10" t="n">
        <v>0</v>
      </c>
    </row>
    <row r="650" customFormat="false" ht="15" hidden="false" customHeight="false" outlineLevel="0" collapsed="false">
      <c r="A650" s="7" t="s">
        <v>931</v>
      </c>
      <c r="B650" s="7" t="s">
        <v>100</v>
      </c>
      <c r="C650" s="7" t="s">
        <v>453</v>
      </c>
      <c r="D650" s="10" t="n">
        <v>0</v>
      </c>
      <c r="E650" s="10" t="n">
        <v>0</v>
      </c>
      <c r="F650" s="10" t="n">
        <v>125</v>
      </c>
      <c r="G650" s="10" t="n">
        <v>0</v>
      </c>
      <c r="H650" s="10" t="n">
        <v>0</v>
      </c>
      <c r="I650" s="10" t="n">
        <v>285</v>
      </c>
      <c r="J650" s="10" t="n">
        <v>0</v>
      </c>
      <c r="K650" s="10" t="n">
        <v>9</v>
      </c>
      <c r="L650" s="10" t="n">
        <v>0</v>
      </c>
      <c r="M650" s="10" t="n">
        <v>1</v>
      </c>
      <c r="N650" s="10" t="n">
        <v>3</v>
      </c>
      <c r="O650" s="10" t="n">
        <v>2</v>
      </c>
      <c r="P650" s="10" t="n">
        <v>-12</v>
      </c>
      <c r="Q650" s="10" t="n">
        <v>183</v>
      </c>
      <c r="R650" s="10" t="n">
        <v>99</v>
      </c>
      <c r="S650" s="10" t="n">
        <v>0</v>
      </c>
      <c r="T650" s="10" t="n">
        <v>0</v>
      </c>
      <c r="U650" s="10" t="n">
        <v>0</v>
      </c>
    </row>
    <row r="651" customFormat="false" ht="15" hidden="false" customHeight="false" outlineLevel="0" collapsed="false">
      <c r="A651" s="7" t="s">
        <v>931</v>
      </c>
      <c r="B651" s="7" t="s">
        <v>100</v>
      </c>
      <c r="C651" s="7" t="s">
        <v>454</v>
      </c>
      <c r="D651" s="10" t="n">
        <v>0</v>
      </c>
      <c r="E651" s="10" t="n">
        <v>0</v>
      </c>
      <c r="F651" s="10" t="n">
        <v>77</v>
      </c>
      <c r="G651" s="10" t="n">
        <v>0</v>
      </c>
      <c r="H651" s="10" t="n">
        <v>0</v>
      </c>
      <c r="I651" s="10" t="n">
        <v>128</v>
      </c>
      <c r="J651" s="10" t="n">
        <v>0</v>
      </c>
      <c r="K651" s="10" t="n">
        <v>4</v>
      </c>
      <c r="L651" s="10" t="n">
        <v>0</v>
      </c>
      <c r="M651" s="10" t="n">
        <v>1</v>
      </c>
      <c r="N651" s="10" t="n">
        <v>2</v>
      </c>
      <c r="O651" s="10" t="n">
        <v>1</v>
      </c>
      <c r="P651" s="10" t="n">
        <v>-5</v>
      </c>
      <c r="Q651" s="10" t="n">
        <v>84</v>
      </c>
      <c r="R651" s="10" t="n">
        <v>41</v>
      </c>
      <c r="S651" s="10" t="n">
        <v>0</v>
      </c>
      <c r="T651" s="10" t="n">
        <v>0</v>
      </c>
      <c r="U651" s="10" t="n">
        <v>0</v>
      </c>
    </row>
    <row r="652" customFormat="false" ht="15" hidden="false" customHeight="false" outlineLevel="0" collapsed="false">
      <c r="A652" s="7" t="s">
        <v>931</v>
      </c>
      <c r="B652" s="7" t="s">
        <v>100</v>
      </c>
      <c r="C652" s="7" t="s">
        <v>455</v>
      </c>
      <c r="D652" s="10" t="n">
        <v>0</v>
      </c>
      <c r="E652" s="10" t="n">
        <v>0</v>
      </c>
      <c r="F652" s="10" t="n">
        <v>4</v>
      </c>
      <c r="G652" s="10" t="n">
        <v>0</v>
      </c>
      <c r="H652" s="10" t="n">
        <v>0</v>
      </c>
      <c r="I652" s="10" t="n">
        <v>1</v>
      </c>
      <c r="J652" s="10" t="n">
        <v>0</v>
      </c>
      <c r="K652" s="10" t="n">
        <v>0</v>
      </c>
      <c r="L652" s="10" t="n">
        <v>0</v>
      </c>
      <c r="M652" s="10" t="n">
        <v>0</v>
      </c>
      <c r="N652" s="10" t="n">
        <v>0</v>
      </c>
      <c r="O652" s="10" t="n">
        <v>0</v>
      </c>
      <c r="P652" s="10" t="n">
        <v>0</v>
      </c>
      <c r="Q652" s="10" t="n">
        <v>1</v>
      </c>
      <c r="R652" s="10" t="n">
        <v>0</v>
      </c>
      <c r="S652" s="10" t="n">
        <v>0</v>
      </c>
      <c r="T652" s="10" t="n">
        <v>0</v>
      </c>
      <c r="U652" s="10" t="n">
        <v>0</v>
      </c>
    </row>
    <row r="653" customFormat="false" ht="15" hidden="false" customHeight="false" outlineLevel="0" collapsed="false">
      <c r="A653" s="7" t="s">
        <v>931</v>
      </c>
      <c r="B653" s="7" t="s">
        <v>44</v>
      </c>
      <c r="C653" s="7" t="s">
        <v>456</v>
      </c>
      <c r="D653" s="10" t="n">
        <v>0</v>
      </c>
      <c r="E653" s="10" t="n">
        <v>0</v>
      </c>
      <c r="F653" s="10" t="n">
        <v>342</v>
      </c>
      <c r="G653" s="10" t="n">
        <v>0</v>
      </c>
      <c r="H653" s="10" t="n">
        <v>0</v>
      </c>
      <c r="I653" s="10" t="n">
        <v>2443</v>
      </c>
      <c r="J653" s="10" t="n">
        <v>0</v>
      </c>
      <c r="K653" s="10" t="n">
        <v>10</v>
      </c>
      <c r="L653" s="10" t="n">
        <v>0</v>
      </c>
      <c r="M653" s="10" t="n">
        <v>0</v>
      </c>
      <c r="N653" s="10" t="n">
        <v>4</v>
      </c>
      <c r="O653" s="10" t="n">
        <v>3</v>
      </c>
      <c r="P653" s="10" t="n">
        <v>-8</v>
      </c>
      <c r="Q653" s="10" t="n">
        <v>2255</v>
      </c>
      <c r="R653" s="10" t="n">
        <v>179</v>
      </c>
      <c r="S653" s="10" t="n">
        <v>0</v>
      </c>
      <c r="T653" s="10" t="n">
        <v>0</v>
      </c>
      <c r="U653" s="10" t="n">
        <v>0</v>
      </c>
    </row>
    <row r="654" customFormat="false" ht="15" hidden="false" customHeight="false" outlineLevel="0" collapsed="false">
      <c r="A654" s="7" t="s">
        <v>931</v>
      </c>
      <c r="B654" s="7" t="s">
        <v>44</v>
      </c>
      <c r="C654" s="7" t="s">
        <v>457</v>
      </c>
      <c r="D654" s="10" t="n">
        <v>0</v>
      </c>
      <c r="E654" s="10" t="n">
        <v>0</v>
      </c>
      <c r="F654" s="10" t="n">
        <v>611</v>
      </c>
      <c r="G654" s="10" t="n">
        <v>0</v>
      </c>
      <c r="H654" s="10" t="n">
        <v>0</v>
      </c>
      <c r="I654" s="10" t="n">
        <v>2373</v>
      </c>
      <c r="J654" s="10" t="n">
        <v>0</v>
      </c>
      <c r="K654" s="10" t="n">
        <v>13</v>
      </c>
      <c r="L654" s="10" t="n">
        <v>0</v>
      </c>
      <c r="M654" s="10" t="n">
        <v>0</v>
      </c>
      <c r="N654" s="10" t="n">
        <v>2</v>
      </c>
      <c r="O654" s="10" t="n">
        <v>3</v>
      </c>
      <c r="P654" s="10" t="n">
        <v>-5</v>
      </c>
      <c r="Q654" s="10" t="n">
        <v>2160</v>
      </c>
      <c r="R654" s="10" t="n">
        <v>200</v>
      </c>
      <c r="S654" s="10" t="n">
        <v>0</v>
      </c>
      <c r="T654" s="10" t="n">
        <v>0</v>
      </c>
      <c r="U654" s="10" t="n">
        <v>0</v>
      </c>
    </row>
    <row r="655" customFormat="false" ht="15" hidden="false" customHeight="false" outlineLevel="0" collapsed="false">
      <c r="A655" s="7" t="s">
        <v>931</v>
      </c>
      <c r="B655" s="7" t="s">
        <v>44</v>
      </c>
      <c r="C655" s="7" t="s">
        <v>458</v>
      </c>
      <c r="D655" s="10" t="n">
        <v>0</v>
      </c>
      <c r="E655" s="10" t="n">
        <v>0</v>
      </c>
      <c r="F655" s="10" t="n">
        <v>663</v>
      </c>
      <c r="G655" s="10" t="n">
        <v>0</v>
      </c>
      <c r="H655" s="10" t="n">
        <v>0</v>
      </c>
      <c r="I655" s="10" t="n">
        <v>3344</v>
      </c>
      <c r="J655" s="10" t="n">
        <v>0</v>
      </c>
      <c r="K655" s="10" t="n">
        <v>21</v>
      </c>
      <c r="L655" s="10" t="n">
        <v>0</v>
      </c>
      <c r="M655" s="10" t="n">
        <v>0</v>
      </c>
      <c r="N655" s="10" t="n">
        <v>2</v>
      </c>
      <c r="O655" s="10" t="n">
        <v>3</v>
      </c>
      <c r="P655" s="10" t="n">
        <v>-7</v>
      </c>
      <c r="Q655" s="10" t="n">
        <v>3042</v>
      </c>
      <c r="R655" s="10" t="n">
        <v>283</v>
      </c>
      <c r="S655" s="10" t="n">
        <v>0</v>
      </c>
      <c r="T655" s="10" t="n">
        <v>0</v>
      </c>
      <c r="U655" s="10" t="n">
        <v>0</v>
      </c>
    </row>
    <row r="656" customFormat="false" ht="15" hidden="false" customHeight="false" outlineLevel="0" collapsed="false">
      <c r="A656" s="7" t="s">
        <v>931</v>
      </c>
      <c r="B656" s="7" t="s">
        <v>44</v>
      </c>
      <c r="C656" s="7" t="s">
        <v>459</v>
      </c>
      <c r="D656" s="10" t="n">
        <v>0</v>
      </c>
      <c r="E656" s="10" t="n">
        <v>0</v>
      </c>
      <c r="F656" s="10" t="n">
        <v>245</v>
      </c>
      <c r="G656" s="10" t="n">
        <v>0</v>
      </c>
      <c r="H656" s="10" t="n">
        <v>0</v>
      </c>
      <c r="I656" s="10" t="n">
        <v>863</v>
      </c>
      <c r="J656" s="10" t="n">
        <v>0</v>
      </c>
      <c r="K656" s="10" t="n">
        <v>7</v>
      </c>
      <c r="L656" s="10" t="n">
        <v>0</v>
      </c>
      <c r="M656" s="10" t="n">
        <v>0</v>
      </c>
      <c r="N656" s="10" t="n">
        <v>0</v>
      </c>
      <c r="O656" s="10" t="n">
        <v>1</v>
      </c>
      <c r="P656" s="10" t="n">
        <v>-8</v>
      </c>
      <c r="Q656" s="10" t="n">
        <v>801</v>
      </c>
      <c r="R656" s="10" t="n">
        <v>62</v>
      </c>
      <c r="S656" s="10" t="n">
        <v>0</v>
      </c>
      <c r="T656" s="10" t="n">
        <v>0</v>
      </c>
      <c r="U656" s="10" t="n">
        <v>0</v>
      </c>
    </row>
    <row r="657" customFormat="false" ht="15" hidden="false" customHeight="false" outlineLevel="0" collapsed="false">
      <c r="A657" s="7" t="s">
        <v>931</v>
      </c>
      <c r="B657" s="7" t="s">
        <v>187</v>
      </c>
      <c r="C657" s="7" t="s">
        <v>460</v>
      </c>
      <c r="D657" s="10" t="n">
        <v>0</v>
      </c>
      <c r="E657" s="10" t="n">
        <v>0</v>
      </c>
      <c r="F657" s="10" t="n">
        <v>2</v>
      </c>
      <c r="G657" s="10" t="n">
        <v>0</v>
      </c>
      <c r="H657" s="10" t="n">
        <v>0</v>
      </c>
      <c r="I657" s="10" t="n">
        <v>-9</v>
      </c>
      <c r="J657" s="10" t="n">
        <v>0</v>
      </c>
      <c r="K657" s="10" t="n">
        <v>0</v>
      </c>
      <c r="L657" s="10" t="n">
        <v>0</v>
      </c>
      <c r="M657" s="10" t="n">
        <v>0</v>
      </c>
      <c r="N657" s="10" t="n">
        <v>0</v>
      </c>
      <c r="O657" s="10" t="n">
        <v>0</v>
      </c>
      <c r="P657" s="10" t="n">
        <v>-4</v>
      </c>
      <c r="Q657" s="10" t="n">
        <v>-5</v>
      </c>
      <c r="R657" s="10" t="n">
        <v>0</v>
      </c>
      <c r="S657" s="10" t="n">
        <v>0</v>
      </c>
      <c r="T657" s="10" t="n">
        <v>0</v>
      </c>
      <c r="U657" s="10" t="n">
        <v>0</v>
      </c>
    </row>
    <row r="658" customFormat="false" ht="15" hidden="false" customHeight="false" outlineLevel="0" collapsed="false">
      <c r="A658" s="7" t="s">
        <v>931</v>
      </c>
      <c r="B658" s="7" t="s">
        <v>187</v>
      </c>
      <c r="C658" s="7" t="s">
        <v>461</v>
      </c>
      <c r="D658" s="10" t="n">
        <v>0</v>
      </c>
      <c r="E658" s="10" t="n">
        <v>0</v>
      </c>
      <c r="F658" s="10" t="n">
        <v>-1</v>
      </c>
      <c r="G658" s="10" t="n">
        <v>0</v>
      </c>
      <c r="H658" s="10" t="n">
        <v>0</v>
      </c>
      <c r="I658" s="10" t="n">
        <v>1</v>
      </c>
      <c r="J658" s="10" t="n">
        <v>0</v>
      </c>
      <c r="K658" s="10" t="n">
        <v>0</v>
      </c>
      <c r="L658" s="10" t="n">
        <v>0</v>
      </c>
      <c r="M658" s="10" t="n">
        <v>0</v>
      </c>
      <c r="N658" s="10" t="n">
        <v>0</v>
      </c>
      <c r="O658" s="10" t="n">
        <v>0</v>
      </c>
      <c r="P658" s="10" t="n">
        <v>0</v>
      </c>
      <c r="Q658" s="10" t="n">
        <v>-1</v>
      </c>
      <c r="R658" s="10" t="n">
        <v>2</v>
      </c>
      <c r="S658" s="10" t="n">
        <v>0</v>
      </c>
      <c r="T658" s="10" t="n">
        <v>0</v>
      </c>
      <c r="U658" s="10" t="n">
        <v>0</v>
      </c>
    </row>
    <row r="659" customFormat="false" ht="15" hidden="false" customHeight="false" outlineLevel="0" collapsed="false">
      <c r="A659" s="7" t="s">
        <v>931</v>
      </c>
      <c r="B659" s="7" t="s">
        <v>187</v>
      </c>
      <c r="C659" s="7" t="s">
        <v>462</v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>
        <v>-2</v>
      </c>
      <c r="J659" s="10" t="n">
        <v>0</v>
      </c>
      <c r="K659" s="10" t="n">
        <v>0</v>
      </c>
      <c r="L659" s="10" t="n">
        <v>0</v>
      </c>
      <c r="M659" s="10" t="n">
        <v>0</v>
      </c>
      <c r="N659" s="10" t="n">
        <v>0</v>
      </c>
      <c r="O659" s="10" t="n">
        <v>0</v>
      </c>
      <c r="P659" s="10" t="n">
        <v>-3</v>
      </c>
      <c r="Q659" s="10" t="n">
        <v>0</v>
      </c>
      <c r="R659" s="10" t="n">
        <v>1</v>
      </c>
      <c r="S659" s="10" t="n">
        <v>0</v>
      </c>
      <c r="T659" s="10" t="n">
        <v>0</v>
      </c>
      <c r="U659" s="10" t="n">
        <v>0</v>
      </c>
    </row>
    <row r="660" customFormat="false" ht="15" hidden="false" customHeight="false" outlineLevel="0" collapsed="false">
      <c r="A660" s="7" t="s">
        <v>931</v>
      </c>
      <c r="B660" s="7" t="s">
        <v>187</v>
      </c>
      <c r="C660" s="7" t="s">
        <v>463</v>
      </c>
      <c r="D660" s="10" t="n">
        <v>0</v>
      </c>
      <c r="E660" s="10" t="n">
        <v>0</v>
      </c>
      <c r="F660" s="10" t="n">
        <v>2</v>
      </c>
      <c r="G660" s="10" t="n">
        <v>0</v>
      </c>
      <c r="H660" s="10" t="n">
        <v>0</v>
      </c>
      <c r="I660" s="10" t="n">
        <v>-4</v>
      </c>
      <c r="J660" s="10" t="n">
        <v>0</v>
      </c>
      <c r="K660" s="10" t="n">
        <v>0</v>
      </c>
      <c r="L660" s="10" t="n">
        <v>0</v>
      </c>
      <c r="M660" s="10" t="n">
        <v>0</v>
      </c>
      <c r="N660" s="10" t="n">
        <v>0</v>
      </c>
      <c r="O660" s="10" t="n">
        <v>0</v>
      </c>
      <c r="P660" s="10" t="n">
        <v>-1</v>
      </c>
      <c r="Q660" s="10" t="n">
        <v>-5</v>
      </c>
      <c r="R660" s="10" t="n">
        <v>2</v>
      </c>
      <c r="S660" s="10" t="n">
        <v>0</v>
      </c>
      <c r="T660" s="10" t="n">
        <v>0</v>
      </c>
      <c r="U660" s="10" t="n">
        <v>0</v>
      </c>
    </row>
    <row r="661" customFormat="false" ht="15" hidden="false" customHeight="false" outlineLevel="0" collapsed="false">
      <c r="A661" s="7" t="s">
        <v>931</v>
      </c>
      <c r="B661" s="7" t="s">
        <v>215</v>
      </c>
      <c r="C661" s="7" t="s">
        <v>464</v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>
        <v>-2</v>
      </c>
      <c r="J661" s="10" t="n">
        <v>0</v>
      </c>
      <c r="K661" s="10" t="n">
        <v>0</v>
      </c>
      <c r="L661" s="10" t="n">
        <v>0</v>
      </c>
      <c r="M661" s="10" t="n">
        <v>0</v>
      </c>
      <c r="N661" s="10" t="n">
        <v>0</v>
      </c>
      <c r="O661" s="10" t="n">
        <v>0</v>
      </c>
      <c r="P661" s="10" t="n">
        <v>0</v>
      </c>
      <c r="Q661" s="10" t="n">
        <v>-2</v>
      </c>
      <c r="R661" s="10" t="n">
        <v>0</v>
      </c>
      <c r="S661" s="10" t="n">
        <v>0</v>
      </c>
      <c r="T661" s="10" t="n">
        <v>0</v>
      </c>
      <c r="U661" s="10" t="n">
        <v>0</v>
      </c>
    </row>
    <row r="662" customFormat="false" ht="15" hidden="false" customHeight="false" outlineLevel="0" collapsed="false">
      <c r="A662" s="7" t="s">
        <v>931</v>
      </c>
      <c r="B662" s="7" t="s">
        <v>303</v>
      </c>
      <c r="C662" s="7" t="s">
        <v>465</v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>
        <v>4</v>
      </c>
      <c r="J662" s="10" t="n">
        <v>0</v>
      </c>
      <c r="K662" s="10" t="n">
        <v>0</v>
      </c>
      <c r="L662" s="10" t="n">
        <v>0</v>
      </c>
      <c r="M662" s="10" t="n">
        <v>0</v>
      </c>
      <c r="N662" s="10" t="n">
        <v>0</v>
      </c>
      <c r="O662" s="10" t="n">
        <v>0</v>
      </c>
      <c r="P662" s="10" t="n">
        <v>0</v>
      </c>
      <c r="Q662" s="10" t="n">
        <v>0</v>
      </c>
      <c r="R662" s="10" t="n">
        <v>4</v>
      </c>
      <c r="S662" s="10" t="n">
        <v>0</v>
      </c>
      <c r="T662" s="10" t="n">
        <v>0</v>
      </c>
      <c r="U662" s="10" t="n">
        <v>0</v>
      </c>
    </row>
    <row r="663" customFormat="false" ht="15" hidden="false" customHeight="false" outlineLevel="0" collapsed="false">
      <c r="A663" s="7" t="s">
        <v>931</v>
      </c>
      <c r="B663" s="7" t="s">
        <v>303</v>
      </c>
      <c r="C663" s="7" t="s">
        <v>466</v>
      </c>
      <c r="D663" s="10" t="n">
        <v>0</v>
      </c>
      <c r="E663" s="10" t="n">
        <v>0</v>
      </c>
      <c r="F663" s="10" t="n">
        <v>2</v>
      </c>
      <c r="G663" s="10" t="n">
        <v>0</v>
      </c>
      <c r="H663" s="10" t="n">
        <v>0</v>
      </c>
      <c r="I663" s="10" t="n">
        <v>0</v>
      </c>
      <c r="J663" s="10" t="n">
        <v>0</v>
      </c>
      <c r="K663" s="10" t="n">
        <v>0</v>
      </c>
      <c r="L663" s="10" t="n">
        <v>0</v>
      </c>
      <c r="M663" s="10" t="n">
        <v>0</v>
      </c>
      <c r="N663" s="10" t="n">
        <v>0</v>
      </c>
      <c r="O663" s="10" t="n">
        <v>0</v>
      </c>
      <c r="P663" s="10" t="n">
        <v>0</v>
      </c>
      <c r="Q663" s="10" t="n">
        <v>0</v>
      </c>
      <c r="R663" s="10" t="n">
        <v>0</v>
      </c>
      <c r="S663" s="10" t="n">
        <v>0</v>
      </c>
      <c r="T663" s="10" t="n">
        <v>0</v>
      </c>
      <c r="U663" s="10" t="n">
        <v>0</v>
      </c>
    </row>
    <row r="664" customFormat="false" ht="15" hidden="false" customHeight="false" outlineLevel="0" collapsed="false">
      <c r="A664" s="7" t="s">
        <v>931</v>
      </c>
      <c r="B664" s="7" t="s">
        <v>303</v>
      </c>
      <c r="C664" s="7" t="s">
        <v>467</v>
      </c>
      <c r="D664" s="10" t="n">
        <v>0</v>
      </c>
      <c r="E664" s="10" t="n">
        <v>0</v>
      </c>
      <c r="F664" s="10" t="n">
        <v>2</v>
      </c>
      <c r="G664" s="10" t="n">
        <v>0</v>
      </c>
      <c r="H664" s="10" t="n">
        <v>0</v>
      </c>
      <c r="I664" s="10" t="n">
        <v>0</v>
      </c>
      <c r="J664" s="10" t="n">
        <v>0</v>
      </c>
      <c r="K664" s="10" t="n">
        <v>0</v>
      </c>
      <c r="L664" s="10" t="n">
        <v>0</v>
      </c>
      <c r="M664" s="10" t="n">
        <v>0</v>
      </c>
      <c r="N664" s="10" t="n">
        <v>0</v>
      </c>
      <c r="O664" s="10" t="n">
        <v>0</v>
      </c>
      <c r="P664" s="10" t="n">
        <v>0</v>
      </c>
      <c r="Q664" s="10" t="n">
        <v>0</v>
      </c>
      <c r="R664" s="10" t="n">
        <v>0</v>
      </c>
      <c r="S664" s="10" t="n">
        <v>0</v>
      </c>
      <c r="T664" s="10" t="n">
        <v>0</v>
      </c>
      <c r="U664" s="10" t="n">
        <v>0</v>
      </c>
    </row>
    <row r="665" customFormat="false" ht="15" hidden="false" customHeight="false" outlineLevel="0" collapsed="false">
      <c r="A665" s="7" t="s">
        <v>931</v>
      </c>
      <c r="B665" s="7" t="s">
        <v>303</v>
      </c>
      <c r="C665" s="7" t="s">
        <v>468</v>
      </c>
      <c r="D665" s="10" t="n">
        <v>0</v>
      </c>
      <c r="E665" s="10" t="n">
        <v>0</v>
      </c>
      <c r="F665" s="10" t="n">
        <v>2</v>
      </c>
      <c r="G665" s="10" t="n">
        <v>0</v>
      </c>
      <c r="H665" s="10" t="n">
        <v>0</v>
      </c>
      <c r="I665" s="10" t="n">
        <v>2</v>
      </c>
      <c r="J665" s="10" t="n">
        <v>0</v>
      </c>
      <c r="K665" s="10" t="n">
        <v>0</v>
      </c>
      <c r="L665" s="10" t="n">
        <v>0</v>
      </c>
      <c r="M665" s="10" t="n">
        <v>0</v>
      </c>
      <c r="N665" s="10" t="n">
        <v>0</v>
      </c>
      <c r="O665" s="10" t="n">
        <v>0</v>
      </c>
      <c r="P665" s="10" t="n">
        <v>-1</v>
      </c>
      <c r="Q665" s="10" t="n">
        <v>0</v>
      </c>
      <c r="R665" s="10" t="n">
        <v>3</v>
      </c>
      <c r="S665" s="10" t="n">
        <v>0</v>
      </c>
      <c r="T665" s="10" t="n">
        <v>0</v>
      </c>
      <c r="U665" s="10" t="n">
        <v>0</v>
      </c>
    </row>
    <row r="666" customFormat="false" ht="15" hidden="false" customHeight="false" outlineLevel="0" collapsed="false">
      <c r="A666" s="7" t="s">
        <v>931</v>
      </c>
      <c r="B666" s="7" t="s">
        <v>201</v>
      </c>
      <c r="C666" s="7" t="s">
        <v>469</v>
      </c>
      <c r="D666" s="10" t="n">
        <v>0</v>
      </c>
      <c r="E666" s="10" t="n">
        <v>0</v>
      </c>
      <c r="F666" s="10" t="n">
        <v>4</v>
      </c>
      <c r="G666" s="10" t="n">
        <v>0</v>
      </c>
      <c r="H666" s="10" t="n">
        <v>0</v>
      </c>
      <c r="I666" s="10" t="n">
        <v>-1</v>
      </c>
      <c r="J666" s="10" t="n">
        <v>0</v>
      </c>
      <c r="K666" s="10" t="n">
        <v>0</v>
      </c>
      <c r="L666" s="10" t="n">
        <v>0</v>
      </c>
      <c r="M666" s="10" t="n">
        <v>0</v>
      </c>
      <c r="N666" s="10" t="n">
        <v>0</v>
      </c>
      <c r="O666" s="10" t="n">
        <v>0</v>
      </c>
      <c r="P666" s="10" t="n">
        <v>-1</v>
      </c>
      <c r="Q666" s="10" t="n">
        <v>0</v>
      </c>
      <c r="R666" s="10" t="n">
        <v>0</v>
      </c>
      <c r="S666" s="10" t="n">
        <v>0</v>
      </c>
      <c r="T666" s="10" t="n">
        <v>0</v>
      </c>
      <c r="U666" s="10" t="n">
        <v>0</v>
      </c>
    </row>
    <row r="667" customFormat="false" ht="15" hidden="false" customHeight="false" outlineLevel="0" collapsed="false">
      <c r="A667" s="7" t="s">
        <v>931</v>
      </c>
      <c r="B667" s="7" t="s">
        <v>201</v>
      </c>
      <c r="C667" s="7" t="s">
        <v>470</v>
      </c>
      <c r="D667" s="10" t="n">
        <v>0</v>
      </c>
      <c r="E667" s="10" t="n">
        <v>0</v>
      </c>
      <c r="F667" s="10" t="n">
        <v>2</v>
      </c>
      <c r="G667" s="10" t="n">
        <v>0</v>
      </c>
      <c r="H667" s="10" t="n">
        <v>0</v>
      </c>
      <c r="I667" s="10" t="n">
        <v>-1</v>
      </c>
      <c r="J667" s="10" t="n">
        <v>0</v>
      </c>
      <c r="K667" s="10" t="n">
        <v>0</v>
      </c>
      <c r="L667" s="10" t="n">
        <v>0</v>
      </c>
      <c r="M667" s="10" t="n">
        <v>0</v>
      </c>
      <c r="N667" s="10" t="n">
        <v>0</v>
      </c>
      <c r="O667" s="10" t="n">
        <v>0</v>
      </c>
      <c r="P667" s="10" t="n">
        <v>0</v>
      </c>
      <c r="Q667" s="10" t="n">
        <v>-1</v>
      </c>
      <c r="R667" s="10" t="n">
        <v>0</v>
      </c>
      <c r="S667" s="10" t="n">
        <v>0</v>
      </c>
      <c r="T667" s="10" t="n">
        <v>0</v>
      </c>
      <c r="U667" s="10" t="n">
        <v>0</v>
      </c>
    </row>
    <row r="668" customFormat="false" ht="15" hidden="false" customHeight="false" outlineLevel="0" collapsed="false">
      <c r="A668" s="7" t="s">
        <v>931</v>
      </c>
      <c r="B668" s="7" t="s">
        <v>200</v>
      </c>
      <c r="C668" s="7" t="s">
        <v>471</v>
      </c>
      <c r="D668" s="10" t="n">
        <v>0</v>
      </c>
      <c r="E668" s="10" t="n">
        <v>0</v>
      </c>
      <c r="F668" s="10" t="n">
        <v>3</v>
      </c>
      <c r="G668" s="10" t="n">
        <v>0</v>
      </c>
      <c r="H668" s="10" t="n">
        <v>0</v>
      </c>
      <c r="I668" s="10" t="n">
        <v>0</v>
      </c>
      <c r="J668" s="10" t="n">
        <v>0</v>
      </c>
      <c r="K668" s="10" t="n">
        <v>0</v>
      </c>
      <c r="L668" s="10" t="n">
        <v>0</v>
      </c>
      <c r="M668" s="10" t="n">
        <v>0</v>
      </c>
      <c r="N668" s="10" t="n">
        <v>0</v>
      </c>
      <c r="O668" s="10" t="n">
        <v>0</v>
      </c>
      <c r="P668" s="10" t="n">
        <v>0</v>
      </c>
      <c r="Q668" s="10" t="n">
        <v>0</v>
      </c>
      <c r="R668" s="10" t="n">
        <v>0</v>
      </c>
      <c r="S668" s="10" t="n">
        <v>0</v>
      </c>
      <c r="T668" s="10" t="n">
        <v>0</v>
      </c>
      <c r="U668" s="10" t="n">
        <v>0</v>
      </c>
    </row>
    <row r="669" customFormat="false" ht="15" hidden="false" customHeight="false" outlineLevel="0" collapsed="false">
      <c r="A669" s="7" t="s">
        <v>931</v>
      </c>
      <c r="B669" s="7" t="s">
        <v>200</v>
      </c>
      <c r="C669" s="7" t="s">
        <v>472</v>
      </c>
      <c r="D669" s="10" t="n">
        <v>0</v>
      </c>
      <c r="E669" s="10" t="n">
        <v>0</v>
      </c>
      <c r="F669" s="10" t="n">
        <v>6</v>
      </c>
      <c r="G669" s="10" t="n">
        <v>0</v>
      </c>
      <c r="H669" s="10" t="n">
        <v>0</v>
      </c>
      <c r="I669" s="10" t="n">
        <v>5</v>
      </c>
      <c r="J669" s="10" t="n">
        <v>0</v>
      </c>
      <c r="K669" s="10" t="n">
        <v>0</v>
      </c>
      <c r="L669" s="10" t="n">
        <v>0</v>
      </c>
      <c r="M669" s="10" t="n">
        <v>0</v>
      </c>
      <c r="N669" s="10" t="n">
        <v>0</v>
      </c>
      <c r="O669" s="10" t="n">
        <v>0</v>
      </c>
      <c r="P669" s="10" t="n">
        <v>0</v>
      </c>
      <c r="Q669" s="10" t="n">
        <v>1</v>
      </c>
      <c r="R669" s="10" t="n">
        <v>4</v>
      </c>
      <c r="S669" s="10" t="n">
        <v>0</v>
      </c>
      <c r="T669" s="10" t="n">
        <v>0</v>
      </c>
      <c r="U669" s="10" t="n">
        <v>0</v>
      </c>
    </row>
    <row r="670" customFormat="false" ht="15" hidden="false" customHeight="false" outlineLevel="0" collapsed="false">
      <c r="A670" s="7" t="s">
        <v>931</v>
      </c>
      <c r="B670" s="7" t="s">
        <v>200</v>
      </c>
      <c r="C670" s="7" t="s">
        <v>473</v>
      </c>
      <c r="D670" s="10" t="n">
        <v>0</v>
      </c>
      <c r="E670" s="10" t="n">
        <v>0</v>
      </c>
      <c r="F670" s="10" t="n">
        <v>7</v>
      </c>
      <c r="G670" s="10" t="n">
        <v>0</v>
      </c>
      <c r="H670" s="10" t="n">
        <v>0</v>
      </c>
      <c r="I670" s="10" t="n">
        <v>0</v>
      </c>
      <c r="J670" s="10" t="n">
        <v>0</v>
      </c>
      <c r="K670" s="10" t="n">
        <v>0</v>
      </c>
      <c r="L670" s="10" t="n">
        <v>0</v>
      </c>
      <c r="M670" s="10" t="n">
        <v>0</v>
      </c>
      <c r="N670" s="10" t="n">
        <v>0</v>
      </c>
      <c r="O670" s="10" t="n">
        <v>0</v>
      </c>
      <c r="P670" s="10" t="n">
        <v>0</v>
      </c>
      <c r="Q670" s="10" t="n">
        <v>-1</v>
      </c>
      <c r="R670" s="10" t="n">
        <v>1</v>
      </c>
      <c r="S670" s="10" t="n">
        <v>0</v>
      </c>
      <c r="T670" s="10" t="n">
        <v>0</v>
      </c>
      <c r="U670" s="10" t="n">
        <v>0</v>
      </c>
    </row>
    <row r="671" customFormat="false" ht="15" hidden="false" customHeight="false" outlineLevel="0" collapsed="false">
      <c r="A671" s="7" t="s">
        <v>931</v>
      </c>
      <c r="B671" s="7" t="s">
        <v>200</v>
      </c>
      <c r="C671" s="7" t="s">
        <v>474</v>
      </c>
      <c r="D671" s="10" t="n">
        <v>0</v>
      </c>
      <c r="E671" s="10" t="n">
        <v>0</v>
      </c>
      <c r="F671" s="10" t="n">
        <v>4</v>
      </c>
      <c r="G671" s="10" t="n">
        <v>0</v>
      </c>
      <c r="H671" s="10" t="n">
        <v>0</v>
      </c>
      <c r="I671" s="10" t="n">
        <v>-2</v>
      </c>
      <c r="J671" s="10" t="n">
        <v>0</v>
      </c>
      <c r="K671" s="10" t="n">
        <v>0</v>
      </c>
      <c r="L671" s="10" t="n">
        <v>0</v>
      </c>
      <c r="M671" s="10" t="n">
        <v>0</v>
      </c>
      <c r="N671" s="10" t="n">
        <v>0</v>
      </c>
      <c r="O671" s="10" t="n">
        <v>0</v>
      </c>
      <c r="P671" s="10" t="n">
        <v>0</v>
      </c>
      <c r="Q671" s="10" t="n">
        <v>-2</v>
      </c>
      <c r="R671" s="10" t="n">
        <v>0</v>
      </c>
      <c r="S671" s="10" t="n">
        <v>0</v>
      </c>
      <c r="T671" s="10" t="n">
        <v>0</v>
      </c>
      <c r="U671" s="10" t="n">
        <v>0</v>
      </c>
    </row>
    <row r="672" customFormat="false" ht="15" hidden="false" customHeight="false" outlineLevel="0" collapsed="false">
      <c r="A672" s="7" t="s">
        <v>931</v>
      </c>
      <c r="B672" s="7" t="s">
        <v>319</v>
      </c>
      <c r="C672" s="7" t="s">
        <v>475</v>
      </c>
      <c r="D672" s="10" t="n">
        <v>0</v>
      </c>
      <c r="E672" s="10" t="n">
        <v>0</v>
      </c>
      <c r="F672" s="10" t="n">
        <v>1</v>
      </c>
      <c r="G672" s="10" t="n">
        <v>0</v>
      </c>
      <c r="H672" s="10" t="n">
        <v>0</v>
      </c>
      <c r="I672" s="10" t="n">
        <v>0</v>
      </c>
      <c r="J672" s="10" t="n">
        <v>0</v>
      </c>
      <c r="K672" s="10" t="n">
        <v>0</v>
      </c>
      <c r="L672" s="10" t="n">
        <v>0</v>
      </c>
      <c r="M672" s="10" t="n">
        <v>0</v>
      </c>
      <c r="N672" s="10" t="n">
        <v>0</v>
      </c>
      <c r="O672" s="10" t="n">
        <v>0</v>
      </c>
      <c r="P672" s="10" t="n">
        <v>0</v>
      </c>
      <c r="Q672" s="10" t="n">
        <v>0</v>
      </c>
      <c r="R672" s="10" t="n">
        <v>0</v>
      </c>
      <c r="S672" s="10" t="n">
        <v>0</v>
      </c>
      <c r="T672" s="10" t="n">
        <v>0</v>
      </c>
      <c r="U672" s="10" t="n">
        <v>0</v>
      </c>
    </row>
    <row r="673" customFormat="false" ht="15" hidden="false" customHeight="false" outlineLevel="0" collapsed="false">
      <c r="A673" s="7" t="s">
        <v>931</v>
      </c>
      <c r="B673" s="7" t="s">
        <v>203</v>
      </c>
      <c r="C673" s="7" t="s">
        <v>476</v>
      </c>
      <c r="D673" s="10" t="n">
        <v>0</v>
      </c>
      <c r="E673" s="10" t="n">
        <v>0</v>
      </c>
      <c r="F673" s="10" t="n">
        <v>1</v>
      </c>
      <c r="G673" s="10" t="n">
        <v>0</v>
      </c>
      <c r="H673" s="10" t="n">
        <v>0</v>
      </c>
      <c r="I673" s="10" t="n">
        <v>-2</v>
      </c>
      <c r="J673" s="10" t="n">
        <v>0</v>
      </c>
      <c r="K673" s="10" t="n">
        <v>0</v>
      </c>
      <c r="L673" s="10" t="n">
        <v>0</v>
      </c>
      <c r="M673" s="10" t="n">
        <v>0</v>
      </c>
      <c r="N673" s="10" t="n">
        <v>0</v>
      </c>
      <c r="O673" s="10" t="n">
        <v>0</v>
      </c>
      <c r="P673" s="10" t="n">
        <v>0</v>
      </c>
      <c r="Q673" s="10" t="n">
        <v>-2</v>
      </c>
      <c r="R673" s="10" t="n">
        <v>0</v>
      </c>
      <c r="S673" s="10" t="n">
        <v>0</v>
      </c>
      <c r="T673" s="10" t="n">
        <v>0</v>
      </c>
      <c r="U673" s="10" t="n">
        <v>0</v>
      </c>
    </row>
    <row r="674" customFormat="false" ht="15" hidden="false" customHeight="false" outlineLevel="0" collapsed="false">
      <c r="A674" s="7" t="s">
        <v>931</v>
      </c>
      <c r="B674" s="7" t="s">
        <v>250</v>
      </c>
      <c r="C674" s="7" t="s">
        <v>475</v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>
        <v>-1</v>
      </c>
      <c r="J674" s="10" t="n">
        <v>0</v>
      </c>
      <c r="K674" s="10" t="n">
        <v>0</v>
      </c>
      <c r="L674" s="10" t="n">
        <v>0</v>
      </c>
      <c r="M674" s="10" t="n">
        <v>0</v>
      </c>
      <c r="N674" s="10" t="n">
        <v>0</v>
      </c>
      <c r="O674" s="10" t="n">
        <v>0</v>
      </c>
      <c r="P674" s="10" t="n">
        <v>0</v>
      </c>
      <c r="Q674" s="10" t="n">
        <v>-1</v>
      </c>
      <c r="R674" s="10" t="n">
        <v>0</v>
      </c>
      <c r="S674" s="10" t="n">
        <v>0</v>
      </c>
      <c r="T674" s="10" t="n">
        <v>0</v>
      </c>
      <c r="U674" s="10" t="n">
        <v>0</v>
      </c>
    </row>
    <row r="675" customFormat="false" ht="15" hidden="false" customHeight="false" outlineLevel="0" collapsed="false">
      <c r="A675" s="7" t="s">
        <v>931</v>
      </c>
      <c r="B675" s="7" t="s">
        <v>75</v>
      </c>
      <c r="C675" s="7" t="s">
        <v>477</v>
      </c>
      <c r="D675" s="10" t="n">
        <v>0</v>
      </c>
      <c r="E675" s="10" t="n">
        <v>0</v>
      </c>
      <c r="F675" s="10" t="n">
        <v>20</v>
      </c>
      <c r="G675" s="10" t="n">
        <v>0</v>
      </c>
      <c r="H675" s="10" t="n">
        <v>1</v>
      </c>
      <c r="I675" s="10" t="n">
        <v>259</v>
      </c>
      <c r="J675" s="10" t="n">
        <v>0</v>
      </c>
      <c r="K675" s="10" t="n">
        <v>1</v>
      </c>
      <c r="L675" s="10" t="n">
        <v>0</v>
      </c>
      <c r="M675" s="10" t="n">
        <v>0</v>
      </c>
      <c r="N675" s="10" t="n">
        <v>4</v>
      </c>
      <c r="O675" s="10" t="n">
        <v>0</v>
      </c>
      <c r="P675" s="10" t="n">
        <v>-4</v>
      </c>
      <c r="Q675" s="10" t="n">
        <v>224</v>
      </c>
      <c r="R675" s="10" t="n">
        <v>34</v>
      </c>
      <c r="S675" s="10" t="n">
        <v>0</v>
      </c>
      <c r="T675" s="10" t="n">
        <v>0</v>
      </c>
      <c r="U675" s="10" t="n">
        <v>0</v>
      </c>
    </row>
    <row r="676" customFormat="false" ht="15" hidden="false" customHeight="false" outlineLevel="0" collapsed="false">
      <c r="A676" s="7" t="s">
        <v>931</v>
      </c>
      <c r="B676" s="7" t="s">
        <v>152</v>
      </c>
      <c r="C676" s="7" t="s">
        <v>478</v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>
        <v>-3</v>
      </c>
      <c r="J676" s="10" t="n">
        <v>0</v>
      </c>
      <c r="K676" s="10" t="n">
        <v>0</v>
      </c>
      <c r="L676" s="10" t="n">
        <v>0</v>
      </c>
      <c r="M676" s="10" t="n">
        <v>0</v>
      </c>
      <c r="N676" s="10" t="n">
        <v>0</v>
      </c>
      <c r="O676" s="10" t="n">
        <v>0</v>
      </c>
      <c r="P676" s="10" t="n">
        <v>-2</v>
      </c>
      <c r="Q676" s="10" t="n">
        <v>-1</v>
      </c>
      <c r="R676" s="10" t="n">
        <v>0</v>
      </c>
      <c r="S676" s="10" t="n">
        <v>0</v>
      </c>
      <c r="T676" s="10" t="n">
        <v>0</v>
      </c>
      <c r="U676" s="10" t="n">
        <v>0</v>
      </c>
    </row>
    <row r="677" customFormat="false" ht="15" hidden="false" customHeight="false" outlineLevel="0" collapsed="false">
      <c r="A677" s="7" t="s">
        <v>931</v>
      </c>
      <c r="B677" s="7" t="s">
        <v>152</v>
      </c>
      <c r="C677" s="7" t="s">
        <v>479</v>
      </c>
      <c r="D677" s="10" t="n">
        <v>0</v>
      </c>
      <c r="E677" s="10" t="n">
        <v>0</v>
      </c>
      <c r="F677" s="10" t="n">
        <v>8</v>
      </c>
      <c r="G677" s="10" t="n">
        <v>0</v>
      </c>
      <c r="H677" s="10" t="n">
        <v>0</v>
      </c>
      <c r="I677" s="10" t="n">
        <v>17</v>
      </c>
      <c r="J677" s="10" t="n">
        <v>0</v>
      </c>
      <c r="K677" s="10" t="n">
        <v>0</v>
      </c>
      <c r="L677" s="10" t="n">
        <v>0</v>
      </c>
      <c r="M677" s="10" t="n">
        <v>0</v>
      </c>
      <c r="N677" s="10" t="n">
        <v>0</v>
      </c>
      <c r="O677" s="10" t="n">
        <v>0</v>
      </c>
      <c r="P677" s="10" t="n">
        <v>0</v>
      </c>
      <c r="Q677" s="10" t="n">
        <v>9</v>
      </c>
      <c r="R677" s="10" t="n">
        <v>8</v>
      </c>
      <c r="S677" s="10" t="n">
        <v>0</v>
      </c>
      <c r="T677" s="10" t="n">
        <v>0</v>
      </c>
      <c r="U677" s="10" t="n">
        <v>0</v>
      </c>
    </row>
    <row r="678" customFormat="false" ht="15" hidden="false" customHeight="false" outlineLevel="0" collapsed="false">
      <c r="A678" s="7" t="s">
        <v>931</v>
      </c>
      <c r="B678" s="7" t="s">
        <v>152</v>
      </c>
      <c r="C678" s="7" t="s">
        <v>480</v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>
        <v>7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n">
        <v>0</v>
      </c>
      <c r="O678" s="10" t="n">
        <v>0</v>
      </c>
      <c r="P678" s="10" t="n">
        <v>-1</v>
      </c>
      <c r="Q678" s="10" t="n">
        <v>7</v>
      </c>
      <c r="R678" s="10" t="n">
        <v>1</v>
      </c>
      <c r="S678" s="10" t="n">
        <v>0</v>
      </c>
      <c r="T678" s="10" t="n">
        <v>0</v>
      </c>
      <c r="U678" s="10" t="n">
        <v>0</v>
      </c>
    </row>
    <row r="679" customFormat="false" ht="15" hidden="false" customHeight="false" outlineLevel="0" collapsed="false">
      <c r="A679" s="7" t="s">
        <v>931</v>
      </c>
      <c r="B679" s="7" t="s">
        <v>152</v>
      </c>
      <c r="C679" s="7" t="s">
        <v>481</v>
      </c>
      <c r="D679" s="10" t="n">
        <v>0</v>
      </c>
      <c r="E679" s="10" t="n">
        <v>0</v>
      </c>
      <c r="F679" s="10" t="n">
        <v>9</v>
      </c>
      <c r="G679" s="10" t="n">
        <v>0</v>
      </c>
      <c r="H679" s="10" t="n">
        <v>1</v>
      </c>
      <c r="I679" s="10" t="n">
        <v>19</v>
      </c>
      <c r="J679" s="10" t="n">
        <v>0</v>
      </c>
      <c r="K679" s="10" t="n">
        <v>0</v>
      </c>
      <c r="L679" s="10" t="n">
        <v>0</v>
      </c>
      <c r="M679" s="10" t="n">
        <v>0</v>
      </c>
      <c r="N679" s="10" t="n">
        <v>0</v>
      </c>
      <c r="O679" s="10" t="n">
        <v>0</v>
      </c>
      <c r="P679" s="10" t="n">
        <v>0</v>
      </c>
      <c r="Q679" s="10" t="n">
        <v>13</v>
      </c>
      <c r="R679" s="10" t="n">
        <v>6</v>
      </c>
      <c r="S679" s="10" t="n">
        <v>0</v>
      </c>
      <c r="T679" s="10" t="n">
        <v>0</v>
      </c>
      <c r="U679" s="10" t="n">
        <v>0</v>
      </c>
    </row>
    <row r="680" customFormat="false" ht="15" hidden="false" customHeight="false" outlineLevel="0" collapsed="false">
      <c r="A680" s="7" t="s">
        <v>931</v>
      </c>
      <c r="B680" s="7" t="s">
        <v>152</v>
      </c>
      <c r="C680" s="7" t="s">
        <v>482</v>
      </c>
      <c r="D680" s="10" t="n">
        <v>0</v>
      </c>
      <c r="E680" s="10" t="n">
        <v>0</v>
      </c>
      <c r="F680" s="10" t="n">
        <v>8</v>
      </c>
      <c r="G680" s="10" t="n">
        <v>0</v>
      </c>
      <c r="H680" s="10" t="n">
        <v>0</v>
      </c>
      <c r="I680" s="10" t="n">
        <v>0</v>
      </c>
      <c r="J680" s="10" t="n">
        <v>0</v>
      </c>
      <c r="K680" s="10" t="n">
        <v>0</v>
      </c>
      <c r="L680" s="10" t="n">
        <v>0</v>
      </c>
      <c r="M680" s="10" t="n">
        <v>0</v>
      </c>
      <c r="N680" s="10" t="n">
        <v>0</v>
      </c>
      <c r="O680" s="10" t="n">
        <v>0</v>
      </c>
      <c r="P680" s="10" t="n">
        <v>0</v>
      </c>
      <c r="Q680" s="10" t="n">
        <v>0</v>
      </c>
      <c r="R680" s="10" t="n">
        <v>0</v>
      </c>
      <c r="S680" s="10" t="n">
        <v>0</v>
      </c>
      <c r="T680" s="10" t="n">
        <v>0</v>
      </c>
      <c r="U680" s="10" t="n">
        <v>0</v>
      </c>
    </row>
    <row r="681" customFormat="false" ht="15" hidden="false" customHeight="false" outlineLevel="0" collapsed="false">
      <c r="A681" s="7" t="s">
        <v>931</v>
      </c>
      <c r="B681" s="7" t="s">
        <v>118</v>
      </c>
      <c r="C681" s="7" t="s">
        <v>483</v>
      </c>
      <c r="D681" s="10" t="n">
        <v>0</v>
      </c>
      <c r="E681" s="10" t="n">
        <v>0</v>
      </c>
      <c r="F681" s="10" t="n">
        <v>104</v>
      </c>
      <c r="G681" s="10" t="n">
        <v>0</v>
      </c>
      <c r="H681" s="10" t="n">
        <v>0</v>
      </c>
      <c r="I681" s="10" t="n">
        <v>229</v>
      </c>
      <c r="J681" s="10" t="n">
        <v>0</v>
      </c>
      <c r="K681" s="10" t="n">
        <v>2</v>
      </c>
      <c r="L681" s="10" t="n">
        <v>0</v>
      </c>
      <c r="M681" s="10" t="n">
        <v>0</v>
      </c>
      <c r="N681" s="10" t="n">
        <v>0</v>
      </c>
      <c r="O681" s="10" t="n">
        <v>0</v>
      </c>
      <c r="P681" s="10" t="n">
        <v>-1</v>
      </c>
      <c r="Q681" s="10" t="n">
        <v>187</v>
      </c>
      <c r="R681" s="10" t="n">
        <v>41</v>
      </c>
      <c r="S681" s="10" t="n">
        <v>0</v>
      </c>
      <c r="T681" s="10" t="n">
        <v>0</v>
      </c>
      <c r="U681" s="10" t="n">
        <v>0</v>
      </c>
    </row>
    <row r="682" customFormat="false" ht="15" hidden="false" customHeight="false" outlineLevel="0" collapsed="false">
      <c r="A682" s="7" t="s">
        <v>931</v>
      </c>
      <c r="B682" s="7" t="s">
        <v>118</v>
      </c>
      <c r="C682" s="7" t="s">
        <v>484</v>
      </c>
      <c r="D682" s="10" t="n">
        <v>0</v>
      </c>
      <c r="E682" s="10" t="n">
        <v>0</v>
      </c>
      <c r="F682" s="10" t="n">
        <v>47</v>
      </c>
      <c r="G682" s="10" t="n">
        <v>0</v>
      </c>
      <c r="H682" s="10" t="n">
        <v>0</v>
      </c>
      <c r="I682" s="10" t="n">
        <v>152</v>
      </c>
      <c r="J682" s="10" t="n">
        <v>0</v>
      </c>
      <c r="K682" s="10" t="n">
        <v>5</v>
      </c>
      <c r="L682" s="10" t="n">
        <v>0</v>
      </c>
      <c r="M682" s="10" t="n">
        <v>0</v>
      </c>
      <c r="N682" s="10" t="n">
        <v>0</v>
      </c>
      <c r="O682" s="10" t="n">
        <v>0</v>
      </c>
      <c r="P682" s="10" t="n">
        <v>-1</v>
      </c>
      <c r="Q682" s="10" t="n">
        <v>121</v>
      </c>
      <c r="R682" s="10" t="n">
        <v>27</v>
      </c>
      <c r="S682" s="10" t="n">
        <v>0</v>
      </c>
      <c r="T682" s="10" t="n">
        <v>0</v>
      </c>
      <c r="U682" s="10" t="n">
        <v>0</v>
      </c>
    </row>
    <row r="683" customFormat="false" ht="15" hidden="false" customHeight="false" outlineLevel="0" collapsed="false">
      <c r="A683" s="7" t="s">
        <v>931</v>
      </c>
      <c r="B683" s="7" t="s">
        <v>124</v>
      </c>
      <c r="C683" s="7" t="s">
        <v>485</v>
      </c>
      <c r="D683" s="10" t="n">
        <v>0</v>
      </c>
      <c r="E683" s="10" t="n">
        <v>0</v>
      </c>
      <c r="F683" s="10" t="n">
        <v>108</v>
      </c>
      <c r="G683" s="10" t="n">
        <v>0</v>
      </c>
      <c r="H683" s="10" t="n">
        <v>0</v>
      </c>
      <c r="I683" s="10" t="n">
        <v>102</v>
      </c>
      <c r="J683" s="10" t="n">
        <v>0</v>
      </c>
      <c r="K683" s="10" t="n">
        <v>0</v>
      </c>
      <c r="L683" s="10" t="n">
        <v>0</v>
      </c>
      <c r="M683" s="10" t="n">
        <v>0</v>
      </c>
      <c r="N683" s="10" t="n">
        <v>0</v>
      </c>
      <c r="O683" s="10" t="n">
        <v>0</v>
      </c>
      <c r="P683" s="10" t="n">
        <v>0</v>
      </c>
      <c r="Q683" s="10" t="n">
        <v>102</v>
      </c>
      <c r="R683" s="10" t="n">
        <v>0</v>
      </c>
      <c r="S683" s="10" t="n">
        <v>0</v>
      </c>
      <c r="T683" s="10" t="n">
        <v>0</v>
      </c>
      <c r="U683" s="10" t="n">
        <v>0</v>
      </c>
    </row>
    <row r="684" customFormat="false" ht="15" hidden="false" customHeight="false" outlineLevel="0" collapsed="false">
      <c r="A684" s="7" t="s">
        <v>931</v>
      </c>
      <c r="B684" s="7" t="s">
        <v>124</v>
      </c>
      <c r="C684" s="7" t="s">
        <v>486</v>
      </c>
      <c r="D684" s="10" t="n">
        <v>0</v>
      </c>
      <c r="E684" s="10" t="n">
        <v>0</v>
      </c>
      <c r="F684" s="10" t="n">
        <v>77</v>
      </c>
      <c r="G684" s="10" t="n">
        <v>0</v>
      </c>
      <c r="H684" s="10" t="n">
        <v>0</v>
      </c>
      <c r="I684" s="10" t="n">
        <v>116</v>
      </c>
      <c r="J684" s="10" t="n">
        <v>0</v>
      </c>
      <c r="K684" s="10" t="n">
        <v>0</v>
      </c>
      <c r="L684" s="10" t="n">
        <v>0</v>
      </c>
      <c r="M684" s="10" t="n">
        <v>0</v>
      </c>
      <c r="N684" s="10" t="n">
        <v>0</v>
      </c>
      <c r="O684" s="10" t="n">
        <v>0</v>
      </c>
      <c r="P684" s="10" t="n">
        <v>0</v>
      </c>
      <c r="Q684" s="10" t="n">
        <v>116</v>
      </c>
      <c r="R684" s="10" t="n">
        <v>0</v>
      </c>
      <c r="S684" s="10" t="n">
        <v>0</v>
      </c>
      <c r="T684" s="10" t="n">
        <v>0</v>
      </c>
      <c r="U684" s="10" t="n">
        <v>0</v>
      </c>
    </row>
    <row r="685" customFormat="false" ht="15" hidden="false" customHeight="false" outlineLevel="0" collapsed="false">
      <c r="A685" s="7" t="s">
        <v>931</v>
      </c>
      <c r="B685" s="7" t="s">
        <v>60</v>
      </c>
      <c r="C685" s="7" t="s">
        <v>487</v>
      </c>
      <c r="D685" s="10" t="n">
        <v>0</v>
      </c>
      <c r="E685" s="10" t="n">
        <v>0</v>
      </c>
      <c r="F685" s="10" t="n">
        <v>542</v>
      </c>
      <c r="G685" s="10" t="n">
        <v>0</v>
      </c>
      <c r="H685" s="10" t="n">
        <v>0</v>
      </c>
      <c r="I685" s="10" t="n">
        <v>4789</v>
      </c>
      <c r="J685" s="10" t="n">
        <v>0</v>
      </c>
      <c r="K685" s="10" t="n">
        <v>14</v>
      </c>
      <c r="L685" s="10" t="n">
        <v>0</v>
      </c>
      <c r="M685" s="10" t="n">
        <v>3</v>
      </c>
      <c r="N685" s="10" t="n">
        <v>8</v>
      </c>
      <c r="O685" s="10" t="n">
        <v>9</v>
      </c>
      <c r="P685" s="10" t="n">
        <v>-7</v>
      </c>
      <c r="Q685" s="10" t="n">
        <v>4392</v>
      </c>
      <c r="R685" s="10" t="n">
        <v>370</v>
      </c>
      <c r="S685" s="10" t="n">
        <v>1</v>
      </c>
      <c r="T685" s="10" t="n">
        <v>0</v>
      </c>
      <c r="U685" s="10" t="n">
        <v>0</v>
      </c>
    </row>
    <row r="686" customFormat="false" ht="15" hidden="false" customHeight="false" outlineLevel="0" collapsed="false">
      <c r="A686" s="7" t="s">
        <v>931</v>
      </c>
      <c r="B686" s="7" t="s">
        <v>59</v>
      </c>
      <c r="C686" s="7" t="s">
        <v>487</v>
      </c>
      <c r="D686" s="10" t="n">
        <v>0</v>
      </c>
      <c r="E686" s="10" t="n">
        <v>0</v>
      </c>
      <c r="F686" s="10" t="n">
        <v>469</v>
      </c>
      <c r="G686" s="10" t="n">
        <v>0</v>
      </c>
      <c r="H686" s="10" t="n">
        <v>0</v>
      </c>
      <c r="I686" s="10" t="n">
        <v>5745</v>
      </c>
      <c r="J686" s="10" t="n">
        <v>0</v>
      </c>
      <c r="K686" s="10" t="n">
        <v>8</v>
      </c>
      <c r="L686" s="10" t="n">
        <v>0</v>
      </c>
      <c r="M686" s="10" t="n">
        <v>7</v>
      </c>
      <c r="N686" s="10" t="n">
        <v>2</v>
      </c>
      <c r="O686" s="10" t="n">
        <v>3</v>
      </c>
      <c r="P686" s="10" t="n">
        <v>-7</v>
      </c>
      <c r="Q686" s="10" t="n">
        <v>5414</v>
      </c>
      <c r="R686" s="10" t="n">
        <v>318</v>
      </c>
      <c r="S686" s="10" t="n">
        <v>0</v>
      </c>
      <c r="T686" s="10" t="n">
        <v>0</v>
      </c>
      <c r="U686" s="10" t="n">
        <v>0</v>
      </c>
    </row>
    <row r="687" customFormat="false" ht="15" hidden="false" customHeight="false" outlineLevel="0" collapsed="false">
      <c r="A687" s="7" t="s">
        <v>931</v>
      </c>
      <c r="B687" s="7" t="s">
        <v>328</v>
      </c>
      <c r="C687" s="7" t="s">
        <v>488</v>
      </c>
      <c r="D687" s="10" t="n">
        <v>0</v>
      </c>
      <c r="E687" s="10" t="n">
        <v>0</v>
      </c>
      <c r="F687" s="10" t="n">
        <v>1</v>
      </c>
      <c r="G687" s="10" t="n">
        <v>0</v>
      </c>
      <c r="H687" s="10" t="n">
        <v>0</v>
      </c>
      <c r="I687" s="10" t="n">
        <v>0</v>
      </c>
      <c r="J687" s="10" t="n">
        <v>0</v>
      </c>
      <c r="K687" s="10" t="n">
        <v>0</v>
      </c>
      <c r="L687" s="10" t="n">
        <v>0</v>
      </c>
      <c r="M687" s="10" t="n">
        <v>0</v>
      </c>
      <c r="N687" s="10" t="n">
        <v>0</v>
      </c>
      <c r="O687" s="10" t="n">
        <v>0</v>
      </c>
      <c r="P687" s="10" t="n">
        <v>0</v>
      </c>
      <c r="Q687" s="10" t="n">
        <v>0</v>
      </c>
      <c r="R687" s="10" t="n">
        <v>0</v>
      </c>
      <c r="S687" s="10" t="n">
        <v>0</v>
      </c>
      <c r="T687" s="10" t="n">
        <v>0</v>
      </c>
      <c r="U687" s="10" t="n">
        <v>0</v>
      </c>
    </row>
    <row r="688" customFormat="false" ht="15" hidden="false" customHeight="false" outlineLevel="0" collapsed="false">
      <c r="A688" s="7" t="s">
        <v>931</v>
      </c>
      <c r="B688" s="7" t="s">
        <v>207</v>
      </c>
      <c r="C688" s="7" t="s">
        <v>489</v>
      </c>
      <c r="D688" s="10" t="n">
        <v>0</v>
      </c>
      <c r="E688" s="10" t="n">
        <v>0</v>
      </c>
      <c r="F688" s="10" t="n">
        <v>1</v>
      </c>
      <c r="G688" s="10" t="n">
        <v>0</v>
      </c>
      <c r="H688" s="10" t="n">
        <v>0</v>
      </c>
      <c r="I688" s="10" t="n">
        <v>0</v>
      </c>
      <c r="J688" s="10" t="n">
        <v>0</v>
      </c>
      <c r="K688" s="10" t="n">
        <v>0</v>
      </c>
      <c r="L688" s="10" t="n">
        <v>0</v>
      </c>
      <c r="M688" s="10" t="n">
        <v>0</v>
      </c>
      <c r="N688" s="10" t="n">
        <v>0</v>
      </c>
      <c r="O688" s="10" t="n">
        <v>0</v>
      </c>
      <c r="P688" s="10" t="n">
        <v>0</v>
      </c>
      <c r="Q688" s="10" t="n">
        <v>0</v>
      </c>
      <c r="R688" s="10" t="n">
        <v>0</v>
      </c>
      <c r="S688" s="10" t="n">
        <v>0</v>
      </c>
      <c r="T688" s="10" t="n">
        <v>0</v>
      </c>
      <c r="U688" s="10" t="n">
        <v>0</v>
      </c>
    </row>
    <row r="689" customFormat="false" ht="15" hidden="false" customHeight="false" outlineLevel="0" collapsed="false">
      <c r="A689" s="7" t="s">
        <v>931</v>
      </c>
      <c r="B689" s="7" t="s">
        <v>197</v>
      </c>
      <c r="C689" s="7" t="s">
        <v>490</v>
      </c>
      <c r="D689" s="10" t="n">
        <v>0</v>
      </c>
      <c r="E689" s="10" t="n">
        <v>0</v>
      </c>
      <c r="F689" s="10" t="n">
        <v>3</v>
      </c>
      <c r="G689" s="10" t="n">
        <v>0</v>
      </c>
      <c r="H689" s="10" t="n">
        <v>0</v>
      </c>
      <c r="I689" s="10" t="n">
        <v>0</v>
      </c>
      <c r="J689" s="10" t="n">
        <v>0</v>
      </c>
      <c r="K689" s="10" t="n">
        <v>0</v>
      </c>
      <c r="L689" s="10" t="n">
        <v>0</v>
      </c>
      <c r="M689" s="10" t="n">
        <v>0</v>
      </c>
      <c r="N689" s="10" t="n">
        <v>0</v>
      </c>
      <c r="O689" s="10" t="n">
        <v>0</v>
      </c>
      <c r="P689" s="10" t="n">
        <v>0</v>
      </c>
      <c r="Q689" s="10" t="n">
        <v>0</v>
      </c>
      <c r="R689" s="10" t="n">
        <v>0</v>
      </c>
      <c r="S689" s="10" t="n">
        <v>0</v>
      </c>
      <c r="T689" s="10" t="n">
        <v>0</v>
      </c>
      <c r="U689" s="10" t="n">
        <v>0</v>
      </c>
    </row>
    <row r="690" customFormat="false" ht="15" hidden="false" customHeight="false" outlineLevel="0" collapsed="false">
      <c r="A690" s="7" t="s">
        <v>931</v>
      </c>
      <c r="B690" s="7" t="s">
        <v>197</v>
      </c>
      <c r="C690" s="7" t="s">
        <v>491</v>
      </c>
      <c r="D690" s="10" t="n">
        <v>0</v>
      </c>
      <c r="E690" s="10" t="n">
        <v>0</v>
      </c>
      <c r="F690" s="10" t="n">
        <v>10</v>
      </c>
      <c r="G690" s="10" t="n">
        <v>0</v>
      </c>
      <c r="H690" s="10" t="n">
        <v>0</v>
      </c>
      <c r="I690" s="10" t="n">
        <v>10</v>
      </c>
      <c r="J690" s="10" t="n">
        <v>0</v>
      </c>
      <c r="K690" s="10" t="n">
        <v>0</v>
      </c>
      <c r="L690" s="10" t="n">
        <v>0</v>
      </c>
      <c r="M690" s="10" t="n">
        <v>0</v>
      </c>
      <c r="N690" s="10" t="n">
        <v>0</v>
      </c>
      <c r="O690" s="10" t="n">
        <v>0</v>
      </c>
      <c r="P690" s="10" t="n">
        <v>0</v>
      </c>
      <c r="Q690" s="10" t="n">
        <v>10</v>
      </c>
      <c r="R690" s="10" t="n">
        <v>0</v>
      </c>
      <c r="S690" s="10" t="n">
        <v>0</v>
      </c>
      <c r="T690" s="10" t="n">
        <v>0</v>
      </c>
      <c r="U690" s="10" t="n">
        <v>0</v>
      </c>
    </row>
    <row r="691" customFormat="false" ht="15" hidden="false" customHeight="false" outlineLevel="0" collapsed="false">
      <c r="A691" s="7" t="s">
        <v>931</v>
      </c>
      <c r="B691" s="7" t="s">
        <v>197</v>
      </c>
      <c r="C691" s="7" t="s">
        <v>492</v>
      </c>
      <c r="D691" s="10" t="n">
        <v>0</v>
      </c>
      <c r="E691" s="10" t="n">
        <v>0</v>
      </c>
      <c r="F691" s="10" t="n">
        <v>19</v>
      </c>
      <c r="G691" s="10" t="n">
        <v>0</v>
      </c>
      <c r="H691" s="10" t="n">
        <v>0</v>
      </c>
      <c r="I691" s="10" t="n">
        <v>11</v>
      </c>
      <c r="J691" s="10" t="n">
        <v>0</v>
      </c>
      <c r="K691" s="10" t="n">
        <v>0</v>
      </c>
      <c r="L691" s="10" t="n">
        <v>0</v>
      </c>
      <c r="M691" s="10" t="n">
        <v>0</v>
      </c>
      <c r="N691" s="10" t="n">
        <v>0</v>
      </c>
      <c r="O691" s="10" t="n">
        <v>0</v>
      </c>
      <c r="P691" s="10" t="n">
        <v>-3</v>
      </c>
      <c r="Q691" s="10" t="n">
        <v>0</v>
      </c>
      <c r="R691" s="10" t="n">
        <v>14</v>
      </c>
      <c r="S691" s="10" t="n">
        <v>0</v>
      </c>
      <c r="T691" s="10" t="n">
        <v>0</v>
      </c>
      <c r="U691" s="10" t="n">
        <v>0</v>
      </c>
    </row>
    <row r="692" customFormat="false" ht="15" hidden="false" customHeight="false" outlineLevel="0" collapsed="false">
      <c r="A692" s="7" t="s">
        <v>931</v>
      </c>
      <c r="B692" s="7" t="s">
        <v>197</v>
      </c>
      <c r="C692" s="7" t="s">
        <v>493</v>
      </c>
      <c r="D692" s="10" t="n">
        <v>0</v>
      </c>
      <c r="E692" s="10" t="n">
        <v>0</v>
      </c>
      <c r="F692" s="10" t="n">
        <v>34</v>
      </c>
      <c r="G692" s="10" t="n">
        <v>0</v>
      </c>
      <c r="H692" s="10" t="n">
        <v>0</v>
      </c>
      <c r="I692" s="10" t="n">
        <v>0</v>
      </c>
      <c r="J692" s="10" t="n">
        <v>0</v>
      </c>
      <c r="K692" s="10" t="n">
        <v>0</v>
      </c>
      <c r="L692" s="10" t="n">
        <v>0</v>
      </c>
      <c r="M692" s="10" t="n">
        <v>0</v>
      </c>
      <c r="N692" s="10" t="n">
        <v>0</v>
      </c>
      <c r="O692" s="10" t="n">
        <v>0</v>
      </c>
      <c r="P692" s="10" t="n">
        <v>0</v>
      </c>
      <c r="Q692" s="10" t="n">
        <v>0</v>
      </c>
      <c r="R692" s="10" t="n">
        <v>0</v>
      </c>
      <c r="S692" s="10" t="n">
        <v>0</v>
      </c>
      <c r="T692" s="10" t="n">
        <v>0</v>
      </c>
      <c r="U692" s="10" t="n">
        <v>0</v>
      </c>
    </row>
    <row r="693" customFormat="false" ht="15" hidden="false" customHeight="false" outlineLevel="0" collapsed="false">
      <c r="A693" s="7" t="s">
        <v>931</v>
      </c>
      <c r="B693" s="7" t="s">
        <v>307</v>
      </c>
      <c r="C693" s="7" t="s">
        <v>494</v>
      </c>
      <c r="D693" s="10" t="n">
        <v>0</v>
      </c>
      <c r="E693" s="10" t="n">
        <v>0</v>
      </c>
      <c r="F693" s="10" t="n">
        <v>2</v>
      </c>
      <c r="G693" s="10" t="n">
        <v>0</v>
      </c>
      <c r="H693" s="10" t="n">
        <v>0</v>
      </c>
      <c r="I693" s="10" t="n">
        <v>0</v>
      </c>
      <c r="J693" s="10" t="n">
        <v>0</v>
      </c>
      <c r="K693" s="10" t="n">
        <v>0</v>
      </c>
      <c r="L693" s="10" t="n">
        <v>0</v>
      </c>
      <c r="M693" s="10" t="n">
        <v>0</v>
      </c>
      <c r="N693" s="10" t="n">
        <v>0</v>
      </c>
      <c r="O693" s="10" t="n">
        <v>0</v>
      </c>
      <c r="P693" s="10" t="n">
        <v>0</v>
      </c>
      <c r="Q693" s="10" t="n">
        <v>0</v>
      </c>
      <c r="R693" s="10" t="n">
        <v>0</v>
      </c>
      <c r="S693" s="10" t="n">
        <v>0</v>
      </c>
      <c r="T693" s="10" t="n">
        <v>0</v>
      </c>
      <c r="U693" s="10" t="n">
        <v>0</v>
      </c>
    </row>
    <row r="694" customFormat="false" ht="15" hidden="false" customHeight="false" outlineLevel="0" collapsed="false">
      <c r="A694" s="7" t="s">
        <v>931</v>
      </c>
      <c r="B694" s="7" t="s">
        <v>307</v>
      </c>
      <c r="C694" s="7" t="s">
        <v>495</v>
      </c>
      <c r="D694" s="10" t="n">
        <v>0</v>
      </c>
      <c r="E694" s="10" t="n">
        <v>0</v>
      </c>
      <c r="F694" s="10" t="n">
        <v>2</v>
      </c>
      <c r="G694" s="10" t="n">
        <v>0</v>
      </c>
      <c r="H694" s="10" t="n">
        <v>0</v>
      </c>
      <c r="I694" s="10" t="n">
        <v>0</v>
      </c>
      <c r="J694" s="10" t="n">
        <v>0</v>
      </c>
      <c r="K694" s="10" t="n">
        <v>0</v>
      </c>
      <c r="L694" s="10" t="n">
        <v>0</v>
      </c>
      <c r="M694" s="10" t="n">
        <v>0</v>
      </c>
      <c r="N694" s="10" t="n">
        <v>0</v>
      </c>
      <c r="O694" s="10" t="n">
        <v>0</v>
      </c>
      <c r="P694" s="10" t="n">
        <v>0</v>
      </c>
      <c r="Q694" s="10" t="n">
        <v>0</v>
      </c>
      <c r="R694" s="10" t="n">
        <v>0</v>
      </c>
      <c r="S694" s="10" t="n">
        <v>0</v>
      </c>
      <c r="T694" s="10" t="n">
        <v>0</v>
      </c>
      <c r="U694" s="10" t="n">
        <v>0</v>
      </c>
    </row>
    <row r="695" customFormat="false" ht="15" hidden="false" customHeight="false" outlineLevel="0" collapsed="false">
      <c r="A695" s="7" t="s">
        <v>931</v>
      </c>
      <c r="B695" s="7" t="s">
        <v>299</v>
      </c>
      <c r="C695" s="7" t="s">
        <v>496</v>
      </c>
      <c r="D695" s="10" t="n">
        <v>0</v>
      </c>
      <c r="E695" s="10" t="n">
        <v>0</v>
      </c>
      <c r="F695" s="10" t="n">
        <v>2</v>
      </c>
      <c r="G695" s="10" t="n">
        <v>0</v>
      </c>
      <c r="H695" s="10" t="n">
        <v>0</v>
      </c>
      <c r="I695" s="10" t="n">
        <v>0</v>
      </c>
      <c r="J695" s="10" t="n">
        <v>0</v>
      </c>
      <c r="K695" s="10" t="n">
        <v>0</v>
      </c>
      <c r="L695" s="10" t="n">
        <v>0</v>
      </c>
      <c r="M695" s="10" t="n">
        <v>0</v>
      </c>
      <c r="N695" s="10" t="n">
        <v>0</v>
      </c>
      <c r="O695" s="10" t="n">
        <v>0</v>
      </c>
      <c r="P695" s="10" t="n">
        <v>0</v>
      </c>
      <c r="Q695" s="10" t="n">
        <v>0</v>
      </c>
      <c r="R695" s="10" t="n">
        <v>0</v>
      </c>
      <c r="S695" s="10" t="n">
        <v>0</v>
      </c>
      <c r="T695" s="10" t="n">
        <v>0</v>
      </c>
      <c r="U695" s="10" t="n">
        <v>0</v>
      </c>
    </row>
    <row r="696" customFormat="false" ht="15" hidden="false" customHeight="false" outlineLevel="0" collapsed="false">
      <c r="A696" s="7" t="s">
        <v>931</v>
      </c>
      <c r="B696" s="7" t="s">
        <v>321</v>
      </c>
      <c r="C696" s="7" t="s">
        <v>497</v>
      </c>
      <c r="D696" s="10" t="n">
        <v>0</v>
      </c>
      <c r="E696" s="10" t="n">
        <v>0</v>
      </c>
      <c r="F696" s="10" t="n">
        <v>1</v>
      </c>
      <c r="G696" s="10" t="n">
        <v>0</v>
      </c>
      <c r="H696" s="10" t="n">
        <v>0</v>
      </c>
      <c r="I696" s="10" t="n">
        <v>0</v>
      </c>
      <c r="J696" s="10" t="n">
        <v>0</v>
      </c>
      <c r="K696" s="10" t="n">
        <v>0</v>
      </c>
      <c r="L696" s="10" t="n">
        <v>0</v>
      </c>
      <c r="M696" s="10" t="n">
        <v>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  <c r="S696" s="10" t="n">
        <v>0</v>
      </c>
      <c r="T696" s="10" t="n">
        <v>0</v>
      </c>
      <c r="U696" s="10" t="n">
        <v>0</v>
      </c>
    </row>
    <row r="697" customFormat="false" ht="15" hidden="false" customHeight="false" outlineLevel="0" collapsed="false">
      <c r="A697" s="7" t="s">
        <v>931</v>
      </c>
      <c r="B697" s="7" t="s">
        <v>299</v>
      </c>
      <c r="C697" s="7" t="s">
        <v>498</v>
      </c>
      <c r="D697" s="10" t="n">
        <v>0</v>
      </c>
      <c r="E697" s="10" t="n">
        <v>0</v>
      </c>
      <c r="F697" s="10" t="n">
        <v>1</v>
      </c>
      <c r="G697" s="10" t="n">
        <v>0</v>
      </c>
      <c r="H697" s="10" t="n">
        <v>0</v>
      </c>
      <c r="I697" s="10" t="n">
        <v>0</v>
      </c>
      <c r="J697" s="10" t="n">
        <v>0</v>
      </c>
      <c r="K697" s="10" t="n">
        <v>0</v>
      </c>
      <c r="L697" s="10" t="n">
        <v>0</v>
      </c>
      <c r="M697" s="10" t="n">
        <v>0</v>
      </c>
      <c r="N697" s="10" t="n">
        <v>0</v>
      </c>
      <c r="O697" s="10" t="n">
        <v>0</v>
      </c>
      <c r="P697" s="10" t="n">
        <v>0</v>
      </c>
      <c r="Q697" s="10" t="n">
        <v>0</v>
      </c>
      <c r="R697" s="10" t="n">
        <v>0</v>
      </c>
      <c r="S697" s="10" t="n">
        <v>0</v>
      </c>
      <c r="T697" s="10" t="n">
        <v>0</v>
      </c>
      <c r="U697" s="10" t="n">
        <v>0</v>
      </c>
    </row>
    <row r="698" customFormat="false" ht="15" hidden="false" customHeight="false" outlineLevel="0" collapsed="false">
      <c r="A698" s="7" t="s">
        <v>931</v>
      </c>
      <c r="B698" s="7" t="s">
        <v>197</v>
      </c>
      <c r="C698" s="7" t="s">
        <v>499</v>
      </c>
      <c r="D698" s="10" t="n">
        <v>0</v>
      </c>
      <c r="E698" s="10" t="n">
        <v>0</v>
      </c>
      <c r="F698" s="10" t="n">
        <v>22</v>
      </c>
      <c r="G698" s="10" t="n">
        <v>0</v>
      </c>
      <c r="H698" s="10" t="n">
        <v>0</v>
      </c>
      <c r="I698" s="10" t="n">
        <v>63</v>
      </c>
      <c r="J698" s="10" t="n">
        <v>0</v>
      </c>
      <c r="K698" s="10" t="n">
        <v>0</v>
      </c>
      <c r="L698" s="10" t="n">
        <v>0</v>
      </c>
      <c r="M698" s="10" t="n">
        <v>0</v>
      </c>
      <c r="N698" s="10" t="n">
        <v>0</v>
      </c>
      <c r="O698" s="10" t="n">
        <v>0</v>
      </c>
      <c r="P698" s="10" t="n">
        <v>-7</v>
      </c>
      <c r="Q698" s="10" t="n">
        <v>0</v>
      </c>
      <c r="R698" s="10" t="n">
        <v>70</v>
      </c>
      <c r="S698" s="10" t="n">
        <v>0</v>
      </c>
      <c r="T698" s="10" t="n">
        <v>0</v>
      </c>
      <c r="U698" s="10" t="n">
        <v>0</v>
      </c>
    </row>
    <row r="699" customFormat="false" ht="15" hidden="false" customHeight="false" outlineLevel="0" collapsed="false">
      <c r="A699" s="7" t="s">
        <v>931</v>
      </c>
      <c r="B699" s="7" t="s">
        <v>280</v>
      </c>
      <c r="C699" s="7" t="s">
        <v>500</v>
      </c>
      <c r="D699" s="10" t="n">
        <v>0</v>
      </c>
      <c r="E699" s="10" t="n">
        <v>0</v>
      </c>
      <c r="F699" s="10" t="n">
        <v>7</v>
      </c>
      <c r="G699" s="10" t="n">
        <v>0</v>
      </c>
      <c r="H699" s="10" t="n">
        <v>0</v>
      </c>
      <c r="I699" s="10" t="n">
        <v>0</v>
      </c>
      <c r="J699" s="10" t="n">
        <v>0</v>
      </c>
      <c r="K699" s="10" t="n">
        <v>0</v>
      </c>
      <c r="L699" s="10" t="n">
        <v>0</v>
      </c>
      <c r="M699" s="10" t="n">
        <v>0</v>
      </c>
      <c r="N699" s="10" t="n">
        <v>0</v>
      </c>
      <c r="O699" s="10" t="n">
        <v>0</v>
      </c>
      <c r="P699" s="10" t="n">
        <v>0</v>
      </c>
      <c r="Q699" s="10" t="n">
        <v>0</v>
      </c>
      <c r="R699" s="10" t="n">
        <v>0</v>
      </c>
      <c r="S699" s="10" t="n">
        <v>0</v>
      </c>
      <c r="T699" s="10" t="n">
        <v>0</v>
      </c>
      <c r="U699" s="10" t="n">
        <v>0</v>
      </c>
    </row>
    <row r="700" customFormat="false" ht="15" hidden="false" customHeight="false" outlineLevel="0" collapsed="false">
      <c r="A700" s="7" t="s">
        <v>931</v>
      </c>
      <c r="B700" s="7" t="s">
        <v>280</v>
      </c>
      <c r="C700" s="7" t="s">
        <v>501</v>
      </c>
      <c r="D700" s="10" t="n">
        <v>0</v>
      </c>
      <c r="E700" s="10" t="n">
        <v>0</v>
      </c>
      <c r="F700" s="10" t="n">
        <v>20</v>
      </c>
      <c r="G700" s="10" t="n">
        <v>0</v>
      </c>
      <c r="H700" s="10" t="n">
        <v>0</v>
      </c>
      <c r="I700" s="10" t="n">
        <v>0</v>
      </c>
      <c r="J700" s="10" t="n">
        <v>0</v>
      </c>
      <c r="K700" s="10" t="n">
        <v>0</v>
      </c>
      <c r="L700" s="10" t="n">
        <v>0</v>
      </c>
      <c r="M700" s="10" t="n">
        <v>0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0</v>
      </c>
      <c r="S700" s="10" t="n">
        <v>0</v>
      </c>
      <c r="T700" s="10" t="n">
        <v>0</v>
      </c>
      <c r="U700" s="10" t="n">
        <v>0</v>
      </c>
    </row>
    <row r="701" customFormat="false" ht="15" hidden="false" customHeight="false" outlineLevel="0" collapsed="false">
      <c r="A701" s="7" t="s">
        <v>931</v>
      </c>
      <c r="B701" s="7" t="s">
        <v>373</v>
      </c>
      <c r="C701" s="7" t="s">
        <v>502</v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>
        <v>0</v>
      </c>
      <c r="J701" s="10" t="n">
        <v>0</v>
      </c>
      <c r="K701" s="10" t="n">
        <v>0</v>
      </c>
      <c r="L701" s="10" t="n">
        <v>0</v>
      </c>
      <c r="M701" s="10" t="n">
        <v>0</v>
      </c>
      <c r="N701" s="10" t="n">
        <v>0</v>
      </c>
      <c r="O701" s="10" t="n">
        <v>0</v>
      </c>
      <c r="P701" s="10" t="n">
        <v>0</v>
      </c>
      <c r="Q701" s="10" t="n">
        <v>0</v>
      </c>
      <c r="R701" s="10" t="n">
        <v>0</v>
      </c>
      <c r="S701" s="10" t="n">
        <v>1</v>
      </c>
      <c r="T701" s="10" t="n">
        <v>0</v>
      </c>
      <c r="U701" s="10" t="n">
        <v>0</v>
      </c>
    </row>
    <row r="702" customFormat="false" ht="15" hidden="false" customHeight="false" outlineLevel="0" collapsed="false">
      <c r="A702" s="7" t="s">
        <v>931</v>
      </c>
      <c r="B702" s="7" t="s">
        <v>290</v>
      </c>
      <c r="C702" s="7" t="s">
        <v>503</v>
      </c>
      <c r="D702" s="10" t="n">
        <v>0</v>
      </c>
      <c r="E702" s="10" t="n">
        <v>0</v>
      </c>
      <c r="F702" s="10" t="n">
        <v>1</v>
      </c>
      <c r="G702" s="10" t="n">
        <v>0</v>
      </c>
      <c r="H702" s="10" t="n">
        <v>0</v>
      </c>
      <c r="I702" s="10" t="n">
        <v>0</v>
      </c>
      <c r="J702" s="10" t="n">
        <v>0</v>
      </c>
      <c r="K702" s="10" t="n">
        <v>0</v>
      </c>
      <c r="L702" s="10" t="n">
        <v>0</v>
      </c>
      <c r="M702" s="10" t="n">
        <v>0</v>
      </c>
      <c r="N702" s="10" t="n">
        <v>0</v>
      </c>
      <c r="O702" s="10" t="n">
        <v>0</v>
      </c>
      <c r="P702" s="10" t="n">
        <v>0</v>
      </c>
      <c r="Q702" s="10" t="n">
        <v>0</v>
      </c>
      <c r="R702" s="10" t="n">
        <v>0</v>
      </c>
      <c r="S702" s="10" t="n">
        <v>0</v>
      </c>
      <c r="T702" s="10" t="n">
        <v>0</v>
      </c>
      <c r="U702" s="10" t="n">
        <v>0</v>
      </c>
    </row>
    <row r="703" customFormat="false" ht="15" hidden="false" customHeight="false" outlineLevel="0" collapsed="false">
      <c r="A703" s="7" t="s">
        <v>931</v>
      </c>
      <c r="B703" s="7" t="s">
        <v>290</v>
      </c>
      <c r="C703" s="7" t="s">
        <v>504</v>
      </c>
      <c r="D703" s="10" t="n">
        <v>0</v>
      </c>
      <c r="E703" s="10" t="n">
        <v>0</v>
      </c>
      <c r="F703" s="10" t="n">
        <v>1</v>
      </c>
      <c r="G703" s="10" t="n">
        <v>0</v>
      </c>
      <c r="H703" s="10" t="n">
        <v>0</v>
      </c>
      <c r="I703" s="10" t="n">
        <v>0</v>
      </c>
      <c r="J703" s="10" t="n">
        <v>0</v>
      </c>
      <c r="K703" s="10" t="n">
        <v>0</v>
      </c>
      <c r="L703" s="10" t="n">
        <v>0</v>
      </c>
      <c r="M703" s="10" t="n">
        <v>0</v>
      </c>
      <c r="N703" s="10" t="n">
        <v>0</v>
      </c>
      <c r="O703" s="10" t="n">
        <v>0</v>
      </c>
      <c r="P703" s="10" t="n">
        <v>0</v>
      </c>
      <c r="Q703" s="10" t="n">
        <v>0</v>
      </c>
      <c r="R703" s="10" t="n">
        <v>0</v>
      </c>
      <c r="S703" s="10" t="n">
        <v>0</v>
      </c>
      <c r="T703" s="10" t="n">
        <v>0</v>
      </c>
      <c r="U703" s="10" t="n">
        <v>0</v>
      </c>
    </row>
    <row r="704" customFormat="false" ht="15" hidden="false" customHeight="false" outlineLevel="0" collapsed="false">
      <c r="A704" s="7" t="s">
        <v>931</v>
      </c>
      <c r="B704" s="7" t="s">
        <v>188</v>
      </c>
      <c r="C704" s="7" t="s">
        <v>505</v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>
        <v>-1</v>
      </c>
      <c r="J704" s="10" t="n">
        <v>0</v>
      </c>
      <c r="K704" s="10" t="n">
        <v>0</v>
      </c>
      <c r="L704" s="10" t="n">
        <v>0</v>
      </c>
      <c r="M704" s="10" t="n">
        <v>0</v>
      </c>
      <c r="N704" s="10" t="n">
        <v>0</v>
      </c>
      <c r="O704" s="10" t="n">
        <v>0</v>
      </c>
      <c r="P704" s="10" t="n">
        <v>-1</v>
      </c>
      <c r="Q704" s="10" t="n">
        <v>0</v>
      </c>
      <c r="R704" s="10" t="n">
        <v>0</v>
      </c>
      <c r="S704" s="10" t="n">
        <v>0</v>
      </c>
      <c r="T704" s="10" t="n">
        <v>0</v>
      </c>
      <c r="U704" s="10" t="n">
        <v>0</v>
      </c>
    </row>
    <row r="705" customFormat="false" ht="15" hidden="false" customHeight="false" outlineLevel="0" collapsed="false">
      <c r="A705" s="7" t="s">
        <v>931</v>
      </c>
      <c r="B705" s="7" t="s">
        <v>188</v>
      </c>
      <c r="C705" s="7" t="s">
        <v>506</v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>
        <v>1</v>
      </c>
      <c r="J705" s="10" t="n">
        <v>0</v>
      </c>
      <c r="K705" s="10" t="n">
        <v>0</v>
      </c>
      <c r="L705" s="10" t="n">
        <v>0</v>
      </c>
      <c r="M705" s="10" t="n">
        <v>0</v>
      </c>
      <c r="N705" s="10" t="n">
        <v>0</v>
      </c>
      <c r="O705" s="10" t="n">
        <v>0</v>
      </c>
      <c r="P705" s="10" t="n">
        <v>0</v>
      </c>
      <c r="Q705" s="10" t="n">
        <v>0</v>
      </c>
      <c r="R705" s="10" t="n">
        <v>1</v>
      </c>
      <c r="S705" s="10" t="n">
        <v>0</v>
      </c>
      <c r="T705" s="10" t="n">
        <v>0</v>
      </c>
      <c r="U705" s="10" t="n">
        <v>0</v>
      </c>
    </row>
    <row r="706" customFormat="false" ht="15" hidden="false" customHeight="false" outlineLevel="0" collapsed="false">
      <c r="A706" s="7" t="s">
        <v>931</v>
      </c>
      <c r="B706" s="7" t="s">
        <v>188</v>
      </c>
      <c r="C706" s="7" t="s">
        <v>507</v>
      </c>
      <c r="D706" s="10" t="n">
        <v>0</v>
      </c>
      <c r="E706" s="10" t="n">
        <v>0</v>
      </c>
      <c r="F706" s="10" t="n">
        <v>1</v>
      </c>
      <c r="G706" s="10" t="n">
        <v>0</v>
      </c>
      <c r="H706" s="10" t="n">
        <v>0</v>
      </c>
      <c r="I706" s="10" t="n">
        <v>3</v>
      </c>
      <c r="J706" s="10" t="n">
        <v>0</v>
      </c>
      <c r="K706" s="10" t="n">
        <v>0</v>
      </c>
      <c r="L706" s="10" t="n">
        <v>0</v>
      </c>
      <c r="M706" s="10" t="n">
        <v>0</v>
      </c>
      <c r="N706" s="10" t="n">
        <v>0</v>
      </c>
      <c r="O706" s="10" t="n">
        <v>0</v>
      </c>
      <c r="P706" s="10" t="n">
        <v>0</v>
      </c>
      <c r="Q706" s="10" t="n">
        <v>3</v>
      </c>
      <c r="R706" s="10" t="n">
        <v>0</v>
      </c>
      <c r="S706" s="10" t="n">
        <v>0</v>
      </c>
      <c r="T706" s="10" t="n">
        <v>0</v>
      </c>
      <c r="U706" s="10" t="n">
        <v>0</v>
      </c>
    </row>
    <row r="707" customFormat="false" ht="15" hidden="false" customHeight="false" outlineLevel="0" collapsed="false">
      <c r="A707" s="7" t="s">
        <v>931</v>
      </c>
      <c r="B707" s="7" t="s">
        <v>188</v>
      </c>
      <c r="C707" s="7" t="s">
        <v>508</v>
      </c>
      <c r="D707" s="10" t="n">
        <v>0</v>
      </c>
      <c r="E707" s="10" t="n">
        <v>0</v>
      </c>
      <c r="F707" s="10" t="n">
        <v>2</v>
      </c>
      <c r="G707" s="10" t="n">
        <v>0</v>
      </c>
      <c r="H707" s="10" t="n">
        <v>0</v>
      </c>
      <c r="I707" s="10" t="n">
        <v>14</v>
      </c>
      <c r="J707" s="10" t="n">
        <v>0</v>
      </c>
      <c r="K707" s="10" t="n">
        <v>0</v>
      </c>
      <c r="L707" s="10" t="n">
        <v>0</v>
      </c>
      <c r="M707" s="10" t="n">
        <v>0</v>
      </c>
      <c r="N707" s="10" t="n">
        <v>0</v>
      </c>
      <c r="O707" s="10" t="n">
        <v>0</v>
      </c>
      <c r="P707" s="10" t="n">
        <v>0</v>
      </c>
      <c r="Q707" s="10" t="n">
        <v>3</v>
      </c>
      <c r="R707" s="10" t="n">
        <v>11</v>
      </c>
      <c r="S707" s="10" t="n">
        <v>0</v>
      </c>
      <c r="T707" s="10" t="n">
        <v>0</v>
      </c>
      <c r="U707" s="10" t="n">
        <v>0</v>
      </c>
    </row>
    <row r="708" customFormat="false" ht="15" hidden="false" customHeight="false" outlineLevel="0" collapsed="false">
      <c r="A708" s="7" t="s">
        <v>931</v>
      </c>
      <c r="B708" s="7" t="s">
        <v>188</v>
      </c>
      <c r="C708" s="7" t="s">
        <v>509</v>
      </c>
      <c r="D708" s="10" t="n">
        <v>0</v>
      </c>
      <c r="E708" s="10" t="n">
        <v>0</v>
      </c>
      <c r="F708" s="10" t="n">
        <v>2</v>
      </c>
      <c r="G708" s="10" t="n">
        <v>0</v>
      </c>
      <c r="H708" s="10" t="n">
        <v>0</v>
      </c>
      <c r="I708" s="10" t="n">
        <v>12</v>
      </c>
      <c r="J708" s="10" t="n">
        <v>0</v>
      </c>
      <c r="K708" s="10" t="n">
        <v>0</v>
      </c>
      <c r="L708" s="10" t="n">
        <v>0</v>
      </c>
      <c r="M708" s="10" t="n">
        <v>0</v>
      </c>
      <c r="N708" s="10" t="n">
        <v>0</v>
      </c>
      <c r="O708" s="10" t="n">
        <v>0</v>
      </c>
      <c r="P708" s="10" t="n">
        <v>0</v>
      </c>
      <c r="Q708" s="10" t="n">
        <v>0</v>
      </c>
      <c r="R708" s="10" t="n">
        <v>12</v>
      </c>
      <c r="S708" s="10" t="n">
        <v>0</v>
      </c>
      <c r="T708" s="10" t="n">
        <v>0</v>
      </c>
      <c r="U708" s="10" t="n">
        <v>0</v>
      </c>
    </row>
    <row r="709" customFormat="false" ht="15" hidden="false" customHeight="false" outlineLevel="0" collapsed="false">
      <c r="A709" s="7" t="s">
        <v>931</v>
      </c>
      <c r="B709" s="7" t="s">
        <v>116</v>
      </c>
      <c r="C709" s="7" t="s">
        <v>510</v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>
        <v>8</v>
      </c>
      <c r="J709" s="10" t="n">
        <v>0</v>
      </c>
      <c r="K709" s="10" t="n">
        <v>0</v>
      </c>
      <c r="L709" s="10" t="n">
        <v>0</v>
      </c>
      <c r="M709" s="10" t="n">
        <v>0</v>
      </c>
      <c r="N709" s="10" t="n">
        <v>0</v>
      </c>
      <c r="O709" s="10" t="n">
        <v>0</v>
      </c>
      <c r="P709" s="10" t="n">
        <v>-6</v>
      </c>
      <c r="Q709" s="10" t="n">
        <v>0</v>
      </c>
      <c r="R709" s="10" t="n">
        <v>14</v>
      </c>
      <c r="S709" s="10" t="n">
        <v>0</v>
      </c>
      <c r="T709" s="10" t="n">
        <v>0</v>
      </c>
      <c r="U709" s="10" t="n">
        <v>-1</v>
      </c>
    </row>
    <row r="710" customFormat="false" ht="15" hidden="false" customHeight="false" outlineLevel="0" collapsed="false">
      <c r="A710" s="7" t="s">
        <v>931</v>
      </c>
      <c r="B710" s="7" t="s">
        <v>116</v>
      </c>
      <c r="C710" s="7" t="s">
        <v>511</v>
      </c>
      <c r="D710" s="10" t="n">
        <v>0</v>
      </c>
      <c r="E710" s="10" t="n">
        <v>0</v>
      </c>
      <c r="F710" s="10" t="n">
        <v>2</v>
      </c>
      <c r="G710" s="10" t="n">
        <v>0</v>
      </c>
      <c r="H710" s="10" t="n">
        <v>0</v>
      </c>
      <c r="I710" s="10" t="n">
        <v>30</v>
      </c>
      <c r="J710" s="10" t="n">
        <v>0</v>
      </c>
      <c r="K710" s="10" t="n">
        <v>0</v>
      </c>
      <c r="L710" s="10" t="n">
        <v>0</v>
      </c>
      <c r="M710" s="10" t="n">
        <v>0</v>
      </c>
      <c r="N710" s="10" t="n">
        <v>0</v>
      </c>
      <c r="O710" s="10" t="n">
        <v>0</v>
      </c>
      <c r="P710" s="10" t="n">
        <v>-5</v>
      </c>
      <c r="Q710" s="10" t="n">
        <v>13</v>
      </c>
      <c r="R710" s="10" t="n">
        <v>22</v>
      </c>
      <c r="S710" s="10" t="n">
        <v>0</v>
      </c>
      <c r="T710" s="10" t="n">
        <v>0</v>
      </c>
      <c r="U710" s="10" t="n">
        <v>0</v>
      </c>
    </row>
    <row r="711" customFormat="false" ht="15" hidden="false" customHeight="false" outlineLevel="0" collapsed="false">
      <c r="A711" s="7" t="s">
        <v>931</v>
      </c>
      <c r="B711" s="7" t="s">
        <v>116</v>
      </c>
      <c r="C711" s="7" t="s">
        <v>512</v>
      </c>
      <c r="D711" s="10" t="n">
        <v>0</v>
      </c>
      <c r="E711" s="10" t="n">
        <v>0</v>
      </c>
      <c r="F711" s="10" t="n">
        <v>9</v>
      </c>
      <c r="G711" s="10" t="n">
        <v>0</v>
      </c>
      <c r="H711" s="10" t="n">
        <v>0</v>
      </c>
      <c r="I711" s="10" t="n">
        <v>51</v>
      </c>
      <c r="J711" s="10" t="n">
        <v>0</v>
      </c>
      <c r="K711" s="10" t="n">
        <v>0</v>
      </c>
      <c r="L711" s="10" t="n">
        <v>0</v>
      </c>
      <c r="M711" s="10" t="n">
        <v>0</v>
      </c>
      <c r="N711" s="10" t="n">
        <v>0</v>
      </c>
      <c r="O711" s="10" t="n">
        <v>0</v>
      </c>
      <c r="P711" s="10" t="n">
        <v>-6</v>
      </c>
      <c r="Q711" s="10" t="n">
        <v>10</v>
      </c>
      <c r="R711" s="10" t="n">
        <v>47</v>
      </c>
      <c r="S711" s="10" t="n">
        <v>0</v>
      </c>
      <c r="T711" s="10" t="n">
        <v>0</v>
      </c>
      <c r="U711" s="10" t="n">
        <v>-1</v>
      </c>
    </row>
    <row r="712" customFormat="false" ht="15" hidden="false" customHeight="false" outlineLevel="0" collapsed="false">
      <c r="A712" s="7" t="s">
        <v>931</v>
      </c>
      <c r="B712" s="7" t="s">
        <v>116</v>
      </c>
      <c r="C712" s="7" t="s">
        <v>513</v>
      </c>
      <c r="D712" s="10" t="n">
        <v>0</v>
      </c>
      <c r="E712" s="10" t="n">
        <v>0</v>
      </c>
      <c r="F712" s="10" t="n">
        <v>14</v>
      </c>
      <c r="G712" s="10" t="n">
        <v>0</v>
      </c>
      <c r="H712" s="10" t="n">
        <v>0</v>
      </c>
      <c r="I712" s="10" t="n">
        <v>76</v>
      </c>
      <c r="J712" s="10" t="n">
        <v>0</v>
      </c>
      <c r="K712" s="10" t="n">
        <v>0</v>
      </c>
      <c r="L712" s="10" t="n">
        <v>0</v>
      </c>
      <c r="M712" s="10" t="n">
        <v>0</v>
      </c>
      <c r="N712" s="10" t="n">
        <v>0</v>
      </c>
      <c r="O712" s="10" t="n">
        <v>0</v>
      </c>
      <c r="P712" s="10" t="n">
        <v>-6</v>
      </c>
      <c r="Q712" s="10" t="n">
        <v>19</v>
      </c>
      <c r="R712" s="10" t="n">
        <v>63</v>
      </c>
      <c r="S712" s="10" t="n">
        <v>0</v>
      </c>
      <c r="T712" s="10" t="n">
        <v>0</v>
      </c>
      <c r="U712" s="10" t="n">
        <v>0</v>
      </c>
    </row>
    <row r="713" customFormat="false" ht="15" hidden="false" customHeight="false" outlineLevel="0" collapsed="false">
      <c r="A713" s="7" t="s">
        <v>931</v>
      </c>
      <c r="B713" s="7" t="s">
        <v>116</v>
      </c>
      <c r="C713" s="7" t="s">
        <v>514</v>
      </c>
      <c r="D713" s="10" t="n">
        <v>0</v>
      </c>
      <c r="E713" s="10" t="n">
        <v>0</v>
      </c>
      <c r="F713" s="10" t="n">
        <v>7</v>
      </c>
      <c r="G713" s="10" t="n">
        <v>0</v>
      </c>
      <c r="H713" s="10" t="n">
        <v>0</v>
      </c>
      <c r="I713" s="10" t="n">
        <v>82</v>
      </c>
      <c r="J713" s="10" t="n">
        <v>0</v>
      </c>
      <c r="K713" s="10" t="n">
        <v>0</v>
      </c>
      <c r="L713" s="10" t="n">
        <v>0</v>
      </c>
      <c r="M713" s="10" t="n">
        <v>0</v>
      </c>
      <c r="N713" s="10" t="n">
        <v>0</v>
      </c>
      <c r="O713" s="10" t="n">
        <v>0</v>
      </c>
      <c r="P713" s="10" t="n">
        <v>-4</v>
      </c>
      <c r="Q713" s="10" t="n">
        <v>21</v>
      </c>
      <c r="R713" s="10" t="n">
        <v>65</v>
      </c>
      <c r="S713" s="10" t="n">
        <v>0</v>
      </c>
      <c r="T713" s="10" t="n">
        <v>0</v>
      </c>
      <c r="U713" s="10" t="n">
        <v>-1</v>
      </c>
    </row>
    <row r="714" customFormat="false" ht="15" hidden="false" customHeight="false" outlineLevel="0" collapsed="false">
      <c r="A714" s="7" t="s">
        <v>931</v>
      </c>
      <c r="B714" s="7" t="s">
        <v>57</v>
      </c>
      <c r="C714" s="7" t="s">
        <v>515</v>
      </c>
      <c r="D714" s="10" t="n">
        <v>0</v>
      </c>
      <c r="E714" s="10" t="n">
        <v>0</v>
      </c>
      <c r="F714" s="10" t="n">
        <v>2</v>
      </c>
      <c r="G714" s="10" t="n">
        <v>0</v>
      </c>
      <c r="H714" s="10" t="n">
        <v>0</v>
      </c>
      <c r="I714" s="10" t="n">
        <v>0</v>
      </c>
      <c r="J714" s="10" t="n">
        <v>0</v>
      </c>
      <c r="K714" s="10" t="n">
        <v>0</v>
      </c>
      <c r="L714" s="10" t="n">
        <v>0</v>
      </c>
      <c r="M714" s="10" t="n">
        <v>0</v>
      </c>
      <c r="N714" s="10" t="n">
        <v>0</v>
      </c>
      <c r="O714" s="10" t="n">
        <v>0</v>
      </c>
      <c r="P714" s="10" t="n">
        <v>0</v>
      </c>
      <c r="Q714" s="10" t="n">
        <v>0</v>
      </c>
      <c r="R714" s="10" t="n">
        <v>0</v>
      </c>
      <c r="S714" s="10" t="n">
        <v>0</v>
      </c>
      <c r="T714" s="10" t="n">
        <v>0</v>
      </c>
      <c r="U714" s="10" t="n">
        <v>0</v>
      </c>
    </row>
    <row r="715" customFormat="false" ht="15" hidden="false" customHeight="false" outlineLevel="0" collapsed="false">
      <c r="A715" s="7" t="s">
        <v>931</v>
      </c>
      <c r="B715" s="7" t="s">
        <v>251</v>
      </c>
      <c r="C715" s="7" t="s">
        <v>516</v>
      </c>
      <c r="D715" s="10" t="n">
        <v>0</v>
      </c>
      <c r="E715" s="10" t="n">
        <v>0</v>
      </c>
      <c r="F715" s="10" t="n">
        <v>1</v>
      </c>
      <c r="G715" s="10" t="n">
        <v>0</v>
      </c>
      <c r="H715" s="10" t="n">
        <v>0</v>
      </c>
      <c r="I715" s="10" t="n">
        <v>0</v>
      </c>
      <c r="J715" s="10" t="n">
        <v>0</v>
      </c>
      <c r="K715" s="10" t="n">
        <v>0</v>
      </c>
      <c r="L715" s="10" t="n">
        <v>0</v>
      </c>
      <c r="M715" s="10" t="n">
        <v>0</v>
      </c>
      <c r="N715" s="10" t="n">
        <v>0</v>
      </c>
      <c r="O715" s="10" t="n">
        <v>0</v>
      </c>
      <c r="P715" s="10" t="n">
        <v>0</v>
      </c>
      <c r="Q715" s="10" t="n">
        <v>0</v>
      </c>
      <c r="R715" s="10" t="n">
        <v>0</v>
      </c>
      <c r="S715" s="10" t="n">
        <v>0</v>
      </c>
      <c r="T715" s="10" t="n">
        <v>0</v>
      </c>
      <c r="U715" s="10" t="n">
        <v>0</v>
      </c>
    </row>
    <row r="716" customFormat="false" ht="15" hidden="false" customHeight="false" outlineLevel="0" collapsed="false">
      <c r="A716" s="7" t="s">
        <v>931</v>
      </c>
      <c r="B716" s="7" t="s">
        <v>251</v>
      </c>
      <c r="C716" s="7" t="s">
        <v>517</v>
      </c>
      <c r="D716" s="10" t="n">
        <v>0</v>
      </c>
      <c r="E716" s="10" t="n">
        <v>0</v>
      </c>
      <c r="F716" s="10" t="n">
        <v>1</v>
      </c>
      <c r="G716" s="10" t="n">
        <v>0</v>
      </c>
      <c r="H716" s="10" t="n">
        <v>0</v>
      </c>
      <c r="I716" s="10" t="n">
        <v>-1</v>
      </c>
      <c r="J716" s="10" t="n">
        <v>0</v>
      </c>
      <c r="K716" s="10" t="n">
        <v>0</v>
      </c>
      <c r="L716" s="10" t="n">
        <v>0</v>
      </c>
      <c r="M716" s="10" t="n">
        <v>0</v>
      </c>
      <c r="N716" s="10" t="n">
        <v>0</v>
      </c>
      <c r="O716" s="10" t="n">
        <v>0</v>
      </c>
      <c r="P716" s="10" t="n">
        <v>0</v>
      </c>
      <c r="Q716" s="10" t="n">
        <v>-1</v>
      </c>
      <c r="R716" s="10" t="n">
        <v>0</v>
      </c>
      <c r="S716" s="10" t="n">
        <v>0</v>
      </c>
      <c r="T716" s="10" t="n">
        <v>0</v>
      </c>
      <c r="U716" s="10" t="n">
        <v>0</v>
      </c>
    </row>
    <row r="717" customFormat="false" ht="15" hidden="false" customHeight="false" outlineLevel="0" collapsed="false">
      <c r="A717" s="7" t="s">
        <v>931</v>
      </c>
      <c r="B717" s="7" t="s">
        <v>251</v>
      </c>
      <c r="C717" s="7" t="s">
        <v>518</v>
      </c>
      <c r="D717" s="10" t="n">
        <v>0</v>
      </c>
      <c r="E717" s="10" t="n">
        <v>0</v>
      </c>
      <c r="F717" s="10" t="n">
        <v>3</v>
      </c>
      <c r="G717" s="10" t="n">
        <v>0</v>
      </c>
      <c r="H717" s="10" t="n">
        <v>0</v>
      </c>
      <c r="I717" s="10" t="n">
        <v>0</v>
      </c>
      <c r="J717" s="10" t="n">
        <v>0</v>
      </c>
      <c r="K717" s="10" t="n">
        <v>0</v>
      </c>
      <c r="L717" s="10" t="n">
        <v>0</v>
      </c>
      <c r="M717" s="10" t="n">
        <v>0</v>
      </c>
      <c r="N717" s="10" t="n">
        <v>0</v>
      </c>
      <c r="O717" s="10" t="n">
        <v>0</v>
      </c>
      <c r="P717" s="10" t="n">
        <v>0</v>
      </c>
      <c r="Q717" s="10" t="n">
        <v>0</v>
      </c>
      <c r="R717" s="10" t="n">
        <v>0</v>
      </c>
      <c r="S717" s="10" t="n">
        <v>0</v>
      </c>
      <c r="T717" s="10" t="n">
        <v>0</v>
      </c>
      <c r="U717" s="10" t="n">
        <v>0</v>
      </c>
    </row>
    <row r="718" customFormat="false" ht="15" hidden="false" customHeight="false" outlineLevel="0" collapsed="false">
      <c r="A718" s="7" t="s">
        <v>931</v>
      </c>
      <c r="B718" s="7" t="s">
        <v>251</v>
      </c>
      <c r="C718" s="7" t="s">
        <v>519</v>
      </c>
      <c r="D718" s="10" t="n">
        <v>0</v>
      </c>
      <c r="E718" s="10" t="n">
        <v>0</v>
      </c>
      <c r="F718" s="10" t="n">
        <v>3</v>
      </c>
      <c r="G718" s="10" t="n">
        <v>0</v>
      </c>
      <c r="H718" s="10" t="n">
        <v>0</v>
      </c>
      <c r="I718" s="10" t="n">
        <v>0</v>
      </c>
      <c r="J718" s="10" t="n">
        <v>0</v>
      </c>
      <c r="K718" s="10" t="n">
        <v>0</v>
      </c>
      <c r="L718" s="10" t="n">
        <v>0</v>
      </c>
      <c r="M718" s="10" t="n">
        <v>0</v>
      </c>
      <c r="N718" s="10" t="n">
        <v>0</v>
      </c>
      <c r="O718" s="10" t="n">
        <v>0</v>
      </c>
      <c r="P718" s="10" t="n">
        <v>0</v>
      </c>
      <c r="Q718" s="10" t="n">
        <v>0</v>
      </c>
      <c r="R718" s="10" t="n">
        <v>0</v>
      </c>
      <c r="S718" s="10" t="n">
        <v>0</v>
      </c>
      <c r="T718" s="10" t="n">
        <v>0</v>
      </c>
      <c r="U718" s="10" t="n">
        <v>0</v>
      </c>
    </row>
    <row r="719" customFormat="false" ht="15" hidden="false" customHeight="false" outlineLevel="0" collapsed="false">
      <c r="A719" s="7" t="s">
        <v>931</v>
      </c>
      <c r="B719" s="7" t="s">
        <v>133</v>
      </c>
      <c r="C719" s="7" t="s">
        <v>520</v>
      </c>
      <c r="D719" s="10" t="n">
        <v>0</v>
      </c>
      <c r="E719" s="10" t="n">
        <v>0</v>
      </c>
      <c r="F719" s="10" t="n">
        <v>86</v>
      </c>
      <c r="G719" s="10" t="n">
        <v>0</v>
      </c>
      <c r="H719" s="10" t="n">
        <v>0</v>
      </c>
      <c r="I719" s="10" t="n">
        <v>65</v>
      </c>
      <c r="J719" s="10" t="n">
        <v>0</v>
      </c>
      <c r="K719" s="10" t="n">
        <v>0</v>
      </c>
      <c r="L719" s="10" t="n">
        <v>0</v>
      </c>
      <c r="M719" s="10" t="n">
        <v>0</v>
      </c>
      <c r="N719" s="10" t="n">
        <v>0</v>
      </c>
      <c r="O719" s="10" t="n">
        <v>0</v>
      </c>
      <c r="P719" s="10" t="n">
        <v>0</v>
      </c>
      <c r="Q719" s="10" t="n">
        <v>65</v>
      </c>
      <c r="R719" s="10" t="n">
        <v>0</v>
      </c>
      <c r="S719" s="10" t="n">
        <v>0</v>
      </c>
      <c r="T719" s="10" t="n">
        <v>0</v>
      </c>
      <c r="U719" s="10" t="n">
        <v>0</v>
      </c>
    </row>
    <row r="720" customFormat="false" ht="15" hidden="false" customHeight="false" outlineLevel="0" collapsed="false">
      <c r="A720" s="7" t="s">
        <v>931</v>
      </c>
      <c r="B720" s="7" t="s">
        <v>103</v>
      </c>
      <c r="C720" s="7" t="s">
        <v>521</v>
      </c>
      <c r="D720" s="10" t="n">
        <v>0</v>
      </c>
      <c r="E720" s="10" t="n">
        <v>0</v>
      </c>
      <c r="F720" s="10" t="n">
        <v>139</v>
      </c>
      <c r="G720" s="10" t="n">
        <v>0</v>
      </c>
      <c r="H720" s="10" t="n">
        <v>0</v>
      </c>
      <c r="I720" s="10" t="n">
        <v>164</v>
      </c>
      <c r="J720" s="10" t="n">
        <v>0</v>
      </c>
      <c r="K720" s="10" t="n">
        <v>0</v>
      </c>
      <c r="L720" s="10" t="n">
        <v>0</v>
      </c>
      <c r="M720" s="10" t="n">
        <v>0</v>
      </c>
      <c r="N720" s="10" t="n">
        <v>0</v>
      </c>
      <c r="O720" s="10" t="n">
        <v>0</v>
      </c>
      <c r="P720" s="10" t="n">
        <v>0</v>
      </c>
      <c r="Q720" s="10" t="n">
        <v>164</v>
      </c>
      <c r="R720" s="10" t="n">
        <v>0</v>
      </c>
      <c r="S720" s="10" t="n">
        <v>0</v>
      </c>
      <c r="T720" s="10" t="n">
        <v>0</v>
      </c>
      <c r="U720" s="10" t="n">
        <v>0</v>
      </c>
    </row>
    <row r="721" customFormat="false" ht="15" hidden="false" customHeight="false" outlineLevel="0" collapsed="false">
      <c r="A721" s="7" t="s">
        <v>931</v>
      </c>
      <c r="B721" s="7" t="s">
        <v>155</v>
      </c>
      <c r="C721" s="7" t="s">
        <v>522</v>
      </c>
      <c r="D721" s="10" t="n">
        <v>0</v>
      </c>
      <c r="E721" s="10" t="n">
        <v>0</v>
      </c>
      <c r="F721" s="10" t="n">
        <v>5</v>
      </c>
      <c r="G721" s="10" t="n">
        <v>0</v>
      </c>
      <c r="H721" s="10" t="n">
        <v>0</v>
      </c>
      <c r="I721" s="10" t="n">
        <v>2</v>
      </c>
      <c r="J721" s="10" t="n">
        <v>0</v>
      </c>
      <c r="K721" s="10" t="n">
        <v>0</v>
      </c>
      <c r="L721" s="10" t="n">
        <v>0</v>
      </c>
      <c r="M721" s="10" t="n">
        <v>0</v>
      </c>
      <c r="N721" s="10" t="n">
        <v>0</v>
      </c>
      <c r="O721" s="10" t="n">
        <v>0</v>
      </c>
      <c r="P721" s="10" t="n">
        <v>0</v>
      </c>
      <c r="Q721" s="10" t="n">
        <v>2</v>
      </c>
      <c r="R721" s="10" t="n">
        <v>0</v>
      </c>
      <c r="S721" s="10" t="n">
        <v>1</v>
      </c>
      <c r="T721" s="10" t="n">
        <v>0</v>
      </c>
      <c r="U721" s="10" t="n">
        <v>0</v>
      </c>
    </row>
    <row r="722" customFormat="false" ht="15" hidden="false" customHeight="false" outlineLevel="0" collapsed="false">
      <c r="A722" s="7" t="s">
        <v>931</v>
      </c>
      <c r="B722" s="7" t="s">
        <v>266</v>
      </c>
      <c r="C722" s="7" t="s">
        <v>523</v>
      </c>
      <c r="D722" s="10" t="n">
        <v>0</v>
      </c>
      <c r="E722" s="10" t="n">
        <v>0</v>
      </c>
      <c r="F722" s="10" t="n">
        <v>1098</v>
      </c>
      <c r="G722" s="10" t="n">
        <v>0</v>
      </c>
      <c r="H722" s="10" t="n">
        <v>0</v>
      </c>
      <c r="I722" s="10" t="n">
        <v>34</v>
      </c>
      <c r="J722" s="10" t="n">
        <v>0</v>
      </c>
      <c r="K722" s="10" t="n">
        <v>1</v>
      </c>
      <c r="L722" s="10" t="n">
        <v>0</v>
      </c>
      <c r="M722" s="10" t="n">
        <v>6</v>
      </c>
      <c r="N722" s="10" t="n">
        <v>6</v>
      </c>
      <c r="O722" s="10" t="n">
        <v>11</v>
      </c>
      <c r="P722" s="10" t="n">
        <v>0</v>
      </c>
      <c r="Q722" s="10" t="n">
        <v>0</v>
      </c>
      <c r="R722" s="10" t="n">
        <v>10</v>
      </c>
      <c r="S722" s="10" t="n">
        <v>0</v>
      </c>
      <c r="T722" s="10" t="n">
        <v>0</v>
      </c>
      <c r="U722" s="10" t="n">
        <v>0</v>
      </c>
    </row>
    <row r="723" customFormat="false" ht="15" hidden="false" customHeight="false" outlineLevel="0" collapsed="false">
      <c r="A723" s="7" t="s">
        <v>931</v>
      </c>
      <c r="B723" s="7" t="s">
        <v>275</v>
      </c>
      <c r="C723" s="7" t="s">
        <v>524</v>
      </c>
      <c r="D723" s="10" t="n">
        <v>0</v>
      </c>
      <c r="E723" s="10" t="n">
        <v>0</v>
      </c>
      <c r="F723" s="10" t="n">
        <v>219</v>
      </c>
      <c r="G723" s="10" t="n">
        <v>0</v>
      </c>
      <c r="H723" s="10" t="n">
        <v>2</v>
      </c>
      <c r="I723" s="10" t="n">
        <v>2</v>
      </c>
      <c r="J723" s="10" t="n">
        <v>0</v>
      </c>
      <c r="K723" s="10" t="n">
        <v>0</v>
      </c>
      <c r="L723" s="10" t="n">
        <v>0</v>
      </c>
      <c r="M723" s="10" t="n">
        <v>0</v>
      </c>
      <c r="N723" s="10" t="n">
        <v>3</v>
      </c>
      <c r="O723" s="10" t="n">
        <v>0</v>
      </c>
      <c r="P723" s="10" t="n">
        <v>-1</v>
      </c>
      <c r="Q723" s="10" t="n">
        <v>0</v>
      </c>
      <c r="R723" s="10" t="n">
        <v>0</v>
      </c>
      <c r="S723" s="10" t="n">
        <v>0</v>
      </c>
      <c r="T723" s="10" t="n">
        <v>0</v>
      </c>
      <c r="U723" s="10" t="n">
        <v>0</v>
      </c>
    </row>
    <row r="724" customFormat="false" ht="15" hidden="false" customHeight="false" outlineLevel="0" collapsed="false">
      <c r="A724" s="7" t="s">
        <v>931</v>
      </c>
      <c r="B724" s="7" t="s">
        <v>270</v>
      </c>
      <c r="C724" s="7" t="s">
        <v>525</v>
      </c>
      <c r="D724" s="10" t="n">
        <v>0</v>
      </c>
      <c r="E724" s="10" t="n">
        <v>0</v>
      </c>
      <c r="F724" s="10" t="n">
        <v>1130</v>
      </c>
      <c r="G724" s="10" t="n">
        <v>0</v>
      </c>
      <c r="H724" s="10" t="n">
        <v>0</v>
      </c>
      <c r="I724" s="10" t="n">
        <v>73</v>
      </c>
      <c r="J724" s="10" t="n">
        <v>0</v>
      </c>
      <c r="K724" s="10" t="n">
        <v>3</v>
      </c>
      <c r="L724" s="10" t="n">
        <v>0</v>
      </c>
      <c r="M724" s="10" t="n">
        <v>11</v>
      </c>
      <c r="N724" s="10" t="n">
        <v>2</v>
      </c>
      <c r="O724" s="10" t="n">
        <v>0</v>
      </c>
      <c r="P724" s="10" t="n">
        <v>-2</v>
      </c>
      <c r="Q724" s="10" t="n">
        <v>0</v>
      </c>
      <c r="R724" s="10" t="n">
        <v>59</v>
      </c>
      <c r="S724" s="10" t="n">
        <v>0</v>
      </c>
      <c r="T724" s="10" t="n">
        <v>0</v>
      </c>
      <c r="U724" s="10" t="n">
        <v>0</v>
      </c>
    </row>
    <row r="725" customFormat="false" ht="15" hidden="false" customHeight="false" outlineLevel="0" collapsed="false">
      <c r="A725" s="7" t="s">
        <v>931</v>
      </c>
      <c r="B725" s="7" t="s">
        <v>110</v>
      </c>
      <c r="C725" s="7" t="s">
        <v>526</v>
      </c>
      <c r="D725" s="10" t="n">
        <v>0</v>
      </c>
      <c r="E725" s="10" t="n">
        <v>0</v>
      </c>
      <c r="F725" s="10" t="n">
        <v>388</v>
      </c>
      <c r="G725" s="10" t="n">
        <v>0</v>
      </c>
      <c r="H725" s="10" t="n">
        <v>0</v>
      </c>
      <c r="I725" s="10" t="n">
        <v>934</v>
      </c>
      <c r="J725" s="10" t="n">
        <v>0</v>
      </c>
      <c r="K725" s="10" t="n">
        <v>9</v>
      </c>
      <c r="L725" s="10" t="n">
        <v>0</v>
      </c>
      <c r="M725" s="10" t="n">
        <v>2</v>
      </c>
      <c r="N725" s="10" t="n">
        <v>6</v>
      </c>
      <c r="O725" s="10" t="n">
        <v>1</v>
      </c>
      <c r="P725" s="10" t="n">
        <v>-1</v>
      </c>
      <c r="Q725" s="10" t="n">
        <v>803</v>
      </c>
      <c r="R725" s="10" t="n">
        <v>114</v>
      </c>
      <c r="S725" s="10" t="n">
        <v>0</v>
      </c>
      <c r="T725" s="10" t="n">
        <v>0</v>
      </c>
      <c r="U725" s="10" t="n">
        <v>-2</v>
      </c>
    </row>
    <row r="726" customFormat="false" ht="15" hidden="false" customHeight="false" outlineLevel="0" collapsed="false">
      <c r="A726" s="7" t="s">
        <v>931</v>
      </c>
      <c r="B726" s="7" t="s">
        <v>179</v>
      </c>
      <c r="C726" s="7" t="s">
        <v>520</v>
      </c>
      <c r="D726" s="10" t="n">
        <v>0</v>
      </c>
      <c r="E726" s="10" t="n">
        <v>0</v>
      </c>
      <c r="F726" s="10" t="n">
        <v>20</v>
      </c>
      <c r="G726" s="10" t="n">
        <v>0</v>
      </c>
      <c r="H726" s="10" t="n">
        <v>0</v>
      </c>
      <c r="I726" s="10" t="n">
        <v>12</v>
      </c>
      <c r="J726" s="10" t="n">
        <v>0</v>
      </c>
      <c r="K726" s="10" t="n">
        <v>0</v>
      </c>
      <c r="L726" s="10" t="n">
        <v>0</v>
      </c>
      <c r="M726" s="10" t="n">
        <v>0</v>
      </c>
      <c r="N726" s="10" t="n">
        <v>1</v>
      </c>
      <c r="O726" s="10" t="n">
        <v>0</v>
      </c>
      <c r="P726" s="10" t="n">
        <v>0</v>
      </c>
      <c r="Q726" s="10" t="n">
        <v>11</v>
      </c>
      <c r="R726" s="10" t="n">
        <v>0</v>
      </c>
      <c r="S726" s="10" t="n">
        <v>0</v>
      </c>
      <c r="T726" s="10" t="n">
        <v>0</v>
      </c>
      <c r="U726" s="10" t="n">
        <v>0</v>
      </c>
    </row>
    <row r="727" customFormat="false" ht="15" hidden="false" customHeight="false" outlineLevel="0" collapsed="false">
      <c r="A727" s="7" t="s">
        <v>931</v>
      </c>
      <c r="B727" s="7" t="s">
        <v>99</v>
      </c>
      <c r="C727" s="7" t="s">
        <v>520</v>
      </c>
      <c r="D727" s="10" t="n">
        <v>0</v>
      </c>
      <c r="E727" s="10" t="n">
        <v>0</v>
      </c>
      <c r="F727" s="10" t="n">
        <v>121</v>
      </c>
      <c r="G727" s="10" t="n">
        <v>0</v>
      </c>
      <c r="H727" s="10" t="n">
        <v>0</v>
      </c>
      <c r="I727" s="10" t="n">
        <v>132</v>
      </c>
      <c r="J727" s="10" t="n">
        <v>0</v>
      </c>
      <c r="K727" s="10" t="n">
        <v>0</v>
      </c>
      <c r="L727" s="10" t="n">
        <v>0</v>
      </c>
      <c r="M727" s="10" t="n">
        <v>0</v>
      </c>
      <c r="N727" s="10" t="n">
        <v>0</v>
      </c>
      <c r="O727" s="10" t="n">
        <v>0</v>
      </c>
      <c r="P727" s="10" t="n">
        <v>0</v>
      </c>
      <c r="Q727" s="10" t="n">
        <v>132</v>
      </c>
      <c r="R727" s="10" t="n">
        <v>0</v>
      </c>
      <c r="S727" s="10" t="n">
        <v>0</v>
      </c>
      <c r="T727" s="10" t="n">
        <v>0</v>
      </c>
      <c r="U727" s="10" t="n">
        <v>0</v>
      </c>
    </row>
    <row r="728" customFormat="false" ht="15" hidden="false" customHeight="false" outlineLevel="0" collapsed="false">
      <c r="A728" s="7" t="s">
        <v>931</v>
      </c>
      <c r="B728" s="7" t="s">
        <v>169</v>
      </c>
      <c r="C728" s="7" t="s">
        <v>527</v>
      </c>
      <c r="D728" s="10" t="n">
        <v>0</v>
      </c>
      <c r="E728" s="10" t="n">
        <v>0</v>
      </c>
      <c r="F728" s="10" t="n">
        <v>388</v>
      </c>
      <c r="G728" s="10" t="n">
        <v>0</v>
      </c>
      <c r="H728" s="10" t="n">
        <v>0</v>
      </c>
      <c r="I728" s="10" t="n">
        <v>266</v>
      </c>
      <c r="J728" s="10" t="n">
        <v>0</v>
      </c>
      <c r="K728" s="10" t="n">
        <v>41</v>
      </c>
      <c r="L728" s="10" t="n">
        <v>-1</v>
      </c>
      <c r="M728" s="10" t="n">
        <v>8</v>
      </c>
      <c r="N728" s="10" t="n">
        <v>11</v>
      </c>
      <c r="O728" s="10" t="n">
        <v>5</v>
      </c>
      <c r="P728" s="10" t="n">
        <v>0</v>
      </c>
      <c r="Q728" s="10" t="n">
        <v>0</v>
      </c>
      <c r="R728" s="10" t="n">
        <v>202</v>
      </c>
      <c r="S728" s="10" t="n">
        <v>0</v>
      </c>
      <c r="T728" s="10" t="n">
        <v>0</v>
      </c>
      <c r="U728" s="10" t="n">
        <v>0</v>
      </c>
    </row>
    <row r="729" customFormat="false" ht="15" hidden="false" customHeight="false" outlineLevel="0" collapsed="false">
      <c r="A729" s="7" t="s">
        <v>931</v>
      </c>
      <c r="B729" s="7" t="s">
        <v>169</v>
      </c>
      <c r="C729" s="7" t="s">
        <v>528</v>
      </c>
      <c r="D729" s="10" t="n">
        <v>0</v>
      </c>
      <c r="E729" s="10" t="n">
        <v>0</v>
      </c>
      <c r="F729" s="10" t="n">
        <v>243</v>
      </c>
      <c r="G729" s="10" t="n">
        <v>0</v>
      </c>
      <c r="H729" s="10" t="n">
        <v>3</v>
      </c>
      <c r="I729" s="10" t="n">
        <v>348</v>
      </c>
      <c r="J729" s="10" t="n">
        <v>0</v>
      </c>
      <c r="K729" s="10" t="n">
        <v>12</v>
      </c>
      <c r="L729" s="10" t="n">
        <v>0</v>
      </c>
      <c r="M729" s="10" t="n">
        <v>2</v>
      </c>
      <c r="N729" s="10" t="n">
        <v>11</v>
      </c>
      <c r="O729" s="10" t="n">
        <v>4</v>
      </c>
      <c r="P729" s="10" t="n">
        <v>0</v>
      </c>
      <c r="Q729" s="10" t="n">
        <v>223</v>
      </c>
      <c r="R729" s="10" t="n">
        <v>96</v>
      </c>
      <c r="S729" s="10" t="n">
        <v>0</v>
      </c>
      <c r="T729" s="10" t="n">
        <v>0</v>
      </c>
      <c r="U729" s="10" t="n">
        <v>0</v>
      </c>
    </row>
    <row r="730" customFormat="false" ht="15" hidden="false" customHeight="false" outlineLevel="0" collapsed="false">
      <c r="A730" s="7" t="s">
        <v>931</v>
      </c>
      <c r="B730" s="7" t="s">
        <v>211</v>
      </c>
      <c r="C730" s="7" t="s">
        <v>529</v>
      </c>
      <c r="D730" s="10" t="n">
        <v>0</v>
      </c>
      <c r="E730" s="10" t="n">
        <v>0</v>
      </c>
      <c r="F730" s="10" t="n">
        <v>-15</v>
      </c>
      <c r="G730" s="10" t="n">
        <v>0</v>
      </c>
      <c r="H730" s="10" t="n">
        <v>-2</v>
      </c>
      <c r="I730" s="10" t="n">
        <v>-25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n">
        <v>-2</v>
      </c>
      <c r="O730" s="10" t="n">
        <v>0</v>
      </c>
      <c r="P730" s="10" t="n">
        <v>-11</v>
      </c>
      <c r="Q730" s="10" t="n">
        <v>-8</v>
      </c>
      <c r="R730" s="10" t="n">
        <v>-4</v>
      </c>
      <c r="S730" s="10" t="n">
        <v>0</v>
      </c>
      <c r="T730" s="10" t="n">
        <v>0</v>
      </c>
      <c r="U730" s="10" t="n">
        <v>-2</v>
      </c>
    </row>
    <row r="731" customFormat="false" ht="15" hidden="false" customHeight="false" outlineLevel="0" collapsed="false">
      <c r="A731" s="7" t="s">
        <v>931</v>
      </c>
      <c r="B731" s="7" t="s">
        <v>354</v>
      </c>
      <c r="C731" s="7" t="s">
        <v>530</v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>
        <v>-1</v>
      </c>
      <c r="J731" s="10" t="n">
        <v>0</v>
      </c>
      <c r="K731" s="10" t="n">
        <v>0</v>
      </c>
      <c r="L731" s="10" t="n">
        <v>0</v>
      </c>
      <c r="M731" s="10" t="n">
        <v>0</v>
      </c>
      <c r="N731" s="10" t="n">
        <v>0</v>
      </c>
      <c r="O731" s="10" t="n">
        <v>0</v>
      </c>
      <c r="P731" s="10" t="n">
        <v>-1</v>
      </c>
      <c r="Q731" s="10" t="n">
        <v>0</v>
      </c>
      <c r="R731" s="10" t="n">
        <v>0</v>
      </c>
      <c r="S731" s="10" t="n">
        <v>0</v>
      </c>
      <c r="T731" s="10" t="n">
        <v>0</v>
      </c>
      <c r="U731" s="10" t="n">
        <v>0</v>
      </c>
    </row>
    <row r="732" customFormat="false" ht="15" hidden="false" customHeight="false" outlineLevel="0" collapsed="false">
      <c r="A732" s="7" t="s">
        <v>931</v>
      </c>
      <c r="B732" s="7" t="s">
        <v>87</v>
      </c>
      <c r="C732" s="7" t="s">
        <v>531</v>
      </c>
      <c r="D732" s="10" t="n">
        <v>0</v>
      </c>
      <c r="E732" s="10" t="n">
        <v>0</v>
      </c>
      <c r="F732" s="10" t="n">
        <v>625</v>
      </c>
      <c r="G732" s="10" t="n">
        <v>0</v>
      </c>
      <c r="H732" s="10" t="n">
        <v>11</v>
      </c>
      <c r="I732" s="10" t="n">
        <v>2669</v>
      </c>
      <c r="J732" s="10" t="n">
        <v>0</v>
      </c>
      <c r="K732" s="10" t="n">
        <v>93</v>
      </c>
      <c r="L732" s="10" t="n">
        <v>-6</v>
      </c>
      <c r="M732" s="10" t="n">
        <v>25</v>
      </c>
      <c r="N732" s="10" t="n">
        <v>21</v>
      </c>
      <c r="O732" s="10" t="n">
        <v>26</v>
      </c>
      <c r="P732" s="10" t="n">
        <v>-12</v>
      </c>
      <c r="Q732" s="10" t="n">
        <v>1282</v>
      </c>
      <c r="R732" s="10" t="n">
        <v>1240</v>
      </c>
      <c r="S732" s="10" t="n">
        <v>4</v>
      </c>
      <c r="T732" s="10" t="n">
        <v>0</v>
      </c>
      <c r="U732" s="10" t="n">
        <v>0</v>
      </c>
    </row>
    <row r="733" customFormat="false" ht="15" hidden="false" customHeight="false" outlineLevel="0" collapsed="false">
      <c r="A733" s="7" t="s">
        <v>931</v>
      </c>
      <c r="B733" s="7" t="s">
        <v>90</v>
      </c>
      <c r="C733" s="7" t="s">
        <v>532</v>
      </c>
      <c r="D733" s="10" t="n">
        <v>0</v>
      </c>
      <c r="E733" s="10" t="n">
        <v>0</v>
      </c>
      <c r="F733" s="10" t="n">
        <v>296</v>
      </c>
      <c r="G733" s="10" t="n">
        <v>0</v>
      </c>
      <c r="H733" s="10" t="n">
        <v>0</v>
      </c>
      <c r="I733" s="10" t="n">
        <v>2372</v>
      </c>
      <c r="J733" s="10" t="n">
        <v>0</v>
      </c>
      <c r="K733" s="10" t="n">
        <v>8</v>
      </c>
      <c r="L733" s="10" t="n">
        <v>0</v>
      </c>
      <c r="M733" s="10" t="n">
        <v>3</v>
      </c>
      <c r="N733" s="10" t="n">
        <v>10</v>
      </c>
      <c r="O733" s="10" t="n">
        <v>4</v>
      </c>
      <c r="P733" s="10" t="n">
        <v>-5</v>
      </c>
      <c r="Q733" s="10" t="n">
        <v>2204</v>
      </c>
      <c r="R733" s="10" t="n">
        <v>148</v>
      </c>
      <c r="S733" s="10" t="n">
        <v>0</v>
      </c>
      <c r="T733" s="10" t="n">
        <v>0</v>
      </c>
      <c r="U733" s="10" t="n">
        <v>0</v>
      </c>
    </row>
    <row r="734" customFormat="false" ht="15" hidden="false" customHeight="false" outlineLevel="0" collapsed="false">
      <c r="A734" s="7" t="s">
        <v>931</v>
      </c>
      <c r="B734" s="7" t="s">
        <v>156</v>
      </c>
      <c r="C734" s="7" t="s">
        <v>533</v>
      </c>
      <c r="D734" s="10" t="n">
        <v>0</v>
      </c>
      <c r="E734" s="10" t="n">
        <v>0</v>
      </c>
      <c r="F734" s="10" t="n">
        <v>222</v>
      </c>
      <c r="G734" s="10" t="n">
        <v>0</v>
      </c>
      <c r="H734" s="10" t="n">
        <v>0</v>
      </c>
      <c r="I734" s="10" t="n">
        <v>301</v>
      </c>
      <c r="J734" s="10" t="n">
        <v>0</v>
      </c>
      <c r="K734" s="10" t="n">
        <v>9</v>
      </c>
      <c r="L734" s="10" t="n">
        <v>0</v>
      </c>
      <c r="M734" s="10" t="n">
        <v>0</v>
      </c>
      <c r="N734" s="10" t="n">
        <v>0</v>
      </c>
      <c r="O734" s="10" t="n">
        <v>0</v>
      </c>
      <c r="P734" s="10" t="n">
        <v>-14</v>
      </c>
      <c r="Q734" s="10" t="n">
        <v>235</v>
      </c>
      <c r="R734" s="10" t="n">
        <v>71</v>
      </c>
      <c r="S734" s="10" t="n">
        <v>0</v>
      </c>
      <c r="T734" s="10" t="n">
        <v>0</v>
      </c>
      <c r="U734" s="10" t="n">
        <v>0</v>
      </c>
    </row>
    <row r="735" customFormat="false" ht="15" hidden="false" customHeight="false" outlineLevel="0" collapsed="false">
      <c r="A735" s="7" t="s">
        <v>931</v>
      </c>
      <c r="B735" s="7" t="s">
        <v>195</v>
      </c>
      <c r="C735" s="7" t="s">
        <v>534</v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>
        <v>-3</v>
      </c>
      <c r="J735" s="10" t="n">
        <v>0</v>
      </c>
      <c r="K735" s="10" t="n">
        <v>0</v>
      </c>
      <c r="L735" s="10" t="n">
        <v>0</v>
      </c>
      <c r="M735" s="10" t="n">
        <v>0</v>
      </c>
      <c r="N735" s="10" t="n">
        <v>0</v>
      </c>
      <c r="O735" s="10" t="n">
        <v>0</v>
      </c>
      <c r="P735" s="10" t="n">
        <v>0</v>
      </c>
      <c r="Q735" s="10" t="n">
        <v>-3</v>
      </c>
      <c r="R735" s="10" t="n">
        <v>0</v>
      </c>
      <c r="S735" s="10" t="n">
        <v>0</v>
      </c>
      <c r="T735" s="10" t="n">
        <v>0</v>
      </c>
      <c r="U735" s="10" t="n">
        <v>0</v>
      </c>
    </row>
    <row r="736" customFormat="false" ht="15" hidden="false" customHeight="false" outlineLevel="0" collapsed="false">
      <c r="A736" s="7" t="s">
        <v>931</v>
      </c>
      <c r="B736" s="7" t="s">
        <v>148</v>
      </c>
      <c r="C736" s="7" t="s">
        <v>535</v>
      </c>
      <c r="D736" s="10" t="n">
        <v>0</v>
      </c>
      <c r="E736" s="10" t="n">
        <v>0</v>
      </c>
      <c r="F736" s="10" t="n">
        <v>49</v>
      </c>
      <c r="G736" s="10" t="n">
        <v>0</v>
      </c>
      <c r="H736" s="10" t="n">
        <v>0</v>
      </c>
      <c r="I736" s="10" t="n">
        <v>21</v>
      </c>
      <c r="J736" s="10" t="n">
        <v>0</v>
      </c>
      <c r="K736" s="10" t="n">
        <v>0</v>
      </c>
      <c r="L736" s="10" t="n">
        <v>0</v>
      </c>
      <c r="M736" s="10" t="n">
        <v>0</v>
      </c>
      <c r="N736" s="10" t="n">
        <v>0</v>
      </c>
      <c r="O736" s="10" t="n">
        <v>0</v>
      </c>
      <c r="P736" s="10" t="n">
        <v>0</v>
      </c>
      <c r="Q736" s="10" t="n">
        <v>21</v>
      </c>
      <c r="R736" s="10" t="n">
        <v>0</v>
      </c>
      <c r="S736" s="10" t="n">
        <v>0</v>
      </c>
      <c r="T736" s="10" t="n">
        <v>0</v>
      </c>
      <c r="U736" s="10" t="n">
        <v>0</v>
      </c>
    </row>
    <row r="737" customFormat="false" ht="15" hidden="false" customHeight="false" outlineLevel="0" collapsed="false">
      <c r="A737" s="7" t="s">
        <v>931</v>
      </c>
      <c r="B737" s="7" t="s">
        <v>101</v>
      </c>
      <c r="C737" s="7" t="s">
        <v>536</v>
      </c>
      <c r="D737" s="10" t="n">
        <v>0</v>
      </c>
      <c r="E737" s="10" t="n">
        <v>0</v>
      </c>
      <c r="F737" s="10" t="n">
        <v>6</v>
      </c>
      <c r="G737" s="10" t="n">
        <v>0</v>
      </c>
      <c r="H737" s="10" t="n">
        <v>0</v>
      </c>
      <c r="I737" s="10" t="n">
        <v>35</v>
      </c>
      <c r="J737" s="10" t="n">
        <v>0</v>
      </c>
      <c r="K737" s="10" t="n">
        <v>2</v>
      </c>
      <c r="L737" s="10" t="n">
        <v>0</v>
      </c>
      <c r="M737" s="10" t="n">
        <v>0</v>
      </c>
      <c r="N737" s="10" t="n">
        <v>0</v>
      </c>
      <c r="O737" s="10" t="n">
        <v>0</v>
      </c>
      <c r="P737" s="10" t="n">
        <v>-4</v>
      </c>
      <c r="Q737" s="10" t="n">
        <v>26</v>
      </c>
      <c r="R737" s="10" t="n">
        <v>11</v>
      </c>
      <c r="S737" s="10" t="n">
        <v>0</v>
      </c>
      <c r="T737" s="10" t="n">
        <v>0</v>
      </c>
      <c r="U737" s="10" t="n">
        <v>0</v>
      </c>
    </row>
    <row r="738" customFormat="false" ht="15" hidden="false" customHeight="false" outlineLevel="0" collapsed="false">
      <c r="A738" s="7" t="s">
        <v>931</v>
      </c>
      <c r="B738" s="7" t="s">
        <v>101</v>
      </c>
      <c r="C738" s="7" t="s">
        <v>537</v>
      </c>
      <c r="D738" s="10" t="n">
        <v>0</v>
      </c>
      <c r="E738" s="10" t="n">
        <v>0</v>
      </c>
      <c r="F738" s="10" t="n">
        <v>14</v>
      </c>
      <c r="G738" s="10" t="n">
        <v>0</v>
      </c>
      <c r="H738" s="10" t="n">
        <v>0</v>
      </c>
      <c r="I738" s="10" t="n">
        <v>33</v>
      </c>
      <c r="J738" s="10" t="n">
        <v>0</v>
      </c>
      <c r="K738" s="10" t="n">
        <v>0</v>
      </c>
      <c r="L738" s="10" t="n">
        <v>0</v>
      </c>
      <c r="M738" s="10" t="n">
        <v>0</v>
      </c>
      <c r="N738" s="10" t="n">
        <v>0</v>
      </c>
      <c r="O738" s="10" t="n">
        <v>0</v>
      </c>
      <c r="P738" s="10" t="n">
        <v>-5</v>
      </c>
      <c r="Q738" s="10" t="n">
        <v>30</v>
      </c>
      <c r="R738" s="10" t="n">
        <v>8</v>
      </c>
      <c r="S738" s="10" t="n">
        <v>0</v>
      </c>
      <c r="T738" s="10" t="n">
        <v>0</v>
      </c>
      <c r="U738" s="10" t="n">
        <v>0</v>
      </c>
    </row>
    <row r="739" customFormat="false" ht="15" hidden="false" customHeight="false" outlineLevel="0" collapsed="false">
      <c r="A739" s="7" t="s">
        <v>931</v>
      </c>
      <c r="B739" s="7" t="s">
        <v>101</v>
      </c>
      <c r="C739" s="7" t="s">
        <v>538</v>
      </c>
      <c r="D739" s="10" t="n">
        <v>0</v>
      </c>
      <c r="E739" s="10" t="n">
        <v>0</v>
      </c>
      <c r="F739" s="10" t="n">
        <v>6</v>
      </c>
      <c r="G739" s="10" t="n">
        <v>0</v>
      </c>
      <c r="H739" s="10" t="n">
        <v>0</v>
      </c>
      <c r="I739" s="10" t="n">
        <v>46</v>
      </c>
      <c r="J739" s="10" t="n">
        <v>0</v>
      </c>
      <c r="K739" s="10" t="n">
        <v>0</v>
      </c>
      <c r="L739" s="10" t="n">
        <v>0</v>
      </c>
      <c r="M739" s="10" t="n">
        <v>0</v>
      </c>
      <c r="N739" s="10" t="n">
        <v>0</v>
      </c>
      <c r="O739" s="10" t="n">
        <v>0</v>
      </c>
      <c r="P739" s="10" t="n">
        <v>-7</v>
      </c>
      <c r="Q739" s="10" t="n">
        <v>31</v>
      </c>
      <c r="R739" s="10" t="n">
        <v>22</v>
      </c>
      <c r="S739" s="10" t="n">
        <v>0</v>
      </c>
      <c r="T739" s="10" t="n">
        <v>0</v>
      </c>
      <c r="U739" s="10" t="n">
        <v>0</v>
      </c>
    </row>
    <row r="740" customFormat="false" ht="15" hidden="false" customHeight="false" outlineLevel="0" collapsed="false">
      <c r="A740" s="7" t="s">
        <v>931</v>
      </c>
      <c r="B740" s="7" t="s">
        <v>101</v>
      </c>
      <c r="C740" s="7" t="s">
        <v>539</v>
      </c>
      <c r="D740" s="10" t="n">
        <v>0</v>
      </c>
      <c r="E740" s="10" t="n">
        <v>0</v>
      </c>
      <c r="F740" s="10" t="n">
        <v>11</v>
      </c>
      <c r="G740" s="10" t="n">
        <v>0</v>
      </c>
      <c r="H740" s="10" t="n">
        <v>0</v>
      </c>
      <c r="I740" s="10" t="n">
        <v>22</v>
      </c>
      <c r="J740" s="10" t="n">
        <v>0</v>
      </c>
      <c r="K740" s="10" t="n">
        <v>0</v>
      </c>
      <c r="L740" s="10" t="n">
        <v>0</v>
      </c>
      <c r="M740" s="10" t="n">
        <v>0</v>
      </c>
      <c r="N740" s="10" t="n">
        <v>0</v>
      </c>
      <c r="O740" s="10" t="n">
        <v>1</v>
      </c>
      <c r="P740" s="10" t="n">
        <v>-5</v>
      </c>
      <c r="Q740" s="10" t="n">
        <v>11</v>
      </c>
      <c r="R740" s="10" t="n">
        <v>15</v>
      </c>
      <c r="S740" s="10" t="n">
        <v>0</v>
      </c>
      <c r="T740" s="10" t="n">
        <v>0</v>
      </c>
      <c r="U740" s="10" t="n">
        <v>0</v>
      </c>
    </row>
    <row r="741" customFormat="false" ht="15" hidden="false" customHeight="false" outlineLevel="0" collapsed="false">
      <c r="A741" s="7" t="s">
        <v>931</v>
      </c>
      <c r="B741" s="7" t="s">
        <v>101</v>
      </c>
      <c r="C741" s="7" t="s">
        <v>540</v>
      </c>
      <c r="D741" s="10" t="n">
        <v>0</v>
      </c>
      <c r="E741" s="10" t="n">
        <v>0</v>
      </c>
      <c r="F741" s="10" t="n">
        <v>2</v>
      </c>
      <c r="G741" s="10" t="n">
        <v>0</v>
      </c>
      <c r="H741" s="10" t="n">
        <v>0</v>
      </c>
      <c r="I741" s="10" t="n">
        <v>0</v>
      </c>
      <c r="J741" s="10" t="n">
        <v>0</v>
      </c>
      <c r="K741" s="10" t="n">
        <v>0</v>
      </c>
      <c r="L741" s="10" t="n">
        <v>0</v>
      </c>
      <c r="M741" s="10" t="n">
        <v>0</v>
      </c>
      <c r="N741" s="10" t="n">
        <v>0</v>
      </c>
      <c r="O741" s="10" t="n">
        <v>0</v>
      </c>
      <c r="P741" s="10" t="n">
        <v>-4</v>
      </c>
      <c r="Q741" s="10" t="n">
        <v>-1</v>
      </c>
      <c r="R741" s="10" t="n">
        <v>5</v>
      </c>
      <c r="S741" s="10" t="n">
        <v>0</v>
      </c>
      <c r="T741" s="10" t="n">
        <v>0</v>
      </c>
      <c r="U741" s="10" t="n">
        <v>0</v>
      </c>
    </row>
    <row r="742" customFormat="false" ht="15" hidden="false" customHeight="false" outlineLevel="0" collapsed="false">
      <c r="A742" s="7" t="s">
        <v>931</v>
      </c>
      <c r="B742" s="7" t="s">
        <v>353</v>
      </c>
      <c r="C742" s="7" t="s">
        <v>541</v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>
        <v>-2</v>
      </c>
      <c r="J742" s="10" t="n">
        <v>0</v>
      </c>
      <c r="K742" s="10" t="n">
        <v>0</v>
      </c>
      <c r="L742" s="10" t="n">
        <v>0</v>
      </c>
      <c r="M742" s="10" t="n">
        <v>0</v>
      </c>
      <c r="N742" s="10" t="n">
        <v>0</v>
      </c>
      <c r="O742" s="10" t="n">
        <v>0</v>
      </c>
      <c r="P742" s="10" t="n">
        <v>-2</v>
      </c>
      <c r="Q742" s="10" t="n">
        <v>0</v>
      </c>
      <c r="R742" s="10" t="n">
        <v>0</v>
      </c>
      <c r="S742" s="10" t="n">
        <v>0</v>
      </c>
      <c r="T742" s="10" t="n">
        <v>0</v>
      </c>
      <c r="U742" s="10" t="n">
        <v>0</v>
      </c>
    </row>
    <row r="743" customFormat="false" ht="15" hidden="false" customHeight="false" outlineLevel="0" collapsed="false">
      <c r="A743" s="7" t="s">
        <v>931</v>
      </c>
      <c r="B743" s="7" t="s">
        <v>353</v>
      </c>
      <c r="C743" s="7" t="s">
        <v>542</v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>
        <v>-2</v>
      </c>
      <c r="J743" s="10" t="n">
        <v>0</v>
      </c>
      <c r="K743" s="10" t="n">
        <v>0</v>
      </c>
      <c r="L743" s="10" t="n">
        <v>0</v>
      </c>
      <c r="M743" s="10" t="n">
        <v>0</v>
      </c>
      <c r="N743" s="10" t="n">
        <v>0</v>
      </c>
      <c r="O743" s="10" t="n">
        <v>0</v>
      </c>
      <c r="P743" s="10" t="n">
        <v>-2</v>
      </c>
      <c r="Q743" s="10" t="n">
        <v>0</v>
      </c>
      <c r="R743" s="10" t="n">
        <v>0</v>
      </c>
      <c r="S743" s="10" t="n">
        <v>0</v>
      </c>
      <c r="T743" s="10" t="n">
        <v>0</v>
      </c>
      <c r="U743" s="10" t="n">
        <v>0</v>
      </c>
    </row>
    <row r="744" customFormat="false" ht="15" hidden="false" customHeight="false" outlineLevel="0" collapsed="false">
      <c r="A744" s="7" t="s">
        <v>931</v>
      </c>
      <c r="B744" s="7" t="s">
        <v>184</v>
      </c>
      <c r="C744" s="7" t="s">
        <v>543</v>
      </c>
      <c r="D744" s="10" t="n">
        <v>0</v>
      </c>
      <c r="E744" s="10" t="n">
        <v>0</v>
      </c>
      <c r="F744" s="10" t="n">
        <v>1</v>
      </c>
      <c r="G744" s="10" t="n">
        <v>0</v>
      </c>
      <c r="H744" s="10" t="n">
        <v>0</v>
      </c>
      <c r="I744" s="10" t="n">
        <v>7</v>
      </c>
      <c r="J744" s="10" t="n">
        <v>0</v>
      </c>
      <c r="K744" s="10" t="n">
        <v>3</v>
      </c>
      <c r="L744" s="10" t="n">
        <v>0</v>
      </c>
      <c r="M744" s="10" t="n">
        <v>0</v>
      </c>
      <c r="N744" s="10" t="n">
        <v>0</v>
      </c>
      <c r="O744" s="10" t="n">
        <v>0</v>
      </c>
      <c r="P744" s="10" t="n">
        <v>0</v>
      </c>
      <c r="Q744" s="10" t="n">
        <v>0</v>
      </c>
      <c r="R744" s="10" t="n">
        <v>4</v>
      </c>
      <c r="S744" s="10" t="n">
        <v>0</v>
      </c>
      <c r="T744" s="10" t="n">
        <v>0</v>
      </c>
      <c r="U744" s="10" t="n">
        <v>0</v>
      </c>
    </row>
    <row r="745" customFormat="false" ht="15" hidden="false" customHeight="false" outlineLevel="0" collapsed="false">
      <c r="A745" s="7" t="s">
        <v>931</v>
      </c>
      <c r="B745" s="7" t="s">
        <v>184</v>
      </c>
      <c r="C745" s="7" t="s">
        <v>544</v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>
        <v>6</v>
      </c>
      <c r="J745" s="10" t="n">
        <v>0</v>
      </c>
      <c r="K745" s="10" t="n">
        <v>0</v>
      </c>
      <c r="L745" s="10" t="n">
        <v>0</v>
      </c>
      <c r="M745" s="10" t="n">
        <v>0</v>
      </c>
      <c r="N745" s="10" t="n">
        <v>0</v>
      </c>
      <c r="O745" s="10" t="n">
        <v>0</v>
      </c>
      <c r="P745" s="10" t="n">
        <v>-1</v>
      </c>
      <c r="Q745" s="10" t="n">
        <v>0</v>
      </c>
      <c r="R745" s="10" t="n">
        <v>7</v>
      </c>
      <c r="S745" s="10" t="n">
        <v>0</v>
      </c>
      <c r="T745" s="10" t="n">
        <v>0</v>
      </c>
      <c r="U745" s="10" t="n">
        <v>0</v>
      </c>
    </row>
    <row r="746" customFormat="false" ht="15" hidden="false" customHeight="false" outlineLevel="0" collapsed="false">
      <c r="A746" s="7" t="s">
        <v>931</v>
      </c>
      <c r="B746" s="7" t="s">
        <v>184</v>
      </c>
      <c r="C746" s="7" t="s">
        <v>545</v>
      </c>
      <c r="D746" s="10" t="n">
        <v>0</v>
      </c>
      <c r="E746" s="10" t="n">
        <v>0</v>
      </c>
      <c r="F746" s="10" t="n">
        <v>6</v>
      </c>
      <c r="G746" s="10" t="n">
        <v>0</v>
      </c>
      <c r="H746" s="10" t="n">
        <v>0</v>
      </c>
      <c r="I746" s="10" t="n">
        <v>2</v>
      </c>
      <c r="J746" s="10" t="n">
        <v>0</v>
      </c>
      <c r="K746" s="10" t="n">
        <v>0</v>
      </c>
      <c r="L746" s="10" t="n">
        <v>0</v>
      </c>
      <c r="M746" s="10" t="n">
        <v>0</v>
      </c>
      <c r="N746" s="10" t="n">
        <v>0</v>
      </c>
      <c r="O746" s="10" t="n">
        <v>0</v>
      </c>
      <c r="P746" s="10" t="n">
        <v>0</v>
      </c>
      <c r="Q746" s="10" t="n">
        <v>-1</v>
      </c>
      <c r="R746" s="10" t="n">
        <v>3</v>
      </c>
      <c r="S746" s="10" t="n">
        <v>0</v>
      </c>
      <c r="T746" s="10" t="n">
        <v>0</v>
      </c>
      <c r="U746" s="10" t="n">
        <v>0</v>
      </c>
    </row>
    <row r="747" customFormat="false" ht="15" hidden="false" customHeight="false" outlineLevel="0" collapsed="false">
      <c r="A747" s="7" t="s">
        <v>931</v>
      </c>
      <c r="B747" s="7" t="s">
        <v>184</v>
      </c>
      <c r="C747" s="7" t="s">
        <v>546</v>
      </c>
      <c r="D747" s="10" t="n">
        <v>0</v>
      </c>
      <c r="E747" s="10" t="n">
        <v>0</v>
      </c>
      <c r="F747" s="10" t="n">
        <v>8</v>
      </c>
      <c r="G747" s="10" t="n">
        <v>0</v>
      </c>
      <c r="H747" s="10" t="n">
        <v>2</v>
      </c>
      <c r="I747" s="10" t="n">
        <v>1</v>
      </c>
      <c r="J747" s="10" t="n">
        <v>0</v>
      </c>
      <c r="K747" s="10" t="n">
        <v>0</v>
      </c>
      <c r="L747" s="10" t="n">
        <v>0</v>
      </c>
      <c r="M747" s="10" t="n">
        <v>0</v>
      </c>
      <c r="N747" s="10" t="n">
        <v>0</v>
      </c>
      <c r="O747" s="10" t="n">
        <v>0</v>
      </c>
      <c r="P747" s="10" t="n">
        <v>0</v>
      </c>
      <c r="Q747" s="10" t="n">
        <v>0</v>
      </c>
      <c r="R747" s="10" t="n">
        <v>1</v>
      </c>
      <c r="S747" s="10" t="n">
        <v>0</v>
      </c>
      <c r="T747" s="10" t="n">
        <v>0</v>
      </c>
      <c r="U747" s="10" t="n">
        <v>0</v>
      </c>
    </row>
    <row r="748" customFormat="false" ht="15" hidden="false" customHeight="false" outlineLevel="0" collapsed="false">
      <c r="A748" s="7" t="s">
        <v>931</v>
      </c>
      <c r="B748" s="7" t="s">
        <v>184</v>
      </c>
      <c r="C748" s="7" t="s">
        <v>547</v>
      </c>
      <c r="D748" s="10" t="n">
        <v>0</v>
      </c>
      <c r="E748" s="10" t="n">
        <v>0</v>
      </c>
      <c r="F748" s="10" t="n">
        <v>3</v>
      </c>
      <c r="G748" s="10" t="n">
        <v>0</v>
      </c>
      <c r="H748" s="10" t="n">
        <v>0</v>
      </c>
      <c r="I748" s="10" t="n">
        <v>-5</v>
      </c>
      <c r="J748" s="10" t="n">
        <v>0</v>
      </c>
      <c r="K748" s="10" t="n">
        <v>0</v>
      </c>
      <c r="L748" s="10" t="n">
        <v>0</v>
      </c>
      <c r="M748" s="10" t="n">
        <v>0</v>
      </c>
      <c r="N748" s="10" t="n">
        <v>0</v>
      </c>
      <c r="O748" s="10" t="n">
        <v>0</v>
      </c>
      <c r="P748" s="10" t="n">
        <v>0</v>
      </c>
      <c r="Q748" s="10" t="n">
        <v>-5</v>
      </c>
      <c r="R748" s="10" t="n">
        <v>0</v>
      </c>
      <c r="S748" s="10" t="n">
        <v>0</v>
      </c>
      <c r="T748" s="10" t="n">
        <v>0</v>
      </c>
      <c r="U748" s="10" t="n">
        <v>0</v>
      </c>
    </row>
    <row r="749" customFormat="false" ht="15" hidden="false" customHeight="false" outlineLevel="0" collapsed="false">
      <c r="A749" s="7" t="s">
        <v>931</v>
      </c>
      <c r="B749" s="7" t="s">
        <v>88</v>
      </c>
      <c r="C749" s="7" t="s">
        <v>548</v>
      </c>
      <c r="D749" s="10" t="n">
        <v>0</v>
      </c>
      <c r="E749" s="10" t="n">
        <v>0</v>
      </c>
      <c r="F749" s="10" t="n">
        <v>736</v>
      </c>
      <c r="G749" s="10" t="n">
        <v>0</v>
      </c>
      <c r="H749" s="10" t="n">
        <v>0</v>
      </c>
      <c r="I749" s="10" t="n">
        <v>4630</v>
      </c>
      <c r="J749" s="10" t="n">
        <v>0</v>
      </c>
      <c r="K749" s="10" t="n">
        <v>36</v>
      </c>
      <c r="L749" s="10" t="n">
        <v>-1</v>
      </c>
      <c r="M749" s="10" t="n">
        <v>9</v>
      </c>
      <c r="N749" s="10" t="n">
        <v>2</v>
      </c>
      <c r="O749" s="10" t="n">
        <v>2</v>
      </c>
      <c r="P749" s="10" t="n">
        <v>-6</v>
      </c>
      <c r="Q749" s="10" t="n">
        <v>4057</v>
      </c>
      <c r="R749" s="10" t="n">
        <v>531</v>
      </c>
      <c r="S749" s="10" t="n">
        <v>0</v>
      </c>
      <c r="T749" s="10" t="n">
        <v>0</v>
      </c>
      <c r="U749" s="10" t="n">
        <v>0</v>
      </c>
    </row>
    <row r="750" customFormat="false" ht="15" hidden="false" customHeight="false" outlineLevel="0" collapsed="false">
      <c r="A750" s="7" t="s">
        <v>931</v>
      </c>
      <c r="B750" s="7" t="s">
        <v>142</v>
      </c>
      <c r="C750" s="7" t="s">
        <v>549</v>
      </c>
      <c r="D750" s="10" t="n">
        <v>0</v>
      </c>
      <c r="E750" s="10" t="n">
        <v>0</v>
      </c>
      <c r="F750" s="10" t="n">
        <v>116</v>
      </c>
      <c r="G750" s="10" t="n">
        <v>0</v>
      </c>
      <c r="H750" s="10" t="n">
        <v>0</v>
      </c>
      <c r="I750" s="10" t="n">
        <v>253</v>
      </c>
      <c r="J750" s="10" t="n">
        <v>0</v>
      </c>
      <c r="K750" s="10" t="n">
        <v>4</v>
      </c>
      <c r="L750" s="10" t="n">
        <v>0</v>
      </c>
      <c r="M750" s="10" t="n">
        <v>0</v>
      </c>
      <c r="N750" s="10" t="n">
        <v>0</v>
      </c>
      <c r="O750" s="10" t="n">
        <v>0</v>
      </c>
      <c r="P750" s="10" t="n">
        <v>-3</v>
      </c>
      <c r="Q750" s="10" t="n">
        <v>208</v>
      </c>
      <c r="R750" s="10" t="n">
        <v>44</v>
      </c>
      <c r="S750" s="10" t="n">
        <v>0</v>
      </c>
      <c r="T750" s="10" t="n">
        <v>0</v>
      </c>
      <c r="U750" s="10" t="n">
        <v>0</v>
      </c>
    </row>
    <row r="751" customFormat="false" ht="15" hidden="false" customHeight="false" outlineLevel="0" collapsed="false">
      <c r="A751" s="7" t="s">
        <v>931</v>
      </c>
      <c r="B751" s="7" t="s">
        <v>47</v>
      </c>
      <c r="C751" s="7" t="s">
        <v>550</v>
      </c>
      <c r="D751" s="10" t="n">
        <v>0</v>
      </c>
      <c r="E751" s="10" t="n">
        <v>0</v>
      </c>
      <c r="F751" s="10" t="n">
        <v>192</v>
      </c>
      <c r="G751" s="10" t="n">
        <v>0</v>
      </c>
      <c r="H751" s="10" t="n">
        <v>9</v>
      </c>
      <c r="I751" s="10" t="n">
        <v>2109</v>
      </c>
      <c r="J751" s="10" t="n">
        <v>0</v>
      </c>
      <c r="K751" s="10" t="n">
        <v>17</v>
      </c>
      <c r="L751" s="10" t="n">
        <v>0</v>
      </c>
      <c r="M751" s="10" t="n">
        <v>0</v>
      </c>
      <c r="N751" s="10" t="n">
        <v>2</v>
      </c>
      <c r="O751" s="10" t="n">
        <v>1</v>
      </c>
      <c r="P751" s="10" t="n">
        <v>-5</v>
      </c>
      <c r="Q751" s="10" t="n">
        <v>1906</v>
      </c>
      <c r="R751" s="10" t="n">
        <v>188</v>
      </c>
      <c r="S751" s="10" t="n">
        <v>0</v>
      </c>
      <c r="T751" s="10" t="n">
        <v>0</v>
      </c>
      <c r="U751" s="10" t="n">
        <v>-1</v>
      </c>
    </row>
    <row r="752" customFormat="false" ht="15" hidden="false" customHeight="false" outlineLevel="0" collapsed="false">
      <c r="A752" s="7" t="s">
        <v>931</v>
      </c>
      <c r="B752" s="7" t="s">
        <v>47</v>
      </c>
      <c r="C752" s="7" t="s">
        <v>551</v>
      </c>
      <c r="D752" s="10" t="n">
        <v>0</v>
      </c>
      <c r="E752" s="10" t="n">
        <v>0</v>
      </c>
      <c r="F752" s="10" t="n">
        <v>79</v>
      </c>
      <c r="G752" s="10" t="n">
        <v>0</v>
      </c>
      <c r="H752" s="10" t="n">
        <v>0</v>
      </c>
      <c r="I752" s="10" t="n">
        <v>1313</v>
      </c>
      <c r="J752" s="10" t="n">
        <v>0</v>
      </c>
      <c r="K752" s="10" t="n">
        <v>7</v>
      </c>
      <c r="L752" s="10" t="n">
        <v>0</v>
      </c>
      <c r="M752" s="10" t="n">
        <v>0</v>
      </c>
      <c r="N752" s="10" t="n">
        <v>2</v>
      </c>
      <c r="O752" s="10" t="n">
        <v>0</v>
      </c>
      <c r="P752" s="10" t="n">
        <v>-5</v>
      </c>
      <c r="Q752" s="10" t="n">
        <v>1192</v>
      </c>
      <c r="R752" s="10" t="n">
        <v>117</v>
      </c>
      <c r="S752" s="10" t="n">
        <v>0</v>
      </c>
      <c r="T752" s="10" t="n">
        <v>0</v>
      </c>
      <c r="U752" s="10" t="n">
        <v>-2</v>
      </c>
    </row>
    <row r="753" customFormat="false" ht="15" hidden="false" customHeight="false" outlineLevel="0" collapsed="false">
      <c r="A753" s="7" t="s">
        <v>931</v>
      </c>
      <c r="B753" s="7" t="s">
        <v>47</v>
      </c>
      <c r="C753" s="7" t="s">
        <v>552</v>
      </c>
      <c r="D753" s="10" t="n">
        <v>0</v>
      </c>
      <c r="E753" s="10" t="n">
        <v>0</v>
      </c>
      <c r="F753" s="10" t="n">
        <v>173</v>
      </c>
      <c r="G753" s="10" t="n">
        <v>0</v>
      </c>
      <c r="H753" s="10" t="n">
        <v>4</v>
      </c>
      <c r="I753" s="10" t="n">
        <v>1983</v>
      </c>
      <c r="J753" s="10" t="n">
        <v>0</v>
      </c>
      <c r="K753" s="10" t="n">
        <v>12</v>
      </c>
      <c r="L753" s="10" t="n">
        <v>0</v>
      </c>
      <c r="M753" s="10" t="n">
        <v>0</v>
      </c>
      <c r="N753" s="10" t="n">
        <v>2</v>
      </c>
      <c r="O753" s="10" t="n">
        <v>2</v>
      </c>
      <c r="P753" s="10" t="n">
        <v>-7</v>
      </c>
      <c r="Q753" s="10" t="n">
        <v>1793</v>
      </c>
      <c r="R753" s="10" t="n">
        <v>181</v>
      </c>
      <c r="S753" s="10" t="n">
        <v>1</v>
      </c>
      <c r="T753" s="10" t="n">
        <v>0</v>
      </c>
      <c r="U753" s="10" t="n">
        <v>0</v>
      </c>
    </row>
    <row r="754" customFormat="false" ht="15" hidden="false" customHeight="false" outlineLevel="0" collapsed="false">
      <c r="A754" s="7" t="s">
        <v>931</v>
      </c>
      <c r="B754" s="7" t="s">
        <v>47</v>
      </c>
      <c r="C754" s="7" t="s">
        <v>553</v>
      </c>
      <c r="D754" s="10" t="n">
        <v>0</v>
      </c>
      <c r="E754" s="10" t="n">
        <v>0</v>
      </c>
      <c r="F754" s="10" t="n">
        <v>114</v>
      </c>
      <c r="G754" s="10" t="n">
        <v>0</v>
      </c>
      <c r="H754" s="10" t="n">
        <v>0</v>
      </c>
      <c r="I754" s="10" t="n">
        <v>1354</v>
      </c>
      <c r="J754" s="10" t="n">
        <v>0</v>
      </c>
      <c r="K754" s="10" t="n">
        <v>4</v>
      </c>
      <c r="L754" s="10" t="n">
        <v>0</v>
      </c>
      <c r="M754" s="10" t="n">
        <v>0</v>
      </c>
      <c r="N754" s="10" t="n">
        <v>0</v>
      </c>
      <c r="O754" s="10" t="n">
        <v>1</v>
      </c>
      <c r="P754" s="10" t="n">
        <v>-8</v>
      </c>
      <c r="Q754" s="10" t="n">
        <v>1232</v>
      </c>
      <c r="R754" s="10" t="n">
        <v>125</v>
      </c>
      <c r="S754" s="10" t="n">
        <v>0</v>
      </c>
      <c r="T754" s="10" t="n">
        <v>0</v>
      </c>
      <c r="U754" s="10" t="n">
        <v>-1</v>
      </c>
    </row>
    <row r="755" customFormat="false" ht="15" hidden="false" customHeight="false" outlineLevel="0" collapsed="false">
      <c r="A755" s="7" t="s">
        <v>931</v>
      </c>
      <c r="B755" s="7" t="s">
        <v>47</v>
      </c>
      <c r="C755" s="7" t="s">
        <v>554</v>
      </c>
      <c r="D755" s="10" t="n">
        <v>0</v>
      </c>
      <c r="E755" s="10" t="n">
        <v>0</v>
      </c>
      <c r="F755" s="10" t="n">
        <v>10</v>
      </c>
      <c r="G755" s="10" t="n">
        <v>0</v>
      </c>
      <c r="H755" s="10" t="n">
        <v>0</v>
      </c>
      <c r="I755" s="10" t="n">
        <v>0</v>
      </c>
      <c r="J755" s="10" t="n">
        <v>0</v>
      </c>
      <c r="K755" s="10" t="n">
        <v>0</v>
      </c>
      <c r="L755" s="10" t="n">
        <v>0</v>
      </c>
      <c r="M755" s="10" t="n">
        <v>0</v>
      </c>
      <c r="N755" s="10" t="n">
        <v>0</v>
      </c>
      <c r="O755" s="10" t="n">
        <v>0</v>
      </c>
      <c r="P755" s="10" t="n">
        <v>0</v>
      </c>
      <c r="Q755" s="10" t="n">
        <v>0</v>
      </c>
      <c r="R755" s="10" t="n">
        <v>0</v>
      </c>
      <c r="S755" s="10" t="n">
        <v>0</v>
      </c>
      <c r="T755" s="10" t="n">
        <v>0</v>
      </c>
      <c r="U755" s="10" t="n">
        <v>0</v>
      </c>
    </row>
    <row r="756" customFormat="false" ht="15" hidden="false" customHeight="false" outlineLevel="0" collapsed="false">
      <c r="A756" s="7" t="s">
        <v>931</v>
      </c>
      <c r="B756" s="7" t="s">
        <v>47</v>
      </c>
      <c r="C756" s="7" t="s">
        <v>555</v>
      </c>
      <c r="D756" s="10" t="n">
        <v>0</v>
      </c>
      <c r="E756" s="10" t="n">
        <v>0</v>
      </c>
      <c r="F756" s="10" t="n">
        <v>24</v>
      </c>
      <c r="G756" s="10" t="n">
        <v>0</v>
      </c>
      <c r="H756" s="10" t="n">
        <v>0</v>
      </c>
      <c r="I756" s="10" t="n">
        <v>113</v>
      </c>
      <c r="J756" s="10" t="n">
        <v>0</v>
      </c>
      <c r="K756" s="10" t="n">
        <v>6</v>
      </c>
      <c r="L756" s="10" t="n">
        <v>0</v>
      </c>
      <c r="M756" s="10" t="n">
        <v>0</v>
      </c>
      <c r="N756" s="10" t="n">
        <v>0</v>
      </c>
      <c r="O756" s="10" t="n">
        <v>0</v>
      </c>
      <c r="P756" s="10" t="n">
        <v>-4</v>
      </c>
      <c r="Q756" s="10" t="n">
        <v>54</v>
      </c>
      <c r="R756" s="10" t="n">
        <v>57</v>
      </c>
      <c r="S756" s="10" t="n">
        <v>0</v>
      </c>
      <c r="T756" s="10" t="n">
        <v>0</v>
      </c>
      <c r="U756" s="10" t="n">
        <v>0</v>
      </c>
    </row>
    <row r="757" customFormat="false" ht="15" hidden="false" customHeight="false" outlineLevel="0" collapsed="false">
      <c r="A757" s="7" t="s">
        <v>931</v>
      </c>
      <c r="B757" s="7" t="s">
        <v>56</v>
      </c>
      <c r="C757" s="7" t="s">
        <v>556</v>
      </c>
      <c r="D757" s="10" t="n">
        <v>0</v>
      </c>
      <c r="E757" s="10" t="n">
        <v>0</v>
      </c>
      <c r="F757" s="10" t="n">
        <v>109</v>
      </c>
      <c r="G757" s="10" t="n">
        <v>0</v>
      </c>
      <c r="H757" s="10" t="n">
        <v>0</v>
      </c>
      <c r="I757" s="10" t="n">
        <v>1323</v>
      </c>
      <c r="J757" s="10" t="n">
        <v>0</v>
      </c>
      <c r="K757" s="10" t="n">
        <v>12</v>
      </c>
      <c r="L757" s="10" t="n">
        <v>0</v>
      </c>
      <c r="M757" s="10" t="n">
        <v>0</v>
      </c>
      <c r="N757" s="10" t="n">
        <v>3</v>
      </c>
      <c r="O757" s="10" t="n">
        <v>2</v>
      </c>
      <c r="P757" s="10" t="n">
        <v>-7</v>
      </c>
      <c r="Q757" s="10" t="n">
        <v>1156</v>
      </c>
      <c r="R757" s="10" t="n">
        <v>157</v>
      </c>
      <c r="S757" s="10" t="n">
        <v>0</v>
      </c>
      <c r="T757" s="10" t="n">
        <v>0</v>
      </c>
      <c r="U757" s="10" t="n">
        <v>0</v>
      </c>
    </row>
    <row r="758" customFormat="false" ht="15" hidden="false" customHeight="false" outlineLevel="0" collapsed="false">
      <c r="A758" s="7" t="s">
        <v>931</v>
      </c>
      <c r="B758" s="7" t="s">
        <v>56</v>
      </c>
      <c r="C758" s="7" t="s">
        <v>557</v>
      </c>
      <c r="D758" s="10" t="n">
        <v>0</v>
      </c>
      <c r="E758" s="10" t="n">
        <v>0</v>
      </c>
      <c r="F758" s="10" t="n">
        <v>207</v>
      </c>
      <c r="G758" s="10" t="n">
        <v>0</v>
      </c>
      <c r="H758" s="10" t="n">
        <v>0</v>
      </c>
      <c r="I758" s="10" t="n">
        <v>1917</v>
      </c>
      <c r="J758" s="10" t="n">
        <v>0</v>
      </c>
      <c r="K758" s="10" t="n">
        <v>20</v>
      </c>
      <c r="L758" s="10" t="n">
        <v>0</v>
      </c>
      <c r="M758" s="10" t="n">
        <v>0</v>
      </c>
      <c r="N758" s="10" t="n">
        <v>0</v>
      </c>
      <c r="O758" s="10" t="n">
        <v>4</v>
      </c>
      <c r="P758" s="10" t="n">
        <v>-8</v>
      </c>
      <c r="Q758" s="10" t="n">
        <v>1656</v>
      </c>
      <c r="R758" s="10" t="n">
        <v>245</v>
      </c>
      <c r="S758" s="10" t="n">
        <v>0</v>
      </c>
      <c r="T758" s="10" t="n">
        <v>0</v>
      </c>
      <c r="U758" s="10" t="n">
        <v>0</v>
      </c>
    </row>
    <row r="759" customFormat="false" ht="15" hidden="false" customHeight="false" outlineLevel="0" collapsed="false">
      <c r="A759" s="7" t="s">
        <v>931</v>
      </c>
      <c r="B759" s="7" t="s">
        <v>56</v>
      </c>
      <c r="C759" s="7" t="s">
        <v>558</v>
      </c>
      <c r="D759" s="10" t="n">
        <v>0</v>
      </c>
      <c r="E759" s="10" t="n">
        <v>0</v>
      </c>
      <c r="F759" s="10" t="n">
        <v>220</v>
      </c>
      <c r="G759" s="10" t="n">
        <v>0</v>
      </c>
      <c r="H759" s="10" t="n">
        <v>2</v>
      </c>
      <c r="I759" s="10" t="n">
        <v>2146</v>
      </c>
      <c r="J759" s="10" t="n">
        <v>0</v>
      </c>
      <c r="K759" s="10" t="n">
        <v>17</v>
      </c>
      <c r="L759" s="10" t="n">
        <v>0</v>
      </c>
      <c r="M759" s="10" t="n">
        <v>0</v>
      </c>
      <c r="N759" s="10" t="n">
        <v>0</v>
      </c>
      <c r="O759" s="10" t="n">
        <v>2</v>
      </c>
      <c r="P759" s="10" t="n">
        <v>-7</v>
      </c>
      <c r="Q759" s="10" t="n">
        <v>1895</v>
      </c>
      <c r="R759" s="10" t="n">
        <v>239</v>
      </c>
      <c r="S759" s="10" t="n">
        <v>0</v>
      </c>
      <c r="T759" s="10" t="n">
        <v>0</v>
      </c>
      <c r="U759" s="10" t="n">
        <v>0</v>
      </c>
    </row>
    <row r="760" customFormat="false" ht="15" hidden="false" customHeight="false" outlineLevel="0" collapsed="false">
      <c r="A760" s="7" t="s">
        <v>931</v>
      </c>
      <c r="B760" s="7" t="s">
        <v>56</v>
      </c>
      <c r="C760" s="7" t="s">
        <v>559</v>
      </c>
      <c r="D760" s="10" t="n">
        <v>0</v>
      </c>
      <c r="E760" s="10" t="n">
        <v>0</v>
      </c>
      <c r="F760" s="10" t="n">
        <v>154</v>
      </c>
      <c r="G760" s="10" t="n">
        <v>0</v>
      </c>
      <c r="H760" s="10" t="n">
        <v>0</v>
      </c>
      <c r="I760" s="10" t="n">
        <v>1262</v>
      </c>
      <c r="J760" s="10" t="n">
        <v>0</v>
      </c>
      <c r="K760" s="10" t="n">
        <v>12</v>
      </c>
      <c r="L760" s="10" t="n">
        <v>0</v>
      </c>
      <c r="M760" s="10" t="n">
        <v>0</v>
      </c>
      <c r="N760" s="10" t="n">
        <v>0</v>
      </c>
      <c r="O760" s="10" t="n">
        <v>2</v>
      </c>
      <c r="P760" s="10" t="n">
        <v>-8</v>
      </c>
      <c r="Q760" s="10" t="n">
        <v>1115</v>
      </c>
      <c r="R760" s="10" t="n">
        <v>141</v>
      </c>
      <c r="S760" s="10" t="n">
        <v>0</v>
      </c>
      <c r="T760" s="10" t="n">
        <v>0</v>
      </c>
      <c r="U760" s="10" t="n">
        <v>0</v>
      </c>
    </row>
    <row r="761" customFormat="false" ht="15" hidden="false" customHeight="false" outlineLevel="0" collapsed="false">
      <c r="A761" s="7" t="s">
        <v>931</v>
      </c>
      <c r="B761" s="7" t="s">
        <v>56</v>
      </c>
      <c r="C761" s="7" t="s">
        <v>560</v>
      </c>
      <c r="D761" s="10" t="n">
        <v>0</v>
      </c>
      <c r="E761" s="10" t="n">
        <v>0</v>
      </c>
      <c r="F761" s="10" t="n">
        <v>81</v>
      </c>
      <c r="G761" s="10" t="n">
        <v>0</v>
      </c>
      <c r="H761" s="10" t="n">
        <v>2</v>
      </c>
      <c r="I761" s="10" t="n">
        <v>165</v>
      </c>
      <c r="J761" s="10" t="n">
        <v>0</v>
      </c>
      <c r="K761" s="10" t="n">
        <v>8</v>
      </c>
      <c r="L761" s="10" t="n">
        <v>0</v>
      </c>
      <c r="M761" s="10" t="n">
        <v>0</v>
      </c>
      <c r="N761" s="10" t="n">
        <v>0</v>
      </c>
      <c r="O761" s="10" t="n">
        <v>0</v>
      </c>
      <c r="P761" s="10" t="n">
        <v>-3</v>
      </c>
      <c r="Q761" s="10" t="n">
        <v>88</v>
      </c>
      <c r="R761" s="10" t="n">
        <v>72</v>
      </c>
      <c r="S761" s="10" t="n">
        <v>0</v>
      </c>
      <c r="T761" s="10" t="n">
        <v>0</v>
      </c>
      <c r="U761" s="10" t="n">
        <v>0</v>
      </c>
    </row>
    <row r="762" customFormat="false" ht="15" hidden="false" customHeight="false" outlineLevel="0" collapsed="false">
      <c r="A762" s="7" t="s">
        <v>931</v>
      </c>
      <c r="B762" s="7" t="s">
        <v>43</v>
      </c>
      <c r="C762" s="7" t="s">
        <v>561</v>
      </c>
      <c r="D762" s="10" t="n">
        <v>0</v>
      </c>
      <c r="E762" s="10" t="n">
        <v>0</v>
      </c>
      <c r="F762" s="10" t="n">
        <v>223</v>
      </c>
      <c r="G762" s="10" t="n">
        <v>0</v>
      </c>
      <c r="H762" s="10" t="n">
        <v>0</v>
      </c>
      <c r="I762" s="10" t="n">
        <v>2663</v>
      </c>
      <c r="J762" s="10" t="n">
        <v>0</v>
      </c>
      <c r="K762" s="10" t="n">
        <v>16</v>
      </c>
      <c r="L762" s="10" t="n">
        <v>0</v>
      </c>
      <c r="M762" s="10" t="n">
        <v>0</v>
      </c>
      <c r="N762" s="10" t="n">
        <v>7</v>
      </c>
      <c r="O762" s="10" t="n">
        <v>3</v>
      </c>
      <c r="P762" s="10" t="n">
        <v>-7</v>
      </c>
      <c r="Q762" s="10" t="n">
        <v>2476</v>
      </c>
      <c r="R762" s="10" t="n">
        <v>168</v>
      </c>
      <c r="S762" s="10" t="n">
        <v>0</v>
      </c>
      <c r="T762" s="10" t="n">
        <v>0</v>
      </c>
      <c r="U762" s="10" t="n">
        <v>-1</v>
      </c>
    </row>
    <row r="763" customFormat="false" ht="15" hidden="false" customHeight="false" outlineLevel="0" collapsed="false">
      <c r="A763" s="7" t="s">
        <v>931</v>
      </c>
      <c r="B763" s="7" t="s">
        <v>43</v>
      </c>
      <c r="C763" s="7" t="s">
        <v>562</v>
      </c>
      <c r="D763" s="10" t="n">
        <v>0</v>
      </c>
      <c r="E763" s="10" t="n">
        <v>0</v>
      </c>
      <c r="F763" s="10" t="n">
        <v>404</v>
      </c>
      <c r="G763" s="10" t="n">
        <v>0</v>
      </c>
      <c r="H763" s="10" t="n">
        <v>0</v>
      </c>
      <c r="I763" s="10" t="n">
        <v>3381</v>
      </c>
      <c r="J763" s="10" t="n">
        <v>0</v>
      </c>
      <c r="K763" s="10" t="n">
        <v>14</v>
      </c>
      <c r="L763" s="10" t="n">
        <v>0</v>
      </c>
      <c r="M763" s="10" t="n">
        <v>0</v>
      </c>
      <c r="N763" s="10" t="n">
        <v>0</v>
      </c>
      <c r="O763" s="10" t="n">
        <v>0</v>
      </c>
      <c r="P763" s="10" t="n">
        <v>-4</v>
      </c>
      <c r="Q763" s="10" t="n">
        <v>3121</v>
      </c>
      <c r="R763" s="10" t="n">
        <v>250</v>
      </c>
      <c r="S763" s="10" t="n">
        <v>0</v>
      </c>
      <c r="T763" s="10" t="n">
        <v>0</v>
      </c>
      <c r="U763" s="10" t="n">
        <v>0</v>
      </c>
    </row>
    <row r="764" customFormat="false" ht="15" hidden="false" customHeight="false" outlineLevel="0" collapsed="false">
      <c r="A764" s="7" t="s">
        <v>931</v>
      </c>
      <c r="B764" s="7" t="s">
        <v>43</v>
      </c>
      <c r="C764" s="7" t="s">
        <v>563</v>
      </c>
      <c r="D764" s="10" t="n">
        <v>0</v>
      </c>
      <c r="E764" s="10" t="n">
        <v>0</v>
      </c>
      <c r="F764" s="10" t="n">
        <v>376</v>
      </c>
      <c r="G764" s="10" t="n">
        <v>0</v>
      </c>
      <c r="H764" s="10" t="n">
        <v>0</v>
      </c>
      <c r="I764" s="10" t="n">
        <v>3615</v>
      </c>
      <c r="J764" s="10" t="n">
        <v>0</v>
      </c>
      <c r="K764" s="10" t="n">
        <v>25</v>
      </c>
      <c r="L764" s="10" t="n">
        <v>0</v>
      </c>
      <c r="M764" s="10" t="n">
        <v>0</v>
      </c>
      <c r="N764" s="10" t="n">
        <v>0</v>
      </c>
      <c r="O764" s="10" t="n">
        <v>5</v>
      </c>
      <c r="P764" s="10" t="n">
        <v>-11</v>
      </c>
      <c r="Q764" s="10" t="n">
        <v>3288</v>
      </c>
      <c r="R764" s="10" t="n">
        <v>308</v>
      </c>
      <c r="S764" s="10" t="n">
        <v>0</v>
      </c>
      <c r="T764" s="10" t="n">
        <v>0</v>
      </c>
      <c r="U764" s="10" t="n">
        <v>0</v>
      </c>
    </row>
    <row r="765" customFormat="false" ht="15" hidden="false" customHeight="false" outlineLevel="0" collapsed="false">
      <c r="A765" s="7" t="s">
        <v>931</v>
      </c>
      <c r="B765" s="7" t="s">
        <v>43</v>
      </c>
      <c r="C765" s="7" t="s">
        <v>564</v>
      </c>
      <c r="D765" s="10" t="n">
        <v>0</v>
      </c>
      <c r="E765" s="10" t="n">
        <v>0</v>
      </c>
      <c r="F765" s="10" t="n">
        <v>243</v>
      </c>
      <c r="G765" s="10" t="n">
        <v>0</v>
      </c>
      <c r="H765" s="10" t="n">
        <v>0</v>
      </c>
      <c r="I765" s="10" t="n">
        <v>2023</v>
      </c>
      <c r="J765" s="10" t="n">
        <v>0</v>
      </c>
      <c r="K765" s="10" t="n">
        <v>11</v>
      </c>
      <c r="L765" s="10" t="n">
        <v>0</v>
      </c>
      <c r="M765" s="10" t="n">
        <v>0</v>
      </c>
      <c r="N765" s="10" t="n">
        <v>0</v>
      </c>
      <c r="O765" s="10" t="n">
        <v>5</v>
      </c>
      <c r="P765" s="10" t="n">
        <v>-13</v>
      </c>
      <c r="Q765" s="10" t="n">
        <v>1866</v>
      </c>
      <c r="R765" s="10" t="n">
        <v>154</v>
      </c>
      <c r="S765" s="10" t="n">
        <v>0</v>
      </c>
      <c r="T765" s="10" t="n">
        <v>0</v>
      </c>
      <c r="U765" s="10" t="n">
        <v>-1</v>
      </c>
    </row>
    <row r="766" customFormat="false" ht="15" hidden="false" customHeight="false" outlineLevel="0" collapsed="false">
      <c r="A766" s="7" t="s">
        <v>931</v>
      </c>
      <c r="B766" s="7" t="s">
        <v>181</v>
      </c>
      <c r="C766" s="7" t="s">
        <v>565</v>
      </c>
      <c r="D766" s="10" t="n">
        <v>0</v>
      </c>
      <c r="E766" s="10" t="n">
        <v>0</v>
      </c>
      <c r="F766" s="10" t="n">
        <v>76</v>
      </c>
      <c r="G766" s="10" t="n">
        <v>0</v>
      </c>
      <c r="H766" s="10" t="n">
        <v>0</v>
      </c>
      <c r="I766" s="10" t="n">
        <v>68</v>
      </c>
      <c r="J766" s="10" t="n">
        <v>0</v>
      </c>
      <c r="K766" s="10" t="n">
        <v>6</v>
      </c>
      <c r="L766" s="10" t="n">
        <v>0</v>
      </c>
      <c r="M766" s="10" t="n">
        <v>0</v>
      </c>
      <c r="N766" s="10" t="n">
        <v>2</v>
      </c>
      <c r="O766" s="10" t="n">
        <v>0</v>
      </c>
      <c r="P766" s="10" t="n">
        <v>0</v>
      </c>
      <c r="Q766" s="10" t="n">
        <v>44</v>
      </c>
      <c r="R766" s="10" t="n">
        <v>16</v>
      </c>
      <c r="S766" s="10" t="n">
        <v>0</v>
      </c>
      <c r="T766" s="10" t="n">
        <v>0</v>
      </c>
      <c r="U766" s="10" t="n">
        <v>0</v>
      </c>
    </row>
    <row r="767" customFormat="false" ht="15" hidden="false" customHeight="false" outlineLevel="0" collapsed="false">
      <c r="A767" s="7" t="s">
        <v>931</v>
      </c>
      <c r="B767" s="7" t="s">
        <v>114</v>
      </c>
      <c r="C767" s="7" t="s">
        <v>566</v>
      </c>
      <c r="D767" s="10" t="n">
        <v>0</v>
      </c>
      <c r="E767" s="10" t="n">
        <v>0</v>
      </c>
      <c r="F767" s="10" t="n">
        <v>113</v>
      </c>
      <c r="G767" s="10" t="n">
        <v>0</v>
      </c>
      <c r="H767" s="10" t="n">
        <v>0</v>
      </c>
      <c r="I767" s="10" t="n">
        <v>655</v>
      </c>
      <c r="J767" s="10" t="n">
        <v>0</v>
      </c>
      <c r="K767" s="10" t="n">
        <v>7</v>
      </c>
      <c r="L767" s="10" t="n">
        <v>0</v>
      </c>
      <c r="M767" s="10" t="n">
        <v>0</v>
      </c>
      <c r="N767" s="10" t="n">
        <v>0</v>
      </c>
      <c r="O767" s="10" t="n">
        <v>0</v>
      </c>
      <c r="P767" s="10" t="n">
        <v>-4</v>
      </c>
      <c r="Q767" s="10" t="n">
        <v>571</v>
      </c>
      <c r="R767" s="10" t="n">
        <v>81</v>
      </c>
      <c r="S767" s="10" t="n">
        <v>0</v>
      </c>
      <c r="T767" s="10" t="n">
        <v>0</v>
      </c>
      <c r="U767" s="10" t="n">
        <v>0</v>
      </c>
    </row>
    <row r="768" customFormat="false" ht="15" hidden="false" customHeight="false" outlineLevel="0" collapsed="false">
      <c r="A768" s="7" t="s">
        <v>931</v>
      </c>
      <c r="B768" s="7" t="s">
        <v>242</v>
      </c>
      <c r="C768" s="7" t="s">
        <v>567</v>
      </c>
      <c r="D768" s="10" t="n">
        <v>0</v>
      </c>
      <c r="E768" s="10" t="n">
        <v>0</v>
      </c>
      <c r="F768" s="10" t="n">
        <v>997</v>
      </c>
      <c r="G768" s="10" t="n">
        <v>0</v>
      </c>
      <c r="H768" s="10" t="n">
        <v>4</v>
      </c>
      <c r="I768" s="10" t="n">
        <v>686</v>
      </c>
      <c r="J768" s="10" t="n">
        <v>0</v>
      </c>
      <c r="K768" s="10" t="n">
        <v>67</v>
      </c>
      <c r="L768" s="10" t="n">
        <v>0</v>
      </c>
      <c r="M768" s="10" t="n">
        <v>0</v>
      </c>
      <c r="N768" s="10" t="n">
        <v>28</v>
      </c>
      <c r="O768" s="10" t="n">
        <v>0</v>
      </c>
      <c r="P768" s="10" t="n">
        <v>-9</v>
      </c>
      <c r="Q768" s="10" t="n">
        <v>-4</v>
      </c>
      <c r="R768" s="10" t="n">
        <v>604</v>
      </c>
      <c r="S768" s="10" t="n">
        <v>1</v>
      </c>
      <c r="T768" s="10" t="n">
        <v>0</v>
      </c>
      <c r="U768" s="10" t="n">
        <v>0</v>
      </c>
    </row>
    <row r="769" customFormat="false" ht="15" hidden="false" customHeight="false" outlineLevel="0" collapsed="false">
      <c r="A769" s="7" t="s">
        <v>931</v>
      </c>
      <c r="B769" s="7" t="s">
        <v>245</v>
      </c>
      <c r="C769" s="7" t="s">
        <v>568</v>
      </c>
      <c r="D769" s="10" t="n">
        <v>0</v>
      </c>
      <c r="E769" s="10" t="n">
        <v>0</v>
      </c>
      <c r="F769" s="10" t="n">
        <v>513</v>
      </c>
      <c r="G769" s="10" t="n">
        <v>0</v>
      </c>
      <c r="H769" s="10" t="n">
        <v>0</v>
      </c>
      <c r="I769" s="10" t="n">
        <v>344</v>
      </c>
      <c r="J769" s="10" t="n">
        <v>0</v>
      </c>
      <c r="K769" s="10" t="n">
        <v>20</v>
      </c>
      <c r="L769" s="10" t="n">
        <v>0</v>
      </c>
      <c r="M769" s="10" t="n">
        <v>2</v>
      </c>
      <c r="N769" s="10" t="n">
        <v>6</v>
      </c>
      <c r="O769" s="10" t="n">
        <v>3</v>
      </c>
      <c r="P769" s="10" t="n">
        <v>-5</v>
      </c>
      <c r="Q769" s="10" t="n">
        <v>0</v>
      </c>
      <c r="R769" s="10" t="n">
        <v>318</v>
      </c>
      <c r="S769" s="10" t="n">
        <v>0</v>
      </c>
      <c r="T769" s="10" t="n">
        <v>0</v>
      </c>
      <c r="U769" s="10" t="n">
        <v>0</v>
      </c>
    </row>
    <row r="770" customFormat="false" ht="15" hidden="false" customHeight="false" outlineLevel="0" collapsed="false">
      <c r="A770" s="7" t="s">
        <v>931</v>
      </c>
      <c r="B770" s="7" t="s">
        <v>279</v>
      </c>
      <c r="C770" s="7" t="s">
        <v>569</v>
      </c>
      <c r="D770" s="10" t="n">
        <v>0</v>
      </c>
      <c r="E770" s="10" t="n">
        <v>0</v>
      </c>
      <c r="F770" s="10" t="n">
        <v>160</v>
      </c>
      <c r="G770" s="10" t="n">
        <v>0</v>
      </c>
      <c r="H770" s="10" t="n">
        <v>0</v>
      </c>
      <c r="I770" s="10" t="n">
        <v>157</v>
      </c>
      <c r="J770" s="10" t="n">
        <v>0</v>
      </c>
      <c r="K770" s="10" t="n">
        <v>24</v>
      </c>
      <c r="L770" s="10" t="n">
        <v>0</v>
      </c>
      <c r="M770" s="10" t="n">
        <v>0</v>
      </c>
      <c r="N770" s="10" t="n">
        <v>7</v>
      </c>
      <c r="O770" s="10" t="n">
        <v>0</v>
      </c>
      <c r="P770" s="10" t="n">
        <v>0</v>
      </c>
      <c r="Q770" s="10" t="n">
        <v>0</v>
      </c>
      <c r="R770" s="10" t="n">
        <v>126</v>
      </c>
      <c r="S770" s="10" t="n">
        <v>0</v>
      </c>
      <c r="T770" s="10" t="n">
        <v>0</v>
      </c>
      <c r="U770" s="10" t="n">
        <v>0</v>
      </c>
    </row>
    <row r="771" customFormat="false" ht="15" hidden="false" customHeight="false" outlineLevel="0" collapsed="false">
      <c r="A771" s="7" t="s">
        <v>931</v>
      </c>
      <c r="B771" s="7" t="s">
        <v>284</v>
      </c>
      <c r="C771" s="7" t="s">
        <v>570</v>
      </c>
      <c r="D771" s="10" t="n">
        <v>0</v>
      </c>
      <c r="E771" s="10" t="n">
        <v>0</v>
      </c>
      <c r="F771" s="10" t="n">
        <v>258</v>
      </c>
      <c r="G771" s="10" t="n">
        <v>0</v>
      </c>
      <c r="H771" s="10" t="n">
        <v>2</v>
      </c>
      <c r="I771" s="10" t="n">
        <v>88</v>
      </c>
      <c r="J771" s="10" t="n">
        <v>0</v>
      </c>
      <c r="K771" s="10" t="n">
        <v>6</v>
      </c>
      <c r="L771" s="10" t="n">
        <v>0</v>
      </c>
      <c r="M771" s="10" t="n">
        <v>0</v>
      </c>
      <c r="N771" s="10" t="n">
        <v>0</v>
      </c>
      <c r="O771" s="10" t="n">
        <v>1</v>
      </c>
      <c r="P771" s="10" t="n">
        <v>-7</v>
      </c>
      <c r="Q771" s="10" t="n">
        <v>0</v>
      </c>
      <c r="R771" s="10" t="n">
        <v>88</v>
      </c>
      <c r="S771" s="10" t="n">
        <v>0</v>
      </c>
      <c r="T771" s="10" t="n">
        <v>0</v>
      </c>
      <c r="U771" s="10" t="n">
        <v>0</v>
      </c>
    </row>
    <row r="772" customFormat="false" ht="15" hidden="false" customHeight="false" outlineLevel="0" collapsed="false">
      <c r="A772" s="7" t="s">
        <v>931</v>
      </c>
      <c r="B772" s="7" t="s">
        <v>283</v>
      </c>
      <c r="C772" s="7" t="s">
        <v>571</v>
      </c>
      <c r="D772" s="10" t="n">
        <v>0</v>
      </c>
      <c r="E772" s="10" t="n">
        <v>0</v>
      </c>
      <c r="F772" s="10" t="n">
        <v>146</v>
      </c>
      <c r="G772" s="10" t="n">
        <v>0</v>
      </c>
      <c r="H772" s="10" t="n">
        <v>0</v>
      </c>
      <c r="I772" s="10" t="n">
        <v>38</v>
      </c>
      <c r="J772" s="10" t="n">
        <v>0</v>
      </c>
      <c r="K772" s="10" t="n">
        <v>11</v>
      </c>
      <c r="L772" s="10" t="n">
        <v>0</v>
      </c>
      <c r="M772" s="10" t="n">
        <v>0</v>
      </c>
      <c r="N772" s="10" t="n">
        <v>3</v>
      </c>
      <c r="O772" s="10" t="n">
        <v>0</v>
      </c>
      <c r="P772" s="10" t="n">
        <v>-7</v>
      </c>
      <c r="Q772" s="10" t="n">
        <v>0</v>
      </c>
      <c r="R772" s="10" t="n">
        <v>31</v>
      </c>
      <c r="S772" s="10" t="n">
        <v>0</v>
      </c>
      <c r="T772" s="10" t="n">
        <v>0</v>
      </c>
      <c r="U772" s="10" t="n">
        <v>0</v>
      </c>
    </row>
    <row r="773" customFormat="false" ht="15" hidden="false" customHeight="false" outlineLevel="0" collapsed="false">
      <c r="A773" s="7" t="s">
        <v>931</v>
      </c>
      <c r="B773" s="7" t="s">
        <v>171</v>
      </c>
      <c r="C773" s="7" t="s">
        <v>572</v>
      </c>
      <c r="D773" s="10" t="n">
        <v>0</v>
      </c>
      <c r="E773" s="10" t="n">
        <v>0</v>
      </c>
      <c r="F773" s="10" t="n">
        <v>-2</v>
      </c>
      <c r="G773" s="10" t="n">
        <v>0</v>
      </c>
      <c r="H773" s="10" t="n">
        <v>0</v>
      </c>
      <c r="I773" s="10" t="n">
        <v>-16</v>
      </c>
      <c r="J773" s="10" t="n">
        <v>0</v>
      </c>
      <c r="K773" s="10" t="n">
        <v>0</v>
      </c>
      <c r="L773" s="10" t="n">
        <v>0</v>
      </c>
      <c r="M773" s="10" t="n">
        <v>0</v>
      </c>
      <c r="N773" s="10" t="n">
        <v>0</v>
      </c>
      <c r="O773" s="10" t="n">
        <v>0</v>
      </c>
      <c r="P773" s="10" t="n">
        <v>0</v>
      </c>
      <c r="Q773" s="10" t="n">
        <v>-16</v>
      </c>
      <c r="R773" s="10" t="n">
        <v>0</v>
      </c>
      <c r="S773" s="10" t="n">
        <v>0</v>
      </c>
      <c r="T773" s="10" t="n">
        <v>0</v>
      </c>
      <c r="U773" s="10" t="n">
        <v>0</v>
      </c>
    </row>
    <row r="774" customFormat="false" ht="15" hidden="false" customHeight="false" outlineLevel="0" collapsed="false">
      <c r="A774" s="7" t="s">
        <v>931</v>
      </c>
      <c r="B774" s="7" t="s">
        <v>189</v>
      </c>
      <c r="C774" s="7" t="s">
        <v>572</v>
      </c>
      <c r="D774" s="10" t="n">
        <v>0</v>
      </c>
      <c r="E774" s="10" t="n">
        <v>0</v>
      </c>
      <c r="F774" s="10" t="n">
        <v>-1</v>
      </c>
      <c r="G774" s="10" t="n">
        <v>0</v>
      </c>
      <c r="H774" s="10" t="n">
        <v>0</v>
      </c>
      <c r="I774" s="10" t="n">
        <v>-12</v>
      </c>
      <c r="J774" s="10" t="n">
        <v>0</v>
      </c>
      <c r="K774" s="10" t="n">
        <v>0</v>
      </c>
      <c r="L774" s="10" t="n">
        <v>0</v>
      </c>
      <c r="M774" s="10" t="n">
        <v>0</v>
      </c>
      <c r="N774" s="10" t="n">
        <v>0</v>
      </c>
      <c r="O774" s="10" t="n">
        <v>0</v>
      </c>
      <c r="P774" s="10" t="n">
        <v>0</v>
      </c>
      <c r="Q774" s="10" t="n">
        <v>-12</v>
      </c>
      <c r="R774" s="10" t="n">
        <v>0</v>
      </c>
      <c r="S774" s="10" t="n">
        <v>0</v>
      </c>
      <c r="T774" s="10" t="n">
        <v>0</v>
      </c>
      <c r="U774" s="10" t="n">
        <v>0</v>
      </c>
    </row>
    <row r="775" customFormat="false" ht="15" hidden="false" customHeight="false" outlineLevel="0" collapsed="false">
      <c r="A775" s="7" t="s">
        <v>931</v>
      </c>
      <c r="B775" s="7" t="s">
        <v>193</v>
      </c>
      <c r="C775" s="7" t="s">
        <v>573</v>
      </c>
      <c r="D775" s="10" t="n">
        <v>0</v>
      </c>
      <c r="E775" s="10" t="n">
        <v>0</v>
      </c>
      <c r="F775" s="10" t="n">
        <v>1</v>
      </c>
      <c r="G775" s="10" t="n">
        <v>0</v>
      </c>
      <c r="H775" s="10" t="n">
        <v>0</v>
      </c>
      <c r="I775" s="10" t="n">
        <v>2</v>
      </c>
      <c r="J775" s="10" t="n">
        <v>0</v>
      </c>
      <c r="K775" s="10" t="n">
        <v>0</v>
      </c>
      <c r="L775" s="10" t="n">
        <v>0</v>
      </c>
      <c r="M775" s="10" t="n">
        <v>0</v>
      </c>
      <c r="N775" s="10" t="n">
        <v>0</v>
      </c>
      <c r="O775" s="10" t="n">
        <v>0</v>
      </c>
      <c r="P775" s="10" t="n">
        <v>-1</v>
      </c>
      <c r="Q775" s="10" t="n">
        <v>0</v>
      </c>
      <c r="R775" s="10" t="n">
        <v>3</v>
      </c>
      <c r="S775" s="10" t="n">
        <v>0</v>
      </c>
      <c r="T775" s="10" t="n">
        <v>0</v>
      </c>
      <c r="U775" s="10" t="n">
        <v>0</v>
      </c>
    </row>
    <row r="776" customFormat="false" ht="15" hidden="false" customHeight="false" outlineLevel="0" collapsed="false">
      <c r="A776" s="7" t="s">
        <v>931</v>
      </c>
      <c r="B776" s="7" t="s">
        <v>193</v>
      </c>
      <c r="C776" s="7" t="s">
        <v>574</v>
      </c>
      <c r="D776" s="10" t="n">
        <v>0</v>
      </c>
      <c r="E776" s="10" t="n">
        <v>0</v>
      </c>
      <c r="F776" s="10" t="n">
        <v>13</v>
      </c>
      <c r="G776" s="10" t="n">
        <v>0</v>
      </c>
      <c r="H776" s="10" t="n">
        <v>0</v>
      </c>
      <c r="I776" s="10" t="n">
        <v>7</v>
      </c>
      <c r="J776" s="10" t="n">
        <v>0</v>
      </c>
      <c r="K776" s="10" t="n">
        <v>0</v>
      </c>
      <c r="L776" s="10" t="n">
        <v>0</v>
      </c>
      <c r="M776" s="10" t="n">
        <v>0</v>
      </c>
      <c r="N776" s="10" t="n">
        <v>0</v>
      </c>
      <c r="O776" s="10" t="n">
        <v>0</v>
      </c>
      <c r="P776" s="10" t="n">
        <v>0</v>
      </c>
      <c r="Q776" s="10" t="n">
        <v>3</v>
      </c>
      <c r="R776" s="10" t="n">
        <v>4</v>
      </c>
      <c r="S776" s="10" t="n">
        <v>0</v>
      </c>
      <c r="T776" s="10" t="n">
        <v>0</v>
      </c>
      <c r="U776" s="10" t="n">
        <v>0</v>
      </c>
    </row>
    <row r="777" customFormat="false" ht="15" hidden="false" customHeight="false" outlineLevel="0" collapsed="false">
      <c r="A777" s="7" t="s">
        <v>931</v>
      </c>
      <c r="B777" s="7" t="s">
        <v>193</v>
      </c>
      <c r="C777" s="7" t="s">
        <v>575</v>
      </c>
      <c r="D777" s="10" t="n">
        <v>0</v>
      </c>
      <c r="E777" s="10" t="n">
        <v>0</v>
      </c>
      <c r="F777" s="10" t="n">
        <v>4</v>
      </c>
      <c r="G777" s="10" t="n">
        <v>0</v>
      </c>
      <c r="H777" s="10" t="n">
        <v>0</v>
      </c>
      <c r="I777" s="10" t="n">
        <v>7</v>
      </c>
      <c r="J777" s="10" t="n">
        <v>0</v>
      </c>
      <c r="K777" s="10" t="n">
        <v>0</v>
      </c>
      <c r="L777" s="10" t="n">
        <v>0</v>
      </c>
      <c r="M777" s="10" t="n">
        <v>0</v>
      </c>
      <c r="N777" s="10" t="n">
        <v>0</v>
      </c>
      <c r="O777" s="10" t="n">
        <v>0</v>
      </c>
      <c r="P777" s="10" t="n">
        <v>0</v>
      </c>
      <c r="Q777" s="10" t="n">
        <v>1</v>
      </c>
      <c r="R777" s="10" t="n">
        <v>6</v>
      </c>
      <c r="S777" s="10" t="n">
        <v>0</v>
      </c>
      <c r="T777" s="10" t="n">
        <v>0</v>
      </c>
      <c r="U777" s="10" t="n">
        <v>0</v>
      </c>
    </row>
    <row r="778" customFormat="false" ht="15" hidden="false" customHeight="false" outlineLevel="0" collapsed="false">
      <c r="A778" s="7" t="s">
        <v>931</v>
      </c>
      <c r="B778" s="7" t="s">
        <v>193</v>
      </c>
      <c r="C778" s="7" t="s">
        <v>576</v>
      </c>
      <c r="D778" s="10" t="n">
        <v>0</v>
      </c>
      <c r="E778" s="10" t="n">
        <v>0</v>
      </c>
      <c r="F778" s="10" t="n">
        <v>11</v>
      </c>
      <c r="G778" s="10" t="n">
        <v>0</v>
      </c>
      <c r="H778" s="10" t="n">
        <v>0</v>
      </c>
      <c r="I778" s="10" t="n">
        <v>9</v>
      </c>
      <c r="J778" s="10" t="n">
        <v>0</v>
      </c>
      <c r="K778" s="10" t="n">
        <v>0</v>
      </c>
      <c r="L778" s="10" t="n">
        <v>0</v>
      </c>
      <c r="M778" s="10" t="n">
        <v>0</v>
      </c>
      <c r="N778" s="10" t="n">
        <v>0</v>
      </c>
      <c r="O778" s="10" t="n">
        <v>0</v>
      </c>
      <c r="P778" s="10" t="n">
        <v>0</v>
      </c>
      <c r="Q778" s="10" t="n">
        <v>3</v>
      </c>
      <c r="R778" s="10" t="n">
        <v>6</v>
      </c>
      <c r="S778" s="10" t="n">
        <v>0</v>
      </c>
      <c r="T778" s="10" t="n">
        <v>0</v>
      </c>
      <c r="U778" s="10" t="n">
        <v>0</v>
      </c>
    </row>
    <row r="779" customFormat="false" ht="15" hidden="false" customHeight="false" outlineLevel="0" collapsed="false">
      <c r="A779" s="7" t="s">
        <v>931</v>
      </c>
      <c r="B779" s="7" t="s">
        <v>223</v>
      </c>
      <c r="C779" s="7" t="s">
        <v>577</v>
      </c>
      <c r="D779" s="10" t="n">
        <v>0</v>
      </c>
      <c r="E779" s="10" t="n">
        <v>0</v>
      </c>
      <c r="F779" s="10" t="n">
        <v>7</v>
      </c>
      <c r="G779" s="10" t="n">
        <v>0</v>
      </c>
      <c r="H779" s="10" t="n">
        <v>0</v>
      </c>
      <c r="I779" s="10" t="n">
        <v>5</v>
      </c>
      <c r="J779" s="10" t="n">
        <v>0</v>
      </c>
      <c r="K779" s="10" t="n">
        <v>1</v>
      </c>
      <c r="L779" s="10" t="n">
        <v>0</v>
      </c>
      <c r="M779" s="10" t="n">
        <v>0</v>
      </c>
      <c r="N779" s="10" t="n">
        <v>0</v>
      </c>
      <c r="O779" s="10" t="n">
        <v>0</v>
      </c>
      <c r="P779" s="10" t="n">
        <v>0</v>
      </c>
      <c r="Q779" s="10" t="n">
        <v>0</v>
      </c>
      <c r="R779" s="10" t="n">
        <v>4</v>
      </c>
      <c r="S779" s="10" t="n">
        <v>0</v>
      </c>
      <c r="T779" s="10" t="n">
        <v>0</v>
      </c>
      <c r="U779" s="10" t="n">
        <v>0</v>
      </c>
    </row>
    <row r="780" customFormat="false" ht="15" hidden="false" customHeight="false" outlineLevel="0" collapsed="false">
      <c r="A780" s="7" t="s">
        <v>931</v>
      </c>
      <c r="B780" s="7" t="s">
        <v>223</v>
      </c>
      <c r="C780" s="7" t="s">
        <v>578</v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>
        <v>0</v>
      </c>
      <c r="J780" s="10" t="n">
        <v>0</v>
      </c>
      <c r="K780" s="10" t="n">
        <v>0</v>
      </c>
      <c r="L780" s="10" t="n">
        <v>0</v>
      </c>
      <c r="M780" s="10" t="n">
        <v>0</v>
      </c>
      <c r="N780" s="10" t="n">
        <v>0</v>
      </c>
      <c r="O780" s="10" t="n">
        <v>0</v>
      </c>
      <c r="P780" s="10" t="n">
        <v>-1</v>
      </c>
      <c r="Q780" s="10" t="n">
        <v>-1</v>
      </c>
      <c r="R780" s="10" t="n">
        <v>2</v>
      </c>
      <c r="S780" s="10" t="n">
        <v>0</v>
      </c>
      <c r="T780" s="10" t="n">
        <v>0</v>
      </c>
      <c r="U780" s="10" t="n">
        <v>0</v>
      </c>
    </row>
    <row r="781" customFormat="false" ht="15" hidden="false" customHeight="false" outlineLevel="0" collapsed="false">
      <c r="A781" s="7" t="s">
        <v>931</v>
      </c>
      <c r="B781" s="7" t="s">
        <v>223</v>
      </c>
      <c r="C781" s="7" t="s">
        <v>579</v>
      </c>
      <c r="D781" s="10" t="n">
        <v>0</v>
      </c>
      <c r="E781" s="10" t="n">
        <v>0</v>
      </c>
      <c r="F781" s="10" t="n">
        <v>1</v>
      </c>
      <c r="G781" s="10" t="n">
        <v>0</v>
      </c>
      <c r="H781" s="10" t="n">
        <v>0</v>
      </c>
      <c r="I781" s="10" t="n">
        <v>3</v>
      </c>
      <c r="J781" s="10" t="n">
        <v>0</v>
      </c>
      <c r="K781" s="10" t="n">
        <v>0</v>
      </c>
      <c r="L781" s="10" t="n">
        <v>0</v>
      </c>
      <c r="M781" s="10" t="n">
        <v>0</v>
      </c>
      <c r="N781" s="10" t="n">
        <v>0</v>
      </c>
      <c r="O781" s="10" t="n">
        <v>0</v>
      </c>
      <c r="P781" s="10" t="n">
        <v>0</v>
      </c>
      <c r="Q781" s="10" t="n">
        <v>0</v>
      </c>
      <c r="R781" s="10" t="n">
        <v>3</v>
      </c>
      <c r="S781" s="10" t="n">
        <v>0</v>
      </c>
      <c r="T781" s="10" t="n">
        <v>0</v>
      </c>
      <c r="U781" s="10" t="n">
        <v>0</v>
      </c>
    </row>
    <row r="782" customFormat="false" ht="15" hidden="false" customHeight="false" outlineLevel="0" collapsed="false">
      <c r="A782" s="7" t="s">
        <v>931</v>
      </c>
      <c r="B782" s="7" t="s">
        <v>172</v>
      </c>
      <c r="C782" s="7" t="s">
        <v>580</v>
      </c>
      <c r="D782" s="10" t="n">
        <v>0</v>
      </c>
      <c r="E782" s="10" t="n">
        <v>0</v>
      </c>
      <c r="F782" s="10" t="n">
        <v>5</v>
      </c>
      <c r="G782" s="10" t="n">
        <v>0</v>
      </c>
      <c r="H782" s="10" t="n">
        <v>0</v>
      </c>
      <c r="I782" s="10" t="n">
        <v>-1</v>
      </c>
      <c r="J782" s="10" t="n">
        <v>0</v>
      </c>
      <c r="K782" s="10" t="n">
        <v>0</v>
      </c>
      <c r="L782" s="10" t="n">
        <v>0</v>
      </c>
      <c r="M782" s="10" t="n">
        <v>0</v>
      </c>
      <c r="N782" s="10" t="n">
        <v>0</v>
      </c>
      <c r="O782" s="10" t="n">
        <v>0</v>
      </c>
      <c r="P782" s="10" t="n">
        <v>-1</v>
      </c>
      <c r="Q782" s="10" t="n">
        <v>-2</v>
      </c>
      <c r="R782" s="10" t="n">
        <v>2</v>
      </c>
      <c r="S782" s="10" t="n">
        <v>0</v>
      </c>
      <c r="T782" s="10" t="n">
        <v>0</v>
      </c>
      <c r="U782" s="10" t="n">
        <v>0</v>
      </c>
    </row>
    <row r="783" customFormat="false" ht="15" hidden="false" customHeight="false" outlineLevel="0" collapsed="false">
      <c r="A783" s="7" t="s">
        <v>931</v>
      </c>
      <c r="B783" s="7" t="s">
        <v>172</v>
      </c>
      <c r="C783" s="7" t="s">
        <v>581</v>
      </c>
      <c r="D783" s="10" t="n">
        <v>0</v>
      </c>
      <c r="E783" s="10" t="n">
        <v>0</v>
      </c>
      <c r="F783" s="10" t="n">
        <v>2</v>
      </c>
      <c r="G783" s="10" t="n">
        <v>0</v>
      </c>
      <c r="H783" s="10" t="n">
        <v>0</v>
      </c>
      <c r="I783" s="10" t="n">
        <v>2</v>
      </c>
      <c r="J783" s="10" t="n">
        <v>0</v>
      </c>
      <c r="K783" s="10" t="n">
        <v>0</v>
      </c>
      <c r="L783" s="10" t="n">
        <v>0</v>
      </c>
      <c r="M783" s="10" t="n">
        <v>0</v>
      </c>
      <c r="N783" s="10" t="n">
        <v>0</v>
      </c>
      <c r="O783" s="10" t="n">
        <v>0</v>
      </c>
      <c r="P783" s="10" t="n">
        <v>-1</v>
      </c>
      <c r="Q783" s="10" t="n">
        <v>0</v>
      </c>
      <c r="R783" s="10" t="n">
        <v>3</v>
      </c>
      <c r="S783" s="10" t="n">
        <v>0</v>
      </c>
      <c r="T783" s="10" t="n">
        <v>0</v>
      </c>
      <c r="U783" s="10" t="n">
        <v>0</v>
      </c>
    </row>
    <row r="784" customFormat="false" ht="15" hidden="false" customHeight="false" outlineLevel="0" collapsed="false">
      <c r="A784" s="7" t="s">
        <v>931</v>
      </c>
      <c r="B784" s="7" t="s">
        <v>172</v>
      </c>
      <c r="C784" s="7" t="s">
        <v>582</v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>
        <v>-3</v>
      </c>
      <c r="J784" s="10" t="n">
        <v>0</v>
      </c>
      <c r="K784" s="10" t="n">
        <v>0</v>
      </c>
      <c r="L784" s="10" t="n">
        <v>0</v>
      </c>
      <c r="M784" s="10" t="n">
        <v>0</v>
      </c>
      <c r="N784" s="10" t="n">
        <v>0</v>
      </c>
      <c r="O784" s="10" t="n">
        <v>0</v>
      </c>
      <c r="P784" s="10" t="n">
        <v>0</v>
      </c>
      <c r="Q784" s="10" t="n">
        <v>-3</v>
      </c>
      <c r="R784" s="10" t="n">
        <v>0</v>
      </c>
      <c r="S784" s="10" t="n">
        <v>0</v>
      </c>
      <c r="T784" s="10" t="n">
        <v>0</v>
      </c>
      <c r="U784" s="10" t="n">
        <v>0</v>
      </c>
    </row>
    <row r="785" customFormat="false" ht="15" hidden="false" customHeight="false" outlineLevel="0" collapsed="false">
      <c r="A785" s="7" t="s">
        <v>931</v>
      </c>
      <c r="B785" s="7" t="s">
        <v>172</v>
      </c>
      <c r="C785" s="7" t="s">
        <v>583</v>
      </c>
      <c r="D785" s="10" t="n">
        <v>0</v>
      </c>
      <c r="E785" s="10" t="n">
        <v>0</v>
      </c>
      <c r="F785" s="10" t="n">
        <v>8</v>
      </c>
      <c r="G785" s="10" t="n">
        <v>0</v>
      </c>
      <c r="H785" s="10" t="n">
        <v>0</v>
      </c>
      <c r="I785" s="10" t="n">
        <v>0</v>
      </c>
      <c r="J785" s="10" t="n">
        <v>0</v>
      </c>
      <c r="K785" s="10" t="n">
        <v>0</v>
      </c>
      <c r="L785" s="10" t="n">
        <v>0</v>
      </c>
      <c r="M785" s="10" t="n">
        <v>0</v>
      </c>
      <c r="N785" s="10" t="n">
        <v>0</v>
      </c>
      <c r="O785" s="10" t="n">
        <v>0</v>
      </c>
      <c r="P785" s="10" t="n">
        <v>0</v>
      </c>
      <c r="Q785" s="10" t="n">
        <v>0</v>
      </c>
      <c r="R785" s="10" t="n">
        <v>0</v>
      </c>
      <c r="S785" s="10" t="n">
        <v>0</v>
      </c>
      <c r="T785" s="10" t="n">
        <v>0</v>
      </c>
      <c r="U785" s="10" t="n">
        <v>0</v>
      </c>
    </row>
    <row r="786" customFormat="false" ht="15" hidden="false" customHeight="false" outlineLevel="0" collapsed="false">
      <c r="A786" s="7" t="s">
        <v>931</v>
      </c>
      <c r="B786" s="7" t="s">
        <v>172</v>
      </c>
      <c r="C786" s="7" t="s">
        <v>584</v>
      </c>
      <c r="D786" s="10" t="n">
        <v>0</v>
      </c>
      <c r="E786" s="10" t="n">
        <v>0</v>
      </c>
      <c r="F786" s="10" t="n">
        <v>2</v>
      </c>
      <c r="G786" s="10" t="n">
        <v>0</v>
      </c>
      <c r="H786" s="10" t="n">
        <v>0</v>
      </c>
      <c r="I786" s="10" t="n">
        <v>2</v>
      </c>
      <c r="J786" s="10" t="n">
        <v>0</v>
      </c>
      <c r="K786" s="10" t="n">
        <v>0</v>
      </c>
      <c r="L786" s="10" t="n">
        <v>0</v>
      </c>
      <c r="M786" s="10" t="n">
        <v>0</v>
      </c>
      <c r="N786" s="10" t="n">
        <v>0</v>
      </c>
      <c r="O786" s="10" t="n">
        <v>0</v>
      </c>
      <c r="P786" s="10" t="n">
        <v>0</v>
      </c>
      <c r="Q786" s="10" t="n">
        <v>2</v>
      </c>
      <c r="R786" s="10" t="n">
        <v>0</v>
      </c>
      <c r="S786" s="10" t="n">
        <v>0</v>
      </c>
      <c r="T786" s="10" t="n">
        <v>0</v>
      </c>
      <c r="U786" s="10" t="n">
        <v>0</v>
      </c>
    </row>
    <row r="787" customFormat="false" ht="15" hidden="false" customHeight="false" outlineLevel="0" collapsed="false">
      <c r="A787" s="7" t="s">
        <v>931</v>
      </c>
      <c r="B787" s="7" t="s">
        <v>58</v>
      </c>
      <c r="C787" s="7" t="s">
        <v>585</v>
      </c>
      <c r="D787" s="10" t="n">
        <v>0</v>
      </c>
      <c r="E787" s="10" t="n">
        <v>0</v>
      </c>
      <c r="F787" s="10" t="n">
        <v>319</v>
      </c>
      <c r="G787" s="10" t="n">
        <v>0</v>
      </c>
      <c r="H787" s="10" t="n">
        <v>0</v>
      </c>
      <c r="I787" s="10" t="n">
        <v>1768</v>
      </c>
      <c r="J787" s="10" t="n">
        <v>0</v>
      </c>
      <c r="K787" s="10" t="n">
        <v>9</v>
      </c>
      <c r="L787" s="10" t="n">
        <v>0</v>
      </c>
      <c r="M787" s="10" t="n">
        <v>0</v>
      </c>
      <c r="N787" s="10" t="n">
        <v>0</v>
      </c>
      <c r="O787" s="10" t="n">
        <v>2</v>
      </c>
      <c r="P787" s="10" t="n">
        <v>-10</v>
      </c>
      <c r="Q787" s="10" t="n">
        <v>1539</v>
      </c>
      <c r="R787" s="10" t="n">
        <v>228</v>
      </c>
      <c r="S787" s="10" t="n">
        <v>0</v>
      </c>
      <c r="T787" s="10" t="n">
        <v>0</v>
      </c>
      <c r="U787" s="10" t="n">
        <v>0</v>
      </c>
    </row>
    <row r="788" customFormat="false" ht="15" hidden="false" customHeight="false" outlineLevel="0" collapsed="false">
      <c r="A788" s="7" t="s">
        <v>931</v>
      </c>
      <c r="B788" s="7" t="s">
        <v>58</v>
      </c>
      <c r="C788" s="7" t="s">
        <v>586</v>
      </c>
      <c r="D788" s="10" t="n">
        <v>0</v>
      </c>
      <c r="E788" s="10" t="n">
        <v>0</v>
      </c>
      <c r="F788" s="10" t="n">
        <v>282</v>
      </c>
      <c r="G788" s="10" t="n">
        <v>0</v>
      </c>
      <c r="H788" s="10" t="n">
        <v>3</v>
      </c>
      <c r="I788" s="10" t="n">
        <v>1888</v>
      </c>
      <c r="J788" s="10" t="n">
        <v>0</v>
      </c>
      <c r="K788" s="10" t="n">
        <v>13</v>
      </c>
      <c r="L788" s="10" t="n">
        <v>0</v>
      </c>
      <c r="M788" s="10" t="n">
        <v>0</v>
      </c>
      <c r="N788" s="10" t="n">
        <v>0</v>
      </c>
      <c r="O788" s="10" t="n">
        <v>3</v>
      </c>
      <c r="P788" s="10" t="n">
        <v>-6</v>
      </c>
      <c r="Q788" s="10" t="n">
        <v>1665</v>
      </c>
      <c r="R788" s="10" t="n">
        <v>213</v>
      </c>
      <c r="S788" s="10" t="n">
        <v>0</v>
      </c>
      <c r="T788" s="10" t="n">
        <v>0</v>
      </c>
      <c r="U788" s="10" t="n">
        <v>0</v>
      </c>
    </row>
    <row r="789" customFormat="false" ht="15" hidden="false" customHeight="false" outlineLevel="0" collapsed="false">
      <c r="A789" s="7" t="s">
        <v>931</v>
      </c>
      <c r="B789" s="7" t="s">
        <v>58</v>
      </c>
      <c r="C789" s="7" t="s">
        <v>587</v>
      </c>
      <c r="D789" s="10" t="n">
        <v>0</v>
      </c>
      <c r="E789" s="10" t="n">
        <v>0</v>
      </c>
      <c r="F789" s="10" t="n">
        <v>116</v>
      </c>
      <c r="G789" s="10" t="n">
        <v>0</v>
      </c>
      <c r="H789" s="10" t="n">
        <v>0</v>
      </c>
      <c r="I789" s="10" t="n">
        <v>1073</v>
      </c>
      <c r="J789" s="10" t="n">
        <v>0</v>
      </c>
      <c r="K789" s="10" t="n">
        <v>7</v>
      </c>
      <c r="L789" s="10" t="n">
        <v>0</v>
      </c>
      <c r="M789" s="10" t="n">
        <v>0</v>
      </c>
      <c r="N789" s="10" t="n">
        <v>3</v>
      </c>
      <c r="O789" s="10" t="n">
        <v>0</v>
      </c>
      <c r="P789" s="10" t="n">
        <v>-10</v>
      </c>
      <c r="Q789" s="10" t="n">
        <v>956</v>
      </c>
      <c r="R789" s="10" t="n">
        <v>117</v>
      </c>
      <c r="S789" s="10" t="n">
        <v>1</v>
      </c>
      <c r="T789" s="10" t="n">
        <v>0</v>
      </c>
      <c r="U789" s="10" t="n">
        <v>0</v>
      </c>
    </row>
    <row r="790" customFormat="false" ht="15" hidden="false" customHeight="false" outlineLevel="0" collapsed="false">
      <c r="A790" s="7" t="s">
        <v>931</v>
      </c>
      <c r="B790" s="7" t="s">
        <v>58</v>
      </c>
      <c r="C790" s="7" t="s">
        <v>588</v>
      </c>
      <c r="D790" s="10" t="n">
        <v>0</v>
      </c>
      <c r="E790" s="10" t="n">
        <v>0</v>
      </c>
      <c r="F790" s="10" t="n">
        <v>241</v>
      </c>
      <c r="G790" s="10" t="n">
        <v>0</v>
      </c>
      <c r="H790" s="10" t="n">
        <v>0</v>
      </c>
      <c r="I790" s="10" t="n">
        <v>1148</v>
      </c>
      <c r="J790" s="10" t="n">
        <v>0</v>
      </c>
      <c r="K790" s="10" t="n">
        <v>5</v>
      </c>
      <c r="L790" s="10" t="n">
        <v>0</v>
      </c>
      <c r="M790" s="10" t="n">
        <v>0</v>
      </c>
      <c r="N790" s="10" t="n">
        <v>0</v>
      </c>
      <c r="O790" s="10" t="n">
        <v>8</v>
      </c>
      <c r="P790" s="10" t="n">
        <v>-7</v>
      </c>
      <c r="Q790" s="10" t="n">
        <v>1001</v>
      </c>
      <c r="R790" s="10" t="n">
        <v>141</v>
      </c>
      <c r="S790" s="10" t="n">
        <v>0</v>
      </c>
      <c r="T790" s="10" t="n">
        <v>0</v>
      </c>
      <c r="U790" s="10" t="n">
        <v>0</v>
      </c>
    </row>
    <row r="791" customFormat="false" ht="15" hidden="false" customHeight="false" outlineLevel="0" collapsed="false">
      <c r="A791" s="7" t="s">
        <v>931</v>
      </c>
      <c r="B791" s="7" t="s">
        <v>58</v>
      </c>
      <c r="C791" s="7" t="s">
        <v>589</v>
      </c>
      <c r="D791" s="10" t="n">
        <v>0</v>
      </c>
      <c r="E791" s="10" t="n">
        <v>0</v>
      </c>
      <c r="F791" s="10" t="n">
        <v>118</v>
      </c>
      <c r="G791" s="10" t="n">
        <v>0</v>
      </c>
      <c r="H791" s="10" t="n">
        <v>3</v>
      </c>
      <c r="I791" s="10" t="n">
        <v>382</v>
      </c>
      <c r="J791" s="10" t="n">
        <v>0</v>
      </c>
      <c r="K791" s="10" t="n">
        <v>11</v>
      </c>
      <c r="L791" s="10" t="n">
        <v>0</v>
      </c>
      <c r="M791" s="10" t="n">
        <v>0</v>
      </c>
      <c r="N791" s="10" t="n">
        <v>0</v>
      </c>
      <c r="O791" s="10" t="n">
        <v>0</v>
      </c>
      <c r="P791" s="10" t="n">
        <v>-5</v>
      </c>
      <c r="Q791" s="10" t="n">
        <v>288</v>
      </c>
      <c r="R791" s="10" t="n">
        <v>88</v>
      </c>
      <c r="S791" s="10" t="n">
        <v>0</v>
      </c>
      <c r="T791" s="10" t="n">
        <v>0</v>
      </c>
      <c r="U791" s="10" t="n">
        <v>0</v>
      </c>
    </row>
    <row r="792" customFormat="false" ht="15" hidden="false" customHeight="false" outlineLevel="0" collapsed="false">
      <c r="A792" s="7" t="s">
        <v>931</v>
      </c>
      <c r="B792" s="7" t="s">
        <v>49</v>
      </c>
      <c r="C792" s="7" t="s">
        <v>590</v>
      </c>
      <c r="D792" s="10" t="n">
        <v>0</v>
      </c>
      <c r="E792" s="10" t="n">
        <v>0</v>
      </c>
      <c r="F792" s="10" t="n">
        <v>155</v>
      </c>
      <c r="G792" s="10" t="n">
        <v>0</v>
      </c>
      <c r="H792" s="10" t="n">
        <v>0</v>
      </c>
      <c r="I792" s="10" t="n">
        <v>1946</v>
      </c>
      <c r="J792" s="10" t="n">
        <v>0</v>
      </c>
      <c r="K792" s="10" t="n">
        <v>13</v>
      </c>
      <c r="L792" s="10" t="n">
        <v>0</v>
      </c>
      <c r="M792" s="10" t="n">
        <v>0</v>
      </c>
      <c r="N792" s="10" t="n">
        <v>3</v>
      </c>
      <c r="O792" s="10" t="n">
        <v>2</v>
      </c>
      <c r="P792" s="10" t="n">
        <v>-7</v>
      </c>
      <c r="Q792" s="10" t="n">
        <v>1789</v>
      </c>
      <c r="R792" s="10" t="n">
        <v>146</v>
      </c>
      <c r="S792" s="10" t="n">
        <v>0</v>
      </c>
      <c r="T792" s="10" t="n">
        <v>0</v>
      </c>
      <c r="U792" s="10" t="n">
        <v>0</v>
      </c>
    </row>
    <row r="793" customFormat="false" ht="15" hidden="false" customHeight="false" outlineLevel="0" collapsed="false">
      <c r="A793" s="7" t="s">
        <v>931</v>
      </c>
      <c r="B793" s="7" t="s">
        <v>49</v>
      </c>
      <c r="C793" s="7" t="s">
        <v>591</v>
      </c>
      <c r="D793" s="10" t="n">
        <v>0</v>
      </c>
      <c r="E793" s="10" t="n">
        <v>0</v>
      </c>
      <c r="F793" s="10" t="n">
        <v>463</v>
      </c>
      <c r="G793" s="10" t="n">
        <v>0</v>
      </c>
      <c r="H793" s="10" t="n">
        <v>0</v>
      </c>
      <c r="I793" s="10" t="n">
        <v>3362</v>
      </c>
      <c r="J793" s="10" t="n">
        <v>0</v>
      </c>
      <c r="K793" s="10" t="n">
        <v>28</v>
      </c>
      <c r="L793" s="10" t="n">
        <v>0</v>
      </c>
      <c r="M793" s="10" t="n">
        <v>0</v>
      </c>
      <c r="N793" s="10" t="n">
        <v>0</v>
      </c>
      <c r="O793" s="10" t="n">
        <v>10</v>
      </c>
      <c r="P793" s="10" t="n">
        <v>-10</v>
      </c>
      <c r="Q793" s="10" t="n">
        <v>3042</v>
      </c>
      <c r="R793" s="10" t="n">
        <v>292</v>
      </c>
      <c r="S793" s="10" t="n">
        <v>2</v>
      </c>
      <c r="T793" s="10" t="n">
        <v>0</v>
      </c>
      <c r="U793" s="10" t="n">
        <v>0</v>
      </c>
    </row>
    <row r="794" customFormat="false" ht="15" hidden="false" customHeight="false" outlineLevel="0" collapsed="false">
      <c r="A794" s="7" t="s">
        <v>931</v>
      </c>
      <c r="B794" s="7" t="s">
        <v>49</v>
      </c>
      <c r="C794" s="7" t="s">
        <v>592</v>
      </c>
      <c r="D794" s="10" t="n">
        <v>0</v>
      </c>
      <c r="E794" s="10" t="n">
        <v>0</v>
      </c>
      <c r="F794" s="10" t="n">
        <v>371</v>
      </c>
      <c r="G794" s="10" t="n">
        <v>0</v>
      </c>
      <c r="H794" s="10" t="n">
        <v>0</v>
      </c>
      <c r="I794" s="10" t="n">
        <v>3296</v>
      </c>
      <c r="J794" s="10" t="n">
        <v>0</v>
      </c>
      <c r="K794" s="10" t="n">
        <v>26</v>
      </c>
      <c r="L794" s="10" t="n">
        <v>0</v>
      </c>
      <c r="M794" s="10" t="n">
        <v>0</v>
      </c>
      <c r="N794" s="10" t="n">
        <v>0</v>
      </c>
      <c r="O794" s="10" t="n">
        <v>5</v>
      </c>
      <c r="P794" s="10" t="n">
        <v>-5</v>
      </c>
      <c r="Q794" s="10" t="n">
        <v>3009</v>
      </c>
      <c r="R794" s="10" t="n">
        <v>261</v>
      </c>
      <c r="S794" s="10" t="n">
        <v>0</v>
      </c>
      <c r="T794" s="10" t="n">
        <v>0</v>
      </c>
      <c r="U794" s="10" t="n">
        <v>0</v>
      </c>
    </row>
    <row r="795" customFormat="false" ht="15" hidden="false" customHeight="false" outlineLevel="0" collapsed="false">
      <c r="A795" s="7" t="s">
        <v>931</v>
      </c>
      <c r="B795" s="7" t="s">
        <v>49</v>
      </c>
      <c r="C795" s="7" t="s">
        <v>593</v>
      </c>
      <c r="D795" s="10" t="n">
        <v>0</v>
      </c>
      <c r="E795" s="10" t="n">
        <v>0</v>
      </c>
      <c r="F795" s="10" t="n">
        <v>331</v>
      </c>
      <c r="G795" s="10" t="n">
        <v>0</v>
      </c>
      <c r="H795" s="10" t="n">
        <v>0</v>
      </c>
      <c r="I795" s="10" t="n">
        <v>2501</v>
      </c>
      <c r="J795" s="10" t="n">
        <v>0</v>
      </c>
      <c r="K795" s="10" t="n">
        <v>31</v>
      </c>
      <c r="L795" s="10" t="n">
        <v>0</v>
      </c>
      <c r="M795" s="10" t="n">
        <v>0</v>
      </c>
      <c r="N795" s="10" t="n">
        <v>0</v>
      </c>
      <c r="O795" s="10" t="n">
        <v>7</v>
      </c>
      <c r="P795" s="10" t="n">
        <v>-9</v>
      </c>
      <c r="Q795" s="10" t="n">
        <v>2229</v>
      </c>
      <c r="R795" s="10" t="n">
        <v>243</v>
      </c>
      <c r="S795" s="10" t="n">
        <v>0</v>
      </c>
      <c r="T795" s="10" t="n">
        <v>0</v>
      </c>
      <c r="U795" s="10" t="n">
        <v>0</v>
      </c>
    </row>
    <row r="796" customFormat="false" ht="15" hidden="false" customHeight="false" outlineLevel="0" collapsed="false">
      <c r="A796" s="7" t="s">
        <v>931</v>
      </c>
      <c r="B796" s="7" t="s">
        <v>51</v>
      </c>
      <c r="C796" s="7" t="s">
        <v>594</v>
      </c>
      <c r="D796" s="10" t="n">
        <v>0</v>
      </c>
      <c r="E796" s="10" t="n">
        <v>0</v>
      </c>
      <c r="F796" s="10" t="n">
        <v>33</v>
      </c>
      <c r="G796" s="10" t="n">
        <v>0</v>
      </c>
      <c r="H796" s="10" t="n">
        <v>0</v>
      </c>
      <c r="I796" s="10" t="n">
        <v>622</v>
      </c>
      <c r="J796" s="10" t="n">
        <v>0</v>
      </c>
      <c r="K796" s="10" t="n">
        <v>3</v>
      </c>
      <c r="L796" s="10" t="n">
        <v>0</v>
      </c>
      <c r="M796" s="10" t="n">
        <v>0</v>
      </c>
      <c r="N796" s="10" t="n">
        <v>3</v>
      </c>
      <c r="O796" s="10" t="n">
        <v>0</v>
      </c>
      <c r="P796" s="10" t="n">
        <v>-6</v>
      </c>
      <c r="Q796" s="10" t="n">
        <v>533</v>
      </c>
      <c r="R796" s="10" t="n">
        <v>89</v>
      </c>
      <c r="S796" s="10" t="n">
        <v>0</v>
      </c>
      <c r="T796" s="10" t="n">
        <v>0</v>
      </c>
      <c r="U796" s="10" t="n">
        <v>0</v>
      </c>
    </row>
    <row r="797" customFormat="false" ht="15" hidden="false" customHeight="false" outlineLevel="0" collapsed="false">
      <c r="A797" s="7" t="s">
        <v>931</v>
      </c>
      <c r="B797" s="7" t="s">
        <v>51</v>
      </c>
      <c r="C797" s="7" t="s">
        <v>595</v>
      </c>
      <c r="D797" s="10" t="n">
        <v>0</v>
      </c>
      <c r="E797" s="10" t="n">
        <v>0</v>
      </c>
      <c r="F797" s="10" t="n">
        <v>137</v>
      </c>
      <c r="G797" s="10" t="n">
        <v>0</v>
      </c>
      <c r="H797" s="10" t="n">
        <v>5</v>
      </c>
      <c r="I797" s="10" t="n">
        <v>1780</v>
      </c>
      <c r="J797" s="10" t="n">
        <v>0</v>
      </c>
      <c r="K797" s="10" t="n">
        <v>14</v>
      </c>
      <c r="L797" s="10" t="n">
        <v>0</v>
      </c>
      <c r="M797" s="10" t="n">
        <v>0</v>
      </c>
      <c r="N797" s="10" t="n">
        <v>0</v>
      </c>
      <c r="O797" s="10" t="n">
        <v>5</v>
      </c>
      <c r="P797" s="10" t="n">
        <v>-9</v>
      </c>
      <c r="Q797" s="10" t="n">
        <v>1537</v>
      </c>
      <c r="R797" s="10" t="n">
        <v>233</v>
      </c>
      <c r="S797" s="10" t="n">
        <v>0</v>
      </c>
      <c r="T797" s="10" t="n">
        <v>0</v>
      </c>
      <c r="U797" s="10" t="n">
        <v>0</v>
      </c>
    </row>
    <row r="798" customFormat="false" ht="15" hidden="false" customHeight="false" outlineLevel="0" collapsed="false">
      <c r="A798" s="7" t="s">
        <v>931</v>
      </c>
      <c r="B798" s="7" t="s">
        <v>51</v>
      </c>
      <c r="C798" s="7" t="s">
        <v>596</v>
      </c>
      <c r="D798" s="10" t="n">
        <v>0</v>
      </c>
      <c r="E798" s="10" t="n">
        <v>0</v>
      </c>
      <c r="F798" s="10" t="n">
        <v>127</v>
      </c>
      <c r="G798" s="10" t="n">
        <v>0</v>
      </c>
      <c r="H798" s="10" t="n">
        <v>12</v>
      </c>
      <c r="I798" s="10" t="n">
        <v>1543</v>
      </c>
      <c r="J798" s="10" t="n">
        <v>0</v>
      </c>
      <c r="K798" s="10" t="n">
        <v>13</v>
      </c>
      <c r="L798" s="10" t="n">
        <v>0</v>
      </c>
      <c r="M798" s="10" t="n">
        <v>0</v>
      </c>
      <c r="N798" s="10" t="n">
        <v>0</v>
      </c>
      <c r="O798" s="10" t="n">
        <v>2</v>
      </c>
      <c r="P798" s="10" t="n">
        <v>-4</v>
      </c>
      <c r="Q798" s="10" t="n">
        <v>1338</v>
      </c>
      <c r="R798" s="10" t="n">
        <v>194</v>
      </c>
      <c r="S798" s="10" t="n">
        <v>0</v>
      </c>
      <c r="T798" s="10" t="n">
        <v>0</v>
      </c>
      <c r="U798" s="10" t="n">
        <v>0</v>
      </c>
    </row>
    <row r="799" customFormat="false" ht="15" hidden="false" customHeight="false" outlineLevel="0" collapsed="false">
      <c r="A799" s="7" t="s">
        <v>931</v>
      </c>
      <c r="B799" s="7" t="s">
        <v>51</v>
      </c>
      <c r="C799" s="7" t="s">
        <v>597</v>
      </c>
      <c r="D799" s="10" t="n">
        <v>0</v>
      </c>
      <c r="E799" s="10" t="n">
        <v>0</v>
      </c>
      <c r="F799" s="10" t="n">
        <v>120</v>
      </c>
      <c r="G799" s="10" t="n">
        <v>0</v>
      </c>
      <c r="H799" s="10" t="n">
        <v>4</v>
      </c>
      <c r="I799" s="10" t="n">
        <v>1283</v>
      </c>
      <c r="J799" s="10" t="n">
        <v>0</v>
      </c>
      <c r="K799" s="10" t="n">
        <v>5</v>
      </c>
      <c r="L799" s="10" t="n">
        <v>0</v>
      </c>
      <c r="M799" s="10" t="n">
        <v>0</v>
      </c>
      <c r="N799" s="10" t="n">
        <v>0</v>
      </c>
      <c r="O799" s="10" t="n">
        <v>7</v>
      </c>
      <c r="P799" s="10" t="n">
        <v>-8</v>
      </c>
      <c r="Q799" s="10" t="n">
        <v>1095</v>
      </c>
      <c r="R799" s="10" t="n">
        <v>184</v>
      </c>
      <c r="S799" s="10" t="n">
        <v>0</v>
      </c>
      <c r="T799" s="10" t="n">
        <v>0</v>
      </c>
      <c r="U799" s="10" t="n">
        <v>0</v>
      </c>
    </row>
    <row r="800" customFormat="false" ht="15" hidden="false" customHeight="false" outlineLevel="0" collapsed="false">
      <c r="A800" s="7" t="s">
        <v>931</v>
      </c>
      <c r="B800" s="7" t="s">
        <v>51</v>
      </c>
      <c r="C800" s="7" t="s">
        <v>598</v>
      </c>
      <c r="D800" s="10" t="n">
        <v>0</v>
      </c>
      <c r="E800" s="10" t="n">
        <v>0</v>
      </c>
      <c r="F800" s="10" t="n">
        <v>40</v>
      </c>
      <c r="G800" s="10" t="n">
        <v>0</v>
      </c>
      <c r="H800" s="10" t="n">
        <v>1</v>
      </c>
      <c r="I800" s="10" t="n">
        <v>285</v>
      </c>
      <c r="J800" s="10" t="n">
        <v>0</v>
      </c>
      <c r="K800" s="10" t="n">
        <v>7</v>
      </c>
      <c r="L800" s="10" t="n">
        <v>0</v>
      </c>
      <c r="M800" s="10" t="n">
        <v>0</v>
      </c>
      <c r="N800" s="10" t="n">
        <v>0</v>
      </c>
      <c r="O800" s="10" t="n">
        <v>1</v>
      </c>
      <c r="P800" s="10" t="n">
        <v>-5</v>
      </c>
      <c r="Q800" s="10" t="n">
        <v>154</v>
      </c>
      <c r="R800" s="10" t="n">
        <v>128</v>
      </c>
      <c r="S800" s="10" t="n">
        <v>0</v>
      </c>
      <c r="T800" s="10" t="n">
        <v>0</v>
      </c>
      <c r="U800" s="10" t="n">
        <v>0</v>
      </c>
    </row>
    <row r="801" customFormat="false" ht="15" hidden="false" customHeight="false" outlineLevel="0" collapsed="false">
      <c r="A801" s="7" t="s">
        <v>931</v>
      </c>
      <c r="B801" s="7" t="s">
        <v>167</v>
      </c>
      <c r="C801" s="7" t="s">
        <v>599</v>
      </c>
      <c r="D801" s="10" t="n">
        <v>0</v>
      </c>
      <c r="E801" s="10" t="n">
        <v>0</v>
      </c>
      <c r="F801" s="10" t="n">
        <v>3</v>
      </c>
      <c r="G801" s="10" t="n">
        <v>0</v>
      </c>
      <c r="H801" s="10" t="n">
        <v>0</v>
      </c>
      <c r="I801" s="10" t="n">
        <v>5</v>
      </c>
      <c r="J801" s="10" t="n">
        <v>0</v>
      </c>
      <c r="K801" s="10" t="n">
        <v>0</v>
      </c>
      <c r="L801" s="10" t="n">
        <v>0</v>
      </c>
      <c r="M801" s="10" t="n">
        <v>0</v>
      </c>
      <c r="N801" s="10" t="n">
        <v>0</v>
      </c>
      <c r="O801" s="10" t="n">
        <v>0</v>
      </c>
      <c r="P801" s="10" t="n">
        <v>-1</v>
      </c>
      <c r="Q801" s="10" t="n">
        <v>2</v>
      </c>
      <c r="R801" s="10" t="n">
        <v>4</v>
      </c>
      <c r="S801" s="10" t="n">
        <v>0</v>
      </c>
      <c r="T801" s="10" t="n">
        <v>0</v>
      </c>
      <c r="U801" s="10" t="n">
        <v>0</v>
      </c>
    </row>
    <row r="802" customFormat="false" ht="15" hidden="false" customHeight="false" outlineLevel="0" collapsed="false">
      <c r="A802" s="7" t="s">
        <v>931</v>
      </c>
      <c r="B802" s="7" t="s">
        <v>167</v>
      </c>
      <c r="C802" s="7" t="s">
        <v>600</v>
      </c>
      <c r="D802" s="10" t="n">
        <v>0</v>
      </c>
      <c r="E802" s="10" t="n">
        <v>0</v>
      </c>
      <c r="F802" s="10" t="n">
        <v>14</v>
      </c>
      <c r="G802" s="10" t="n">
        <v>0</v>
      </c>
      <c r="H802" s="10" t="n">
        <v>1</v>
      </c>
      <c r="I802" s="10" t="n">
        <v>23</v>
      </c>
      <c r="J802" s="10" t="n">
        <v>0</v>
      </c>
      <c r="K802" s="10" t="n">
        <v>0</v>
      </c>
      <c r="L802" s="10" t="n">
        <v>0</v>
      </c>
      <c r="M802" s="10" t="n">
        <v>0</v>
      </c>
      <c r="N802" s="10" t="n">
        <v>0</v>
      </c>
      <c r="O802" s="10" t="n">
        <v>0</v>
      </c>
      <c r="P802" s="10" t="n">
        <v>-1</v>
      </c>
      <c r="Q802" s="10" t="n">
        <v>13</v>
      </c>
      <c r="R802" s="10" t="n">
        <v>11</v>
      </c>
      <c r="S802" s="10" t="n">
        <v>0</v>
      </c>
      <c r="T802" s="10" t="n">
        <v>0</v>
      </c>
      <c r="U802" s="10" t="n">
        <v>0</v>
      </c>
    </row>
    <row r="803" customFormat="false" ht="15" hidden="false" customHeight="false" outlineLevel="0" collapsed="false">
      <c r="A803" s="7" t="s">
        <v>931</v>
      </c>
      <c r="B803" s="7" t="s">
        <v>167</v>
      </c>
      <c r="C803" s="7" t="s">
        <v>601</v>
      </c>
      <c r="D803" s="10" t="n">
        <v>0</v>
      </c>
      <c r="E803" s="10" t="n">
        <v>0</v>
      </c>
      <c r="F803" s="10" t="n">
        <v>13</v>
      </c>
      <c r="G803" s="10" t="n">
        <v>0</v>
      </c>
      <c r="H803" s="10" t="n">
        <v>0</v>
      </c>
      <c r="I803" s="10" t="n">
        <v>22</v>
      </c>
      <c r="J803" s="10" t="n">
        <v>0</v>
      </c>
      <c r="K803" s="10" t="n">
        <v>0</v>
      </c>
      <c r="L803" s="10" t="n">
        <v>0</v>
      </c>
      <c r="M803" s="10" t="n">
        <v>0</v>
      </c>
      <c r="N803" s="10" t="n">
        <v>0</v>
      </c>
      <c r="O803" s="10" t="n">
        <v>0</v>
      </c>
      <c r="P803" s="10" t="n">
        <v>0</v>
      </c>
      <c r="Q803" s="10" t="n">
        <v>5</v>
      </c>
      <c r="R803" s="10" t="n">
        <v>17</v>
      </c>
      <c r="S803" s="10" t="n">
        <v>0</v>
      </c>
      <c r="T803" s="10" t="n">
        <v>0</v>
      </c>
      <c r="U803" s="10" t="n">
        <v>0</v>
      </c>
    </row>
    <row r="804" customFormat="false" ht="15" hidden="false" customHeight="false" outlineLevel="0" collapsed="false">
      <c r="A804" s="7" t="s">
        <v>931</v>
      </c>
      <c r="B804" s="7" t="s">
        <v>167</v>
      </c>
      <c r="C804" s="7" t="s">
        <v>602</v>
      </c>
      <c r="D804" s="10" t="n">
        <v>0</v>
      </c>
      <c r="E804" s="10" t="n">
        <v>0</v>
      </c>
      <c r="F804" s="10" t="n">
        <v>3</v>
      </c>
      <c r="G804" s="10" t="n">
        <v>0</v>
      </c>
      <c r="H804" s="10" t="n">
        <v>0</v>
      </c>
      <c r="I804" s="10" t="n">
        <v>12</v>
      </c>
      <c r="J804" s="10" t="n">
        <v>0</v>
      </c>
      <c r="K804" s="10" t="n">
        <v>0</v>
      </c>
      <c r="L804" s="10" t="n">
        <v>0</v>
      </c>
      <c r="M804" s="10" t="n">
        <v>0</v>
      </c>
      <c r="N804" s="10" t="n">
        <v>0</v>
      </c>
      <c r="O804" s="10" t="n">
        <v>0</v>
      </c>
      <c r="P804" s="10" t="n">
        <v>0</v>
      </c>
      <c r="Q804" s="10" t="n">
        <v>8</v>
      </c>
      <c r="R804" s="10" t="n">
        <v>4</v>
      </c>
      <c r="S804" s="10" t="n">
        <v>0</v>
      </c>
      <c r="T804" s="10" t="n">
        <v>0</v>
      </c>
      <c r="U804" s="10" t="n">
        <v>0</v>
      </c>
    </row>
    <row r="805" customFormat="false" ht="15" hidden="false" customHeight="false" outlineLevel="0" collapsed="false">
      <c r="A805" s="7" t="s">
        <v>931</v>
      </c>
      <c r="B805" s="7" t="s">
        <v>167</v>
      </c>
      <c r="C805" s="7" t="s">
        <v>603</v>
      </c>
      <c r="D805" s="10" t="n">
        <v>0</v>
      </c>
      <c r="E805" s="10" t="n">
        <v>0</v>
      </c>
      <c r="F805" s="10" t="n">
        <v>1</v>
      </c>
      <c r="G805" s="10" t="n">
        <v>0</v>
      </c>
      <c r="H805" s="10" t="n">
        <v>1</v>
      </c>
      <c r="I805" s="10" t="n">
        <v>11</v>
      </c>
      <c r="J805" s="10" t="n">
        <v>0</v>
      </c>
      <c r="K805" s="10" t="n">
        <v>4</v>
      </c>
      <c r="L805" s="10" t="n">
        <v>0</v>
      </c>
      <c r="M805" s="10" t="n">
        <v>0</v>
      </c>
      <c r="N805" s="10" t="n">
        <v>0</v>
      </c>
      <c r="O805" s="10" t="n">
        <v>0</v>
      </c>
      <c r="P805" s="10" t="n">
        <v>-1</v>
      </c>
      <c r="Q805" s="10" t="n">
        <v>2</v>
      </c>
      <c r="R805" s="10" t="n">
        <v>6</v>
      </c>
      <c r="S805" s="10" t="n">
        <v>0</v>
      </c>
      <c r="T805" s="10" t="n">
        <v>0</v>
      </c>
      <c r="U805" s="10" t="n">
        <v>0</v>
      </c>
    </row>
    <row r="806" customFormat="false" ht="15" hidden="false" customHeight="false" outlineLevel="0" collapsed="false">
      <c r="A806" s="7" t="s">
        <v>931</v>
      </c>
      <c r="B806" s="7" t="s">
        <v>125</v>
      </c>
      <c r="C806" s="7" t="s">
        <v>604</v>
      </c>
      <c r="D806" s="10" t="n">
        <v>0</v>
      </c>
      <c r="E806" s="10" t="n">
        <v>0</v>
      </c>
      <c r="F806" s="10" t="n">
        <v>19</v>
      </c>
      <c r="G806" s="10" t="n">
        <v>0</v>
      </c>
      <c r="H806" s="10" t="n">
        <v>0</v>
      </c>
      <c r="I806" s="10" t="n">
        <v>31</v>
      </c>
      <c r="J806" s="10" t="n">
        <v>0</v>
      </c>
      <c r="K806" s="10" t="n">
        <v>0</v>
      </c>
      <c r="L806" s="10" t="n">
        <v>0</v>
      </c>
      <c r="M806" s="10" t="n">
        <v>0</v>
      </c>
      <c r="N806" s="10" t="n">
        <v>3</v>
      </c>
      <c r="O806" s="10" t="n">
        <v>0</v>
      </c>
      <c r="P806" s="10" t="n">
        <v>0</v>
      </c>
      <c r="Q806" s="10" t="n">
        <v>28</v>
      </c>
      <c r="R806" s="10" t="n">
        <v>0</v>
      </c>
      <c r="S806" s="10" t="n">
        <v>0</v>
      </c>
      <c r="T806" s="10" t="n">
        <v>0</v>
      </c>
      <c r="U806" s="10" t="n">
        <v>0</v>
      </c>
    </row>
    <row r="807" customFormat="false" ht="15" hidden="false" customHeight="false" outlineLevel="0" collapsed="false">
      <c r="A807" s="7" t="s">
        <v>931</v>
      </c>
      <c r="B807" s="7" t="s">
        <v>125</v>
      </c>
      <c r="C807" s="7" t="s">
        <v>605</v>
      </c>
      <c r="D807" s="10" t="n">
        <v>0</v>
      </c>
      <c r="E807" s="10" t="n">
        <v>0</v>
      </c>
      <c r="F807" s="10" t="n">
        <v>33</v>
      </c>
      <c r="G807" s="10" t="n">
        <v>0</v>
      </c>
      <c r="H807" s="10" t="n">
        <v>2</v>
      </c>
      <c r="I807" s="10" t="n">
        <v>107</v>
      </c>
      <c r="J807" s="10" t="n">
        <v>0</v>
      </c>
      <c r="K807" s="10" t="n">
        <v>0</v>
      </c>
      <c r="L807" s="10" t="n">
        <v>0</v>
      </c>
      <c r="M807" s="10" t="n">
        <v>0</v>
      </c>
      <c r="N807" s="10" t="n">
        <v>0</v>
      </c>
      <c r="O807" s="10" t="n">
        <v>0</v>
      </c>
      <c r="P807" s="10" t="n">
        <v>-2</v>
      </c>
      <c r="Q807" s="10" t="n">
        <v>82</v>
      </c>
      <c r="R807" s="10" t="n">
        <v>27</v>
      </c>
      <c r="S807" s="10" t="n">
        <v>0</v>
      </c>
      <c r="T807" s="10" t="n">
        <v>0</v>
      </c>
      <c r="U807" s="10" t="n">
        <v>0</v>
      </c>
    </row>
    <row r="808" customFormat="false" ht="15" hidden="false" customHeight="false" outlineLevel="0" collapsed="false">
      <c r="A808" s="7" t="s">
        <v>931</v>
      </c>
      <c r="B808" s="7" t="s">
        <v>125</v>
      </c>
      <c r="C808" s="7" t="s">
        <v>606</v>
      </c>
      <c r="D808" s="10" t="n">
        <v>0</v>
      </c>
      <c r="E808" s="10" t="n">
        <v>0</v>
      </c>
      <c r="F808" s="10" t="n">
        <v>25</v>
      </c>
      <c r="G808" s="10" t="n">
        <v>0</v>
      </c>
      <c r="H808" s="10" t="n">
        <v>0</v>
      </c>
      <c r="I808" s="10" t="n">
        <v>74</v>
      </c>
      <c r="J808" s="10" t="n">
        <v>0</v>
      </c>
      <c r="K808" s="10" t="n">
        <v>0</v>
      </c>
      <c r="L808" s="10" t="n">
        <v>0</v>
      </c>
      <c r="M808" s="10" t="n">
        <v>0</v>
      </c>
      <c r="N808" s="10" t="n">
        <v>0</v>
      </c>
      <c r="O808" s="10" t="n">
        <v>0</v>
      </c>
      <c r="P808" s="10" t="n">
        <v>-2</v>
      </c>
      <c r="Q808" s="10" t="n">
        <v>54</v>
      </c>
      <c r="R808" s="10" t="n">
        <v>22</v>
      </c>
      <c r="S808" s="10" t="n">
        <v>0</v>
      </c>
      <c r="T808" s="10" t="n">
        <v>0</v>
      </c>
      <c r="U808" s="10" t="n">
        <v>0</v>
      </c>
    </row>
    <row r="809" customFormat="false" ht="15" hidden="false" customHeight="false" outlineLevel="0" collapsed="false">
      <c r="A809" s="7" t="s">
        <v>931</v>
      </c>
      <c r="B809" s="7" t="s">
        <v>125</v>
      </c>
      <c r="C809" s="7" t="s">
        <v>607</v>
      </c>
      <c r="D809" s="10" t="n">
        <v>0</v>
      </c>
      <c r="E809" s="10" t="n">
        <v>0</v>
      </c>
      <c r="F809" s="10" t="n">
        <v>32</v>
      </c>
      <c r="G809" s="10" t="n">
        <v>0</v>
      </c>
      <c r="H809" s="10" t="n">
        <v>4</v>
      </c>
      <c r="I809" s="10" t="n">
        <v>70</v>
      </c>
      <c r="J809" s="10" t="n">
        <v>0</v>
      </c>
      <c r="K809" s="10" t="n">
        <v>0</v>
      </c>
      <c r="L809" s="10" t="n">
        <v>0</v>
      </c>
      <c r="M809" s="10" t="n">
        <v>0</v>
      </c>
      <c r="N809" s="10" t="n">
        <v>0</v>
      </c>
      <c r="O809" s="10" t="n">
        <v>1</v>
      </c>
      <c r="P809" s="10" t="n">
        <v>-3</v>
      </c>
      <c r="Q809" s="10" t="n">
        <v>53</v>
      </c>
      <c r="R809" s="10" t="n">
        <v>19</v>
      </c>
      <c r="S809" s="10" t="n">
        <v>0</v>
      </c>
      <c r="T809" s="10" t="n">
        <v>0</v>
      </c>
      <c r="U809" s="10" t="n">
        <v>0</v>
      </c>
    </row>
    <row r="810" customFormat="false" ht="15" hidden="false" customHeight="false" outlineLevel="0" collapsed="false">
      <c r="A810" s="7" t="s">
        <v>931</v>
      </c>
      <c r="B810" s="7" t="s">
        <v>125</v>
      </c>
      <c r="C810" s="7" t="s">
        <v>608</v>
      </c>
      <c r="D810" s="10" t="n">
        <v>0</v>
      </c>
      <c r="E810" s="10" t="n">
        <v>0</v>
      </c>
      <c r="F810" s="10" t="n">
        <v>4</v>
      </c>
      <c r="G810" s="10" t="n">
        <v>0</v>
      </c>
      <c r="H810" s="10" t="n">
        <v>0</v>
      </c>
      <c r="I810" s="10" t="n">
        <v>1</v>
      </c>
      <c r="J810" s="10" t="n">
        <v>0</v>
      </c>
      <c r="K810" s="10" t="n">
        <v>0</v>
      </c>
      <c r="L810" s="10" t="n">
        <v>0</v>
      </c>
      <c r="M810" s="10" t="n">
        <v>0</v>
      </c>
      <c r="N810" s="10" t="n">
        <v>0</v>
      </c>
      <c r="O810" s="10" t="n">
        <v>0</v>
      </c>
      <c r="P810" s="10" t="n">
        <v>0</v>
      </c>
      <c r="Q810" s="10" t="n">
        <v>1</v>
      </c>
      <c r="R810" s="10" t="n">
        <v>0</v>
      </c>
      <c r="S810" s="10" t="n">
        <v>0</v>
      </c>
      <c r="T810" s="10" t="n">
        <v>0</v>
      </c>
      <c r="U810" s="10" t="n">
        <v>0</v>
      </c>
    </row>
    <row r="811" customFormat="false" ht="15" hidden="false" customHeight="false" outlineLevel="0" collapsed="false">
      <c r="A811" s="7" t="s">
        <v>931</v>
      </c>
      <c r="B811" s="7" t="s">
        <v>209</v>
      </c>
      <c r="C811" s="7" t="s">
        <v>609</v>
      </c>
      <c r="D811" s="10" t="n">
        <v>0</v>
      </c>
      <c r="E811" s="10" t="n">
        <v>0</v>
      </c>
      <c r="F811" s="10" t="n">
        <v>4</v>
      </c>
      <c r="G811" s="10" t="n">
        <v>0</v>
      </c>
      <c r="H811" s="10" t="n">
        <v>0</v>
      </c>
      <c r="I811" s="10" t="n">
        <v>0</v>
      </c>
      <c r="J811" s="10" t="n">
        <v>0</v>
      </c>
      <c r="K811" s="10" t="n">
        <v>0</v>
      </c>
      <c r="L811" s="10" t="n">
        <v>0</v>
      </c>
      <c r="M811" s="10" t="n">
        <v>0</v>
      </c>
      <c r="N811" s="10" t="n">
        <v>0</v>
      </c>
      <c r="O811" s="10" t="n">
        <v>0</v>
      </c>
      <c r="P811" s="10" t="n">
        <v>0</v>
      </c>
      <c r="Q811" s="10" t="n">
        <v>0</v>
      </c>
      <c r="R811" s="10" t="n">
        <v>0</v>
      </c>
      <c r="S811" s="10" t="n">
        <v>0</v>
      </c>
      <c r="T811" s="10" t="n">
        <v>0</v>
      </c>
      <c r="U811" s="10" t="n">
        <v>0</v>
      </c>
    </row>
    <row r="812" customFormat="false" ht="15" hidden="false" customHeight="false" outlineLevel="0" collapsed="false">
      <c r="A812" s="7" t="s">
        <v>931</v>
      </c>
      <c r="B812" s="7" t="s">
        <v>209</v>
      </c>
      <c r="C812" s="7" t="s">
        <v>610</v>
      </c>
      <c r="D812" s="10" t="n">
        <v>0</v>
      </c>
      <c r="E812" s="10" t="n">
        <v>0</v>
      </c>
      <c r="F812" s="10" t="n">
        <v>1</v>
      </c>
      <c r="G812" s="10" t="n">
        <v>0</v>
      </c>
      <c r="H812" s="10" t="n">
        <v>1</v>
      </c>
      <c r="I812" s="10" t="n">
        <v>0</v>
      </c>
      <c r="J812" s="10" t="n">
        <v>0</v>
      </c>
      <c r="K812" s="10" t="n">
        <v>0</v>
      </c>
      <c r="L812" s="10" t="n">
        <v>0</v>
      </c>
      <c r="M812" s="10" t="n">
        <v>0</v>
      </c>
      <c r="N812" s="10" t="n">
        <v>0</v>
      </c>
      <c r="O812" s="10" t="n">
        <v>0</v>
      </c>
      <c r="P812" s="10" t="n">
        <v>0</v>
      </c>
      <c r="Q812" s="10" t="n">
        <v>0</v>
      </c>
      <c r="R812" s="10" t="n">
        <v>0</v>
      </c>
      <c r="S812" s="10" t="n">
        <v>0</v>
      </c>
      <c r="T812" s="10" t="n">
        <v>0</v>
      </c>
      <c r="U812" s="10" t="n">
        <v>0</v>
      </c>
    </row>
    <row r="813" customFormat="false" ht="15" hidden="false" customHeight="false" outlineLevel="0" collapsed="false">
      <c r="A813" s="7" t="s">
        <v>931</v>
      </c>
      <c r="B813" s="7" t="s">
        <v>209</v>
      </c>
      <c r="C813" s="7" t="s">
        <v>611</v>
      </c>
      <c r="D813" s="10" t="n">
        <v>0</v>
      </c>
      <c r="E813" s="10" t="n">
        <v>0</v>
      </c>
      <c r="F813" s="10" t="n">
        <v>6</v>
      </c>
      <c r="G813" s="10" t="n">
        <v>0</v>
      </c>
      <c r="H813" s="10" t="n">
        <v>0</v>
      </c>
      <c r="I813" s="10" t="n">
        <v>0</v>
      </c>
      <c r="J813" s="10" t="n">
        <v>0</v>
      </c>
      <c r="K813" s="10" t="n">
        <v>0</v>
      </c>
      <c r="L813" s="10" t="n">
        <v>0</v>
      </c>
      <c r="M813" s="10" t="n">
        <v>0</v>
      </c>
      <c r="N813" s="10" t="n">
        <v>0</v>
      </c>
      <c r="O813" s="10" t="n">
        <v>0</v>
      </c>
      <c r="P813" s="10" t="n">
        <v>0</v>
      </c>
      <c r="Q813" s="10" t="n">
        <v>0</v>
      </c>
      <c r="R813" s="10" t="n">
        <v>0</v>
      </c>
      <c r="S813" s="10" t="n">
        <v>0</v>
      </c>
      <c r="T813" s="10" t="n">
        <v>0</v>
      </c>
      <c r="U813" s="10" t="n">
        <v>0</v>
      </c>
    </row>
    <row r="814" customFormat="false" ht="15" hidden="false" customHeight="false" outlineLevel="0" collapsed="false">
      <c r="A814" s="7" t="s">
        <v>931</v>
      </c>
      <c r="B814" s="7" t="s">
        <v>209</v>
      </c>
      <c r="C814" s="7" t="s">
        <v>612</v>
      </c>
      <c r="D814" s="10" t="n">
        <v>0</v>
      </c>
      <c r="E814" s="10" t="n">
        <v>0</v>
      </c>
      <c r="F814" s="10" t="n">
        <v>5</v>
      </c>
      <c r="G814" s="10" t="n">
        <v>0</v>
      </c>
      <c r="H814" s="10" t="n">
        <v>0</v>
      </c>
      <c r="I814" s="10" t="n">
        <v>0</v>
      </c>
      <c r="J814" s="10" t="n">
        <v>0</v>
      </c>
      <c r="K814" s="10" t="n">
        <v>0</v>
      </c>
      <c r="L814" s="10" t="n">
        <v>0</v>
      </c>
      <c r="M814" s="10" t="n">
        <v>0</v>
      </c>
      <c r="N814" s="10" t="n">
        <v>0</v>
      </c>
      <c r="O814" s="10" t="n">
        <v>0</v>
      </c>
      <c r="P814" s="10" t="n">
        <v>0</v>
      </c>
      <c r="Q814" s="10" t="n">
        <v>0</v>
      </c>
      <c r="R814" s="10" t="n">
        <v>0</v>
      </c>
      <c r="S814" s="10" t="n">
        <v>0</v>
      </c>
      <c r="T814" s="10" t="n">
        <v>0</v>
      </c>
      <c r="U814" s="10" t="n">
        <v>0</v>
      </c>
    </row>
    <row r="815" customFormat="false" ht="15" hidden="false" customHeight="false" outlineLevel="0" collapsed="false">
      <c r="A815" s="7" t="s">
        <v>931</v>
      </c>
      <c r="B815" s="7" t="s">
        <v>237</v>
      </c>
      <c r="C815" s="7" t="s">
        <v>613</v>
      </c>
      <c r="D815" s="10" t="n">
        <v>0</v>
      </c>
      <c r="E815" s="10" t="n">
        <v>0</v>
      </c>
      <c r="F815" s="10" t="n">
        <v>3</v>
      </c>
      <c r="G815" s="10" t="n">
        <v>0</v>
      </c>
      <c r="H815" s="10" t="n">
        <v>0</v>
      </c>
      <c r="I815" s="10" t="n">
        <v>-1</v>
      </c>
      <c r="J815" s="10" t="n">
        <v>0</v>
      </c>
      <c r="K815" s="10" t="n">
        <v>0</v>
      </c>
      <c r="L815" s="10" t="n">
        <v>0</v>
      </c>
      <c r="M815" s="10" t="n">
        <v>0</v>
      </c>
      <c r="N815" s="10" t="n">
        <v>0</v>
      </c>
      <c r="O815" s="10" t="n">
        <v>0</v>
      </c>
      <c r="P815" s="10" t="n">
        <v>0</v>
      </c>
      <c r="Q815" s="10" t="n">
        <v>-1</v>
      </c>
      <c r="R815" s="10" t="n">
        <v>0</v>
      </c>
      <c r="S815" s="10" t="n">
        <v>0</v>
      </c>
      <c r="T815" s="10" t="n">
        <v>0</v>
      </c>
      <c r="U815" s="10" t="n">
        <v>0</v>
      </c>
    </row>
    <row r="816" customFormat="false" ht="15" hidden="false" customHeight="false" outlineLevel="0" collapsed="false">
      <c r="A816" s="7" t="s">
        <v>931</v>
      </c>
      <c r="B816" s="7" t="s">
        <v>237</v>
      </c>
      <c r="C816" s="7" t="s">
        <v>614</v>
      </c>
      <c r="D816" s="10" t="n">
        <v>0</v>
      </c>
      <c r="E816" s="10" t="n">
        <v>0</v>
      </c>
      <c r="F816" s="10" t="n">
        <v>2</v>
      </c>
      <c r="G816" s="10" t="n">
        <v>0</v>
      </c>
      <c r="H816" s="10" t="n">
        <v>0</v>
      </c>
      <c r="I816" s="10" t="n">
        <v>0</v>
      </c>
      <c r="J816" s="10" t="n">
        <v>0</v>
      </c>
      <c r="K816" s="10" t="n">
        <v>0</v>
      </c>
      <c r="L816" s="10" t="n">
        <v>0</v>
      </c>
      <c r="M816" s="10" t="n">
        <v>0</v>
      </c>
      <c r="N816" s="10" t="n">
        <v>0</v>
      </c>
      <c r="O816" s="10" t="n">
        <v>0</v>
      </c>
      <c r="P816" s="10" t="n">
        <v>0</v>
      </c>
      <c r="Q816" s="10" t="n">
        <v>0</v>
      </c>
      <c r="R816" s="10" t="n">
        <v>0</v>
      </c>
      <c r="S816" s="10" t="n">
        <v>0</v>
      </c>
      <c r="T816" s="10" t="n">
        <v>0</v>
      </c>
      <c r="U816" s="10" t="n">
        <v>0</v>
      </c>
    </row>
    <row r="817" customFormat="false" ht="15" hidden="false" customHeight="false" outlineLevel="0" collapsed="false">
      <c r="A817" s="7" t="s">
        <v>931</v>
      </c>
      <c r="B817" s="7" t="s">
        <v>84</v>
      </c>
      <c r="C817" s="7" t="s">
        <v>615</v>
      </c>
      <c r="D817" s="10" t="n">
        <v>0</v>
      </c>
      <c r="E817" s="10" t="n">
        <v>0</v>
      </c>
      <c r="F817" s="10" t="n">
        <v>4</v>
      </c>
      <c r="G817" s="10" t="n">
        <v>0</v>
      </c>
      <c r="H817" s="10" t="n">
        <v>0</v>
      </c>
      <c r="I817" s="10" t="n">
        <v>35</v>
      </c>
      <c r="J817" s="10" t="n">
        <v>0</v>
      </c>
      <c r="K817" s="10" t="n">
        <v>1</v>
      </c>
      <c r="L817" s="10" t="n">
        <v>0</v>
      </c>
      <c r="M817" s="10" t="n">
        <v>0</v>
      </c>
      <c r="N817" s="10" t="n">
        <v>0</v>
      </c>
      <c r="O817" s="10" t="n">
        <v>0</v>
      </c>
      <c r="P817" s="10" t="n">
        <v>-7</v>
      </c>
      <c r="Q817" s="10" t="n">
        <v>18</v>
      </c>
      <c r="R817" s="10" t="n">
        <v>23</v>
      </c>
      <c r="S817" s="10" t="n">
        <v>0</v>
      </c>
      <c r="T817" s="10" t="n">
        <v>0</v>
      </c>
      <c r="U817" s="10" t="n">
        <v>0</v>
      </c>
    </row>
    <row r="818" customFormat="false" ht="15" hidden="false" customHeight="false" outlineLevel="0" collapsed="false">
      <c r="A818" s="7" t="s">
        <v>931</v>
      </c>
      <c r="B818" s="7" t="s">
        <v>84</v>
      </c>
      <c r="C818" s="7" t="s">
        <v>616</v>
      </c>
      <c r="D818" s="10" t="n">
        <v>0</v>
      </c>
      <c r="E818" s="10" t="n">
        <v>0</v>
      </c>
      <c r="F818" s="10" t="n">
        <v>19</v>
      </c>
      <c r="G818" s="10" t="n">
        <v>0</v>
      </c>
      <c r="H818" s="10" t="n">
        <v>0</v>
      </c>
      <c r="I818" s="10" t="n">
        <v>102</v>
      </c>
      <c r="J818" s="10" t="n">
        <v>0</v>
      </c>
      <c r="K818" s="10" t="n">
        <v>3</v>
      </c>
      <c r="L818" s="10" t="n">
        <v>0</v>
      </c>
      <c r="M818" s="10" t="n">
        <v>0</v>
      </c>
      <c r="N818" s="10" t="n">
        <v>0</v>
      </c>
      <c r="O818" s="10" t="n">
        <v>0</v>
      </c>
      <c r="P818" s="10" t="n">
        <v>-6</v>
      </c>
      <c r="Q818" s="10" t="n">
        <v>69</v>
      </c>
      <c r="R818" s="10" t="n">
        <v>36</v>
      </c>
      <c r="S818" s="10" t="n">
        <v>0</v>
      </c>
      <c r="T818" s="10" t="n">
        <v>0</v>
      </c>
      <c r="U818" s="10" t="n">
        <v>0</v>
      </c>
    </row>
    <row r="819" customFormat="false" ht="15" hidden="false" customHeight="false" outlineLevel="0" collapsed="false">
      <c r="A819" s="7" t="s">
        <v>931</v>
      </c>
      <c r="B819" s="7" t="s">
        <v>84</v>
      </c>
      <c r="C819" s="7" t="s">
        <v>617</v>
      </c>
      <c r="D819" s="10" t="n">
        <v>0</v>
      </c>
      <c r="E819" s="10" t="n">
        <v>0</v>
      </c>
      <c r="F819" s="10" t="n">
        <v>22</v>
      </c>
      <c r="G819" s="10" t="n">
        <v>0</v>
      </c>
      <c r="H819" s="10" t="n">
        <v>0</v>
      </c>
      <c r="I819" s="10" t="n">
        <v>69</v>
      </c>
      <c r="J819" s="10" t="n">
        <v>0</v>
      </c>
      <c r="K819" s="10" t="n">
        <v>2</v>
      </c>
      <c r="L819" s="10" t="n">
        <v>0</v>
      </c>
      <c r="M819" s="10" t="n">
        <v>0</v>
      </c>
      <c r="N819" s="10" t="n">
        <v>0</v>
      </c>
      <c r="O819" s="10" t="n">
        <v>0</v>
      </c>
      <c r="P819" s="10" t="n">
        <v>-8</v>
      </c>
      <c r="Q819" s="10" t="n">
        <v>37</v>
      </c>
      <c r="R819" s="10" t="n">
        <v>38</v>
      </c>
      <c r="S819" s="10" t="n">
        <v>0</v>
      </c>
      <c r="T819" s="10" t="n">
        <v>0</v>
      </c>
      <c r="U819" s="10" t="n">
        <v>-1</v>
      </c>
    </row>
    <row r="820" customFormat="false" ht="15" hidden="false" customHeight="false" outlineLevel="0" collapsed="false">
      <c r="A820" s="7" t="s">
        <v>931</v>
      </c>
      <c r="B820" s="7" t="s">
        <v>84</v>
      </c>
      <c r="C820" s="7" t="s">
        <v>618</v>
      </c>
      <c r="D820" s="10" t="n">
        <v>0</v>
      </c>
      <c r="E820" s="10" t="n">
        <v>0</v>
      </c>
      <c r="F820" s="10" t="n">
        <v>14</v>
      </c>
      <c r="G820" s="10" t="n">
        <v>0</v>
      </c>
      <c r="H820" s="10" t="n">
        <v>1</v>
      </c>
      <c r="I820" s="10" t="n">
        <v>55</v>
      </c>
      <c r="J820" s="10" t="n">
        <v>0</v>
      </c>
      <c r="K820" s="10" t="n">
        <v>2</v>
      </c>
      <c r="L820" s="10" t="n">
        <v>-1</v>
      </c>
      <c r="M820" s="10" t="n">
        <v>0</v>
      </c>
      <c r="N820" s="10" t="n">
        <v>0</v>
      </c>
      <c r="O820" s="10" t="n">
        <v>0</v>
      </c>
      <c r="P820" s="10" t="n">
        <v>-8</v>
      </c>
      <c r="Q820" s="10" t="n">
        <v>33</v>
      </c>
      <c r="R820" s="10" t="n">
        <v>29</v>
      </c>
      <c r="S820" s="10" t="n">
        <v>0</v>
      </c>
      <c r="T820" s="10" t="n">
        <v>0</v>
      </c>
      <c r="U820" s="10" t="n">
        <v>0</v>
      </c>
    </row>
    <row r="821" customFormat="false" ht="15" hidden="false" customHeight="false" outlineLevel="0" collapsed="false">
      <c r="A821" s="7" t="s">
        <v>931</v>
      </c>
      <c r="B821" s="7" t="s">
        <v>84</v>
      </c>
      <c r="C821" s="7" t="s">
        <v>619</v>
      </c>
      <c r="D821" s="10" t="n">
        <v>0</v>
      </c>
      <c r="E821" s="10" t="n">
        <v>0</v>
      </c>
      <c r="F821" s="10" t="n">
        <v>9</v>
      </c>
      <c r="G821" s="10" t="n">
        <v>0</v>
      </c>
      <c r="H821" s="10" t="n">
        <v>0</v>
      </c>
      <c r="I821" s="10" t="n">
        <v>6</v>
      </c>
      <c r="J821" s="10" t="n">
        <v>0</v>
      </c>
      <c r="K821" s="10" t="n">
        <v>2</v>
      </c>
      <c r="L821" s="10" t="n">
        <v>0</v>
      </c>
      <c r="M821" s="10" t="n">
        <v>0</v>
      </c>
      <c r="N821" s="10" t="n">
        <v>0</v>
      </c>
      <c r="O821" s="10" t="n">
        <v>0</v>
      </c>
      <c r="P821" s="10" t="n">
        <v>-9</v>
      </c>
      <c r="Q821" s="10" t="n">
        <v>-2</v>
      </c>
      <c r="R821" s="10" t="n">
        <v>15</v>
      </c>
      <c r="S821" s="10" t="n">
        <v>0</v>
      </c>
      <c r="T821" s="10" t="n">
        <v>0</v>
      </c>
      <c r="U821" s="10" t="n">
        <v>0</v>
      </c>
    </row>
    <row r="822" customFormat="false" ht="15" hidden="false" customHeight="false" outlineLevel="0" collapsed="false">
      <c r="A822" s="7" t="s">
        <v>931</v>
      </c>
      <c r="B822" s="7" t="s">
        <v>164</v>
      </c>
      <c r="C822" s="7" t="s">
        <v>620</v>
      </c>
      <c r="D822" s="10" t="n">
        <v>0</v>
      </c>
      <c r="E822" s="10" t="n">
        <v>0</v>
      </c>
      <c r="F822" s="10" t="n">
        <v>9</v>
      </c>
      <c r="G822" s="10" t="n">
        <v>0</v>
      </c>
      <c r="H822" s="10" t="n">
        <v>0</v>
      </c>
      <c r="I822" s="10" t="n">
        <v>4</v>
      </c>
      <c r="J822" s="10" t="n">
        <v>0</v>
      </c>
      <c r="K822" s="10" t="n">
        <v>0</v>
      </c>
      <c r="L822" s="10" t="n">
        <v>0</v>
      </c>
      <c r="M822" s="10" t="n">
        <v>0</v>
      </c>
      <c r="N822" s="10" t="n">
        <v>0</v>
      </c>
      <c r="O822" s="10" t="n">
        <v>0</v>
      </c>
      <c r="P822" s="10" t="n">
        <v>0</v>
      </c>
      <c r="Q822" s="10" t="n">
        <v>4</v>
      </c>
      <c r="R822" s="10" t="n">
        <v>0</v>
      </c>
      <c r="S822" s="10" t="n">
        <v>0</v>
      </c>
      <c r="T822" s="10" t="n">
        <v>0</v>
      </c>
      <c r="U822" s="10" t="n">
        <v>0</v>
      </c>
    </row>
    <row r="823" customFormat="false" ht="15" hidden="false" customHeight="false" outlineLevel="0" collapsed="false">
      <c r="A823" s="7" t="s">
        <v>931</v>
      </c>
      <c r="B823" s="7" t="s">
        <v>164</v>
      </c>
      <c r="C823" s="7" t="s">
        <v>621</v>
      </c>
      <c r="D823" s="10" t="n">
        <v>0</v>
      </c>
      <c r="E823" s="10" t="n">
        <v>0</v>
      </c>
      <c r="F823" s="10" t="n">
        <v>27</v>
      </c>
      <c r="G823" s="10" t="n">
        <v>0</v>
      </c>
      <c r="H823" s="10" t="n">
        <v>0</v>
      </c>
      <c r="I823" s="10" t="n">
        <v>9</v>
      </c>
      <c r="J823" s="10" t="n">
        <v>0</v>
      </c>
      <c r="K823" s="10" t="n">
        <v>0</v>
      </c>
      <c r="L823" s="10" t="n">
        <v>0</v>
      </c>
      <c r="M823" s="10" t="n">
        <v>0</v>
      </c>
      <c r="N823" s="10" t="n">
        <v>0</v>
      </c>
      <c r="O823" s="10" t="n">
        <v>0</v>
      </c>
      <c r="P823" s="10" t="n">
        <v>0</v>
      </c>
      <c r="Q823" s="10" t="n">
        <v>6</v>
      </c>
      <c r="R823" s="10" t="n">
        <v>3</v>
      </c>
      <c r="S823" s="10" t="n">
        <v>0</v>
      </c>
      <c r="T823" s="10" t="n">
        <v>0</v>
      </c>
      <c r="U823" s="10" t="n">
        <v>0</v>
      </c>
    </row>
    <row r="824" customFormat="false" ht="15" hidden="false" customHeight="false" outlineLevel="0" collapsed="false">
      <c r="A824" s="7" t="s">
        <v>931</v>
      </c>
      <c r="B824" s="7" t="s">
        <v>164</v>
      </c>
      <c r="C824" s="7" t="s">
        <v>622</v>
      </c>
      <c r="D824" s="10" t="n">
        <v>0</v>
      </c>
      <c r="E824" s="10" t="n">
        <v>0</v>
      </c>
      <c r="F824" s="10" t="n">
        <v>30</v>
      </c>
      <c r="G824" s="10" t="n">
        <v>0</v>
      </c>
      <c r="H824" s="10" t="n">
        <v>0</v>
      </c>
      <c r="I824" s="10" t="n">
        <v>15</v>
      </c>
      <c r="J824" s="10" t="n">
        <v>0</v>
      </c>
      <c r="K824" s="10" t="n">
        <v>0</v>
      </c>
      <c r="L824" s="10" t="n">
        <v>0</v>
      </c>
      <c r="M824" s="10" t="n">
        <v>0</v>
      </c>
      <c r="N824" s="10" t="n">
        <v>0</v>
      </c>
      <c r="O824" s="10" t="n">
        <v>0</v>
      </c>
      <c r="P824" s="10" t="n">
        <v>-1</v>
      </c>
      <c r="Q824" s="10" t="n">
        <v>10</v>
      </c>
      <c r="R824" s="10" t="n">
        <v>6</v>
      </c>
      <c r="S824" s="10" t="n">
        <v>0</v>
      </c>
      <c r="T824" s="10" t="n">
        <v>0</v>
      </c>
      <c r="U824" s="10" t="n">
        <v>0</v>
      </c>
    </row>
    <row r="825" customFormat="false" ht="15" hidden="false" customHeight="false" outlineLevel="0" collapsed="false">
      <c r="A825" s="7" t="s">
        <v>931</v>
      </c>
      <c r="B825" s="7" t="s">
        <v>164</v>
      </c>
      <c r="C825" s="7" t="s">
        <v>623</v>
      </c>
      <c r="D825" s="10" t="n">
        <v>0</v>
      </c>
      <c r="E825" s="10" t="n">
        <v>0</v>
      </c>
      <c r="F825" s="10" t="n">
        <v>22</v>
      </c>
      <c r="G825" s="10" t="n">
        <v>0</v>
      </c>
      <c r="H825" s="10" t="n">
        <v>0</v>
      </c>
      <c r="I825" s="10" t="n">
        <v>2</v>
      </c>
      <c r="J825" s="10" t="n">
        <v>0</v>
      </c>
      <c r="K825" s="10" t="n">
        <v>0</v>
      </c>
      <c r="L825" s="10" t="n">
        <v>0</v>
      </c>
      <c r="M825" s="10" t="n">
        <v>0</v>
      </c>
      <c r="N825" s="10" t="n">
        <v>0</v>
      </c>
      <c r="O825" s="10" t="n">
        <v>0</v>
      </c>
      <c r="P825" s="10" t="n">
        <v>0</v>
      </c>
      <c r="Q825" s="10" t="n">
        <v>2</v>
      </c>
      <c r="R825" s="10" t="n">
        <v>0</v>
      </c>
      <c r="S825" s="10" t="n">
        <v>0</v>
      </c>
      <c r="T825" s="10" t="n">
        <v>0</v>
      </c>
      <c r="U825" s="10" t="n">
        <v>0</v>
      </c>
    </row>
    <row r="826" customFormat="false" ht="15" hidden="false" customHeight="false" outlineLevel="0" collapsed="false">
      <c r="A826" s="7" t="s">
        <v>931</v>
      </c>
      <c r="B826" s="7" t="s">
        <v>62</v>
      </c>
      <c r="C826" s="7" t="s">
        <v>624</v>
      </c>
      <c r="D826" s="10" t="n">
        <v>0</v>
      </c>
      <c r="E826" s="10" t="n">
        <v>0</v>
      </c>
      <c r="F826" s="10" t="n">
        <v>196</v>
      </c>
      <c r="G826" s="10" t="n">
        <v>0</v>
      </c>
      <c r="H826" s="10" t="n">
        <v>0</v>
      </c>
      <c r="I826" s="10" t="n">
        <v>1042</v>
      </c>
      <c r="J826" s="10" t="n">
        <v>0</v>
      </c>
      <c r="K826" s="10" t="n">
        <v>9</v>
      </c>
      <c r="L826" s="10" t="n">
        <v>0</v>
      </c>
      <c r="M826" s="10" t="n">
        <v>0</v>
      </c>
      <c r="N826" s="10" t="n">
        <v>2</v>
      </c>
      <c r="O826" s="10" t="n">
        <v>3</v>
      </c>
      <c r="P826" s="10" t="n">
        <v>-10</v>
      </c>
      <c r="Q826" s="10" t="n">
        <v>721</v>
      </c>
      <c r="R826" s="10" t="n">
        <v>317</v>
      </c>
      <c r="S826" s="10" t="n">
        <v>2</v>
      </c>
      <c r="T826" s="10" t="n">
        <v>0</v>
      </c>
      <c r="U826" s="10" t="n">
        <v>0</v>
      </c>
    </row>
    <row r="827" customFormat="false" ht="15" hidden="false" customHeight="false" outlineLevel="0" collapsed="false">
      <c r="A827" s="7" t="s">
        <v>931</v>
      </c>
      <c r="B827" s="7" t="s">
        <v>62</v>
      </c>
      <c r="C827" s="7" t="s">
        <v>625</v>
      </c>
      <c r="D827" s="10" t="n">
        <v>0</v>
      </c>
      <c r="E827" s="10" t="n">
        <v>0</v>
      </c>
      <c r="F827" s="10" t="n">
        <v>186</v>
      </c>
      <c r="G827" s="10" t="n">
        <v>0</v>
      </c>
      <c r="H827" s="10" t="n">
        <v>1</v>
      </c>
      <c r="I827" s="10" t="n">
        <v>847</v>
      </c>
      <c r="J827" s="10" t="n">
        <v>0</v>
      </c>
      <c r="K827" s="10" t="n">
        <v>4</v>
      </c>
      <c r="L827" s="10" t="n">
        <v>0</v>
      </c>
      <c r="M827" s="10" t="n">
        <v>3</v>
      </c>
      <c r="N827" s="10" t="n">
        <v>1</v>
      </c>
      <c r="O827" s="10" t="n">
        <v>0</v>
      </c>
      <c r="P827" s="10" t="n">
        <v>-5</v>
      </c>
      <c r="Q827" s="10" t="n">
        <v>650</v>
      </c>
      <c r="R827" s="10" t="n">
        <v>194</v>
      </c>
      <c r="S827" s="10" t="n">
        <v>1</v>
      </c>
      <c r="T827" s="10" t="n">
        <v>0</v>
      </c>
      <c r="U827" s="10" t="n">
        <v>0</v>
      </c>
    </row>
    <row r="828" customFormat="false" ht="15" hidden="false" customHeight="false" outlineLevel="0" collapsed="false">
      <c r="A828" s="7" t="s">
        <v>931</v>
      </c>
      <c r="B828" s="7" t="s">
        <v>62</v>
      </c>
      <c r="C828" s="7" t="s">
        <v>626</v>
      </c>
      <c r="D828" s="10" t="n">
        <v>0</v>
      </c>
      <c r="E828" s="10" t="n">
        <v>0</v>
      </c>
      <c r="F828" s="10" t="n">
        <v>78</v>
      </c>
      <c r="G828" s="10" t="n">
        <v>0</v>
      </c>
      <c r="H828" s="10" t="n">
        <v>0</v>
      </c>
      <c r="I828" s="10" t="n">
        <v>448</v>
      </c>
      <c r="J828" s="10" t="n">
        <v>0</v>
      </c>
      <c r="K828" s="10" t="n">
        <v>6</v>
      </c>
      <c r="L828" s="10" t="n">
        <v>0</v>
      </c>
      <c r="M828" s="10" t="n">
        <v>0</v>
      </c>
      <c r="N828" s="10" t="n">
        <v>0</v>
      </c>
      <c r="O828" s="10" t="n">
        <v>0</v>
      </c>
      <c r="P828" s="10" t="n">
        <v>-8</v>
      </c>
      <c r="Q828" s="10" t="n">
        <v>329</v>
      </c>
      <c r="R828" s="10" t="n">
        <v>121</v>
      </c>
      <c r="S828" s="10" t="n">
        <v>0</v>
      </c>
      <c r="T828" s="10" t="n">
        <v>0</v>
      </c>
      <c r="U828" s="10" t="n">
        <v>0</v>
      </c>
    </row>
    <row r="829" customFormat="false" ht="15" hidden="false" customHeight="false" outlineLevel="0" collapsed="false">
      <c r="A829" s="7" t="s">
        <v>931</v>
      </c>
      <c r="B829" s="7" t="s">
        <v>62</v>
      </c>
      <c r="C829" s="7" t="s">
        <v>627</v>
      </c>
      <c r="D829" s="10" t="n">
        <v>0</v>
      </c>
      <c r="E829" s="10" t="n">
        <v>0</v>
      </c>
      <c r="F829" s="10" t="n">
        <v>90</v>
      </c>
      <c r="G829" s="10" t="n">
        <v>0</v>
      </c>
      <c r="H829" s="10" t="n">
        <v>0</v>
      </c>
      <c r="I829" s="10" t="n">
        <v>532</v>
      </c>
      <c r="J829" s="10" t="n">
        <v>0</v>
      </c>
      <c r="K829" s="10" t="n">
        <v>6</v>
      </c>
      <c r="L829" s="10" t="n">
        <v>0</v>
      </c>
      <c r="M829" s="10" t="n">
        <v>3</v>
      </c>
      <c r="N829" s="10" t="n">
        <v>1</v>
      </c>
      <c r="O829" s="10" t="n">
        <v>0</v>
      </c>
      <c r="P829" s="10" t="n">
        <v>-8</v>
      </c>
      <c r="Q829" s="10" t="n">
        <v>370</v>
      </c>
      <c r="R829" s="10" t="n">
        <v>160</v>
      </c>
      <c r="S829" s="10" t="n">
        <v>0</v>
      </c>
      <c r="T829" s="10" t="n">
        <v>0</v>
      </c>
      <c r="U829" s="10" t="n">
        <v>-1</v>
      </c>
    </row>
    <row r="830" customFormat="false" ht="15" hidden="false" customHeight="false" outlineLevel="0" collapsed="false">
      <c r="A830" s="7" t="s">
        <v>931</v>
      </c>
      <c r="B830" s="7" t="s">
        <v>74</v>
      </c>
      <c r="C830" s="7" t="s">
        <v>628</v>
      </c>
      <c r="D830" s="10" t="n">
        <v>0</v>
      </c>
      <c r="E830" s="10" t="n">
        <v>0</v>
      </c>
      <c r="F830" s="10" t="n">
        <v>105</v>
      </c>
      <c r="G830" s="10" t="n">
        <v>0</v>
      </c>
      <c r="H830" s="10" t="n">
        <v>0</v>
      </c>
      <c r="I830" s="10" t="n">
        <v>493</v>
      </c>
      <c r="J830" s="10" t="n">
        <v>0</v>
      </c>
      <c r="K830" s="10" t="n">
        <v>8</v>
      </c>
      <c r="L830" s="10" t="n">
        <v>0</v>
      </c>
      <c r="M830" s="10" t="n">
        <v>0</v>
      </c>
      <c r="N830" s="10" t="n">
        <v>0</v>
      </c>
      <c r="O830" s="10" t="n">
        <v>6</v>
      </c>
      <c r="P830" s="10" t="n">
        <v>-9</v>
      </c>
      <c r="Q830" s="10" t="n">
        <v>410</v>
      </c>
      <c r="R830" s="10" t="n">
        <v>78</v>
      </c>
      <c r="S830" s="10" t="n">
        <v>0</v>
      </c>
      <c r="T830" s="10" t="n">
        <v>0</v>
      </c>
      <c r="U830" s="10" t="n">
        <v>0</v>
      </c>
    </row>
    <row r="831" customFormat="false" ht="15" hidden="false" customHeight="false" outlineLevel="0" collapsed="false">
      <c r="A831" s="7" t="s">
        <v>931</v>
      </c>
      <c r="B831" s="7" t="s">
        <v>74</v>
      </c>
      <c r="C831" s="7" t="s">
        <v>629</v>
      </c>
      <c r="D831" s="10" t="n">
        <v>0</v>
      </c>
      <c r="E831" s="10" t="n">
        <v>0</v>
      </c>
      <c r="F831" s="10" t="n">
        <v>153</v>
      </c>
      <c r="G831" s="10" t="n">
        <v>0</v>
      </c>
      <c r="H831" s="10" t="n">
        <v>1</v>
      </c>
      <c r="I831" s="10" t="n">
        <v>703</v>
      </c>
      <c r="J831" s="10" t="n">
        <v>0</v>
      </c>
      <c r="K831" s="10" t="n">
        <v>5</v>
      </c>
      <c r="L831" s="10" t="n">
        <v>0</v>
      </c>
      <c r="M831" s="10" t="n">
        <v>0</v>
      </c>
      <c r="N831" s="10" t="n">
        <v>3</v>
      </c>
      <c r="O831" s="10" t="n">
        <v>2</v>
      </c>
      <c r="P831" s="10" t="n">
        <v>-7</v>
      </c>
      <c r="Q831" s="10" t="n">
        <v>555</v>
      </c>
      <c r="R831" s="10" t="n">
        <v>145</v>
      </c>
      <c r="S831" s="10" t="n">
        <v>0</v>
      </c>
      <c r="T831" s="10" t="n">
        <v>0</v>
      </c>
      <c r="U831" s="10" t="n">
        <v>0</v>
      </c>
    </row>
    <row r="832" customFormat="false" ht="15" hidden="false" customHeight="false" outlineLevel="0" collapsed="false">
      <c r="A832" s="7" t="s">
        <v>931</v>
      </c>
      <c r="B832" s="7" t="s">
        <v>74</v>
      </c>
      <c r="C832" s="7" t="s">
        <v>630</v>
      </c>
      <c r="D832" s="10" t="n">
        <v>0</v>
      </c>
      <c r="E832" s="10" t="n">
        <v>0</v>
      </c>
      <c r="F832" s="10" t="n">
        <v>130</v>
      </c>
      <c r="G832" s="10" t="n">
        <v>0</v>
      </c>
      <c r="H832" s="10" t="n">
        <v>0</v>
      </c>
      <c r="I832" s="10" t="n">
        <v>467</v>
      </c>
      <c r="J832" s="10" t="n">
        <v>0</v>
      </c>
      <c r="K832" s="10" t="n">
        <v>5</v>
      </c>
      <c r="L832" s="10" t="n">
        <v>0</v>
      </c>
      <c r="M832" s="10" t="n">
        <v>0</v>
      </c>
      <c r="N832" s="10" t="n">
        <v>4</v>
      </c>
      <c r="O832" s="10" t="n">
        <v>0</v>
      </c>
      <c r="P832" s="10" t="n">
        <v>-5</v>
      </c>
      <c r="Q832" s="10" t="n">
        <v>391</v>
      </c>
      <c r="R832" s="10" t="n">
        <v>72</v>
      </c>
      <c r="S832" s="10" t="n">
        <v>0</v>
      </c>
      <c r="T832" s="10" t="n">
        <v>0</v>
      </c>
      <c r="U832" s="10" t="n">
        <v>0</v>
      </c>
    </row>
    <row r="833" customFormat="false" ht="15" hidden="false" customHeight="false" outlineLevel="0" collapsed="false">
      <c r="A833" s="7" t="s">
        <v>931</v>
      </c>
      <c r="B833" s="7" t="s">
        <v>74</v>
      </c>
      <c r="C833" s="7" t="s">
        <v>631</v>
      </c>
      <c r="D833" s="10" t="n">
        <v>0</v>
      </c>
      <c r="E833" s="10" t="n">
        <v>0</v>
      </c>
      <c r="F833" s="10" t="n">
        <v>49</v>
      </c>
      <c r="G833" s="10" t="n">
        <v>0</v>
      </c>
      <c r="H833" s="10" t="n">
        <v>0</v>
      </c>
      <c r="I833" s="10" t="n">
        <v>239</v>
      </c>
      <c r="J833" s="10" t="n">
        <v>0</v>
      </c>
      <c r="K833" s="10" t="n">
        <v>3</v>
      </c>
      <c r="L833" s="10" t="n">
        <v>0</v>
      </c>
      <c r="M833" s="10" t="n">
        <v>0</v>
      </c>
      <c r="N833" s="10" t="n">
        <v>0</v>
      </c>
      <c r="O833" s="10" t="n">
        <v>3</v>
      </c>
      <c r="P833" s="10" t="n">
        <v>-12</v>
      </c>
      <c r="Q833" s="10" t="n">
        <v>205</v>
      </c>
      <c r="R833" s="10" t="n">
        <v>40</v>
      </c>
      <c r="S833" s="10" t="n">
        <v>0</v>
      </c>
      <c r="T833" s="10" t="n">
        <v>0</v>
      </c>
      <c r="U833" s="10" t="n">
        <v>0</v>
      </c>
    </row>
    <row r="834" customFormat="false" ht="15" hidden="false" customHeight="false" outlineLevel="0" collapsed="false">
      <c r="A834" s="7" t="s">
        <v>931</v>
      </c>
      <c r="B834" s="7" t="s">
        <v>74</v>
      </c>
      <c r="C834" s="7" t="s">
        <v>632</v>
      </c>
      <c r="D834" s="10" t="n">
        <v>0</v>
      </c>
      <c r="E834" s="10" t="n">
        <v>0</v>
      </c>
      <c r="F834" s="10" t="n">
        <v>25</v>
      </c>
      <c r="G834" s="10" t="n">
        <v>0</v>
      </c>
      <c r="H834" s="10" t="n">
        <v>0</v>
      </c>
      <c r="I834" s="10" t="n">
        <v>37</v>
      </c>
      <c r="J834" s="10" t="n">
        <v>0</v>
      </c>
      <c r="K834" s="10" t="n">
        <v>0</v>
      </c>
      <c r="L834" s="10" t="n">
        <v>0</v>
      </c>
      <c r="M834" s="10" t="n">
        <v>0</v>
      </c>
      <c r="N834" s="10" t="n">
        <v>0</v>
      </c>
      <c r="O834" s="10" t="n">
        <v>0</v>
      </c>
      <c r="P834" s="10" t="n">
        <v>0</v>
      </c>
      <c r="Q834" s="10" t="n">
        <v>37</v>
      </c>
      <c r="R834" s="10" t="n">
        <v>0</v>
      </c>
      <c r="S834" s="10" t="n">
        <v>0</v>
      </c>
      <c r="T834" s="10" t="n">
        <v>0</v>
      </c>
      <c r="U834" s="10" t="n">
        <v>0</v>
      </c>
    </row>
    <row r="835" customFormat="false" ht="15" hidden="false" customHeight="false" outlineLevel="0" collapsed="false">
      <c r="A835" s="7" t="s">
        <v>931</v>
      </c>
      <c r="B835" s="7" t="s">
        <v>74</v>
      </c>
      <c r="C835" s="7" t="s">
        <v>633</v>
      </c>
      <c r="D835" s="10" t="n">
        <v>0</v>
      </c>
      <c r="E835" s="10" t="n">
        <v>0</v>
      </c>
      <c r="F835" s="10" t="n">
        <v>2</v>
      </c>
      <c r="G835" s="10" t="n">
        <v>0</v>
      </c>
      <c r="H835" s="10" t="n">
        <v>0</v>
      </c>
      <c r="I835" s="10" t="n">
        <v>5</v>
      </c>
      <c r="J835" s="10" t="n">
        <v>0</v>
      </c>
      <c r="K835" s="10" t="n">
        <v>0</v>
      </c>
      <c r="L835" s="10" t="n">
        <v>0</v>
      </c>
      <c r="M835" s="10" t="n">
        <v>0</v>
      </c>
      <c r="N835" s="10" t="n">
        <v>0</v>
      </c>
      <c r="O835" s="10" t="n">
        <v>0</v>
      </c>
      <c r="P835" s="10" t="n">
        <v>0</v>
      </c>
      <c r="Q835" s="10" t="n">
        <v>5</v>
      </c>
      <c r="R835" s="10" t="n">
        <v>0</v>
      </c>
      <c r="S835" s="10" t="n">
        <v>0</v>
      </c>
      <c r="T835" s="10" t="n">
        <v>0</v>
      </c>
      <c r="U835" s="10" t="n">
        <v>0</v>
      </c>
    </row>
    <row r="836" customFormat="false" ht="15" hidden="false" customHeight="false" outlineLevel="0" collapsed="false">
      <c r="A836" s="7" t="s">
        <v>931</v>
      </c>
      <c r="B836" s="7" t="s">
        <v>255</v>
      </c>
      <c r="C836" s="7" t="s">
        <v>932</v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>
        <v>-1</v>
      </c>
      <c r="J836" s="10" t="n">
        <v>0</v>
      </c>
      <c r="K836" s="10" t="n">
        <v>0</v>
      </c>
      <c r="L836" s="10" t="n">
        <v>0</v>
      </c>
      <c r="M836" s="10" t="n">
        <v>0</v>
      </c>
      <c r="N836" s="10" t="n">
        <v>0</v>
      </c>
      <c r="O836" s="10" t="n">
        <v>0</v>
      </c>
      <c r="P836" s="10" t="n">
        <v>0</v>
      </c>
      <c r="Q836" s="10" t="n">
        <v>-1</v>
      </c>
      <c r="R836" s="10" t="n">
        <v>0</v>
      </c>
      <c r="S836" s="10" t="n">
        <v>0</v>
      </c>
      <c r="T836" s="10" t="n">
        <v>0</v>
      </c>
      <c r="U836" s="10" t="n">
        <v>0</v>
      </c>
    </row>
    <row r="837" customFormat="false" ht="15" hidden="false" customHeight="false" outlineLevel="0" collapsed="false">
      <c r="A837" s="7" t="s">
        <v>931</v>
      </c>
      <c r="B837" s="7" t="s">
        <v>112</v>
      </c>
      <c r="C837" s="7" t="s">
        <v>634</v>
      </c>
      <c r="D837" s="10" t="n">
        <v>0</v>
      </c>
      <c r="E837" s="10" t="n">
        <v>0</v>
      </c>
      <c r="F837" s="10" t="n">
        <v>377</v>
      </c>
      <c r="G837" s="10" t="n">
        <v>0</v>
      </c>
      <c r="H837" s="10" t="n">
        <v>0</v>
      </c>
      <c r="I837" s="10" t="n">
        <v>1085</v>
      </c>
      <c r="J837" s="10" t="n">
        <v>0</v>
      </c>
      <c r="K837" s="10" t="n">
        <v>4</v>
      </c>
      <c r="L837" s="10" t="n">
        <v>-2</v>
      </c>
      <c r="M837" s="10" t="n">
        <v>0</v>
      </c>
      <c r="N837" s="10" t="n">
        <v>13</v>
      </c>
      <c r="O837" s="10" t="n">
        <v>6</v>
      </c>
      <c r="P837" s="10" t="n">
        <v>-2</v>
      </c>
      <c r="Q837" s="10" t="n">
        <v>871</v>
      </c>
      <c r="R837" s="10" t="n">
        <v>195</v>
      </c>
      <c r="S837" s="10" t="n">
        <v>0</v>
      </c>
      <c r="T837" s="10" t="n">
        <v>0</v>
      </c>
      <c r="U837" s="10" t="n">
        <v>0</v>
      </c>
    </row>
    <row r="838" customFormat="false" ht="15" hidden="false" customHeight="false" outlineLevel="0" collapsed="false">
      <c r="A838" s="7" t="s">
        <v>931</v>
      </c>
      <c r="B838" s="7" t="s">
        <v>192</v>
      </c>
      <c r="C838" s="7" t="s">
        <v>635</v>
      </c>
      <c r="D838" s="10" t="n">
        <v>0</v>
      </c>
      <c r="E838" s="10" t="n">
        <v>0</v>
      </c>
      <c r="F838" s="10" t="n">
        <v>49</v>
      </c>
      <c r="G838" s="10" t="n">
        <v>0</v>
      </c>
      <c r="H838" s="10" t="n">
        <v>0</v>
      </c>
      <c r="I838" s="10" t="n">
        <v>179</v>
      </c>
      <c r="J838" s="10" t="n">
        <v>0</v>
      </c>
      <c r="K838" s="10" t="n">
        <v>11</v>
      </c>
      <c r="L838" s="10" t="n">
        <v>0</v>
      </c>
      <c r="M838" s="10" t="n">
        <v>0</v>
      </c>
      <c r="N838" s="10" t="n">
        <v>0</v>
      </c>
      <c r="O838" s="10" t="n">
        <v>0</v>
      </c>
      <c r="P838" s="10" t="n">
        <v>0</v>
      </c>
      <c r="Q838" s="10" t="n">
        <v>68</v>
      </c>
      <c r="R838" s="10" t="n">
        <v>100</v>
      </c>
      <c r="S838" s="10" t="n">
        <v>0</v>
      </c>
      <c r="T838" s="10" t="n">
        <v>0</v>
      </c>
      <c r="U838" s="10" t="n">
        <v>0</v>
      </c>
    </row>
    <row r="839" customFormat="false" ht="15" hidden="false" customHeight="false" outlineLevel="0" collapsed="false">
      <c r="A839" s="7" t="s">
        <v>931</v>
      </c>
      <c r="B839" s="7" t="s">
        <v>89</v>
      </c>
      <c r="C839" s="7" t="s">
        <v>636</v>
      </c>
      <c r="D839" s="10" t="n">
        <v>0</v>
      </c>
      <c r="E839" s="10" t="n">
        <v>0</v>
      </c>
      <c r="F839" s="10" t="n">
        <v>6</v>
      </c>
      <c r="G839" s="10" t="n">
        <v>0</v>
      </c>
      <c r="H839" s="10" t="n">
        <v>0</v>
      </c>
      <c r="I839" s="10" t="n">
        <v>-93</v>
      </c>
      <c r="J839" s="10" t="n">
        <v>0</v>
      </c>
      <c r="K839" s="10" t="n">
        <v>0</v>
      </c>
      <c r="L839" s="10" t="n">
        <v>0</v>
      </c>
      <c r="M839" s="10" t="n">
        <v>0</v>
      </c>
      <c r="N839" s="10" t="n">
        <v>0</v>
      </c>
      <c r="O839" s="10" t="n">
        <v>0</v>
      </c>
      <c r="P839" s="10" t="n">
        <v>-1</v>
      </c>
      <c r="Q839" s="10" t="n">
        <v>-96</v>
      </c>
      <c r="R839" s="10" t="n">
        <v>4</v>
      </c>
      <c r="S839" s="10" t="n">
        <v>0</v>
      </c>
      <c r="T839" s="10" t="n">
        <v>0</v>
      </c>
      <c r="U839" s="10" t="n">
        <v>0</v>
      </c>
    </row>
    <row r="840" customFormat="false" ht="15" hidden="false" customHeight="false" outlineLevel="0" collapsed="false">
      <c r="A840" s="7" t="s">
        <v>931</v>
      </c>
      <c r="B840" s="7" t="s">
        <v>89</v>
      </c>
      <c r="C840" s="7" t="s">
        <v>637</v>
      </c>
      <c r="D840" s="10" t="n">
        <v>0</v>
      </c>
      <c r="E840" s="10" t="n">
        <v>0</v>
      </c>
      <c r="F840" s="10" t="n">
        <v>6</v>
      </c>
      <c r="G840" s="10" t="n">
        <v>0</v>
      </c>
      <c r="H840" s="10" t="n">
        <v>0</v>
      </c>
      <c r="I840" s="10" t="n">
        <v>14</v>
      </c>
      <c r="J840" s="10" t="n">
        <v>0</v>
      </c>
      <c r="K840" s="10" t="n">
        <v>0</v>
      </c>
      <c r="L840" s="10" t="n">
        <v>-1</v>
      </c>
      <c r="M840" s="10" t="n">
        <v>0</v>
      </c>
      <c r="N840" s="10" t="n">
        <v>0</v>
      </c>
      <c r="O840" s="10" t="n">
        <v>0</v>
      </c>
      <c r="P840" s="10" t="n">
        <v>0</v>
      </c>
      <c r="Q840" s="10" t="n">
        <v>9</v>
      </c>
      <c r="R840" s="10" t="n">
        <v>6</v>
      </c>
      <c r="S840" s="10" t="n">
        <v>0</v>
      </c>
      <c r="T840" s="10" t="n">
        <v>0</v>
      </c>
      <c r="U840" s="10" t="n">
        <v>0</v>
      </c>
    </row>
    <row r="841" customFormat="false" ht="15" hidden="false" customHeight="false" outlineLevel="0" collapsed="false">
      <c r="A841" s="7" t="s">
        <v>931</v>
      </c>
      <c r="B841" s="7" t="s">
        <v>89</v>
      </c>
      <c r="C841" s="7" t="s">
        <v>638</v>
      </c>
      <c r="D841" s="10" t="n">
        <v>0</v>
      </c>
      <c r="E841" s="10" t="n">
        <v>0</v>
      </c>
      <c r="F841" s="10" t="n">
        <v>21</v>
      </c>
      <c r="G841" s="10" t="n">
        <v>0</v>
      </c>
      <c r="H841" s="10" t="n">
        <v>0</v>
      </c>
      <c r="I841" s="10" t="n">
        <v>51</v>
      </c>
      <c r="J841" s="10" t="n">
        <v>0</v>
      </c>
      <c r="K841" s="10" t="n">
        <v>0</v>
      </c>
      <c r="L841" s="10" t="n">
        <v>-1</v>
      </c>
      <c r="M841" s="10" t="n">
        <v>0</v>
      </c>
      <c r="N841" s="10" t="n">
        <v>-1</v>
      </c>
      <c r="O841" s="10" t="n">
        <v>0</v>
      </c>
      <c r="P841" s="10" t="n">
        <v>0</v>
      </c>
      <c r="Q841" s="10" t="n">
        <v>39</v>
      </c>
      <c r="R841" s="10" t="n">
        <v>14</v>
      </c>
      <c r="S841" s="10" t="n">
        <v>0</v>
      </c>
      <c r="T841" s="10" t="n">
        <v>0</v>
      </c>
      <c r="U841" s="10" t="n">
        <v>-1</v>
      </c>
    </row>
    <row r="842" customFormat="false" ht="15" hidden="false" customHeight="false" outlineLevel="0" collapsed="false">
      <c r="A842" s="7" t="s">
        <v>931</v>
      </c>
      <c r="B842" s="7" t="s">
        <v>89</v>
      </c>
      <c r="C842" s="7" t="s">
        <v>639</v>
      </c>
      <c r="D842" s="10" t="n">
        <v>0</v>
      </c>
      <c r="E842" s="10" t="n">
        <v>0</v>
      </c>
      <c r="F842" s="10" t="n">
        <v>36</v>
      </c>
      <c r="G842" s="10" t="n">
        <v>0</v>
      </c>
      <c r="H842" s="10" t="n">
        <v>0</v>
      </c>
      <c r="I842" s="10" t="n">
        <v>199</v>
      </c>
      <c r="J842" s="10" t="n">
        <v>0</v>
      </c>
      <c r="K842" s="10" t="n">
        <v>0</v>
      </c>
      <c r="L842" s="10" t="n">
        <v>0</v>
      </c>
      <c r="M842" s="10" t="n">
        <v>0</v>
      </c>
      <c r="N842" s="10" t="n">
        <v>0</v>
      </c>
      <c r="O842" s="10" t="n">
        <v>0</v>
      </c>
      <c r="P842" s="10" t="n">
        <v>0</v>
      </c>
      <c r="Q842" s="10" t="n">
        <v>173</v>
      </c>
      <c r="R842" s="10" t="n">
        <v>26</v>
      </c>
      <c r="S842" s="10" t="n">
        <v>0</v>
      </c>
      <c r="T842" s="10" t="n">
        <v>0</v>
      </c>
      <c r="U842" s="10" t="n">
        <v>0</v>
      </c>
    </row>
    <row r="843" customFormat="false" ht="15" hidden="false" customHeight="false" outlineLevel="0" collapsed="false">
      <c r="A843" s="7" t="s">
        <v>931</v>
      </c>
      <c r="B843" s="7" t="s">
        <v>89</v>
      </c>
      <c r="C843" s="7" t="s">
        <v>640</v>
      </c>
      <c r="D843" s="10" t="n">
        <v>0</v>
      </c>
      <c r="E843" s="10" t="n">
        <v>0</v>
      </c>
      <c r="F843" s="10" t="n">
        <v>55</v>
      </c>
      <c r="G843" s="10" t="n">
        <v>0</v>
      </c>
      <c r="H843" s="10" t="n">
        <v>0</v>
      </c>
      <c r="I843" s="10" t="n">
        <v>246</v>
      </c>
      <c r="J843" s="10" t="n">
        <v>0</v>
      </c>
      <c r="K843" s="10" t="n">
        <v>0</v>
      </c>
      <c r="L843" s="10" t="n">
        <v>0</v>
      </c>
      <c r="M843" s="10" t="n">
        <v>0</v>
      </c>
      <c r="N843" s="10" t="n">
        <v>-1</v>
      </c>
      <c r="O843" s="10" t="n">
        <v>0</v>
      </c>
      <c r="P843" s="10" t="n">
        <v>0</v>
      </c>
      <c r="Q843" s="10" t="n">
        <v>226</v>
      </c>
      <c r="R843" s="10" t="n">
        <v>21</v>
      </c>
      <c r="S843" s="10" t="n">
        <v>0</v>
      </c>
      <c r="T843" s="10" t="n">
        <v>0</v>
      </c>
      <c r="U843" s="10" t="n">
        <v>0</v>
      </c>
    </row>
    <row r="844" customFormat="false" ht="15" hidden="false" customHeight="false" outlineLevel="0" collapsed="false">
      <c r="A844" s="7" t="s">
        <v>931</v>
      </c>
      <c r="B844" s="7" t="s">
        <v>89</v>
      </c>
      <c r="C844" s="7" t="s">
        <v>641</v>
      </c>
      <c r="D844" s="10" t="n">
        <v>0</v>
      </c>
      <c r="E844" s="10" t="n">
        <v>0</v>
      </c>
      <c r="F844" s="10" t="n">
        <v>33</v>
      </c>
      <c r="G844" s="10" t="n">
        <v>0</v>
      </c>
      <c r="H844" s="10" t="n">
        <v>0</v>
      </c>
      <c r="I844" s="10" t="n">
        <v>159</v>
      </c>
      <c r="J844" s="10" t="n">
        <v>0</v>
      </c>
      <c r="K844" s="10" t="n">
        <v>2</v>
      </c>
      <c r="L844" s="10" t="n">
        <v>-1</v>
      </c>
      <c r="M844" s="10" t="n">
        <v>0</v>
      </c>
      <c r="N844" s="10" t="n">
        <v>0</v>
      </c>
      <c r="O844" s="10" t="n">
        <v>0</v>
      </c>
      <c r="P844" s="10" t="n">
        <v>0</v>
      </c>
      <c r="Q844" s="10" t="n">
        <v>144</v>
      </c>
      <c r="R844" s="10" t="n">
        <v>14</v>
      </c>
      <c r="S844" s="10" t="n">
        <v>0</v>
      </c>
      <c r="T844" s="10" t="n">
        <v>0</v>
      </c>
      <c r="U844" s="10" t="n">
        <v>0</v>
      </c>
    </row>
    <row r="845" customFormat="false" ht="15" hidden="false" customHeight="false" outlineLevel="0" collapsed="false">
      <c r="A845" s="7" t="s">
        <v>931</v>
      </c>
      <c r="B845" s="7" t="s">
        <v>113</v>
      </c>
      <c r="C845" s="7" t="s">
        <v>642</v>
      </c>
      <c r="D845" s="10" t="n">
        <v>0</v>
      </c>
      <c r="E845" s="10" t="n">
        <v>0</v>
      </c>
      <c r="F845" s="10" t="n">
        <v>26</v>
      </c>
      <c r="G845" s="10" t="n">
        <v>0</v>
      </c>
      <c r="H845" s="10" t="n">
        <v>0</v>
      </c>
      <c r="I845" s="10" t="n">
        <v>56</v>
      </c>
      <c r="J845" s="10" t="n">
        <v>0</v>
      </c>
      <c r="K845" s="10" t="n">
        <v>0</v>
      </c>
      <c r="L845" s="10" t="n">
        <v>0</v>
      </c>
      <c r="M845" s="10" t="n">
        <v>0</v>
      </c>
      <c r="N845" s="10" t="n">
        <v>3</v>
      </c>
      <c r="O845" s="10" t="n">
        <v>0</v>
      </c>
      <c r="P845" s="10" t="n">
        <v>0</v>
      </c>
      <c r="Q845" s="10" t="n">
        <v>53</v>
      </c>
      <c r="R845" s="10" t="n">
        <v>0</v>
      </c>
      <c r="S845" s="10" t="n">
        <v>0</v>
      </c>
      <c r="T845" s="10" t="n">
        <v>0</v>
      </c>
      <c r="U845" s="10" t="n">
        <v>0</v>
      </c>
    </row>
    <row r="846" customFormat="false" ht="15" hidden="false" customHeight="false" outlineLevel="0" collapsed="false">
      <c r="A846" s="7" t="s">
        <v>931</v>
      </c>
      <c r="B846" s="7" t="s">
        <v>113</v>
      </c>
      <c r="C846" s="7" t="s">
        <v>643</v>
      </c>
      <c r="D846" s="10" t="n">
        <v>0</v>
      </c>
      <c r="E846" s="10" t="n">
        <v>0</v>
      </c>
      <c r="F846" s="10" t="n">
        <v>62</v>
      </c>
      <c r="G846" s="10" t="n">
        <v>0</v>
      </c>
      <c r="H846" s="10" t="n">
        <v>0</v>
      </c>
      <c r="I846" s="10" t="n">
        <v>274</v>
      </c>
      <c r="J846" s="10" t="n">
        <v>0</v>
      </c>
      <c r="K846" s="10" t="n">
        <v>11</v>
      </c>
      <c r="L846" s="10" t="n">
        <v>0</v>
      </c>
      <c r="M846" s="10" t="n">
        <v>0</v>
      </c>
      <c r="N846" s="10" t="n">
        <v>0</v>
      </c>
      <c r="O846" s="10" t="n">
        <v>0</v>
      </c>
      <c r="P846" s="10" t="n">
        <v>-3</v>
      </c>
      <c r="Q846" s="10" t="n">
        <v>123</v>
      </c>
      <c r="R846" s="10" t="n">
        <v>143</v>
      </c>
      <c r="S846" s="10" t="n">
        <v>0</v>
      </c>
      <c r="T846" s="10" t="n">
        <v>0</v>
      </c>
      <c r="U846" s="10" t="n">
        <v>0</v>
      </c>
    </row>
    <row r="847" customFormat="false" ht="15" hidden="false" customHeight="false" outlineLevel="0" collapsed="false">
      <c r="A847" s="7" t="s">
        <v>931</v>
      </c>
      <c r="B847" s="7" t="s">
        <v>113</v>
      </c>
      <c r="C847" s="7" t="s">
        <v>644</v>
      </c>
      <c r="D847" s="10" t="n">
        <v>0</v>
      </c>
      <c r="E847" s="10" t="n">
        <v>0</v>
      </c>
      <c r="F847" s="10" t="n">
        <v>73</v>
      </c>
      <c r="G847" s="10" t="n">
        <v>0</v>
      </c>
      <c r="H847" s="10" t="n">
        <v>0</v>
      </c>
      <c r="I847" s="10" t="n">
        <v>264</v>
      </c>
      <c r="J847" s="10" t="n">
        <v>0</v>
      </c>
      <c r="K847" s="10" t="n">
        <v>10</v>
      </c>
      <c r="L847" s="10" t="n">
        <v>0</v>
      </c>
      <c r="M847" s="10" t="n">
        <v>0</v>
      </c>
      <c r="N847" s="10" t="n">
        <v>0</v>
      </c>
      <c r="O847" s="10" t="n">
        <v>0</v>
      </c>
      <c r="P847" s="10" t="n">
        <v>-6</v>
      </c>
      <c r="Q847" s="10" t="n">
        <v>112</v>
      </c>
      <c r="R847" s="10" t="n">
        <v>148</v>
      </c>
      <c r="S847" s="10" t="n">
        <v>0</v>
      </c>
      <c r="T847" s="10" t="n">
        <v>0</v>
      </c>
      <c r="U847" s="10" t="n">
        <v>0</v>
      </c>
    </row>
    <row r="848" customFormat="false" ht="15" hidden="false" customHeight="false" outlineLevel="0" collapsed="false">
      <c r="A848" s="7" t="s">
        <v>931</v>
      </c>
      <c r="B848" s="7" t="s">
        <v>162</v>
      </c>
      <c r="C848" s="7" t="s">
        <v>645</v>
      </c>
      <c r="D848" s="10" t="n">
        <v>0</v>
      </c>
      <c r="E848" s="10" t="n">
        <v>0</v>
      </c>
      <c r="F848" s="10" t="n">
        <v>45</v>
      </c>
      <c r="G848" s="10" t="n">
        <v>0</v>
      </c>
      <c r="H848" s="10" t="n">
        <v>0</v>
      </c>
      <c r="I848" s="10" t="n">
        <v>199</v>
      </c>
      <c r="J848" s="10" t="n">
        <v>0</v>
      </c>
      <c r="K848" s="10" t="n">
        <v>4</v>
      </c>
      <c r="L848" s="10" t="n">
        <v>0</v>
      </c>
      <c r="M848" s="10" t="n">
        <v>0</v>
      </c>
      <c r="N848" s="10" t="n">
        <v>0</v>
      </c>
      <c r="O848" s="10" t="n">
        <v>0</v>
      </c>
      <c r="P848" s="10" t="n">
        <v>-6</v>
      </c>
      <c r="Q848" s="10" t="n">
        <v>83</v>
      </c>
      <c r="R848" s="10" t="n">
        <v>118</v>
      </c>
      <c r="S848" s="10" t="n">
        <v>1</v>
      </c>
      <c r="T848" s="10" t="n">
        <v>0</v>
      </c>
      <c r="U848" s="10" t="n">
        <v>0</v>
      </c>
    </row>
    <row r="849" customFormat="false" ht="15" hidden="false" customHeight="false" outlineLevel="0" collapsed="false">
      <c r="A849" s="7" t="s">
        <v>931</v>
      </c>
      <c r="B849" s="7" t="s">
        <v>244</v>
      </c>
      <c r="C849" s="7" t="s">
        <v>646</v>
      </c>
      <c r="D849" s="10" t="n">
        <v>0</v>
      </c>
      <c r="E849" s="10" t="n">
        <v>0</v>
      </c>
      <c r="F849" s="10" t="n">
        <v>-1</v>
      </c>
      <c r="G849" s="10" t="n">
        <v>0</v>
      </c>
      <c r="H849" s="10" t="n">
        <v>0</v>
      </c>
      <c r="I849" s="10" t="n">
        <v>0</v>
      </c>
      <c r="J849" s="10" t="n">
        <v>0</v>
      </c>
      <c r="K849" s="10" t="n">
        <v>0</v>
      </c>
      <c r="L849" s="10" t="n">
        <v>0</v>
      </c>
      <c r="M849" s="10" t="n">
        <v>0</v>
      </c>
      <c r="N849" s="10" t="n">
        <v>0</v>
      </c>
      <c r="O849" s="10" t="n">
        <v>0</v>
      </c>
      <c r="P849" s="10" t="n">
        <v>0</v>
      </c>
      <c r="Q849" s="10" t="n">
        <v>0</v>
      </c>
      <c r="R849" s="10" t="n">
        <v>0</v>
      </c>
      <c r="S849" s="10" t="n">
        <v>0</v>
      </c>
      <c r="T849" s="10" t="n">
        <v>0</v>
      </c>
      <c r="U849" s="10" t="n">
        <v>0</v>
      </c>
    </row>
    <row r="850" customFormat="false" ht="15" hidden="false" customHeight="false" outlineLevel="0" collapsed="false">
      <c r="A850" s="7" t="s">
        <v>931</v>
      </c>
      <c r="B850" s="7" t="s">
        <v>244</v>
      </c>
      <c r="C850" s="7" t="s">
        <v>647</v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>
        <v>-1</v>
      </c>
      <c r="J850" s="10" t="n">
        <v>0</v>
      </c>
      <c r="K850" s="10" t="n">
        <v>0</v>
      </c>
      <c r="L850" s="10" t="n">
        <v>0</v>
      </c>
      <c r="M850" s="10" t="n">
        <v>0</v>
      </c>
      <c r="N850" s="10" t="n">
        <v>0</v>
      </c>
      <c r="O850" s="10" t="n">
        <v>0</v>
      </c>
      <c r="P850" s="10" t="n">
        <v>0</v>
      </c>
      <c r="Q850" s="10" t="n">
        <v>-1</v>
      </c>
      <c r="R850" s="10" t="n">
        <v>0</v>
      </c>
      <c r="S850" s="10" t="n">
        <v>0</v>
      </c>
      <c r="T850" s="10" t="n">
        <v>0</v>
      </c>
      <c r="U850" s="10" t="n">
        <v>0</v>
      </c>
    </row>
    <row r="851" customFormat="false" ht="15" hidden="false" customHeight="false" outlineLevel="0" collapsed="false">
      <c r="A851" s="7" t="s">
        <v>931</v>
      </c>
      <c r="B851" s="7" t="s">
        <v>254</v>
      </c>
      <c r="C851" s="7" t="s">
        <v>648</v>
      </c>
      <c r="D851" s="10" t="n">
        <v>0</v>
      </c>
      <c r="E851" s="10" t="n">
        <v>0</v>
      </c>
      <c r="F851" s="10" t="n">
        <v>1</v>
      </c>
      <c r="G851" s="10" t="n">
        <v>0</v>
      </c>
      <c r="H851" s="10" t="n">
        <v>0</v>
      </c>
      <c r="I851" s="10" t="n">
        <v>-1</v>
      </c>
      <c r="J851" s="10" t="n">
        <v>0</v>
      </c>
      <c r="K851" s="10" t="n">
        <v>0</v>
      </c>
      <c r="L851" s="10" t="n">
        <v>0</v>
      </c>
      <c r="M851" s="10" t="n">
        <v>0</v>
      </c>
      <c r="N851" s="10" t="n">
        <v>0</v>
      </c>
      <c r="O851" s="10" t="n">
        <v>0</v>
      </c>
      <c r="P851" s="10" t="n">
        <v>-1</v>
      </c>
      <c r="Q851" s="10" t="n">
        <v>-1</v>
      </c>
      <c r="R851" s="10" t="n">
        <v>1</v>
      </c>
      <c r="S851" s="10" t="n">
        <v>0</v>
      </c>
      <c r="T851" s="10" t="n">
        <v>0</v>
      </c>
      <c r="U851" s="10" t="n">
        <v>0</v>
      </c>
    </row>
    <row r="852" customFormat="false" ht="15" hidden="false" customHeight="false" outlineLevel="0" collapsed="false">
      <c r="A852" s="7" t="s">
        <v>931</v>
      </c>
      <c r="B852" s="7" t="s">
        <v>254</v>
      </c>
      <c r="C852" s="7" t="s">
        <v>649</v>
      </c>
      <c r="D852" s="10" t="n">
        <v>0</v>
      </c>
      <c r="E852" s="10" t="n">
        <v>0</v>
      </c>
      <c r="F852" s="10" t="n">
        <v>1</v>
      </c>
      <c r="G852" s="10" t="n">
        <v>0</v>
      </c>
      <c r="H852" s="10" t="n">
        <v>0</v>
      </c>
      <c r="I852" s="10" t="n">
        <v>3</v>
      </c>
      <c r="J852" s="10" t="n">
        <v>0</v>
      </c>
      <c r="K852" s="10" t="n">
        <v>0</v>
      </c>
      <c r="L852" s="10" t="n">
        <v>0</v>
      </c>
      <c r="M852" s="10" t="n">
        <v>0</v>
      </c>
      <c r="N852" s="10" t="n">
        <v>0</v>
      </c>
      <c r="O852" s="10" t="n">
        <v>0</v>
      </c>
      <c r="P852" s="10" t="n">
        <v>-1</v>
      </c>
      <c r="Q852" s="10" t="n">
        <v>0</v>
      </c>
      <c r="R852" s="10" t="n">
        <v>4</v>
      </c>
      <c r="S852" s="10" t="n">
        <v>0</v>
      </c>
      <c r="T852" s="10" t="n">
        <v>0</v>
      </c>
      <c r="U852" s="10" t="n">
        <v>0</v>
      </c>
    </row>
    <row r="853" customFormat="false" ht="15" hidden="false" customHeight="false" outlineLevel="0" collapsed="false">
      <c r="A853" s="7" t="s">
        <v>931</v>
      </c>
      <c r="B853" s="7" t="s">
        <v>254</v>
      </c>
      <c r="C853" s="7" t="s">
        <v>650</v>
      </c>
      <c r="D853" s="10" t="n">
        <v>0</v>
      </c>
      <c r="E853" s="10" t="n">
        <v>0</v>
      </c>
      <c r="F853" s="10" t="n">
        <v>3</v>
      </c>
      <c r="G853" s="10" t="n">
        <v>0</v>
      </c>
      <c r="H853" s="10" t="n">
        <v>0</v>
      </c>
      <c r="I853" s="10" t="n">
        <v>-1</v>
      </c>
      <c r="J853" s="10" t="n">
        <v>0</v>
      </c>
      <c r="K853" s="10" t="n">
        <v>0</v>
      </c>
      <c r="L853" s="10" t="n">
        <v>0</v>
      </c>
      <c r="M853" s="10" t="n">
        <v>0</v>
      </c>
      <c r="N853" s="10" t="n">
        <v>0</v>
      </c>
      <c r="O853" s="10" t="n">
        <v>0</v>
      </c>
      <c r="P853" s="10" t="n">
        <v>-1</v>
      </c>
      <c r="Q853" s="10" t="n">
        <v>0</v>
      </c>
      <c r="R853" s="10" t="n">
        <v>0</v>
      </c>
      <c r="S853" s="10" t="n">
        <v>0</v>
      </c>
      <c r="T853" s="10" t="n">
        <v>0</v>
      </c>
      <c r="U853" s="10" t="n">
        <v>0</v>
      </c>
    </row>
    <row r="854" customFormat="false" ht="15" hidden="false" customHeight="false" outlineLevel="0" collapsed="false">
      <c r="A854" s="7" t="s">
        <v>931</v>
      </c>
      <c r="B854" s="7" t="s">
        <v>254</v>
      </c>
      <c r="C854" s="7" t="s">
        <v>651</v>
      </c>
      <c r="D854" s="10" t="n">
        <v>0</v>
      </c>
      <c r="E854" s="10" t="n">
        <v>0</v>
      </c>
      <c r="F854" s="10" t="n">
        <v>4</v>
      </c>
      <c r="G854" s="10" t="n">
        <v>0</v>
      </c>
      <c r="H854" s="10" t="n">
        <v>0</v>
      </c>
      <c r="I854" s="10" t="n">
        <v>0</v>
      </c>
      <c r="J854" s="10" t="n">
        <v>0</v>
      </c>
      <c r="K854" s="10" t="n">
        <v>0</v>
      </c>
      <c r="L854" s="10" t="n">
        <v>0</v>
      </c>
      <c r="M854" s="10" t="n">
        <v>0</v>
      </c>
      <c r="N854" s="10" t="n">
        <v>0</v>
      </c>
      <c r="O854" s="10" t="n">
        <v>0</v>
      </c>
      <c r="P854" s="10" t="n">
        <v>-1</v>
      </c>
      <c r="Q854" s="10" t="n">
        <v>0</v>
      </c>
      <c r="R854" s="10" t="n">
        <v>1</v>
      </c>
      <c r="S854" s="10" t="n">
        <v>0</v>
      </c>
      <c r="T854" s="10" t="n">
        <v>0</v>
      </c>
      <c r="U854" s="10" t="n">
        <v>0</v>
      </c>
    </row>
    <row r="855" customFormat="false" ht="15" hidden="false" customHeight="false" outlineLevel="0" collapsed="false">
      <c r="A855" s="7" t="s">
        <v>931</v>
      </c>
      <c r="B855" s="7" t="s">
        <v>254</v>
      </c>
      <c r="C855" s="7" t="s">
        <v>652</v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1</v>
      </c>
      <c r="I855" s="10" t="n">
        <v>0</v>
      </c>
      <c r="J855" s="10" t="n">
        <v>0</v>
      </c>
      <c r="K855" s="10" t="n">
        <v>0</v>
      </c>
      <c r="L855" s="10" t="n">
        <v>0</v>
      </c>
      <c r="M855" s="10" t="n">
        <v>0</v>
      </c>
      <c r="N855" s="10" t="n">
        <v>0</v>
      </c>
      <c r="O855" s="10" t="n">
        <v>0</v>
      </c>
      <c r="P855" s="10" t="n">
        <v>0</v>
      </c>
      <c r="Q855" s="10" t="n">
        <v>0</v>
      </c>
      <c r="R855" s="10" t="n">
        <v>0</v>
      </c>
      <c r="S855" s="10" t="n">
        <v>0</v>
      </c>
      <c r="T855" s="10" t="n">
        <v>0</v>
      </c>
      <c r="U855" s="10" t="n">
        <v>0</v>
      </c>
    </row>
    <row r="856" customFormat="false" ht="15" hidden="false" customHeight="false" outlineLevel="0" collapsed="false">
      <c r="A856" s="7" t="s">
        <v>931</v>
      </c>
      <c r="B856" s="7" t="s">
        <v>204</v>
      </c>
      <c r="C856" s="7" t="s">
        <v>653</v>
      </c>
      <c r="D856" s="10" t="n">
        <v>0</v>
      </c>
      <c r="E856" s="10" t="n">
        <v>0</v>
      </c>
      <c r="F856" s="10" t="n">
        <v>1</v>
      </c>
      <c r="G856" s="10" t="n">
        <v>0</v>
      </c>
      <c r="H856" s="10" t="n">
        <v>0</v>
      </c>
      <c r="I856" s="10" t="n">
        <v>0</v>
      </c>
      <c r="J856" s="10" t="n">
        <v>0</v>
      </c>
      <c r="K856" s="10" t="n">
        <v>0</v>
      </c>
      <c r="L856" s="10" t="n">
        <v>0</v>
      </c>
      <c r="M856" s="10" t="n">
        <v>0</v>
      </c>
      <c r="N856" s="10" t="n">
        <v>0</v>
      </c>
      <c r="O856" s="10" t="n">
        <v>0</v>
      </c>
      <c r="P856" s="10" t="n">
        <v>0</v>
      </c>
      <c r="Q856" s="10" t="n">
        <v>0</v>
      </c>
      <c r="R856" s="10" t="n">
        <v>0</v>
      </c>
      <c r="S856" s="10" t="n">
        <v>0</v>
      </c>
      <c r="T856" s="10" t="n">
        <v>0</v>
      </c>
      <c r="U856" s="10" t="n">
        <v>0</v>
      </c>
    </row>
    <row r="857" customFormat="false" ht="15" hidden="false" customHeight="false" outlineLevel="0" collapsed="false">
      <c r="A857" s="7" t="s">
        <v>931</v>
      </c>
      <c r="B857" s="7" t="s">
        <v>204</v>
      </c>
      <c r="C857" s="7" t="s">
        <v>654</v>
      </c>
      <c r="D857" s="10" t="n">
        <v>0</v>
      </c>
      <c r="E857" s="10" t="n">
        <v>0</v>
      </c>
      <c r="F857" s="10" t="n">
        <v>2</v>
      </c>
      <c r="G857" s="10" t="n">
        <v>0</v>
      </c>
      <c r="H857" s="10" t="n">
        <v>0</v>
      </c>
      <c r="I857" s="10" t="n">
        <v>1</v>
      </c>
      <c r="J857" s="10" t="n">
        <v>0</v>
      </c>
      <c r="K857" s="10" t="n">
        <v>0</v>
      </c>
      <c r="L857" s="10" t="n">
        <v>0</v>
      </c>
      <c r="M857" s="10" t="n">
        <v>0</v>
      </c>
      <c r="N857" s="10" t="n">
        <v>0</v>
      </c>
      <c r="O857" s="10" t="n">
        <v>0</v>
      </c>
      <c r="P857" s="10" t="n">
        <v>0</v>
      </c>
      <c r="Q857" s="10" t="n">
        <v>1</v>
      </c>
      <c r="R857" s="10" t="n">
        <v>0</v>
      </c>
      <c r="S857" s="10" t="n">
        <v>0</v>
      </c>
      <c r="T857" s="10" t="n">
        <v>0</v>
      </c>
      <c r="U857" s="10" t="n">
        <v>0</v>
      </c>
    </row>
    <row r="858" customFormat="false" ht="15" hidden="false" customHeight="false" outlineLevel="0" collapsed="false">
      <c r="A858" s="7" t="s">
        <v>931</v>
      </c>
      <c r="B858" s="7" t="s">
        <v>204</v>
      </c>
      <c r="C858" s="7" t="s">
        <v>655</v>
      </c>
      <c r="D858" s="10" t="n">
        <v>0</v>
      </c>
      <c r="E858" s="10" t="n">
        <v>0</v>
      </c>
      <c r="F858" s="10" t="n">
        <v>3</v>
      </c>
      <c r="G858" s="10" t="n">
        <v>0</v>
      </c>
      <c r="H858" s="10" t="n">
        <v>0</v>
      </c>
      <c r="I858" s="10" t="n">
        <v>1</v>
      </c>
      <c r="J858" s="10" t="n">
        <v>0</v>
      </c>
      <c r="K858" s="10" t="n">
        <v>0</v>
      </c>
      <c r="L858" s="10" t="n">
        <v>0</v>
      </c>
      <c r="M858" s="10" t="n">
        <v>0</v>
      </c>
      <c r="N858" s="10" t="n">
        <v>0</v>
      </c>
      <c r="O858" s="10" t="n">
        <v>0</v>
      </c>
      <c r="P858" s="10" t="n">
        <v>0</v>
      </c>
      <c r="Q858" s="10" t="n">
        <v>1</v>
      </c>
      <c r="R858" s="10" t="n">
        <v>0</v>
      </c>
      <c r="S858" s="10" t="n">
        <v>0</v>
      </c>
      <c r="T858" s="10" t="n">
        <v>0</v>
      </c>
      <c r="U858" s="10" t="n">
        <v>0</v>
      </c>
    </row>
    <row r="859" customFormat="false" ht="15" hidden="false" customHeight="false" outlineLevel="0" collapsed="false">
      <c r="A859" s="7" t="s">
        <v>931</v>
      </c>
      <c r="B859" s="7" t="s">
        <v>204</v>
      </c>
      <c r="C859" s="7" t="s">
        <v>656</v>
      </c>
      <c r="D859" s="10" t="n">
        <v>0</v>
      </c>
      <c r="E859" s="10" t="n">
        <v>0</v>
      </c>
      <c r="F859" s="10" t="n">
        <v>1</v>
      </c>
      <c r="G859" s="10" t="n">
        <v>0</v>
      </c>
      <c r="H859" s="10" t="n">
        <v>0</v>
      </c>
      <c r="I859" s="10" t="n">
        <v>1</v>
      </c>
      <c r="J859" s="10" t="n">
        <v>0</v>
      </c>
      <c r="K859" s="10" t="n">
        <v>0</v>
      </c>
      <c r="L859" s="10" t="n">
        <v>0</v>
      </c>
      <c r="M859" s="10" t="n">
        <v>0</v>
      </c>
      <c r="N859" s="10" t="n">
        <v>0</v>
      </c>
      <c r="O859" s="10" t="n">
        <v>0</v>
      </c>
      <c r="P859" s="10" t="n">
        <v>0</v>
      </c>
      <c r="Q859" s="10" t="n">
        <v>1</v>
      </c>
      <c r="R859" s="10" t="n">
        <v>0</v>
      </c>
      <c r="S859" s="10" t="n">
        <v>0</v>
      </c>
      <c r="T859" s="10" t="n">
        <v>0</v>
      </c>
      <c r="U859" s="10" t="n">
        <v>0</v>
      </c>
    </row>
    <row r="860" customFormat="false" ht="15" hidden="false" customHeight="false" outlineLevel="0" collapsed="false">
      <c r="A860" s="7" t="s">
        <v>931</v>
      </c>
      <c r="B860" s="7" t="s">
        <v>191</v>
      </c>
      <c r="C860" s="7" t="s">
        <v>657</v>
      </c>
      <c r="D860" s="10" t="n">
        <v>0</v>
      </c>
      <c r="E860" s="10" t="n">
        <v>0</v>
      </c>
      <c r="F860" s="10" t="n">
        <v>1</v>
      </c>
      <c r="G860" s="10" t="n">
        <v>0</v>
      </c>
      <c r="H860" s="10" t="n">
        <v>0</v>
      </c>
      <c r="I860" s="10" t="n">
        <v>-2</v>
      </c>
      <c r="J860" s="10" t="n">
        <v>0</v>
      </c>
      <c r="K860" s="10" t="n">
        <v>0</v>
      </c>
      <c r="L860" s="10" t="n">
        <v>0</v>
      </c>
      <c r="M860" s="10" t="n">
        <v>0</v>
      </c>
      <c r="N860" s="10" t="n">
        <v>0</v>
      </c>
      <c r="O860" s="10" t="n">
        <v>0</v>
      </c>
      <c r="P860" s="10" t="n">
        <v>-2</v>
      </c>
      <c r="Q860" s="10" t="n">
        <v>0</v>
      </c>
      <c r="R860" s="10" t="n">
        <v>0</v>
      </c>
      <c r="S860" s="10" t="n">
        <v>0</v>
      </c>
      <c r="T860" s="10" t="n">
        <v>0</v>
      </c>
      <c r="U860" s="10" t="n">
        <v>0</v>
      </c>
    </row>
    <row r="861" customFormat="false" ht="15" hidden="false" customHeight="false" outlineLevel="0" collapsed="false">
      <c r="A861" s="7" t="s">
        <v>931</v>
      </c>
      <c r="B861" s="7" t="s">
        <v>191</v>
      </c>
      <c r="C861" s="7" t="s">
        <v>658</v>
      </c>
      <c r="D861" s="10" t="n">
        <v>0</v>
      </c>
      <c r="E861" s="10" t="n">
        <v>0</v>
      </c>
      <c r="F861" s="10" t="n">
        <v>4</v>
      </c>
      <c r="G861" s="10" t="n">
        <v>0</v>
      </c>
      <c r="H861" s="10" t="n">
        <v>0</v>
      </c>
      <c r="I861" s="10" t="n">
        <v>-4</v>
      </c>
      <c r="J861" s="10" t="n">
        <v>0</v>
      </c>
      <c r="K861" s="10" t="n">
        <v>0</v>
      </c>
      <c r="L861" s="10" t="n">
        <v>0</v>
      </c>
      <c r="M861" s="10" t="n">
        <v>0</v>
      </c>
      <c r="N861" s="10" t="n">
        <v>0</v>
      </c>
      <c r="O861" s="10" t="n">
        <v>0</v>
      </c>
      <c r="P861" s="10" t="n">
        <v>0</v>
      </c>
      <c r="Q861" s="10" t="n">
        <v>-4</v>
      </c>
      <c r="R861" s="10" t="n">
        <v>0</v>
      </c>
      <c r="S861" s="10" t="n">
        <v>0</v>
      </c>
      <c r="T861" s="10" t="n">
        <v>0</v>
      </c>
      <c r="U861" s="10" t="n">
        <v>0</v>
      </c>
    </row>
    <row r="862" customFormat="false" ht="15" hidden="false" customHeight="false" outlineLevel="0" collapsed="false">
      <c r="A862" s="7" t="s">
        <v>931</v>
      </c>
      <c r="B862" s="7" t="s">
        <v>191</v>
      </c>
      <c r="C862" s="7" t="s">
        <v>659</v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>
        <v>2</v>
      </c>
      <c r="J862" s="10" t="n">
        <v>0</v>
      </c>
      <c r="K862" s="10" t="n">
        <v>0</v>
      </c>
      <c r="L862" s="10" t="n">
        <v>0</v>
      </c>
      <c r="M862" s="10" t="n">
        <v>0</v>
      </c>
      <c r="N862" s="10" t="n">
        <v>0</v>
      </c>
      <c r="O862" s="10" t="n">
        <v>0</v>
      </c>
      <c r="P862" s="10" t="n">
        <v>-1</v>
      </c>
      <c r="Q862" s="10" t="n">
        <v>0</v>
      </c>
      <c r="R862" s="10" t="n">
        <v>3</v>
      </c>
      <c r="S862" s="10" t="n">
        <v>0</v>
      </c>
      <c r="T862" s="10" t="n">
        <v>0</v>
      </c>
      <c r="U862" s="10" t="n">
        <v>0</v>
      </c>
    </row>
    <row r="863" customFormat="false" ht="15" hidden="false" customHeight="false" outlineLevel="0" collapsed="false">
      <c r="A863" s="7" t="s">
        <v>931</v>
      </c>
      <c r="B863" s="7" t="s">
        <v>191</v>
      </c>
      <c r="C863" s="7" t="s">
        <v>660</v>
      </c>
      <c r="D863" s="10" t="n">
        <v>0</v>
      </c>
      <c r="E863" s="10" t="n">
        <v>0</v>
      </c>
      <c r="F863" s="10" t="n">
        <v>3</v>
      </c>
      <c r="G863" s="10" t="n">
        <v>0</v>
      </c>
      <c r="H863" s="10" t="n">
        <v>0</v>
      </c>
      <c r="I863" s="10" t="n">
        <v>-1</v>
      </c>
      <c r="J863" s="10" t="n">
        <v>0</v>
      </c>
      <c r="K863" s="10" t="n">
        <v>0</v>
      </c>
      <c r="L863" s="10" t="n">
        <v>0</v>
      </c>
      <c r="M863" s="10" t="n">
        <v>0</v>
      </c>
      <c r="N863" s="10" t="n">
        <v>0</v>
      </c>
      <c r="O863" s="10" t="n">
        <v>0</v>
      </c>
      <c r="P863" s="10" t="n">
        <v>0</v>
      </c>
      <c r="Q863" s="10" t="n">
        <v>-1</v>
      </c>
      <c r="R863" s="10" t="n">
        <v>0</v>
      </c>
      <c r="S863" s="10" t="n">
        <v>0</v>
      </c>
      <c r="T863" s="10" t="n">
        <v>0</v>
      </c>
      <c r="U863" s="10" t="n">
        <v>0</v>
      </c>
    </row>
    <row r="864" customFormat="false" ht="15" hidden="false" customHeight="false" outlineLevel="0" collapsed="false">
      <c r="A864" s="7" t="s">
        <v>931</v>
      </c>
      <c r="B864" s="7" t="s">
        <v>230</v>
      </c>
      <c r="C864" s="7" t="s">
        <v>661</v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>
        <v>-2</v>
      </c>
      <c r="J864" s="10" t="n">
        <v>0</v>
      </c>
      <c r="K864" s="10" t="n">
        <v>0</v>
      </c>
      <c r="L864" s="10" t="n">
        <v>0</v>
      </c>
      <c r="M864" s="10" t="n">
        <v>0</v>
      </c>
      <c r="N864" s="10" t="n">
        <v>0</v>
      </c>
      <c r="O864" s="10" t="n">
        <v>0</v>
      </c>
      <c r="P864" s="10" t="n">
        <v>0</v>
      </c>
      <c r="Q864" s="10" t="n">
        <v>-2</v>
      </c>
      <c r="R864" s="10" t="n">
        <v>0</v>
      </c>
      <c r="S864" s="10" t="n">
        <v>0</v>
      </c>
      <c r="T864" s="10" t="n">
        <v>0</v>
      </c>
      <c r="U864" s="10" t="n">
        <v>0</v>
      </c>
    </row>
    <row r="865" customFormat="false" ht="15" hidden="false" customHeight="false" outlineLevel="0" collapsed="false">
      <c r="A865" s="7" t="s">
        <v>931</v>
      </c>
      <c r="B865" s="7" t="s">
        <v>80</v>
      </c>
      <c r="C865" s="7" t="s">
        <v>662</v>
      </c>
      <c r="D865" s="10" t="n">
        <v>0</v>
      </c>
      <c r="E865" s="10" t="n">
        <v>0</v>
      </c>
      <c r="F865" s="10" t="n">
        <v>1</v>
      </c>
      <c r="G865" s="10" t="n">
        <v>0</v>
      </c>
      <c r="H865" s="10" t="n">
        <v>0</v>
      </c>
      <c r="I865" s="10" t="n">
        <v>87</v>
      </c>
      <c r="J865" s="10" t="n">
        <v>0</v>
      </c>
      <c r="K865" s="10" t="n">
        <v>1</v>
      </c>
      <c r="L865" s="10" t="n">
        <v>0</v>
      </c>
      <c r="M865" s="10" t="n">
        <v>0</v>
      </c>
      <c r="N865" s="10" t="n">
        <v>0</v>
      </c>
      <c r="O865" s="10" t="n">
        <v>0</v>
      </c>
      <c r="P865" s="10" t="n">
        <v>-1</v>
      </c>
      <c r="Q865" s="10" t="n">
        <v>78</v>
      </c>
      <c r="R865" s="10" t="n">
        <v>9</v>
      </c>
      <c r="S865" s="10" t="n">
        <v>0</v>
      </c>
      <c r="T865" s="10" t="n">
        <v>0</v>
      </c>
      <c r="U865" s="10" t="n">
        <v>0</v>
      </c>
    </row>
    <row r="866" customFormat="false" ht="15" hidden="false" customHeight="false" outlineLevel="0" collapsed="false">
      <c r="A866" s="7" t="s">
        <v>931</v>
      </c>
      <c r="B866" s="7" t="s">
        <v>80</v>
      </c>
      <c r="C866" s="7" t="s">
        <v>663</v>
      </c>
      <c r="D866" s="10" t="n">
        <v>0</v>
      </c>
      <c r="E866" s="10" t="n">
        <v>0</v>
      </c>
      <c r="F866" s="10" t="n">
        <v>4</v>
      </c>
      <c r="G866" s="10" t="n">
        <v>0</v>
      </c>
      <c r="H866" s="10" t="n">
        <v>0</v>
      </c>
      <c r="I866" s="10" t="n">
        <v>101</v>
      </c>
      <c r="J866" s="10" t="n">
        <v>0</v>
      </c>
      <c r="K866" s="10" t="n">
        <v>2</v>
      </c>
      <c r="L866" s="10" t="n">
        <v>0</v>
      </c>
      <c r="M866" s="10" t="n">
        <v>0</v>
      </c>
      <c r="N866" s="10" t="n">
        <v>0</v>
      </c>
      <c r="O866" s="10" t="n">
        <v>0</v>
      </c>
      <c r="P866" s="10" t="n">
        <v>0</v>
      </c>
      <c r="Q866" s="10" t="n">
        <v>87</v>
      </c>
      <c r="R866" s="10" t="n">
        <v>12</v>
      </c>
      <c r="S866" s="10" t="n">
        <v>0</v>
      </c>
      <c r="T866" s="10" t="n">
        <v>0</v>
      </c>
      <c r="U866" s="10" t="n">
        <v>0</v>
      </c>
    </row>
    <row r="867" customFormat="false" ht="15" hidden="false" customHeight="false" outlineLevel="0" collapsed="false">
      <c r="A867" s="7" t="s">
        <v>931</v>
      </c>
      <c r="B867" s="7" t="s">
        <v>80</v>
      </c>
      <c r="C867" s="7" t="s">
        <v>664</v>
      </c>
      <c r="D867" s="10" t="n">
        <v>0</v>
      </c>
      <c r="E867" s="10" t="n">
        <v>0</v>
      </c>
      <c r="F867" s="10" t="n">
        <v>5</v>
      </c>
      <c r="G867" s="10" t="n">
        <v>0</v>
      </c>
      <c r="H867" s="10" t="n">
        <v>0</v>
      </c>
      <c r="I867" s="10" t="n">
        <v>114</v>
      </c>
      <c r="J867" s="10" t="n">
        <v>0</v>
      </c>
      <c r="K867" s="10" t="n">
        <v>1</v>
      </c>
      <c r="L867" s="10" t="n">
        <v>0</v>
      </c>
      <c r="M867" s="10" t="n">
        <v>0</v>
      </c>
      <c r="N867" s="10" t="n">
        <v>0</v>
      </c>
      <c r="O867" s="10" t="n">
        <v>0</v>
      </c>
      <c r="P867" s="10" t="n">
        <v>0</v>
      </c>
      <c r="Q867" s="10" t="n">
        <v>95</v>
      </c>
      <c r="R867" s="10" t="n">
        <v>18</v>
      </c>
      <c r="S867" s="10" t="n">
        <v>0</v>
      </c>
      <c r="T867" s="10" t="n">
        <v>0</v>
      </c>
      <c r="U867" s="10" t="n">
        <v>0</v>
      </c>
    </row>
    <row r="868" customFormat="false" ht="15" hidden="false" customHeight="false" outlineLevel="0" collapsed="false">
      <c r="A868" s="7" t="s">
        <v>931</v>
      </c>
      <c r="B868" s="7" t="s">
        <v>77</v>
      </c>
      <c r="C868" s="7" t="s">
        <v>665</v>
      </c>
      <c r="D868" s="10" t="n">
        <v>0</v>
      </c>
      <c r="E868" s="10" t="n">
        <v>0</v>
      </c>
      <c r="F868" s="10" t="n">
        <v>5</v>
      </c>
      <c r="G868" s="10" t="n">
        <v>0</v>
      </c>
      <c r="H868" s="10" t="n">
        <v>0</v>
      </c>
      <c r="I868" s="10" t="n">
        <v>23</v>
      </c>
      <c r="J868" s="10" t="n">
        <v>0</v>
      </c>
      <c r="K868" s="10" t="n">
        <v>0</v>
      </c>
      <c r="L868" s="10" t="n">
        <v>0</v>
      </c>
      <c r="M868" s="10" t="n">
        <v>0</v>
      </c>
      <c r="N868" s="10" t="n">
        <v>0</v>
      </c>
      <c r="O868" s="10" t="n">
        <v>0</v>
      </c>
      <c r="P868" s="10" t="n">
        <v>0</v>
      </c>
      <c r="Q868" s="10" t="n">
        <v>21</v>
      </c>
      <c r="R868" s="10" t="n">
        <v>2</v>
      </c>
      <c r="S868" s="10" t="n">
        <v>0</v>
      </c>
      <c r="T868" s="10" t="n">
        <v>0</v>
      </c>
      <c r="U868" s="10" t="n">
        <v>0</v>
      </c>
    </row>
    <row r="869" customFormat="false" ht="15" hidden="false" customHeight="false" outlineLevel="0" collapsed="false">
      <c r="A869" s="7" t="s">
        <v>931</v>
      </c>
      <c r="B869" s="7" t="s">
        <v>77</v>
      </c>
      <c r="C869" s="7" t="s">
        <v>666</v>
      </c>
      <c r="D869" s="10" t="n">
        <v>0</v>
      </c>
      <c r="E869" s="10" t="n">
        <v>0</v>
      </c>
      <c r="F869" s="10" t="n">
        <v>14</v>
      </c>
      <c r="G869" s="10" t="n">
        <v>0</v>
      </c>
      <c r="H869" s="10" t="n">
        <v>0</v>
      </c>
      <c r="I869" s="10" t="n">
        <v>136</v>
      </c>
      <c r="J869" s="10" t="n">
        <v>0</v>
      </c>
      <c r="K869" s="10" t="n">
        <v>0</v>
      </c>
      <c r="L869" s="10" t="n">
        <v>0</v>
      </c>
      <c r="M869" s="10" t="n">
        <v>0</v>
      </c>
      <c r="N869" s="10" t="n">
        <v>0</v>
      </c>
      <c r="O869" s="10" t="n">
        <v>0</v>
      </c>
      <c r="P869" s="10" t="n">
        <v>-1</v>
      </c>
      <c r="Q869" s="10" t="n">
        <v>130</v>
      </c>
      <c r="R869" s="10" t="n">
        <v>7</v>
      </c>
      <c r="S869" s="10" t="n">
        <v>0</v>
      </c>
      <c r="T869" s="10" t="n">
        <v>0</v>
      </c>
      <c r="U869" s="10" t="n">
        <v>0</v>
      </c>
    </row>
    <row r="870" customFormat="false" ht="15" hidden="false" customHeight="false" outlineLevel="0" collapsed="false">
      <c r="A870" s="7" t="s">
        <v>931</v>
      </c>
      <c r="B870" s="7" t="s">
        <v>77</v>
      </c>
      <c r="C870" s="7" t="s">
        <v>667</v>
      </c>
      <c r="D870" s="10" t="n">
        <v>0</v>
      </c>
      <c r="E870" s="10" t="n">
        <v>0</v>
      </c>
      <c r="F870" s="10" t="n">
        <v>27</v>
      </c>
      <c r="G870" s="10" t="n">
        <v>0</v>
      </c>
      <c r="H870" s="10" t="n">
        <v>0</v>
      </c>
      <c r="I870" s="10" t="n">
        <v>226</v>
      </c>
      <c r="J870" s="10" t="n">
        <v>0</v>
      </c>
      <c r="K870" s="10" t="n">
        <v>0</v>
      </c>
      <c r="L870" s="10" t="n">
        <v>0</v>
      </c>
      <c r="M870" s="10" t="n">
        <v>0</v>
      </c>
      <c r="N870" s="10" t="n">
        <v>0</v>
      </c>
      <c r="O870" s="10" t="n">
        <v>0</v>
      </c>
      <c r="P870" s="10" t="n">
        <v>-1</v>
      </c>
      <c r="Q870" s="10" t="n">
        <v>213</v>
      </c>
      <c r="R870" s="10" t="n">
        <v>14</v>
      </c>
      <c r="S870" s="10" t="n">
        <v>0</v>
      </c>
      <c r="T870" s="10" t="n">
        <v>0</v>
      </c>
      <c r="U870" s="10" t="n">
        <v>0</v>
      </c>
    </row>
    <row r="871" customFormat="false" ht="15" hidden="false" customHeight="false" outlineLevel="0" collapsed="false">
      <c r="A871" s="7" t="s">
        <v>931</v>
      </c>
      <c r="B871" s="7" t="s">
        <v>77</v>
      </c>
      <c r="C871" s="7" t="s">
        <v>668</v>
      </c>
      <c r="D871" s="10" t="n">
        <v>0</v>
      </c>
      <c r="E871" s="10" t="n">
        <v>0</v>
      </c>
      <c r="F871" s="10" t="n">
        <v>18</v>
      </c>
      <c r="G871" s="10" t="n">
        <v>0</v>
      </c>
      <c r="H871" s="10" t="n">
        <v>0</v>
      </c>
      <c r="I871" s="10" t="n">
        <v>136</v>
      </c>
      <c r="J871" s="10" t="n">
        <v>0</v>
      </c>
      <c r="K871" s="10" t="n">
        <v>0</v>
      </c>
      <c r="L871" s="10" t="n">
        <v>0</v>
      </c>
      <c r="M871" s="10" t="n">
        <v>0</v>
      </c>
      <c r="N871" s="10" t="n">
        <v>0</v>
      </c>
      <c r="O871" s="10" t="n">
        <v>0</v>
      </c>
      <c r="P871" s="10" t="n">
        <v>0</v>
      </c>
      <c r="Q871" s="10" t="n">
        <v>128</v>
      </c>
      <c r="R871" s="10" t="n">
        <v>8</v>
      </c>
      <c r="S871" s="10" t="n">
        <v>0</v>
      </c>
      <c r="T871" s="10" t="n">
        <v>0</v>
      </c>
      <c r="U871" s="10" t="n">
        <v>0</v>
      </c>
    </row>
    <row r="872" customFormat="false" ht="15" hidden="false" customHeight="false" outlineLevel="0" collapsed="false">
      <c r="A872" s="7" t="s">
        <v>931</v>
      </c>
      <c r="B872" s="7" t="s">
        <v>77</v>
      </c>
      <c r="C872" s="7" t="s">
        <v>669</v>
      </c>
      <c r="D872" s="10" t="n">
        <v>0</v>
      </c>
      <c r="E872" s="10" t="n">
        <v>0</v>
      </c>
      <c r="F872" s="10" t="n">
        <v>2</v>
      </c>
      <c r="G872" s="10" t="n">
        <v>0</v>
      </c>
      <c r="H872" s="10" t="n">
        <v>0</v>
      </c>
      <c r="I872" s="10" t="n">
        <v>53</v>
      </c>
      <c r="J872" s="10" t="n">
        <v>0</v>
      </c>
      <c r="K872" s="10" t="n">
        <v>0</v>
      </c>
      <c r="L872" s="10" t="n">
        <v>0</v>
      </c>
      <c r="M872" s="10" t="n">
        <v>0</v>
      </c>
      <c r="N872" s="10" t="n">
        <v>0</v>
      </c>
      <c r="O872" s="10" t="n">
        <v>0</v>
      </c>
      <c r="P872" s="10" t="n">
        <v>0</v>
      </c>
      <c r="Q872" s="10" t="n">
        <v>49</v>
      </c>
      <c r="R872" s="10" t="n">
        <v>4</v>
      </c>
      <c r="S872" s="10" t="n">
        <v>0</v>
      </c>
      <c r="T872" s="10" t="n">
        <v>0</v>
      </c>
      <c r="U872" s="10" t="n">
        <v>0</v>
      </c>
    </row>
    <row r="873" customFormat="false" ht="15" hidden="false" customHeight="false" outlineLevel="0" collapsed="false">
      <c r="A873" s="7" t="s">
        <v>931</v>
      </c>
      <c r="B873" s="7" t="s">
        <v>329</v>
      </c>
      <c r="C873" s="7" t="s">
        <v>670</v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>
        <v>-1</v>
      </c>
      <c r="J873" s="10" t="n">
        <v>0</v>
      </c>
      <c r="K873" s="10" t="n">
        <v>0</v>
      </c>
      <c r="L873" s="10" t="n">
        <v>0</v>
      </c>
      <c r="M873" s="10" t="n">
        <v>0</v>
      </c>
      <c r="N873" s="10" t="n">
        <v>0</v>
      </c>
      <c r="O873" s="10" t="n">
        <v>0</v>
      </c>
      <c r="P873" s="10" t="n">
        <v>-1</v>
      </c>
      <c r="Q873" s="10" t="n">
        <v>0</v>
      </c>
      <c r="R873" s="10" t="n">
        <v>0</v>
      </c>
      <c r="S873" s="10" t="n">
        <v>0</v>
      </c>
      <c r="T873" s="10" t="n">
        <v>0</v>
      </c>
      <c r="U873" s="10" t="n">
        <v>0</v>
      </c>
    </row>
    <row r="874" customFormat="false" ht="15" hidden="false" customHeight="false" outlineLevel="0" collapsed="false">
      <c r="A874" s="7" t="s">
        <v>931</v>
      </c>
      <c r="B874" s="7" t="s">
        <v>329</v>
      </c>
      <c r="C874" s="7" t="s">
        <v>671</v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>
        <v>-3</v>
      </c>
      <c r="J874" s="10" t="n">
        <v>0</v>
      </c>
      <c r="K874" s="10" t="n">
        <v>0</v>
      </c>
      <c r="L874" s="10" t="n">
        <v>0</v>
      </c>
      <c r="M874" s="10" t="n">
        <v>0</v>
      </c>
      <c r="N874" s="10" t="n">
        <v>0</v>
      </c>
      <c r="O874" s="10" t="n">
        <v>0</v>
      </c>
      <c r="P874" s="10" t="n">
        <v>-3</v>
      </c>
      <c r="Q874" s="10" t="n">
        <v>0</v>
      </c>
      <c r="R874" s="10" t="n">
        <v>0</v>
      </c>
      <c r="S874" s="10" t="n">
        <v>0</v>
      </c>
      <c r="T874" s="10" t="n">
        <v>0</v>
      </c>
      <c r="U874" s="10" t="n">
        <v>0</v>
      </c>
    </row>
    <row r="875" customFormat="false" ht="15" hidden="false" customHeight="false" outlineLevel="0" collapsed="false">
      <c r="A875" s="7" t="s">
        <v>931</v>
      </c>
      <c r="B875" s="7" t="s">
        <v>352</v>
      </c>
      <c r="C875" s="7" t="s">
        <v>672</v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>
        <v>-1</v>
      </c>
      <c r="J875" s="10" t="n">
        <v>0</v>
      </c>
      <c r="K875" s="10" t="n">
        <v>1</v>
      </c>
      <c r="L875" s="10" t="n">
        <v>0</v>
      </c>
      <c r="M875" s="10" t="n">
        <v>0</v>
      </c>
      <c r="N875" s="10" t="n">
        <v>0</v>
      </c>
      <c r="O875" s="10" t="n">
        <v>0</v>
      </c>
      <c r="P875" s="10" t="n">
        <v>-2</v>
      </c>
      <c r="Q875" s="10" t="n">
        <v>0</v>
      </c>
      <c r="R875" s="10" t="n">
        <v>0</v>
      </c>
      <c r="S875" s="10" t="n">
        <v>0</v>
      </c>
      <c r="T875" s="10" t="n">
        <v>0</v>
      </c>
      <c r="U875" s="10" t="n">
        <v>0</v>
      </c>
    </row>
    <row r="876" customFormat="false" ht="15" hidden="false" customHeight="false" outlineLevel="0" collapsed="false">
      <c r="A876" s="7" t="s">
        <v>931</v>
      </c>
      <c r="B876" s="7" t="s">
        <v>352</v>
      </c>
      <c r="C876" s="7" t="s">
        <v>673</v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>
        <v>-4</v>
      </c>
      <c r="J876" s="10" t="n">
        <v>0</v>
      </c>
      <c r="K876" s="10" t="n">
        <v>0</v>
      </c>
      <c r="L876" s="10" t="n">
        <v>0</v>
      </c>
      <c r="M876" s="10" t="n">
        <v>0</v>
      </c>
      <c r="N876" s="10" t="n">
        <v>0</v>
      </c>
      <c r="O876" s="10" t="n">
        <v>0</v>
      </c>
      <c r="P876" s="10" t="n">
        <v>-4</v>
      </c>
      <c r="Q876" s="10" t="n">
        <v>0</v>
      </c>
      <c r="R876" s="10" t="n">
        <v>0</v>
      </c>
      <c r="S876" s="10" t="n">
        <v>0</v>
      </c>
      <c r="T876" s="10" t="n">
        <v>0</v>
      </c>
      <c r="U876" s="10" t="n">
        <v>0</v>
      </c>
    </row>
    <row r="877" customFormat="false" ht="15" hidden="false" customHeight="false" outlineLevel="0" collapsed="false">
      <c r="A877" s="7" t="s">
        <v>931</v>
      </c>
      <c r="B877" s="7" t="s">
        <v>352</v>
      </c>
      <c r="C877" s="7" t="s">
        <v>674</v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>
        <v>-2</v>
      </c>
      <c r="J877" s="10" t="n">
        <v>0</v>
      </c>
      <c r="K877" s="10" t="n">
        <v>0</v>
      </c>
      <c r="L877" s="10" t="n">
        <v>0</v>
      </c>
      <c r="M877" s="10" t="n">
        <v>0</v>
      </c>
      <c r="N877" s="10" t="n">
        <v>0</v>
      </c>
      <c r="O877" s="10" t="n">
        <v>0</v>
      </c>
      <c r="P877" s="10" t="n">
        <v>-2</v>
      </c>
      <c r="Q877" s="10" t="n">
        <v>0</v>
      </c>
      <c r="R877" s="10" t="n">
        <v>0</v>
      </c>
      <c r="S877" s="10" t="n">
        <v>0</v>
      </c>
      <c r="T877" s="10" t="n">
        <v>0</v>
      </c>
      <c r="U877" s="10" t="n">
        <v>0</v>
      </c>
    </row>
    <row r="878" customFormat="false" ht="15" hidden="false" customHeight="false" outlineLevel="0" collapsed="false">
      <c r="A878" s="7" t="s">
        <v>931</v>
      </c>
      <c r="B878" s="7" t="s">
        <v>298</v>
      </c>
      <c r="C878" s="7" t="s">
        <v>675</v>
      </c>
      <c r="D878" s="10" t="n">
        <v>0</v>
      </c>
      <c r="E878" s="10" t="n">
        <v>0</v>
      </c>
      <c r="F878" s="10" t="n">
        <v>2</v>
      </c>
      <c r="G878" s="10" t="n">
        <v>0</v>
      </c>
      <c r="H878" s="10" t="n">
        <v>0</v>
      </c>
      <c r="I878" s="10" t="n">
        <v>0</v>
      </c>
      <c r="J878" s="10" t="n">
        <v>0</v>
      </c>
      <c r="K878" s="10" t="n">
        <v>0</v>
      </c>
      <c r="L878" s="10" t="n">
        <v>0</v>
      </c>
      <c r="M878" s="10" t="n">
        <v>0</v>
      </c>
      <c r="N878" s="10" t="n">
        <v>0</v>
      </c>
      <c r="O878" s="10" t="n">
        <v>0</v>
      </c>
      <c r="P878" s="10" t="n">
        <v>0</v>
      </c>
      <c r="Q878" s="10" t="n">
        <v>0</v>
      </c>
      <c r="R878" s="10" t="n">
        <v>0</v>
      </c>
      <c r="S878" s="10" t="n">
        <v>0</v>
      </c>
      <c r="T878" s="10" t="n">
        <v>0</v>
      </c>
      <c r="U878" s="10" t="n">
        <v>0</v>
      </c>
    </row>
    <row r="879" customFormat="false" ht="15" hidden="false" customHeight="false" outlineLevel="0" collapsed="false">
      <c r="A879" s="7" t="s">
        <v>931</v>
      </c>
      <c r="B879" s="7" t="s">
        <v>298</v>
      </c>
      <c r="C879" s="7" t="s">
        <v>676</v>
      </c>
      <c r="D879" s="10" t="n">
        <v>0</v>
      </c>
      <c r="E879" s="10" t="n">
        <v>0</v>
      </c>
      <c r="F879" s="10" t="n">
        <v>1</v>
      </c>
      <c r="G879" s="10" t="n">
        <v>0</v>
      </c>
      <c r="H879" s="10" t="n">
        <v>0</v>
      </c>
      <c r="I879" s="10" t="n">
        <v>0</v>
      </c>
      <c r="J879" s="10" t="n">
        <v>0</v>
      </c>
      <c r="K879" s="10" t="n">
        <v>0</v>
      </c>
      <c r="L879" s="10" t="n">
        <v>0</v>
      </c>
      <c r="M879" s="10" t="n">
        <v>0</v>
      </c>
      <c r="N879" s="10" t="n">
        <v>0</v>
      </c>
      <c r="O879" s="10" t="n">
        <v>0</v>
      </c>
      <c r="P879" s="10" t="n">
        <v>0</v>
      </c>
      <c r="Q879" s="10" t="n">
        <v>0</v>
      </c>
      <c r="R879" s="10" t="n">
        <v>0</v>
      </c>
      <c r="S879" s="10" t="n">
        <v>0</v>
      </c>
      <c r="T879" s="10" t="n">
        <v>0</v>
      </c>
      <c r="U879" s="10" t="n">
        <v>0</v>
      </c>
    </row>
    <row r="880" customFormat="false" ht="15" hidden="false" customHeight="false" outlineLevel="0" collapsed="false">
      <c r="A880" s="7" t="s">
        <v>931</v>
      </c>
      <c r="B880" s="7" t="s">
        <v>298</v>
      </c>
      <c r="C880" s="7" t="s">
        <v>677</v>
      </c>
      <c r="D880" s="10" t="n">
        <v>0</v>
      </c>
      <c r="E880" s="10" t="n">
        <v>0</v>
      </c>
      <c r="F880" s="10" t="n">
        <v>2</v>
      </c>
      <c r="G880" s="10" t="n">
        <v>0</v>
      </c>
      <c r="H880" s="10" t="n">
        <v>0</v>
      </c>
      <c r="I880" s="10" t="n">
        <v>0</v>
      </c>
      <c r="J880" s="10" t="n">
        <v>0</v>
      </c>
      <c r="K880" s="10" t="n">
        <v>0</v>
      </c>
      <c r="L880" s="10" t="n">
        <v>0</v>
      </c>
      <c r="M880" s="10" t="n">
        <v>0</v>
      </c>
      <c r="N880" s="10" t="n">
        <v>0</v>
      </c>
      <c r="O880" s="10" t="n">
        <v>0</v>
      </c>
      <c r="P880" s="10" t="n">
        <v>0</v>
      </c>
      <c r="Q880" s="10" t="n">
        <v>0</v>
      </c>
      <c r="R880" s="10" t="n">
        <v>0</v>
      </c>
      <c r="S880" s="10" t="n">
        <v>0</v>
      </c>
      <c r="T880" s="10" t="n">
        <v>0</v>
      </c>
      <c r="U880" s="10" t="n">
        <v>0</v>
      </c>
    </row>
    <row r="881" customFormat="false" ht="15" hidden="false" customHeight="false" outlineLevel="0" collapsed="false">
      <c r="A881" s="7" t="s">
        <v>931</v>
      </c>
      <c r="B881" s="7" t="s">
        <v>164</v>
      </c>
      <c r="C881" s="7" t="s">
        <v>678</v>
      </c>
      <c r="D881" s="10" t="n">
        <v>0</v>
      </c>
      <c r="E881" s="10" t="n">
        <v>0</v>
      </c>
      <c r="F881" s="10" t="n">
        <v>2</v>
      </c>
      <c r="G881" s="10" t="n">
        <v>0</v>
      </c>
      <c r="H881" s="10" t="n">
        <v>0</v>
      </c>
      <c r="I881" s="10" t="n">
        <v>0</v>
      </c>
      <c r="J881" s="10" t="n">
        <v>0</v>
      </c>
      <c r="K881" s="10" t="n">
        <v>0</v>
      </c>
      <c r="L881" s="10" t="n">
        <v>0</v>
      </c>
      <c r="M881" s="10" t="n">
        <v>0</v>
      </c>
      <c r="N881" s="10" t="n">
        <v>0</v>
      </c>
      <c r="O881" s="10" t="n">
        <v>0</v>
      </c>
      <c r="P881" s="10" t="n">
        <v>0</v>
      </c>
      <c r="Q881" s="10" t="n">
        <v>0</v>
      </c>
      <c r="R881" s="10" t="n">
        <v>0</v>
      </c>
      <c r="S881" s="10" t="n">
        <v>0</v>
      </c>
      <c r="T881" s="10" t="n">
        <v>0</v>
      </c>
      <c r="U881" s="10" t="n">
        <v>0</v>
      </c>
    </row>
    <row r="882" customFormat="false" ht="15" hidden="false" customHeight="false" outlineLevel="0" collapsed="false">
      <c r="A882" s="7" t="s">
        <v>931</v>
      </c>
      <c r="B882" s="7" t="s">
        <v>210</v>
      </c>
      <c r="C882" s="7" t="s">
        <v>679</v>
      </c>
      <c r="D882" s="10" t="n">
        <v>0</v>
      </c>
      <c r="E882" s="10" t="n">
        <v>0</v>
      </c>
      <c r="F882" s="10" t="n">
        <v>2</v>
      </c>
      <c r="G882" s="10" t="n">
        <v>0</v>
      </c>
      <c r="H882" s="10" t="n">
        <v>0</v>
      </c>
      <c r="I882" s="10" t="n">
        <v>1</v>
      </c>
      <c r="J882" s="10" t="n">
        <v>0</v>
      </c>
      <c r="K882" s="10" t="n">
        <v>0</v>
      </c>
      <c r="L882" s="10" t="n">
        <v>0</v>
      </c>
      <c r="M882" s="10" t="n">
        <v>0</v>
      </c>
      <c r="N882" s="10" t="n">
        <v>0</v>
      </c>
      <c r="O882" s="10" t="n">
        <v>0</v>
      </c>
      <c r="P882" s="10" t="n">
        <v>-1</v>
      </c>
      <c r="Q882" s="10" t="n">
        <v>1</v>
      </c>
      <c r="R882" s="10" t="n">
        <v>1</v>
      </c>
      <c r="S882" s="10" t="n">
        <v>0</v>
      </c>
      <c r="T882" s="10" t="n">
        <v>0</v>
      </c>
      <c r="U882" s="10" t="n">
        <v>0</v>
      </c>
    </row>
    <row r="883" customFormat="false" ht="15" hidden="false" customHeight="false" outlineLevel="0" collapsed="false">
      <c r="A883" s="7" t="s">
        <v>931</v>
      </c>
      <c r="B883" s="7" t="s">
        <v>210</v>
      </c>
      <c r="C883" s="7" t="s">
        <v>680</v>
      </c>
      <c r="D883" s="10" t="n">
        <v>0</v>
      </c>
      <c r="E883" s="10" t="n">
        <v>0</v>
      </c>
      <c r="F883" s="10" t="n">
        <v>4</v>
      </c>
      <c r="G883" s="10" t="n">
        <v>0</v>
      </c>
      <c r="H883" s="10" t="n">
        <v>0</v>
      </c>
      <c r="I883" s="10" t="n">
        <v>3</v>
      </c>
      <c r="J883" s="10" t="n">
        <v>0</v>
      </c>
      <c r="K883" s="10" t="n">
        <v>0</v>
      </c>
      <c r="L883" s="10" t="n">
        <v>0</v>
      </c>
      <c r="M883" s="10" t="n">
        <v>0</v>
      </c>
      <c r="N883" s="10" t="n">
        <v>0</v>
      </c>
      <c r="O883" s="10" t="n">
        <v>0</v>
      </c>
      <c r="P883" s="10" t="n">
        <v>-3</v>
      </c>
      <c r="Q883" s="10" t="n">
        <v>-2</v>
      </c>
      <c r="R883" s="10" t="n">
        <v>8</v>
      </c>
      <c r="S883" s="10" t="n">
        <v>0</v>
      </c>
      <c r="T883" s="10" t="n">
        <v>0</v>
      </c>
      <c r="U883" s="10" t="n">
        <v>0</v>
      </c>
    </row>
    <row r="884" customFormat="false" ht="15" hidden="false" customHeight="false" outlineLevel="0" collapsed="false">
      <c r="A884" s="7" t="s">
        <v>931</v>
      </c>
      <c r="B884" s="7" t="s">
        <v>210</v>
      </c>
      <c r="C884" s="7" t="s">
        <v>681</v>
      </c>
      <c r="D884" s="10" t="n">
        <v>0</v>
      </c>
      <c r="E884" s="10" t="n">
        <v>0</v>
      </c>
      <c r="F884" s="10" t="n">
        <v>5</v>
      </c>
      <c r="G884" s="10" t="n">
        <v>0</v>
      </c>
      <c r="H884" s="10" t="n">
        <v>0</v>
      </c>
      <c r="I884" s="10" t="n">
        <v>-5</v>
      </c>
      <c r="J884" s="10" t="n">
        <v>0</v>
      </c>
      <c r="K884" s="10" t="n">
        <v>0</v>
      </c>
      <c r="L884" s="10" t="n">
        <v>0</v>
      </c>
      <c r="M884" s="10" t="n">
        <v>0</v>
      </c>
      <c r="N884" s="10" t="n">
        <v>0</v>
      </c>
      <c r="O884" s="10" t="n">
        <v>0</v>
      </c>
      <c r="P884" s="10" t="n">
        <v>-4</v>
      </c>
      <c r="Q884" s="10" t="n">
        <v>-1</v>
      </c>
      <c r="R884" s="10" t="n">
        <v>0</v>
      </c>
      <c r="S884" s="10" t="n">
        <v>0</v>
      </c>
      <c r="T884" s="10" t="n">
        <v>0</v>
      </c>
      <c r="U884" s="10" t="n">
        <v>0</v>
      </c>
    </row>
    <row r="885" customFormat="false" ht="15" hidden="false" customHeight="false" outlineLevel="0" collapsed="false">
      <c r="A885" s="7" t="s">
        <v>931</v>
      </c>
      <c r="B885" s="7" t="s">
        <v>178</v>
      </c>
      <c r="C885" s="7" t="s">
        <v>682</v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>
        <v>-1</v>
      </c>
      <c r="J885" s="10" t="n">
        <v>0</v>
      </c>
      <c r="K885" s="10" t="n">
        <v>0</v>
      </c>
      <c r="L885" s="10" t="n">
        <v>0</v>
      </c>
      <c r="M885" s="10" t="n">
        <v>0</v>
      </c>
      <c r="N885" s="10" t="n">
        <v>0</v>
      </c>
      <c r="O885" s="10" t="n">
        <v>0</v>
      </c>
      <c r="P885" s="10" t="n">
        <v>-2</v>
      </c>
      <c r="Q885" s="10" t="n">
        <v>0</v>
      </c>
      <c r="R885" s="10" t="n">
        <v>1</v>
      </c>
      <c r="S885" s="10" t="n">
        <v>0</v>
      </c>
      <c r="T885" s="10" t="n">
        <v>0</v>
      </c>
      <c r="U885" s="10" t="n">
        <v>0</v>
      </c>
    </row>
    <row r="886" customFormat="false" ht="15" hidden="false" customHeight="false" outlineLevel="0" collapsed="false">
      <c r="A886" s="7" t="s">
        <v>931</v>
      </c>
      <c r="B886" s="7" t="s">
        <v>178</v>
      </c>
      <c r="C886" s="7" t="s">
        <v>683</v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>
        <v>-4</v>
      </c>
      <c r="J886" s="10" t="n">
        <v>0</v>
      </c>
      <c r="K886" s="10" t="n">
        <v>0</v>
      </c>
      <c r="L886" s="10" t="n">
        <v>0</v>
      </c>
      <c r="M886" s="10" t="n">
        <v>0</v>
      </c>
      <c r="N886" s="10" t="n">
        <v>0</v>
      </c>
      <c r="O886" s="10" t="n">
        <v>0</v>
      </c>
      <c r="P886" s="10" t="n">
        <v>-2</v>
      </c>
      <c r="Q886" s="10" t="n">
        <v>-2</v>
      </c>
      <c r="R886" s="10" t="n">
        <v>0</v>
      </c>
      <c r="S886" s="10" t="n">
        <v>0</v>
      </c>
      <c r="T886" s="10" t="n">
        <v>0</v>
      </c>
      <c r="U886" s="10" t="n">
        <v>0</v>
      </c>
    </row>
    <row r="887" customFormat="false" ht="15" hidden="false" customHeight="false" outlineLevel="0" collapsed="false">
      <c r="A887" s="7" t="s">
        <v>931</v>
      </c>
      <c r="B887" s="7" t="s">
        <v>178</v>
      </c>
      <c r="C887" s="7" t="s">
        <v>684</v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>
        <v>-2</v>
      </c>
      <c r="J887" s="10" t="n">
        <v>0</v>
      </c>
      <c r="K887" s="10" t="n">
        <v>0</v>
      </c>
      <c r="L887" s="10" t="n">
        <v>0</v>
      </c>
      <c r="M887" s="10" t="n">
        <v>0</v>
      </c>
      <c r="N887" s="10" t="n">
        <v>0</v>
      </c>
      <c r="O887" s="10" t="n">
        <v>0</v>
      </c>
      <c r="P887" s="10" t="n">
        <v>0</v>
      </c>
      <c r="Q887" s="10" t="n">
        <v>-2</v>
      </c>
      <c r="R887" s="10" t="n">
        <v>0</v>
      </c>
      <c r="S887" s="10" t="n">
        <v>0</v>
      </c>
      <c r="T887" s="10" t="n">
        <v>0</v>
      </c>
      <c r="U887" s="10" t="n">
        <v>0</v>
      </c>
    </row>
    <row r="888" customFormat="false" ht="15" hidden="false" customHeight="false" outlineLevel="0" collapsed="false">
      <c r="A888" s="7" t="s">
        <v>931</v>
      </c>
      <c r="B888" s="7" t="s">
        <v>178</v>
      </c>
      <c r="C888" s="7" t="s">
        <v>685</v>
      </c>
      <c r="D888" s="10" t="n">
        <v>0</v>
      </c>
      <c r="E888" s="10" t="n">
        <v>0</v>
      </c>
      <c r="F888" s="10" t="n">
        <v>1</v>
      </c>
      <c r="G888" s="10" t="n">
        <v>0</v>
      </c>
      <c r="H888" s="10" t="n">
        <v>0</v>
      </c>
      <c r="I888" s="10" t="n">
        <v>4</v>
      </c>
      <c r="J888" s="10" t="n">
        <v>0</v>
      </c>
      <c r="K888" s="10" t="n">
        <v>0</v>
      </c>
      <c r="L888" s="10" t="n">
        <v>0</v>
      </c>
      <c r="M888" s="10" t="n">
        <v>0</v>
      </c>
      <c r="N888" s="10" t="n">
        <v>0</v>
      </c>
      <c r="O888" s="10" t="n">
        <v>0</v>
      </c>
      <c r="P888" s="10" t="n">
        <v>0</v>
      </c>
      <c r="Q888" s="10" t="n">
        <v>0</v>
      </c>
      <c r="R888" s="10" t="n">
        <v>4</v>
      </c>
      <c r="S888" s="10" t="n">
        <v>0</v>
      </c>
      <c r="T888" s="10" t="n">
        <v>0</v>
      </c>
      <c r="U888" s="10" t="n">
        <v>0</v>
      </c>
    </row>
    <row r="889" customFormat="false" ht="15" hidden="false" customHeight="false" outlineLevel="0" collapsed="false">
      <c r="A889" s="7" t="s">
        <v>931</v>
      </c>
      <c r="B889" s="7" t="s">
        <v>178</v>
      </c>
      <c r="C889" s="7" t="s">
        <v>686</v>
      </c>
      <c r="D889" s="10" t="n">
        <v>0</v>
      </c>
      <c r="E889" s="10" t="n">
        <v>0</v>
      </c>
      <c r="F889" s="10" t="n">
        <v>1</v>
      </c>
      <c r="G889" s="10" t="n">
        <v>0</v>
      </c>
      <c r="H889" s="10" t="n">
        <v>0</v>
      </c>
      <c r="I889" s="10" t="n">
        <v>0</v>
      </c>
      <c r="J889" s="10" t="n">
        <v>0</v>
      </c>
      <c r="K889" s="10" t="n">
        <v>0</v>
      </c>
      <c r="L889" s="10" t="n">
        <v>0</v>
      </c>
      <c r="M889" s="10" t="n">
        <v>0</v>
      </c>
      <c r="N889" s="10" t="n">
        <v>0</v>
      </c>
      <c r="O889" s="10" t="n">
        <v>0</v>
      </c>
      <c r="P889" s="10" t="n">
        <v>0</v>
      </c>
      <c r="Q889" s="10" t="n">
        <v>0</v>
      </c>
      <c r="R889" s="10" t="n">
        <v>0</v>
      </c>
      <c r="S889" s="10" t="n">
        <v>0</v>
      </c>
      <c r="T889" s="10" t="n">
        <v>0</v>
      </c>
      <c r="U889" s="10" t="n">
        <v>0</v>
      </c>
    </row>
    <row r="890" customFormat="false" ht="15" hidden="false" customHeight="false" outlineLevel="0" collapsed="false">
      <c r="A890" s="7" t="s">
        <v>931</v>
      </c>
      <c r="B890" s="7" t="s">
        <v>89</v>
      </c>
      <c r="C890" s="7" t="s">
        <v>687</v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>
        <v>-3</v>
      </c>
      <c r="J890" s="10" t="n">
        <v>0</v>
      </c>
      <c r="K890" s="10" t="n">
        <v>0</v>
      </c>
      <c r="L890" s="10" t="n">
        <v>0</v>
      </c>
      <c r="M890" s="10" t="n">
        <v>0</v>
      </c>
      <c r="N890" s="10" t="n">
        <v>0</v>
      </c>
      <c r="O890" s="10" t="n">
        <v>0</v>
      </c>
      <c r="P890" s="10" t="n">
        <v>0</v>
      </c>
      <c r="Q890" s="10" t="n">
        <v>-3</v>
      </c>
      <c r="R890" s="10" t="n">
        <v>0</v>
      </c>
      <c r="S890" s="10" t="n">
        <v>0</v>
      </c>
      <c r="T890" s="10" t="n">
        <v>0</v>
      </c>
      <c r="U890" s="10" t="n">
        <v>0</v>
      </c>
    </row>
    <row r="891" customFormat="false" ht="15" hidden="false" customHeight="false" outlineLevel="0" collapsed="false">
      <c r="A891" s="7" t="s">
        <v>931</v>
      </c>
      <c r="B891" s="7" t="s">
        <v>230</v>
      </c>
      <c r="C891" s="7" t="s">
        <v>688</v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>
        <v>27</v>
      </c>
      <c r="J891" s="10" t="n">
        <v>0</v>
      </c>
      <c r="K891" s="10" t="n">
        <v>0</v>
      </c>
      <c r="L891" s="10" t="n">
        <v>0</v>
      </c>
      <c r="M891" s="10" t="n">
        <v>0</v>
      </c>
      <c r="N891" s="10" t="n">
        <v>0</v>
      </c>
      <c r="O891" s="10" t="n">
        <v>0</v>
      </c>
      <c r="P891" s="10" t="n">
        <v>0</v>
      </c>
      <c r="Q891" s="10" t="n">
        <v>27</v>
      </c>
      <c r="R891" s="10" t="n">
        <v>0</v>
      </c>
      <c r="S891" s="10" t="n">
        <v>0</v>
      </c>
      <c r="T891" s="10" t="n">
        <v>0</v>
      </c>
      <c r="U891" s="10" t="n">
        <v>0</v>
      </c>
    </row>
    <row r="892" customFormat="false" ht="15" hidden="false" customHeight="false" outlineLevel="0" collapsed="false">
      <c r="A892" s="7" t="s">
        <v>931</v>
      </c>
      <c r="B892" s="7" t="s">
        <v>305</v>
      </c>
      <c r="C892" s="7" t="s">
        <v>689</v>
      </c>
      <c r="D892" s="10" t="n">
        <v>0</v>
      </c>
      <c r="E892" s="10" t="n">
        <v>0</v>
      </c>
      <c r="F892" s="10" t="n">
        <v>5</v>
      </c>
      <c r="G892" s="10" t="n">
        <v>0</v>
      </c>
      <c r="H892" s="10" t="n">
        <v>0</v>
      </c>
      <c r="I892" s="10" t="n">
        <v>0</v>
      </c>
      <c r="J892" s="10" t="n">
        <v>0</v>
      </c>
      <c r="K892" s="10" t="n">
        <v>0</v>
      </c>
      <c r="L892" s="10" t="n">
        <v>0</v>
      </c>
      <c r="M892" s="10" t="n">
        <v>0</v>
      </c>
      <c r="N892" s="10" t="n">
        <v>0</v>
      </c>
      <c r="O892" s="10" t="n">
        <v>0</v>
      </c>
      <c r="P892" s="10" t="n">
        <v>0</v>
      </c>
      <c r="Q892" s="10" t="n">
        <v>0</v>
      </c>
      <c r="R892" s="10" t="n">
        <v>0</v>
      </c>
      <c r="S892" s="10" t="n">
        <v>0</v>
      </c>
      <c r="T892" s="10" t="n">
        <v>0</v>
      </c>
      <c r="U892" s="10" t="n">
        <v>0</v>
      </c>
    </row>
    <row r="893" customFormat="false" ht="15" hidden="false" customHeight="false" outlineLevel="0" collapsed="false">
      <c r="A893" s="7" t="s">
        <v>931</v>
      </c>
      <c r="B893" s="7" t="s">
        <v>102</v>
      </c>
      <c r="C893" s="7" t="s">
        <v>690</v>
      </c>
      <c r="D893" s="10" t="n">
        <v>0</v>
      </c>
      <c r="E893" s="10" t="n">
        <v>0</v>
      </c>
      <c r="F893" s="10" t="n">
        <v>139</v>
      </c>
      <c r="G893" s="10" t="n">
        <v>0</v>
      </c>
      <c r="H893" s="10" t="n">
        <v>0</v>
      </c>
      <c r="I893" s="10" t="n">
        <v>1043</v>
      </c>
      <c r="J893" s="10" t="n">
        <v>0</v>
      </c>
      <c r="K893" s="10" t="n">
        <v>12</v>
      </c>
      <c r="L893" s="10" t="n">
        <v>-1</v>
      </c>
      <c r="M893" s="10" t="n">
        <v>0</v>
      </c>
      <c r="N893" s="10" t="n">
        <v>2</v>
      </c>
      <c r="O893" s="10" t="n">
        <v>2</v>
      </c>
      <c r="P893" s="10" t="n">
        <v>-7</v>
      </c>
      <c r="Q893" s="10" t="n">
        <v>962</v>
      </c>
      <c r="R893" s="10" t="n">
        <v>73</v>
      </c>
      <c r="S893" s="10" t="n">
        <v>0</v>
      </c>
      <c r="T893" s="10" t="n">
        <v>0</v>
      </c>
      <c r="U893" s="10" t="n">
        <v>0</v>
      </c>
    </row>
    <row r="894" customFormat="false" ht="15" hidden="false" customHeight="false" outlineLevel="0" collapsed="false">
      <c r="A894" s="7" t="s">
        <v>931</v>
      </c>
      <c r="B894" s="7" t="s">
        <v>56</v>
      </c>
      <c r="C894" s="7" t="s">
        <v>691</v>
      </c>
      <c r="D894" s="10" t="n">
        <v>0</v>
      </c>
      <c r="E894" s="10" t="n">
        <v>0</v>
      </c>
      <c r="F894" s="10" t="n">
        <v>8</v>
      </c>
      <c r="G894" s="10" t="n">
        <v>0</v>
      </c>
      <c r="H894" s="10" t="n">
        <v>0</v>
      </c>
      <c r="I894" s="10" t="n">
        <v>0</v>
      </c>
      <c r="J894" s="10" t="n">
        <v>0</v>
      </c>
      <c r="K894" s="10" t="n">
        <v>0</v>
      </c>
      <c r="L894" s="10" t="n">
        <v>0</v>
      </c>
      <c r="M894" s="10" t="n">
        <v>0</v>
      </c>
      <c r="N894" s="10" t="n">
        <v>0</v>
      </c>
      <c r="O894" s="10" t="n">
        <v>0</v>
      </c>
      <c r="P894" s="10" t="n">
        <v>0</v>
      </c>
      <c r="Q894" s="10" t="n">
        <v>0</v>
      </c>
      <c r="R894" s="10" t="n">
        <v>0</v>
      </c>
      <c r="S894" s="10" t="n">
        <v>0</v>
      </c>
      <c r="T894" s="10" t="n">
        <v>0</v>
      </c>
      <c r="U894" s="10" t="n">
        <v>0</v>
      </c>
    </row>
    <row r="895" customFormat="false" ht="15" hidden="false" customHeight="false" outlineLevel="0" collapsed="false">
      <c r="A895" s="7" t="s">
        <v>931</v>
      </c>
      <c r="B895" s="7" t="s">
        <v>294</v>
      </c>
      <c r="C895" s="7" t="s">
        <v>692</v>
      </c>
      <c r="D895" s="10" t="n">
        <v>0</v>
      </c>
      <c r="E895" s="10" t="n">
        <v>0</v>
      </c>
      <c r="F895" s="10" t="n">
        <v>363</v>
      </c>
      <c r="G895" s="10" t="n">
        <v>0</v>
      </c>
      <c r="H895" s="10" t="n">
        <v>0</v>
      </c>
      <c r="I895" s="10" t="n">
        <v>11</v>
      </c>
      <c r="J895" s="10" t="n">
        <v>0</v>
      </c>
      <c r="K895" s="10" t="n">
        <v>0</v>
      </c>
      <c r="L895" s="10" t="n">
        <v>0</v>
      </c>
      <c r="M895" s="10" t="n">
        <v>9</v>
      </c>
      <c r="N895" s="10" t="n">
        <v>2</v>
      </c>
      <c r="O895" s="10" t="n">
        <v>0</v>
      </c>
      <c r="P895" s="10" t="n">
        <v>0</v>
      </c>
      <c r="Q895" s="10" t="n">
        <v>0</v>
      </c>
      <c r="R895" s="10" t="n">
        <v>0</v>
      </c>
      <c r="S895" s="10" t="n">
        <v>0</v>
      </c>
      <c r="T895" s="10" t="n">
        <v>0</v>
      </c>
      <c r="U895" s="10" t="n">
        <v>0</v>
      </c>
    </row>
    <row r="896" customFormat="false" ht="15" hidden="false" customHeight="false" outlineLevel="0" collapsed="false">
      <c r="A896" s="7" t="s">
        <v>931</v>
      </c>
      <c r="B896" s="7" t="s">
        <v>276</v>
      </c>
      <c r="C896" s="7" t="s">
        <v>693</v>
      </c>
      <c r="D896" s="10" t="n">
        <v>0</v>
      </c>
      <c r="E896" s="10" t="n">
        <v>0</v>
      </c>
      <c r="F896" s="10" t="n">
        <v>103</v>
      </c>
      <c r="G896" s="10" t="n">
        <v>0</v>
      </c>
      <c r="H896" s="10" t="n">
        <v>0</v>
      </c>
      <c r="I896" s="10" t="n">
        <v>3</v>
      </c>
      <c r="J896" s="10" t="n">
        <v>0</v>
      </c>
      <c r="K896" s="10" t="n">
        <v>1</v>
      </c>
      <c r="L896" s="10" t="n">
        <v>0</v>
      </c>
      <c r="M896" s="10" t="n">
        <v>0</v>
      </c>
      <c r="N896" s="10" t="n">
        <v>0</v>
      </c>
      <c r="O896" s="10" t="n">
        <v>0</v>
      </c>
      <c r="P896" s="10" t="n">
        <v>0</v>
      </c>
      <c r="Q896" s="10" t="n">
        <v>0</v>
      </c>
      <c r="R896" s="10" t="n">
        <v>2</v>
      </c>
      <c r="S896" s="10" t="n">
        <v>0</v>
      </c>
      <c r="T896" s="10" t="n">
        <v>0</v>
      </c>
      <c r="U896" s="10" t="n">
        <v>0</v>
      </c>
    </row>
    <row r="897" customFormat="false" ht="15" hidden="false" customHeight="false" outlineLevel="0" collapsed="false">
      <c r="A897" s="7" t="s">
        <v>931</v>
      </c>
      <c r="B897" s="7" t="s">
        <v>66</v>
      </c>
      <c r="C897" s="7" t="s">
        <v>694</v>
      </c>
      <c r="D897" s="10" t="n">
        <v>0</v>
      </c>
      <c r="E897" s="10" t="n">
        <v>0</v>
      </c>
      <c r="F897" s="10" t="n">
        <v>541</v>
      </c>
      <c r="G897" s="10" t="n">
        <v>0</v>
      </c>
      <c r="H897" s="10" t="n">
        <v>0</v>
      </c>
      <c r="I897" s="10" t="n">
        <v>100</v>
      </c>
      <c r="J897" s="10" t="n">
        <v>0</v>
      </c>
      <c r="K897" s="10" t="n">
        <v>0</v>
      </c>
      <c r="L897" s="10" t="n">
        <v>0</v>
      </c>
      <c r="M897" s="10" t="n">
        <v>11</v>
      </c>
      <c r="N897" s="10" t="n">
        <v>2</v>
      </c>
      <c r="O897" s="10" t="n">
        <v>0</v>
      </c>
      <c r="P897" s="10" t="n">
        <v>0</v>
      </c>
      <c r="Q897" s="10" t="n">
        <v>87</v>
      </c>
      <c r="R897" s="10" t="n">
        <v>0</v>
      </c>
      <c r="S897" s="10" t="n">
        <v>1</v>
      </c>
      <c r="T897" s="10" t="n">
        <v>0</v>
      </c>
      <c r="U897" s="10" t="n">
        <v>0</v>
      </c>
    </row>
    <row r="898" customFormat="false" ht="15" hidden="false" customHeight="false" outlineLevel="0" collapsed="false">
      <c r="A898" s="7" t="s">
        <v>931</v>
      </c>
      <c r="B898" s="7" t="s">
        <v>302</v>
      </c>
      <c r="C898" s="7" t="s">
        <v>695</v>
      </c>
      <c r="D898" s="10" t="n">
        <v>0</v>
      </c>
      <c r="E898" s="10" t="n">
        <v>0</v>
      </c>
      <c r="F898" s="10" t="n">
        <v>16</v>
      </c>
      <c r="G898" s="10" t="n">
        <v>0</v>
      </c>
      <c r="H898" s="10" t="n">
        <v>0</v>
      </c>
      <c r="I898" s="10" t="n">
        <v>5</v>
      </c>
      <c r="J898" s="10" t="n">
        <v>0</v>
      </c>
      <c r="K898" s="10" t="n">
        <v>0</v>
      </c>
      <c r="L898" s="10" t="n">
        <v>0</v>
      </c>
      <c r="M898" s="10" t="n">
        <v>0</v>
      </c>
      <c r="N898" s="10" t="n">
        <v>5</v>
      </c>
      <c r="O898" s="10" t="n">
        <v>0</v>
      </c>
      <c r="P898" s="10" t="n">
        <v>0</v>
      </c>
      <c r="Q898" s="10" t="n">
        <v>0</v>
      </c>
      <c r="R898" s="10" t="n">
        <v>0</v>
      </c>
      <c r="S898" s="10" t="n">
        <v>0</v>
      </c>
      <c r="T898" s="10" t="n">
        <v>0</v>
      </c>
      <c r="U898" s="10" t="n">
        <v>0</v>
      </c>
    </row>
    <row r="899" customFormat="false" ht="15" hidden="false" customHeight="false" outlineLevel="0" collapsed="false">
      <c r="A899" s="7" t="s">
        <v>931</v>
      </c>
      <c r="B899" s="7" t="s">
        <v>278</v>
      </c>
      <c r="C899" s="7" t="s">
        <v>696</v>
      </c>
      <c r="D899" s="10" t="n">
        <v>0</v>
      </c>
      <c r="E899" s="10" t="n">
        <v>0</v>
      </c>
      <c r="F899" s="10" t="n">
        <v>228</v>
      </c>
      <c r="G899" s="10" t="n">
        <v>0</v>
      </c>
      <c r="H899" s="10" t="n">
        <v>0</v>
      </c>
      <c r="I899" s="10" t="n">
        <v>3</v>
      </c>
      <c r="J899" s="10" t="n">
        <v>0</v>
      </c>
      <c r="K899" s="10" t="n">
        <v>0</v>
      </c>
      <c r="L899" s="10" t="n">
        <v>0</v>
      </c>
      <c r="M899" s="10" t="n">
        <v>3</v>
      </c>
      <c r="N899" s="10" t="n">
        <v>0</v>
      </c>
      <c r="O899" s="10" t="n">
        <v>0</v>
      </c>
      <c r="P899" s="10" t="n">
        <v>0</v>
      </c>
      <c r="Q899" s="10" t="n">
        <v>0</v>
      </c>
      <c r="R899" s="10" t="n">
        <v>0</v>
      </c>
      <c r="S899" s="10" t="n">
        <v>0</v>
      </c>
      <c r="T899" s="10" t="n">
        <v>0</v>
      </c>
      <c r="U899" s="10" t="n">
        <v>0</v>
      </c>
    </row>
    <row r="900" customFormat="false" ht="15" hidden="false" customHeight="false" outlineLevel="0" collapsed="false">
      <c r="A900" s="7" t="s">
        <v>931</v>
      </c>
      <c r="B900" s="7" t="s">
        <v>58</v>
      </c>
      <c r="C900" s="7" t="s">
        <v>697</v>
      </c>
      <c r="D900" s="10" t="n">
        <v>0</v>
      </c>
      <c r="E900" s="10" t="n">
        <v>0</v>
      </c>
      <c r="F900" s="10" t="n">
        <v>5</v>
      </c>
      <c r="G900" s="10" t="n">
        <v>0</v>
      </c>
      <c r="H900" s="10" t="n">
        <v>0</v>
      </c>
      <c r="I900" s="10" t="n">
        <v>0</v>
      </c>
      <c r="J900" s="10" t="n">
        <v>0</v>
      </c>
      <c r="K900" s="10" t="n">
        <v>0</v>
      </c>
      <c r="L900" s="10" t="n">
        <v>0</v>
      </c>
      <c r="M900" s="10" t="n">
        <v>0</v>
      </c>
      <c r="N900" s="10" t="n">
        <v>0</v>
      </c>
      <c r="O900" s="10" t="n">
        <v>0</v>
      </c>
      <c r="P900" s="10" t="n">
        <v>0</v>
      </c>
      <c r="Q900" s="10" t="n">
        <v>0</v>
      </c>
      <c r="R900" s="10" t="n">
        <v>0</v>
      </c>
      <c r="S900" s="10" t="n">
        <v>0</v>
      </c>
      <c r="T900" s="10" t="n">
        <v>0</v>
      </c>
      <c r="U900" s="10" t="n">
        <v>0</v>
      </c>
    </row>
    <row r="901" customFormat="false" ht="15" hidden="false" customHeight="false" outlineLevel="0" collapsed="false">
      <c r="A901" s="7" t="s">
        <v>931</v>
      </c>
      <c r="B901" s="7" t="s">
        <v>146</v>
      </c>
      <c r="C901" s="7" t="s">
        <v>698</v>
      </c>
      <c r="D901" s="10" t="n">
        <v>0</v>
      </c>
      <c r="E901" s="10" t="n">
        <v>0</v>
      </c>
      <c r="F901" s="10" t="n">
        <v>11</v>
      </c>
      <c r="G901" s="10" t="n">
        <v>0</v>
      </c>
      <c r="H901" s="10" t="n">
        <v>0</v>
      </c>
      <c r="I901" s="10" t="n">
        <v>137</v>
      </c>
      <c r="J901" s="10" t="n">
        <v>0</v>
      </c>
      <c r="K901" s="10" t="n">
        <v>15</v>
      </c>
      <c r="L901" s="10" t="n">
        <v>0</v>
      </c>
      <c r="M901" s="10" t="n">
        <v>0</v>
      </c>
      <c r="N901" s="10" t="n">
        <v>3</v>
      </c>
      <c r="O901" s="10" t="n">
        <v>0</v>
      </c>
      <c r="P901" s="10" t="n">
        <v>-4</v>
      </c>
      <c r="Q901" s="10" t="n">
        <v>106</v>
      </c>
      <c r="R901" s="10" t="n">
        <v>17</v>
      </c>
      <c r="S901" s="10" t="n">
        <v>0</v>
      </c>
      <c r="T901" s="10" t="n">
        <v>0</v>
      </c>
      <c r="U901" s="10" t="n">
        <v>0</v>
      </c>
    </row>
    <row r="902" customFormat="false" ht="15" hidden="false" customHeight="false" outlineLevel="0" collapsed="false">
      <c r="A902" s="7" t="s">
        <v>931</v>
      </c>
      <c r="B902" s="7" t="s">
        <v>282</v>
      </c>
      <c r="C902" s="7" t="s">
        <v>699</v>
      </c>
      <c r="D902" s="10" t="n">
        <v>0</v>
      </c>
      <c r="E902" s="10" t="n">
        <v>0</v>
      </c>
      <c r="F902" s="10" t="n">
        <v>3</v>
      </c>
      <c r="G902" s="10" t="n">
        <v>0</v>
      </c>
      <c r="H902" s="10" t="n">
        <v>0</v>
      </c>
      <c r="I902" s="10" t="n">
        <v>0</v>
      </c>
      <c r="J902" s="10" t="n">
        <v>0</v>
      </c>
      <c r="K902" s="10" t="n">
        <v>0</v>
      </c>
      <c r="L902" s="10" t="n">
        <v>0</v>
      </c>
      <c r="M902" s="10" t="n">
        <v>0</v>
      </c>
      <c r="N902" s="10" t="n">
        <v>0</v>
      </c>
      <c r="O902" s="10" t="n">
        <v>0</v>
      </c>
      <c r="P902" s="10" t="n">
        <v>0</v>
      </c>
      <c r="Q902" s="10" t="n">
        <v>0</v>
      </c>
      <c r="R902" s="10" t="n">
        <v>0</v>
      </c>
      <c r="S902" s="10" t="n">
        <v>0</v>
      </c>
      <c r="T902" s="10" t="n">
        <v>0</v>
      </c>
      <c r="U902" s="10" t="n">
        <v>0</v>
      </c>
    </row>
    <row r="903" customFormat="false" ht="15" hidden="false" customHeight="false" outlineLevel="0" collapsed="false">
      <c r="A903" s="7" t="s">
        <v>931</v>
      </c>
      <c r="B903" s="7" t="s">
        <v>282</v>
      </c>
      <c r="C903" s="7" t="s">
        <v>700</v>
      </c>
      <c r="D903" s="10" t="n">
        <v>0</v>
      </c>
      <c r="E903" s="10" t="n">
        <v>0</v>
      </c>
      <c r="F903" s="10" t="n">
        <v>4</v>
      </c>
      <c r="G903" s="10" t="n">
        <v>0</v>
      </c>
      <c r="H903" s="10" t="n">
        <v>0</v>
      </c>
      <c r="I903" s="10" t="n">
        <v>0</v>
      </c>
      <c r="J903" s="10" t="n">
        <v>0</v>
      </c>
      <c r="K903" s="10" t="n">
        <v>0</v>
      </c>
      <c r="L903" s="10" t="n">
        <v>0</v>
      </c>
      <c r="M903" s="10" t="n">
        <v>0</v>
      </c>
      <c r="N903" s="10" t="n">
        <v>0</v>
      </c>
      <c r="O903" s="10" t="n">
        <v>0</v>
      </c>
      <c r="P903" s="10" t="n">
        <v>0</v>
      </c>
      <c r="Q903" s="10" t="n">
        <v>0</v>
      </c>
      <c r="R903" s="10" t="n">
        <v>0</v>
      </c>
      <c r="S903" s="10" t="n">
        <v>0</v>
      </c>
      <c r="T903" s="10" t="n">
        <v>0</v>
      </c>
      <c r="U903" s="10" t="n">
        <v>0</v>
      </c>
    </row>
    <row r="904" customFormat="false" ht="15" hidden="false" customHeight="false" outlineLevel="0" collapsed="false">
      <c r="A904" s="7" t="s">
        <v>931</v>
      </c>
      <c r="B904" s="7" t="s">
        <v>282</v>
      </c>
      <c r="C904" s="7" t="s">
        <v>701</v>
      </c>
      <c r="D904" s="10" t="n">
        <v>0</v>
      </c>
      <c r="E904" s="10" t="n">
        <v>0</v>
      </c>
      <c r="F904" s="10" t="n">
        <v>1</v>
      </c>
      <c r="G904" s="10" t="n">
        <v>0</v>
      </c>
      <c r="H904" s="10" t="n">
        <v>0</v>
      </c>
      <c r="I904" s="10" t="n">
        <v>0</v>
      </c>
      <c r="J904" s="10" t="n">
        <v>0</v>
      </c>
      <c r="K904" s="10" t="n">
        <v>0</v>
      </c>
      <c r="L904" s="10" t="n">
        <v>0</v>
      </c>
      <c r="M904" s="10" t="n">
        <v>0</v>
      </c>
      <c r="N904" s="10" t="n">
        <v>0</v>
      </c>
      <c r="O904" s="10" t="n">
        <v>0</v>
      </c>
      <c r="P904" s="10" t="n">
        <v>0</v>
      </c>
      <c r="Q904" s="10" t="n">
        <v>0</v>
      </c>
      <c r="R904" s="10" t="n">
        <v>0</v>
      </c>
      <c r="S904" s="10" t="n">
        <v>0</v>
      </c>
      <c r="T904" s="10" t="n">
        <v>0</v>
      </c>
      <c r="U904" s="10" t="n">
        <v>0</v>
      </c>
    </row>
    <row r="905" customFormat="false" ht="15" hidden="false" customHeight="false" outlineLevel="0" collapsed="false">
      <c r="A905" s="7" t="s">
        <v>931</v>
      </c>
      <c r="B905" s="7" t="s">
        <v>282</v>
      </c>
      <c r="C905" s="7" t="s">
        <v>702</v>
      </c>
      <c r="D905" s="10" t="n">
        <v>0</v>
      </c>
      <c r="E905" s="10" t="n">
        <v>0</v>
      </c>
      <c r="F905" s="10" t="n">
        <v>3</v>
      </c>
      <c r="G905" s="10" t="n">
        <v>0</v>
      </c>
      <c r="H905" s="10" t="n">
        <v>0</v>
      </c>
      <c r="I905" s="10" t="n">
        <v>0</v>
      </c>
      <c r="J905" s="10" t="n">
        <v>0</v>
      </c>
      <c r="K905" s="10" t="n">
        <v>0</v>
      </c>
      <c r="L905" s="10" t="n">
        <v>0</v>
      </c>
      <c r="M905" s="10" t="n">
        <v>0</v>
      </c>
      <c r="N905" s="10" t="n">
        <v>0</v>
      </c>
      <c r="O905" s="10" t="n">
        <v>0</v>
      </c>
      <c r="P905" s="10" t="n">
        <v>0</v>
      </c>
      <c r="Q905" s="10" t="n">
        <v>0</v>
      </c>
      <c r="R905" s="10" t="n">
        <v>0</v>
      </c>
      <c r="S905" s="10" t="n">
        <v>0</v>
      </c>
      <c r="T905" s="10" t="n">
        <v>0</v>
      </c>
      <c r="U905" s="10" t="n">
        <v>0</v>
      </c>
    </row>
    <row r="906" customFormat="false" ht="15" hidden="false" customHeight="false" outlineLevel="0" collapsed="false">
      <c r="A906" s="7" t="s">
        <v>931</v>
      </c>
      <c r="B906" s="7" t="s">
        <v>69</v>
      </c>
      <c r="C906" s="7" t="s">
        <v>703</v>
      </c>
      <c r="D906" s="10" t="n">
        <v>0</v>
      </c>
      <c r="E906" s="10" t="n">
        <v>0</v>
      </c>
      <c r="F906" s="10" t="n">
        <v>699</v>
      </c>
      <c r="G906" s="10" t="n">
        <v>0</v>
      </c>
      <c r="H906" s="10" t="n">
        <v>0</v>
      </c>
      <c r="I906" s="10" t="n">
        <v>2328</v>
      </c>
      <c r="J906" s="10" t="n">
        <v>0</v>
      </c>
      <c r="K906" s="10" t="n">
        <v>6</v>
      </c>
      <c r="L906" s="10" t="n">
        <v>0</v>
      </c>
      <c r="M906" s="10" t="n">
        <v>2</v>
      </c>
      <c r="N906" s="10" t="n">
        <v>9</v>
      </c>
      <c r="O906" s="10" t="n">
        <v>4</v>
      </c>
      <c r="P906" s="10" t="n">
        <v>-16</v>
      </c>
      <c r="Q906" s="10" t="n">
        <v>2132</v>
      </c>
      <c r="R906" s="10" t="n">
        <v>191</v>
      </c>
      <c r="S906" s="10" t="n">
        <v>0</v>
      </c>
      <c r="T906" s="10" t="n">
        <v>0</v>
      </c>
      <c r="U906" s="10" t="n">
        <v>0</v>
      </c>
    </row>
    <row r="907" customFormat="false" ht="15" hidden="false" customHeight="false" outlineLevel="0" collapsed="false">
      <c r="A907" s="7" t="s">
        <v>931</v>
      </c>
      <c r="B907" s="7" t="s">
        <v>42</v>
      </c>
      <c r="C907" s="7" t="s">
        <v>704</v>
      </c>
      <c r="D907" s="10" t="n">
        <v>0</v>
      </c>
      <c r="E907" s="10" t="n">
        <v>0</v>
      </c>
      <c r="F907" s="10" t="n">
        <v>106</v>
      </c>
      <c r="G907" s="10" t="n">
        <v>0</v>
      </c>
      <c r="H907" s="10" t="n">
        <v>0</v>
      </c>
      <c r="I907" s="10" t="n">
        <v>704</v>
      </c>
      <c r="J907" s="10" t="n">
        <v>0</v>
      </c>
      <c r="K907" s="10" t="n">
        <v>5</v>
      </c>
      <c r="L907" s="10" t="n">
        <v>0</v>
      </c>
      <c r="M907" s="10" t="n">
        <v>0</v>
      </c>
      <c r="N907" s="10" t="n">
        <v>0</v>
      </c>
      <c r="O907" s="10" t="n">
        <v>1</v>
      </c>
      <c r="P907" s="10" t="n">
        <v>-13</v>
      </c>
      <c r="Q907" s="10" t="n">
        <v>648</v>
      </c>
      <c r="R907" s="10" t="n">
        <v>63</v>
      </c>
      <c r="S907" s="10" t="n">
        <v>0</v>
      </c>
      <c r="T907" s="10" t="n">
        <v>0</v>
      </c>
      <c r="U907" s="10" t="n">
        <v>0</v>
      </c>
    </row>
    <row r="908" customFormat="false" ht="15" hidden="false" customHeight="false" outlineLevel="0" collapsed="false">
      <c r="A908" s="7" t="s">
        <v>931</v>
      </c>
      <c r="B908" s="7" t="s">
        <v>42</v>
      </c>
      <c r="C908" s="7" t="s">
        <v>705</v>
      </c>
      <c r="D908" s="10" t="n">
        <v>0</v>
      </c>
      <c r="E908" s="10" t="n">
        <v>0</v>
      </c>
      <c r="F908" s="10" t="n">
        <v>90</v>
      </c>
      <c r="G908" s="10" t="n">
        <v>0</v>
      </c>
      <c r="H908" s="10" t="n">
        <v>0</v>
      </c>
      <c r="I908" s="10" t="n">
        <v>851</v>
      </c>
      <c r="J908" s="10" t="n">
        <v>0</v>
      </c>
      <c r="K908" s="10" t="n">
        <v>0</v>
      </c>
      <c r="L908" s="10" t="n">
        <v>0</v>
      </c>
      <c r="M908" s="10" t="n">
        <v>0</v>
      </c>
      <c r="N908" s="10" t="n">
        <v>1</v>
      </c>
      <c r="O908" s="10" t="n">
        <v>1</v>
      </c>
      <c r="P908" s="10" t="n">
        <v>-10</v>
      </c>
      <c r="Q908" s="10" t="n">
        <v>797</v>
      </c>
      <c r="R908" s="10" t="n">
        <v>62</v>
      </c>
      <c r="S908" s="10" t="n">
        <v>0</v>
      </c>
      <c r="T908" s="10" t="n">
        <v>0</v>
      </c>
      <c r="U908" s="10" t="n">
        <v>0</v>
      </c>
    </row>
    <row r="909" customFormat="false" ht="15" hidden="false" customHeight="false" outlineLevel="0" collapsed="false">
      <c r="A909" s="7" t="s">
        <v>931</v>
      </c>
      <c r="B909" s="7" t="s">
        <v>42</v>
      </c>
      <c r="C909" s="7" t="s">
        <v>706</v>
      </c>
      <c r="D909" s="10" t="n">
        <v>0</v>
      </c>
      <c r="E909" s="10" t="n">
        <v>0</v>
      </c>
      <c r="F909" s="10" t="n">
        <v>53</v>
      </c>
      <c r="G909" s="10" t="n">
        <v>0</v>
      </c>
      <c r="H909" s="10" t="n">
        <v>0</v>
      </c>
      <c r="I909" s="10" t="n">
        <v>638</v>
      </c>
      <c r="J909" s="10" t="n">
        <v>0</v>
      </c>
      <c r="K909" s="10" t="n">
        <v>2</v>
      </c>
      <c r="L909" s="10" t="n">
        <v>0</v>
      </c>
      <c r="M909" s="10" t="n">
        <v>0</v>
      </c>
      <c r="N909" s="10" t="n">
        <v>0</v>
      </c>
      <c r="O909" s="10" t="n">
        <v>0</v>
      </c>
      <c r="P909" s="10" t="n">
        <v>-8</v>
      </c>
      <c r="Q909" s="10" t="n">
        <v>589</v>
      </c>
      <c r="R909" s="10" t="n">
        <v>55</v>
      </c>
      <c r="S909" s="10" t="n">
        <v>0</v>
      </c>
      <c r="T909" s="10" t="n">
        <v>0</v>
      </c>
      <c r="U909" s="10" t="n">
        <v>0</v>
      </c>
    </row>
    <row r="910" customFormat="false" ht="15" hidden="false" customHeight="false" outlineLevel="0" collapsed="false">
      <c r="A910" s="7" t="s">
        <v>931</v>
      </c>
      <c r="B910" s="7" t="s">
        <v>42</v>
      </c>
      <c r="C910" s="7" t="s">
        <v>707</v>
      </c>
      <c r="D910" s="10" t="n">
        <v>0</v>
      </c>
      <c r="E910" s="10" t="n">
        <v>0</v>
      </c>
      <c r="F910" s="10" t="n">
        <v>70</v>
      </c>
      <c r="G910" s="10" t="n">
        <v>0</v>
      </c>
      <c r="H910" s="10" t="n">
        <v>0</v>
      </c>
      <c r="I910" s="10" t="n">
        <v>541</v>
      </c>
      <c r="J910" s="10" t="n">
        <v>0</v>
      </c>
      <c r="K910" s="10" t="n">
        <v>1</v>
      </c>
      <c r="L910" s="10" t="n">
        <v>0</v>
      </c>
      <c r="M910" s="10" t="n">
        <v>0</v>
      </c>
      <c r="N910" s="10" t="n">
        <v>0</v>
      </c>
      <c r="O910" s="10" t="n">
        <v>0</v>
      </c>
      <c r="P910" s="10" t="n">
        <v>-7</v>
      </c>
      <c r="Q910" s="10" t="n">
        <v>514</v>
      </c>
      <c r="R910" s="10" t="n">
        <v>33</v>
      </c>
      <c r="S910" s="10" t="n">
        <v>0</v>
      </c>
      <c r="T910" s="10" t="n">
        <v>0</v>
      </c>
      <c r="U910" s="10" t="n">
        <v>0</v>
      </c>
    </row>
    <row r="911" customFormat="false" ht="15" hidden="false" customHeight="false" outlineLevel="0" collapsed="false">
      <c r="A911" s="7" t="s">
        <v>931</v>
      </c>
      <c r="B911" s="7" t="s">
        <v>42</v>
      </c>
      <c r="C911" s="7" t="s">
        <v>708</v>
      </c>
      <c r="D911" s="10" t="n">
        <v>0</v>
      </c>
      <c r="E911" s="10" t="n">
        <v>0</v>
      </c>
      <c r="F911" s="10" t="n">
        <v>3</v>
      </c>
      <c r="G911" s="10" t="n">
        <v>0</v>
      </c>
      <c r="H911" s="10" t="n">
        <v>0</v>
      </c>
      <c r="I911" s="10" t="n">
        <v>1</v>
      </c>
      <c r="J911" s="10" t="n">
        <v>0</v>
      </c>
      <c r="K911" s="10" t="n">
        <v>1</v>
      </c>
      <c r="L911" s="10" t="n">
        <v>0</v>
      </c>
      <c r="M911" s="10" t="n">
        <v>0</v>
      </c>
      <c r="N911" s="10" t="n">
        <v>0</v>
      </c>
      <c r="O911" s="10" t="n">
        <v>0</v>
      </c>
      <c r="P911" s="10" t="n">
        <v>-2</v>
      </c>
      <c r="Q911" s="10" t="n">
        <v>2</v>
      </c>
      <c r="R911" s="10" t="n">
        <v>0</v>
      </c>
      <c r="S911" s="10" t="n">
        <v>0</v>
      </c>
      <c r="T911" s="10" t="n">
        <v>0</v>
      </c>
      <c r="U911" s="10" t="n">
        <v>0</v>
      </c>
    </row>
    <row r="912" customFormat="false" ht="15" hidden="false" customHeight="false" outlineLevel="0" collapsed="false">
      <c r="A912" s="7" t="s">
        <v>931</v>
      </c>
      <c r="B912" s="7" t="s">
        <v>52</v>
      </c>
      <c r="C912" s="7" t="s">
        <v>709</v>
      </c>
      <c r="D912" s="10" t="n">
        <v>0</v>
      </c>
      <c r="E912" s="10" t="n">
        <v>0</v>
      </c>
      <c r="F912" s="10" t="n">
        <v>62</v>
      </c>
      <c r="G912" s="10" t="n">
        <v>0</v>
      </c>
      <c r="H912" s="10" t="n">
        <v>0</v>
      </c>
      <c r="I912" s="10" t="n">
        <v>591</v>
      </c>
      <c r="J912" s="10" t="n">
        <v>0</v>
      </c>
      <c r="K912" s="10" t="n">
        <v>1</v>
      </c>
      <c r="L912" s="10" t="n">
        <v>0</v>
      </c>
      <c r="M912" s="10" t="n">
        <v>0</v>
      </c>
      <c r="N912" s="10" t="n">
        <v>0</v>
      </c>
      <c r="O912" s="10" t="n">
        <v>0</v>
      </c>
      <c r="P912" s="10" t="n">
        <v>-7</v>
      </c>
      <c r="Q912" s="10" t="n">
        <v>545</v>
      </c>
      <c r="R912" s="10" t="n">
        <v>52</v>
      </c>
      <c r="S912" s="10" t="n">
        <v>0</v>
      </c>
      <c r="T912" s="10" t="n">
        <v>0</v>
      </c>
      <c r="U912" s="10" t="n">
        <v>0</v>
      </c>
    </row>
    <row r="913" customFormat="false" ht="15" hidden="false" customHeight="false" outlineLevel="0" collapsed="false">
      <c r="A913" s="7" t="s">
        <v>931</v>
      </c>
      <c r="B913" s="7" t="s">
        <v>52</v>
      </c>
      <c r="C913" s="7" t="s">
        <v>710</v>
      </c>
      <c r="D913" s="10" t="n">
        <v>0</v>
      </c>
      <c r="E913" s="10" t="n">
        <v>0</v>
      </c>
      <c r="F913" s="10" t="n">
        <v>80</v>
      </c>
      <c r="G913" s="10" t="n">
        <v>0</v>
      </c>
      <c r="H913" s="10" t="n">
        <v>0</v>
      </c>
      <c r="I913" s="10" t="n">
        <v>684</v>
      </c>
      <c r="J913" s="10" t="n">
        <v>0</v>
      </c>
      <c r="K913" s="10" t="n">
        <v>2</v>
      </c>
      <c r="L913" s="10" t="n">
        <v>0</v>
      </c>
      <c r="M913" s="10" t="n">
        <v>0</v>
      </c>
      <c r="N913" s="10" t="n">
        <v>0</v>
      </c>
      <c r="O913" s="10" t="n">
        <v>0</v>
      </c>
      <c r="P913" s="10" t="n">
        <v>-12</v>
      </c>
      <c r="Q913" s="10" t="n">
        <v>621</v>
      </c>
      <c r="R913" s="10" t="n">
        <v>73</v>
      </c>
      <c r="S913" s="10" t="n">
        <v>0</v>
      </c>
      <c r="T913" s="10" t="n">
        <v>0</v>
      </c>
      <c r="U913" s="10" t="n">
        <v>0</v>
      </c>
    </row>
    <row r="914" customFormat="false" ht="15" hidden="false" customHeight="false" outlineLevel="0" collapsed="false">
      <c r="A914" s="7" t="s">
        <v>931</v>
      </c>
      <c r="B914" s="7" t="s">
        <v>52</v>
      </c>
      <c r="C914" s="7" t="s">
        <v>711</v>
      </c>
      <c r="D914" s="10" t="n">
        <v>0</v>
      </c>
      <c r="E914" s="10" t="n">
        <v>0</v>
      </c>
      <c r="F914" s="10" t="n">
        <v>62</v>
      </c>
      <c r="G914" s="10" t="n">
        <v>0</v>
      </c>
      <c r="H914" s="10" t="n">
        <v>0</v>
      </c>
      <c r="I914" s="10" t="n">
        <v>681</v>
      </c>
      <c r="J914" s="10" t="n">
        <v>0</v>
      </c>
      <c r="K914" s="10" t="n">
        <v>5</v>
      </c>
      <c r="L914" s="10" t="n">
        <v>-1</v>
      </c>
      <c r="M914" s="10" t="n">
        <v>0</v>
      </c>
      <c r="N914" s="10" t="n">
        <v>0</v>
      </c>
      <c r="O914" s="10" t="n">
        <v>0</v>
      </c>
      <c r="P914" s="10" t="n">
        <v>-5</v>
      </c>
      <c r="Q914" s="10" t="n">
        <v>601</v>
      </c>
      <c r="R914" s="10" t="n">
        <v>81</v>
      </c>
      <c r="S914" s="10" t="n">
        <v>0</v>
      </c>
      <c r="T914" s="10" t="n">
        <v>0</v>
      </c>
      <c r="U914" s="10" t="n">
        <v>0</v>
      </c>
    </row>
    <row r="915" customFormat="false" ht="15" hidden="false" customHeight="false" outlineLevel="0" collapsed="false">
      <c r="A915" s="7" t="s">
        <v>931</v>
      </c>
      <c r="B915" s="7" t="s">
        <v>52</v>
      </c>
      <c r="C915" s="7" t="s">
        <v>712</v>
      </c>
      <c r="D915" s="10" t="n">
        <v>0</v>
      </c>
      <c r="E915" s="10" t="n">
        <v>0</v>
      </c>
      <c r="F915" s="10" t="n">
        <v>33</v>
      </c>
      <c r="G915" s="10" t="n">
        <v>0</v>
      </c>
      <c r="H915" s="10" t="n">
        <v>0</v>
      </c>
      <c r="I915" s="10" t="n">
        <v>242</v>
      </c>
      <c r="J915" s="10" t="n">
        <v>0</v>
      </c>
      <c r="K915" s="10" t="n">
        <v>2</v>
      </c>
      <c r="L915" s="10" t="n">
        <v>0</v>
      </c>
      <c r="M915" s="10" t="n">
        <v>0</v>
      </c>
      <c r="N915" s="10" t="n">
        <v>0</v>
      </c>
      <c r="O915" s="10" t="n">
        <v>0</v>
      </c>
      <c r="P915" s="10" t="n">
        <v>-7</v>
      </c>
      <c r="Q915" s="10" t="n">
        <v>224</v>
      </c>
      <c r="R915" s="10" t="n">
        <v>23</v>
      </c>
      <c r="S915" s="10" t="n">
        <v>0</v>
      </c>
      <c r="T915" s="10" t="n">
        <v>0</v>
      </c>
      <c r="U915" s="10" t="n">
        <v>0</v>
      </c>
    </row>
    <row r="916" customFormat="false" ht="15" hidden="false" customHeight="false" outlineLevel="0" collapsed="false">
      <c r="A916" s="7" t="s">
        <v>931</v>
      </c>
      <c r="B916" s="7" t="s">
        <v>312</v>
      </c>
      <c r="C916" s="7" t="s">
        <v>713</v>
      </c>
      <c r="D916" s="10" t="n">
        <v>0</v>
      </c>
      <c r="E916" s="10" t="n">
        <v>0</v>
      </c>
      <c r="F916" s="10" t="n">
        <v>1</v>
      </c>
      <c r="G916" s="10" t="n">
        <v>0</v>
      </c>
      <c r="H916" s="10" t="n">
        <v>0</v>
      </c>
      <c r="I916" s="10" t="n">
        <v>0</v>
      </c>
      <c r="J916" s="10" t="n">
        <v>0</v>
      </c>
      <c r="K916" s="10" t="n">
        <v>0</v>
      </c>
      <c r="L916" s="10" t="n">
        <v>0</v>
      </c>
      <c r="M916" s="10" t="n">
        <v>0</v>
      </c>
      <c r="N916" s="10" t="n">
        <v>0</v>
      </c>
      <c r="O916" s="10" t="n">
        <v>0</v>
      </c>
      <c r="P916" s="10" t="n">
        <v>0</v>
      </c>
      <c r="Q916" s="10" t="n">
        <v>0</v>
      </c>
      <c r="R916" s="10" t="n">
        <v>0</v>
      </c>
      <c r="S916" s="10" t="n">
        <v>0</v>
      </c>
      <c r="T916" s="10" t="n">
        <v>0</v>
      </c>
      <c r="U916" s="10" t="n">
        <v>0</v>
      </c>
    </row>
    <row r="917" customFormat="false" ht="15" hidden="false" customHeight="false" outlineLevel="0" collapsed="false">
      <c r="A917" s="7" t="s">
        <v>931</v>
      </c>
      <c r="B917" s="7" t="s">
        <v>224</v>
      </c>
      <c r="C917" s="7" t="s">
        <v>714</v>
      </c>
      <c r="D917" s="10" t="n">
        <v>0</v>
      </c>
      <c r="E917" s="10" t="n">
        <v>0</v>
      </c>
      <c r="F917" s="10" t="n">
        <v>10</v>
      </c>
      <c r="G917" s="10" t="n">
        <v>0</v>
      </c>
      <c r="H917" s="10" t="n">
        <v>0</v>
      </c>
      <c r="I917" s="10" t="n">
        <v>1</v>
      </c>
      <c r="J917" s="10" t="n">
        <v>0</v>
      </c>
      <c r="K917" s="10" t="n">
        <v>0</v>
      </c>
      <c r="L917" s="10" t="n">
        <v>0</v>
      </c>
      <c r="M917" s="10" t="n">
        <v>0</v>
      </c>
      <c r="N917" s="10" t="n">
        <v>0</v>
      </c>
      <c r="O917" s="10" t="n">
        <v>0</v>
      </c>
      <c r="P917" s="10" t="n">
        <v>0</v>
      </c>
      <c r="Q917" s="10" t="n">
        <v>1</v>
      </c>
      <c r="R917" s="10" t="n">
        <v>0</v>
      </c>
      <c r="S917" s="10" t="n">
        <v>0</v>
      </c>
      <c r="T917" s="10" t="n">
        <v>0</v>
      </c>
      <c r="U917" s="10" t="n">
        <v>0</v>
      </c>
    </row>
    <row r="918" customFormat="false" ht="15" hidden="false" customHeight="false" outlineLevel="0" collapsed="false">
      <c r="A918" s="7" t="s">
        <v>931</v>
      </c>
      <c r="B918" s="7" t="s">
        <v>317</v>
      </c>
      <c r="C918" s="7" t="s">
        <v>715</v>
      </c>
      <c r="D918" s="10" t="n">
        <v>0</v>
      </c>
      <c r="E918" s="10" t="n">
        <v>0</v>
      </c>
      <c r="F918" s="10" t="n">
        <v>2</v>
      </c>
      <c r="G918" s="10" t="n">
        <v>0</v>
      </c>
      <c r="H918" s="10" t="n">
        <v>0</v>
      </c>
      <c r="I918" s="10" t="n">
        <v>0</v>
      </c>
      <c r="J918" s="10" t="n">
        <v>0</v>
      </c>
      <c r="K918" s="10" t="n">
        <v>0</v>
      </c>
      <c r="L918" s="10" t="n">
        <v>0</v>
      </c>
      <c r="M918" s="10" t="n">
        <v>0</v>
      </c>
      <c r="N918" s="10" t="n">
        <v>0</v>
      </c>
      <c r="O918" s="10" t="n">
        <v>0</v>
      </c>
      <c r="P918" s="10" t="n">
        <v>-5</v>
      </c>
      <c r="Q918" s="10" t="n">
        <v>0</v>
      </c>
      <c r="R918" s="10" t="n">
        <v>5</v>
      </c>
      <c r="S918" s="10" t="n">
        <v>0</v>
      </c>
      <c r="T918" s="10" t="n">
        <v>0</v>
      </c>
      <c r="U918" s="10" t="n">
        <v>0</v>
      </c>
    </row>
    <row r="919" customFormat="false" ht="15" hidden="false" customHeight="false" outlineLevel="0" collapsed="false">
      <c r="A919" s="7" t="s">
        <v>931</v>
      </c>
      <c r="B919" s="7" t="s">
        <v>272</v>
      </c>
      <c r="C919" s="7" t="s">
        <v>716</v>
      </c>
      <c r="D919" s="10" t="n">
        <v>0</v>
      </c>
      <c r="E919" s="10" t="n">
        <v>0</v>
      </c>
      <c r="F919" s="10" t="n">
        <v>362</v>
      </c>
      <c r="G919" s="10" t="n">
        <v>0</v>
      </c>
      <c r="H919" s="10" t="n">
        <v>0</v>
      </c>
      <c r="I919" s="10" t="n">
        <v>25</v>
      </c>
      <c r="J919" s="10" t="n">
        <v>0</v>
      </c>
      <c r="K919" s="10" t="n">
        <v>13</v>
      </c>
      <c r="L919" s="10" t="n">
        <v>0</v>
      </c>
      <c r="M919" s="10" t="n">
        <v>0</v>
      </c>
      <c r="N919" s="10" t="n">
        <v>2</v>
      </c>
      <c r="O919" s="10" t="n">
        <v>0</v>
      </c>
      <c r="P919" s="10" t="n">
        <v>-1</v>
      </c>
      <c r="Q919" s="10" t="n">
        <v>0</v>
      </c>
      <c r="R919" s="10" t="n">
        <v>11</v>
      </c>
      <c r="S919" s="10" t="n">
        <v>0</v>
      </c>
      <c r="T919" s="10" t="n">
        <v>0</v>
      </c>
      <c r="U919" s="10" t="n">
        <v>0</v>
      </c>
    </row>
    <row r="920" customFormat="false" ht="15" hidden="false" customHeight="false" outlineLevel="0" collapsed="false">
      <c r="A920" s="7" t="s">
        <v>931</v>
      </c>
      <c r="B920" s="7" t="s">
        <v>273</v>
      </c>
      <c r="C920" s="7" t="s">
        <v>717</v>
      </c>
      <c r="D920" s="10" t="n">
        <v>0</v>
      </c>
      <c r="E920" s="10" t="n">
        <v>0</v>
      </c>
      <c r="F920" s="10" t="n">
        <v>408</v>
      </c>
      <c r="G920" s="10" t="n">
        <v>0</v>
      </c>
      <c r="H920" s="10" t="n">
        <v>0</v>
      </c>
      <c r="I920" s="10" t="n">
        <v>29</v>
      </c>
      <c r="J920" s="10" t="n">
        <v>0</v>
      </c>
      <c r="K920" s="10" t="n">
        <v>4</v>
      </c>
      <c r="L920" s="10" t="n">
        <v>0</v>
      </c>
      <c r="M920" s="10" t="n">
        <v>2</v>
      </c>
      <c r="N920" s="10" t="n">
        <v>3</v>
      </c>
      <c r="O920" s="10" t="n">
        <v>0</v>
      </c>
      <c r="P920" s="10" t="n">
        <v>-1</v>
      </c>
      <c r="Q920" s="10" t="n">
        <v>0</v>
      </c>
      <c r="R920" s="10" t="n">
        <v>21</v>
      </c>
      <c r="S920" s="10" t="n">
        <v>0</v>
      </c>
      <c r="T920" s="10" t="n">
        <v>0</v>
      </c>
      <c r="U920" s="10" t="n">
        <v>0</v>
      </c>
    </row>
    <row r="921" customFormat="false" ht="15" hidden="false" customHeight="false" outlineLevel="0" collapsed="false">
      <c r="A921" s="7" t="s">
        <v>931</v>
      </c>
      <c r="B921" s="7" t="s">
        <v>176</v>
      </c>
      <c r="C921" s="7" t="s">
        <v>718</v>
      </c>
      <c r="D921" s="10" t="n">
        <v>0</v>
      </c>
      <c r="E921" s="10" t="n">
        <v>0</v>
      </c>
      <c r="F921" s="10" t="n">
        <v>637</v>
      </c>
      <c r="G921" s="10" t="n">
        <v>0</v>
      </c>
      <c r="H921" s="10" t="n">
        <v>0</v>
      </c>
      <c r="I921" s="10" t="n">
        <v>256</v>
      </c>
      <c r="J921" s="10" t="n">
        <v>0</v>
      </c>
      <c r="K921" s="10" t="n">
        <v>0</v>
      </c>
      <c r="L921" s="10" t="n">
        <v>0</v>
      </c>
      <c r="M921" s="10" t="n">
        <v>9</v>
      </c>
      <c r="N921" s="10" t="n">
        <v>6</v>
      </c>
      <c r="O921" s="10" t="n">
        <v>0</v>
      </c>
      <c r="P921" s="10" t="n">
        <v>-1</v>
      </c>
      <c r="Q921" s="10" t="n">
        <v>194</v>
      </c>
      <c r="R921" s="10" t="n">
        <v>48</v>
      </c>
      <c r="S921" s="10" t="n">
        <v>0</v>
      </c>
      <c r="T921" s="10" t="n">
        <v>0</v>
      </c>
      <c r="U921" s="10" t="n">
        <v>0</v>
      </c>
    </row>
    <row r="922" customFormat="false" ht="15" hidden="false" customHeight="false" outlineLevel="0" collapsed="false">
      <c r="A922" s="7" t="s">
        <v>931</v>
      </c>
      <c r="B922" s="7" t="s">
        <v>220</v>
      </c>
      <c r="C922" s="7" t="s">
        <v>719</v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>
        <v>2</v>
      </c>
      <c r="J922" s="10" t="n">
        <v>0</v>
      </c>
      <c r="K922" s="10" t="n">
        <v>0</v>
      </c>
      <c r="L922" s="10" t="n">
        <v>0</v>
      </c>
      <c r="M922" s="10" t="n">
        <v>0</v>
      </c>
      <c r="N922" s="10" t="n">
        <v>0</v>
      </c>
      <c r="O922" s="10" t="n">
        <v>0</v>
      </c>
      <c r="P922" s="10" t="n">
        <v>-1</v>
      </c>
      <c r="Q922" s="10" t="n">
        <v>2</v>
      </c>
      <c r="R922" s="10" t="n">
        <v>1</v>
      </c>
      <c r="S922" s="10" t="n">
        <v>0</v>
      </c>
      <c r="T922" s="10" t="n">
        <v>0</v>
      </c>
      <c r="U922" s="10" t="n">
        <v>0</v>
      </c>
    </row>
    <row r="923" customFormat="false" ht="15" hidden="false" customHeight="false" outlineLevel="0" collapsed="false">
      <c r="A923" s="7" t="s">
        <v>931</v>
      </c>
      <c r="B923" s="7" t="s">
        <v>220</v>
      </c>
      <c r="C923" s="7" t="s">
        <v>720</v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>
        <v>-2</v>
      </c>
      <c r="J923" s="10" t="n">
        <v>0</v>
      </c>
      <c r="K923" s="10" t="n">
        <v>0</v>
      </c>
      <c r="L923" s="10" t="n">
        <v>0</v>
      </c>
      <c r="M923" s="10" t="n">
        <v>0</v>
      </c>
      <c r="N923" s="10" t="n">
        <v>0</v>
      </c>
      <c r="O923" s="10" t="n">
        <v>0</v>
      </c>
      <c r="P923" s="10" t="n">
        <v>-2</v>
      </c>
      <c r="Q923" s="10" t="n">
        <v>0</v>
      </c>
      <c r="R923" s="10" t="n">
        <v>0</v>
      </c>
      <c r="S923" s="10" t="n">
        <v>0</v>
      </c>
      <c r="T923" s="10" t="n">
        <v>0</v>
      </c>
      <c r="U923" s="10" t="n">
        <v>0</v>
      </c>
    </row>
    <row r="924" customFormat="false" ht="15" hidden="false" customHeight="false" outlineLevel="0" collapsed="false">
      <c r="A924" s="7" t="s">
        <v>931</v>
      </c>
      <c r="B924" s="7" t="s">
        <v>239</v>
      </c>
      <c r="C924" s="7" t="s">
        <v>721</v>
      </c>
      <c r="D924" s="10" t="n">
        <v>0</v>
      </c>
      <c r="E924" s="10" t="n">
        <v>0</v>
      </c>
      <c r="F924" s="10" t="n">
        <v>7</v>
      </c>
      <c r="G924" s="10" t="n">
        <v>0</v>
      </c>
      <c r="H924" s="10" t="n">
        <v>0</v>
      </c>
      <c r="I924" s="10" t="n">
        <v>0</v>
      </c>
      <c r="J924" s="10" t="n">
        <v>0</v>
      </c>
      <c r="K924" s="10" t="n">
        <v>0</v>
      </c>
      <c r="L924" s="10" t="n">
        <v>0</v>
      </c>
      <c r="M924" s="10" t="n">
        <v>0</v>
      </c>
      <c r="N924" s="10" t="n">
        <v>0</v>
      </c>
      <c r="O924" s="10" t="n">
        <v>0</v>
      </c>
      <c r="P924" s="10" t="n">
        <v>0</v>
      </c>
      <c r="Q924" s="10" t="n">
        <v>0</v>
      </c>
      <c r="R924" s="10" t="n">
        <v>0</v>
      </c>
      <c r="S924" s="10" t="n">
        <v>0</v>
      </c>
      <c r="T924" s="10" t="n">
        <v>0</v>
      </c>
      <c r="U924" s="10" t="n">
        <v>0</v>
      </c>
    </row>
    <row r="925" customFormat="false" ht="15" hidden="false" customHeight="false" outlineLevel="0" collapsed="false">
      <c r="A925" s="7" t="s">
        <v>931</v>
      </c>
      <c r="B925" s="7" t="s">
        <v>239</v>
      </c>
      <c r="C925" s="7" t="s">
        <v>722</v>
      </c>
      <c r="D925" s="10" t="n">
        <v>0</v>
      </c>
      <c r="E925" s="10" t="n">
        <v>0</v>
      </c>
      <c r="F925" s="10" t="n">
        <v>1</v>
      </c>
      <c r="G925" s="10" t="n">
        <v>0</v>
      </c>
      <c r="H925" s="10" t="n">
        <v>0</v>
      </c>
      <c r="I925" s="10" t="n">
        <v>0</v>
      </c>
      <c r="J925" s="10" t="n">
        <v>0</v>
      </c>
      <c r="K925" s="10" t="n">
        <v>0</v>
      </c>
      <c r="L925" s="10" t="n">
        <v>0</v>
      </c>
      <c r="M925" s="10" t="n">
        <v>0</v>
      </c>
      <c r="N925" s="10" t="n">
        <v>0</v>
      </c>
      <c r="O925" s="10" t="n">
        <v>0</v>
      </c>
      <c r="P925" s="10" t="n">
        <v>0</v>
      </c>
      <c r="Q925" s="10" t="n">
        <v>0</v>
      </c>
      <c r="R925" s="10" t="n">
        <v>0</v>
      </c>
      <c r="S925" s="10" t="n">
        <v>0</v>
      </c>
      <c r="T925" s="10" t="n">
        <v>0</v>
      </c>
      <c r="U925" s="10" t="n">
        <v>0</v>
      </c>
    </row>
    <row r="926" customFormat="false" ht="15" hidden="false" customHeight="false" outlineLevel="0" collapsed="false">
      <c r="A926" s="7" t="s">
        <v>931</v>
      </c>
      <c r="B926" s="7" t="s">
        <v>239</v>
      </c>
      <c r="C926" s="7" t="s">
        <v>720</v>
      </c>
      <c r="D926" s="10" t="n">
        <v>0</v>
      </c>
      <c r="E926" s="10" t="n">
        <v>0</v>
      </c>
      <c r="F926" s="10" t="n">
        <v>4</v>
      </c>
      <c r="G926" s="10" t="n">
        <v>0</v>
      </c>
      <c r="H926" s="10" t="n">
        <v>0</v>
      </c>
      <c r="I926" s="10" t="n">
        <v>0</v>
      </c>
      <c r="J926" s="10" t="n">
        <v>0</v>
      </c>
      <c r="K926" s="10" t="n">
        <v>0</v>
      </c>
      <c r="L926" s="10" t="n">
        <v>0</v>
      </c>
      <c r="M926" s="10" t="n">
        <v>0</v>
      </c>
      <c r="N926" s="10" t="n">
        <v>0</v>
      </c>
      <c r="O926" s="10" t="n">
        <v>0</v>
      </c>
      <c r="P926" s="10" t="n">
        <v>0</v>
      </c>
      <c r="Q926" s="10" t="n">
        <v>0</v>
      </c>
      <c r="R926" s="10" t="n">
        <v>0</v>
      </c>
      <c r="S926" s="10" t="n">
        <v>0</v>
      </c>
      <c r="T926" s="10" t="n">
        <v>0</v>
      </c>
      <c r="U926" s="10" t="n">
        <v>0</v>
      </c>
    </row>
    <row r="927" customFormat="false" ht="15" hidden="false" customHeight="false" outlineLevel="0" collapsed="false">
      <c r="A927" s="7" t="s">
        <v>931</v>
      </c>
      <c r="B927" s="7" t="s">
        <v>153</v>
      </c>
      <c r="C927" s="7" t="s">
        <v>723</v>
      </c>
      <c r="D927" s="10" t="n">
        <v>0</v>
      </c>
      <c r="E927" s="10" t="n">
        <v>0</v>
      </c>
      <c r="F927" s="10" t="n">
        <v>47</v>
      </c>
      <c r="G927" s="10" t="n">
        <v>0</v>
      </c>
      <c r="H927" s="10" t="n">
        <v>0</v>
      </c>
      <c r="I927" s="10" t="n">
        <v>1437</v>
      </c>
      <c r="J927" s="10" t="n">
        <v>0</v>
      </c>
      <c r="K927" s="10" t="n">
        <v>5</v>
      </c>
      <c r="L927" s="10" t="n">
        <v>0</v>
      </c>
      <c r="M927" s="10" t="n">
        <v>0</v>
      </c>
      <c r="N927" s="10" t="n">
        <v>0</v>
      </c>
      <c r="O927" s="10" t="n">
        <v>1</v>
      </c>
      <c r="P927" s="10" t="n">
        <v>-7</v>
      </c>
      <c r="Q927" s="10" t="n">
        <v>1278</v>
      </c>
      <c r="R927" s="10" t="n">
        <v>160</v>
      </c>
      <c r="S927" s="10" t="n">
        <v>0</v>
      </c>
      <c r="T927" s="10" t="n">
        <v>0</v>
      </c>
      <c r="U927" s="10" t="n">
        <v>0</v>
      </c>
    </row>
    <row r="928" customFormat="false" ht="15" hidden="false" customHeight="false" outlineLevel="0" collapsed="false">
      <c r="A928" s="7" t="s">
        <v>931</v>
      </c>
      <c r="B928" s="7" t="s">
        <v>153</v>
      </c>
      <c r="C928" s="7" t="s">
        <v>724</v>
      </c>
      <c r="D928" s="10" t="n">
        <v>0</v>
      </c>
      <c r="E928" s="10" t="n">
        <v>0</v>
      </c>
      <c r="F928" s="10" t="n">
        <v>42</v>
      </c>
      <c r="G928" s="10" t="n">
        <v>0</v>
      </c>
      <c r="H928" s="10" t="n">
        <v>0</v>
      </c>
      <c r="I928" s="10" t="n">
        <v>967</v>
      </c>
      <c r="J928" s="10" t="n">
        <v>0</v>
      </c>
      <c r="K928" s="10" t="n">
        <v>1</v>
      </c>
      <c r="L928" s="10" t="n">
        <v>-2</v>
      </c>
      <c r="M928" s="10" t="n">
        <v>0</v>
      </c>
      <c r="N928" s="10" t="n">
        <v>1</v>
      </c>
      <c r="O928" s="10" t="n">
        <v>1</v>
      </c>
      <c r="P928" s="10" t="n">
        <v>-6</v>
      </c>
      <c r="Q928" s="10" t="n">
        <v>935</v>
      </c>
      <c r="R928" s="10" t="n">
        <v>37</v>
      </c>
      <c r="S928" s="10" t="n">
        <v>0</v>
      </c>
      <c r="T928" s="10" t="n">
        <v>0</v>
      </c>
      <c r="U928" s="10" t="n">
        <v>0</v>
      </c>
    </row>
    <row r="929" customFormat="false" ht="15" hidden="false" customHeight="false" outlineLevel="0" collapsed="false">
      <c r="A929" s="7" t="s">
        <v>931</v>
      </c>
      <c r="B929" s="7" t="s">
        <v>105</v>
      </c>
      <c r="C929" s="7" t="s">
        <v>723</v>
      </c>
      <c r="D929" s="10" t="n">
        <v>0</v>
      </c>
      <c r="E929" s="10" t="n">
        <v>0</v>
      </c>
      <c r="F929" s="10" t="n">
        <v>87</v>
      </c>
      <c r="G929" s="10" t="n">
        <v>0</v>
      </c>
      <c r="H929" s="10" t="n">
        <v>0</v>
      </c>
      <c r="I929" s="10" t="n">
        <v>298</v>
      </c>
      <c r="J929" s="10" t="n">
        <v>0</v>
      </c>
      <c r="K929" s="10" t="n">
        <v>0</v>
      </c>
      <c r="L929" s="10" t="n">
        <v>0</v>
      </c>
      <c r="M929" s="10" t="n">
        <v>0</v>
      </c>
      <c r="N929" s="10" t="n">
        <v>1</v>
      </c>
      <c r="O929" s="10" t="n">
        <v>0</v>
      </c>
      <c r="P929" s="10" t="n">
        <v>0</v>
      </c>
      <c r="Q929" s="10" t="n">
        <v>297</v>
      </c>
      <c r="R929" s="10" t="n">
        <v>0</v>
      </c>
      <c r="S929" s="10" t="n">
        <v>0</v>
      </c>
      <c r="T929" s="10" t="n">
        <v>0</v>
      </c>
      <c r="U929" s="10" t="n">
        <v>0</v>
      </c>
    </row>
    <row r="930" customFormat="false" ht="15" hidden="false" customHeight="false" outlineLevel="0" collapsed="false">
      <c r="A930" s="7" t="s">
        <v>931</v>
      </c>
      <c r="B930" s="7" t="s">
        <v>105</v>
      </c>
      <c r="C930" s="7" t="s">
        <v>724</v>
      </c>
      <c r="D930" s="10" t="n">
        <v>0</v>
      </c>
      <c r="E930" s="10" t="n">
        <v>0</v>
      </c>
      <c r="F930" s="10" t="n">
        <v>47</v>
      </c>
      <c r="G930" s="10" t="n">
        <v>0</v>
      </c>
      <c r="H930" s="10" t="n">
        <v>0</v>
      </c>
      <c r="I930" s="10" t="n">
        <v>187</v>
      </c>
      <c r="J930" s="10" t="n">
        <v>0</v>
      </c>
      <c r="K930" s="10" t="n">
        <v>0</v>
      </c>
      <c r="L930" s="10" t="n">
        <v>0</v>
      </c>
      <c r="M930" s="10" t="n">
        <v>0</v>
      </c>
      <c r="N930" s="10" t="n">
        <v>0</v>
      </c>
      <c r="O930" s="10" t="n">
        <v>0</v>
      </c>
      <c r="P930" s="10" t="n">
        <v>0</v>
      </c>
      <c r="Q930" s="10" t="n">
        <v>187</v>
      </c>
      <c r="R930" s="10" t="n">
        <v>0</v>
      </c>
      <c r="S930" s="10" t="n">
        <v>0</v>
      </c>
      <c r="T930" s="10" t="n">
        <v>0</v>
      </c>
      <c r="U930" s="10" t="n">
        <v>0</v>
      </c>
    </row>
    <row r="931" customFormat="false" ht="15" hidden="false" customHeight="false" outlineLevel="0" collapsed="false">
      <c r="A931" s="7" t="s">
        <v>931</v>
      </c>
      <c r="B931" s="7" t="s">
        <v>194</v>
      </c>
      <c r="C931" s="7" t="s">
        <v>725</v>
      </c>
      <c r="D931" s="10" t="n">
        <v>0</v>
      </c>
      <c r="E931" s="10" t="n">
        <v>0</v>
      </c>
      <c r="F931" s="10" t="n">
        <v>44</v>
      </c>
      <c r="G931" s="10" t="n">
        <v>0</v>
      </c>
      <c r="H931" s="10" t="n">
        <v>0</v>
      </c>
      <c r="I931" s="10" t="n">
        <v>166</v>
      </c>
      <c r="J931" s="10" t="n">
        <v>0</v>
      </c>
      <c r="K931" s="10" t="n">
        <v>3</v>
      </c>
      <c r="L931" s="10" t="n">
        <v>0</v>
      </c>
      <c r="M931" s="10" t="n">
        <v>0</v>
      </c>
      <c r="N931" s="10" t="n">
        <v>0</v>
      </c>
      <c r="O931" s="10" t="n">
        <v>0</v>
      </c>
      <c r="P931" s="10" t="n">
        <v>0</v>
      </c>
      <c r="Q931" s="10" t="n">
        <v>97</v>
      </c>
      <c r="R931" s="10" t="n">
        <v>66</v>
      </c>
      <c r="S931" s="10" t="n">
        <v>0</v>
      </c>
      <c r="T931" s="10" t="n">
        <v>0</v>
      </c>
      <c r="U931" s="10" t="n">
        <v>0</v>
      </c>
    </row>
    <row r="932" customFormat="false" ht="15" hidden="false" customHeight="false" outlineLevel="0" collapsed="false">
      <c r="A932" s="7" t="s">
        <v>931</v>
      </c>
      <c r="B932" s="7" t="s">
        <v>289</v>
      </c>
      <c r="C932" s="7" t="s">
        <v>726</v>
      </c>
      <c r="D932" s="10" t="n">
        <v>0</v>
      </c>
      <c r="E932" s="10" t="n">
        <v>0</v>
      </c>
      <c r="F932" s="10" t="n">
        <v>4</v>
      </c>
      <c r="G932" s="10" t="n">
        <v>0</v>
      </c>
      <c r="H932" s="10" t="n">
        <v>0</v>
      </c>
      <c r="I932" s="10" t="n">
        <v>0</v>
      </c>
      <c r="J932" s="10" t="n">
        <v>0</v>
      </c>
      <c r="K932" s="10" t="n">
        <v>0</v>
      </c>
      <c r="L932" s="10" t="n">
        <v>0</v>
      </c>
      <c r="M932" s="10" t="n">
        <v>0</v>
      </c>
      <c r="N932" s="10" t="n">
        <v>0</v>
      </c>
      <c r="O932" s="10" t="n">
        <v>0</v>
      </c>
      <c r="P932" s="10" t="n">
        <v>0</v>
      </c>
      <c r="Q932" s="10" t="n">
        <v>0</v>
      </c>
      <c r="R932" s="10" t="n">
        <v>0</v>
      </c>
      <c r="S932" s="10" t="n">
        <v>0</v>
      </c>
      <c r="T932" s="10" t="n">
        <v>0</v>
      </c>
      <c r="U932" s="10" t="n">
        <v>0</v>
      </c>
    </row>
    <row r="933" customFormat="false" ht="15" hidden="false" customHeight="false" outlineLevel="0" collapsed="false">
      <c r="A933" s="7" t="s">
        <v>931</v>
      </c>
      <c r="B933" s="7" t="s">
        <v>289</v>
      </c>
      <c r="C933" s="7" t="s">
        <v>727</v>
      </c>
      <c r="D933" s="10" t="n">
        <v>0</v>
      </c>
      <c r="E933" s="10" t="n">
        <v>0</v>
      </c>
      <c r="F933" s="10" t="n">
        <v>4</v>
      </c>
      <c r="G933" s="10" t="n">
        <v>0</v>
      </c>
      <c r="H933" s="10" t="n">
        <v>0</v>
      </c>
      <c r="I933" s="10" t="n">
        <v>0</v>
      </c>
      <c r="J933" s="10" t="n">
        <v>0</v>
      </c>
      <c r="K933" s="10" t="n">
        <v>0</v>
      </c>
      <c r="L933" s="10" t="n">
        <v>0</v>
      </c>
      <c r="M933" s="10" t="n">
        <v>0</v>
      </c>
      <c r="N933" s="10" t="n">
        <v>0</v>
      </c>
      <c r="O933" s="10" t="n">
        <v>0</v>
      </c>
      <c r="P933" s="10" t="n">
        <v>0</v>
      </c>
      <c r="Q933" s="10" t="n">
        <v>0</v>
      </c>
      <c r="R933" s="10" t="n">
        <v>0</v>
      </c>
      <c r="S933" s="10" t="n">
        <v>0</v>
      </c>
      <c r="T933" s="10" t="n">
        <v>0</v>
      </c>
      <c r="U933" s="10" t="n">
        <v>0</v>
      </c>
    </row>
    <row r="934" customFormat="false" ht="15" hidden="false" customHeight="false" outlineLevel="0" collapsed="false">
      <c r="A934" s="7" t="s">
        <v>931</v>
      </c>
      <c r="B934" s="7" t="s">
        <v>253</v>
      </c>
      <c r="C934" s="7" t="s">
        <v>728</v>
      </c>
      <c r="D934" s="10" t="n">
        <v>0</v>
      </c>
      <c r="E934" s="10" t="n">
        <v>0</v>
      </c>
      <c r="F934" s="10" t="n">
        <v>1</v>
      </c>
      <c r="G934" s="10" t="n">
        <v>0</v>
      </c>
      <c r="H934" s="10" t="n">
        <v>0</v>
      </c>
      <c r="I934" s="10" t="n">
        <v>-2</v>
      </c>
      <c r="J934" s="10" t="n">
        <v>0</v>
      </c>
      <c r="K934" s="10" t="n">
        <v>0</v>
      </c>
      <c r="L934" s="10" t="n">
        <v>0</v>
      </c>
      <c r="M934" s="10" t="n">
        <v>0</v>
      </c>
      <c r="N934" s="10" t="n">
        <v>0</v>
      </c>
      <c r="O934" s="10" t="n">
        <v>0</v>
      </c>
      <c r="P934" s="10" t="n">
        <v>-2</v>
      </c>
      <c r="Q934" s="10" t="n">
        <v>0</v>
      </c>
      <c r="R934" s="10" t="n">
        <v>0</v>
      </c>
      <c r="S934" s="10" t="n">
        <v>0</v>
      </c>
      <c r="T934" s="10" t="n">
        <v>0</v>
      </c>
      <c r="U934" s="10" t="n">
        <v>0</v>
      </c>
    </row>
    <row r="935" customFormat="false" ht="15" hidden="false" customHeight="false" outlineLevel="0" collapsed="false">
      <c r="A935" s="7" t="s">
        <v>931</v>
      </c>
      <c r="B935" s="7" t="s">
        <v>253</v>
      </c>
      <c r="C935" s="7" t="s">
        <v>729</v>
      </c>
      <c r="D935" s="10" t="n">
        <v>0</v>
      </c>
      <c r="E935" s="10" t="n">
        <v>0</v>
      </c>
      <c r="F935" s="10" t="n">
        <v>1</v>
      </c>
      <c r="G935" s="10" t="n">
        <v>0</v>
      </c>
      <c r="H935" s="10" t="n">
        <v>0</v>
      </c>
      <c r="I935" s="10" t="n">
        <v>0</v>
      </c>
      <c r="J935" s="10" t="n">
        <v>0</v>
      </c>
      <c r="K935" s="10" t="n">
        <v>0</v>
      </c>
      <c r="L935" s="10" t="n">
        <v>0</v>
      </c>
      <c r="M935" s="10" t="n">
        <v>0</v>
      </c>
      <c r="N935" s="10" t="n">
        <v>0</v>
      </c>
      <c r="O935" s="10" t="n">
        <v>0</v>
      </c>
      <c r="P935" s="10" t="n">
        <v>0</v>
      </c>
      <c r="Q935" s="10" t="n">
        <v>0</v>
      </c>
      <c r="R935" s="10" t="n">
        <v>0</v>
      </c>
      <c r="S935" s="10" t="n">
        <v>0</v>
      </c>
      <c r="T935" s="10" t="n">
        <v>0</v>
      </c>
      <c r="U935" s="10" t="n">
        <v>0</v>
      </c>
    </row>
    <row r="936" customFormat="false" ht="15" hidden="false" customHeight="false" outlineLevel="0" collapsed="false">
      <c r="A936" s="7" t="s">
        <v>931</v>
      </c>
      <c r="B936" s="7" t="s">
        <v>289</v>
      </c>
      <c r="C936" s="7" t="s">
        <v>730</v>
      </c>
      <c r="D936" s="10" t="n">
        <v>0</v>
      </c>
      <c r="E936" s="10" t="n">
        <v>0</v>
      </c>
      <c r="F936" s="10" t="n">
        <v>1</v>
      </c>
      <c r="G936" s="10" t="n">
        <v>0</v>
      </c>
      <c r="H936" s="10" t="n">
        <v>0</v>
      </c>
      <c r="I936" s="10" t="n">
        <v>0</v>
      </c>
      <c r="J936" s="10" t="n">
        <v>0</v>
      </c>
      <c r="K936" s="10" t="n">
        <v>0</v>
      </c>
      <c r="L936" s="10" t="n">
        <v>0</v>
      </c>
      <c r="M936" s="10" t="n">
        <v>0</v>
      </c>
      <c r="N936" s="10" t="n">
        <v>0</v>
      </c>
      <c r="O936" s="10" t="n">
        <v>0</v>
      </c>
      <c r="P936" s="10" t="n">
        <v>0</v>
      </c>
      <c r="Q936" s="10" t="n">
        <v>0</v>
      </c>
      <c r="R936" s="10" t="n">
        <v>0</v>
      </c>
      <c r="S936" s="10" t="n">
        <v>0</v>
      </c>
      <c r="T936" s="10" t="n">
        <v>0</v>
      </c>
      <c r="U936" s="10" t="n">
        <v>0</v>
      </c>
    </row>
    <row r="937" customFormat="false" ht="15" hidden="false" customHeight="false" outlineLevel="0" collapsed="false">
      <c r="A937" s="7" t="s">
        <v>931</v>
      </c>
      <c r="B937" s="7" t="s">
        <v>327</v>
      </c>
      <c r="C937" s="7" t="s">
        <v>728</v>
      </c>
      <c r="D937" s="10" t="n">
        <v>0</v>
      </c>
      <c r="E937" s="10" t="n">
        <v>0</v>
      </c>
      <c r="F937" s="10" t="n">
        <v>1</v>
      </c>
      <c r="G937" s="10" t="n">
        <v>0</v>
      </c>
      <c r="H937" s="10" t="n">
        <v>0</v>
      </c>
      <c r="I937" s="10" t="n">
        <v>0</v>
      </c>
      <c r="J937" s="10" t="n">
        <v>0</v>
      </c>
      <c r="K937" s="10" t="n">
        <v>0</v>
      </c>
      <c r="L937" s="10" t="n">
        <v>0</v>
      </c>
      <c r="M937" s="10" t="n">
        <v>0</v>
      </c>
      <c r="N937" s="10" t="n">
        <v>0</v>
      </c>
      <c r="O937" s="10" t="n">
        <v>0</v>
      </c>
      <c r="P937" s="10" t="n">
        <v>0</v>
      </c>
      <c r="Q937" s="10" t="n">
        <v>0</v>
      </c>
      <c r="R937" s="10" t="n">
        <v>0</v>
      </c>
      <c r="S937" s="10" t="n">
        <v>0</v>
      </c>
      <c r="T937" s="10" t="n">
        <v>0</v>
      </c>
      <c r="U937" s="10" t="n">
        <v>0</v>
      </c>
    </row>
    <row r="938" customFormat="false" ht="15" hidden="false" customHeight="false" outlineLevel="0" collapsed="false">
      <c r="A938" s="7" t="s">
        <v>931</v>
      </c>
      <c r="B938" s="7" t="s">
        <v>42</v>
      </c>
      <c r="C938" s="7" t="s">
        <v>731</v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>
        <v>-1</v>
      </c>
      <c r="J938" s="10" t="n">
        <v>0</v>
      </c>
      <c r="K938" s="10" t="n">
        <v>0</v>
      </c>
      <c r="L938" s="10" t="n">
        <v>0</v>
      </c>
      <c r="M938" s="10" t="n">
        <v>0</v>
      </c>
      <c r="N938" s="10" t="n">
        <v>0</v>
      </c>
      <c r="O938" s="10" t="n">
        <v>0</v>
      </c>
      <c r="P938" s="10" t="n">
        <v>-1</v>
      </c>
      <c r="Q938" s="10" t="n">
        <v>0</v>
      </c>
      <c r="R938" s="10" t="n">
        <v>0</v>
      </c>
      <c r="S938" s="10" t="n">
        <v>0</v>
      </c>
      <c r="T938" s="10" t="n">
        <v>0</v>
      </c>
      <c r="U938" s="10" t="n">
        <v>0</v>
      </c>
    </row>
    <row r="939" customFormat="false" ht="15" hidden="false" customHeight="false" outlineLevel="0" collapsed="false">
      <c r="A939" s="7" t="s">
        <v>931</v>
      </c>
      <c r="B939" s="7" t="s">
        <v>63</v>
      </c>
      <c r="C939" s="7" t="s">
        <v>732</v>
      </c>
      <c r="D939" s="10" t="n">
        <v>0</v>
      </c>
      <c r="E939" s="10" t="n">
        <v>0</v>
      </c>
      <c r="F939" s="10" t="n">
        <v>153</v>
      </c>
      <c r="G939" s="10" t="n">
        <v>0</v>
      </c>
      <c r="H939" s="10" t="n">
        <v>0</v>
      </c>
      <c r="I939" s="10" t="n">
        <v>513</v>
      </c>
      <c r="J939" s="10" t="n">
        <v>0</v>
      </c>
      <c r="K939" s="10" t="n">
        <v>6</v>
      </c>
      <c r="L939" s="10" t="n">
        <v>0</v>
      </c>
      <c r="M939" s="10" t="n">
        <v>0</v>
      </c>
      <c r="N939" s="10" t="n">
        <v>5</v>
      </c>
      <c r="O939" s="10" t="n">
        <v>1</v>
      </c>
      <c r="P939" s="10" t="n">
        <v>-3</v>
      </c>
      <c r="Q939" s="10" t="n">
        <v>423</v>
      </c>
      <c r="R939" s="10" t="n">
        <v>81</v>
      </c>
      <c r="S939" s="10" t="n">
        <v>0</v>
      </c>
      <c r="T939" s="10" t="n">
        <v>0</v>
      </c>
      <c r="U939" s="10" t="n">
        <v>0</v>
      </c>
    </row>
    <row r="940" customFormat="false" ht="15" hidden="false" customHeight="false" outlineLevel="0" collapsed="false">
      <c r="A940" s="7" t="s">
        <v>931</v>
      </c>
      <c r="B940" s="7" t="s">
        <v>63</v>
      </c>
      <c r="C940" s="7" t="s">
        <v>733</v>
      </c>
      <c r="D940" s="10" t="n">
        <v>0</v>
      </c>
      <c r="E940" s="10" t="n">
        <v>0</v>
      </c>
      <c r="F940" s="10" t="n">
        <v>147</v>
      </c>
      <c r="G940" s="10" t="n">
        <v>0</v>
      </c>
      <c r="H940" s="10" t="n">
        <v>0</v>
      </c>
      <c r="I940" s="10" t="n">
        <v>531</v>
      </c>
      <c r="J940" s="10" t="n">
        <v>0</v>
      </c>
      <c r="K940" s="10" t="n">
        <v>8</v>
      </c>
      <c r="L940" s="10" t="n">
        <v>0</v>
      </c>
      <c r="M940" s="10" t="n">
        <v>5</v>
      </c>
      <c r="N940" s="10" t="n">
        <v>5</v>
      </c>
      <c r="O940" s="10" t="n">
        <v>2</v>
      </c>
      <c r="P940" s="10" t="n">
        <v>-9</v>
      </c>
      <c r="Q940" s="10" t="n">
        <v>425</v>
      </c>
      <c r="R940" s="10" t="n">
        <v>95</v>
      </c>
      <c r="S940" s="10" t="n">
        <v>0</v>
      </c>
      <c r="T940" s="10" t="n">
        <v>0</v>
      </c>
      <c r="U940" s="10" t="n">
        <v>0</v>
      </c>
    </row>
    <row r="941" customFormat="false" ht="15" hidden="false" customHeight="false" outlineLevel="0" collapsed="false">
      <c r="A941" s="7" t="s">
        <v>931</v>
      </c>
      <c r="B941" s="7" t="s">
        <v>63</v>
      </c>
      <c r="C941" s="7" t="s">
        <v>734</v>
      </c>
      <c r="D941" s="10" t="n">
        <v>0</v>
      </c>
      <c r="E941" s="10" t="n">
        <v>0</v>
      </c>
      <c r="F941" s="10" t="n">
        <v>44</v>
      </c>
      <c r="G941" s="10" t="n">
        <v>0</v>
      </c>
      <c r="H941" s="10" t="n">
        <v>0</v>
      </c>
      <c r="I941" s="10" t="n">
        <v>190</v>
      </c>
      <c r="J941" s="10" t="n">
        <v>0</v>
      </c>
      <c r="K941" s="10" t="n">
        <v>5</v>
      </c>
      <c r="L941" s="10" t="n">
        <v>0</v>
      </c>
      <c r="M941" s="10" t="n">
        <v>0</v>
      </c>
      <c r="N941" s="10" t="n">
        <v>2</v>
      </c>
      <c r="O941" s="10" t="n">
        <v>0</v>
      </c>
      <c r="P941" s="10" t="n">
        <v>-4</v>
      </c>
      <c r="Q941" s="10" t="n">
        <v>158</v>
      </c>
      <c r="R941" s="10" t="n">
        <v>29</v>
      </c>
      <c r="S941" s="10" t="n">
        <v>0</v>
      </c>
      <c r="T941" s="10" t="n">
        <v>0</v>
      </c>
      <c r="U941" s="10" t="n">
        <v>0</v>
      </c>
    </row>
    <row r="942" customFormat="false" ht="15" hidden="false" customHeight="false" outlineLevel="0" collapsed="false">
      <c r="A942" s="7" t="s">
        <v>931</v>
      </c>
      <c r="B942" s="7" t="s">
        <v>229</v>
      </c>
      <c r="C942" s="7" t="s">
        <v>735</v>
      </c>
      <c r="D942" s="10" t="n">
        <v>0</v>
      </c>
      <c r="E942" s="10" t="n">
        <v>0</v>
      </c>
      <c r="F942" s="10" t="n">
        <v>124</v>
      </c>
      <c r="G942" s="10" t="n">
        <v>0</v>
      </c>
      <c r="H942" s="10" t="n">
        <v>0</v>
      </c>
      <c r="I942" s="10" t="n">
        <v>94</v>
      </c>
      <c r="J942" s="10" t="n">
        <v>0</v>
      </c>
      <c r="K942" s="10" t="n">
        <v>5</v>
      </c>
      <c r="L942" s="10" t="n">
        <v>-1</v>
      </c>
      <c r="M942" s="10" t="n">
        <v>0</v>
      </c>
      <c r="N942" s="10" t="n">
        <v>0</v>
      </c>
      <c r="O942" s="10" t="n">
        <v>0</v>
      </c>
      <c r="P942" s="10" t="n">
        <v>-5</v>
      </c>
      <c r="Q942" s="10" t="n">
        <v>0</v>
      </c>
      <c r="R942" s="10" t="n">
        <v>95</v>
      </c>
      <c r="S942" s="10" t="n">
        <v>0</v>
      </c>
      <c r="T942" s="10" t="n">
        <v>0</v>
      </c>
      <c r="U942" s="10" t="n">
        <v>0</v>
      </c>
    </row>
    <row r="943" customFormat="false" ht="15" hidden="false" customHeight="false" outlineLevel="0" collapsed="false">
      <c r="A943" s="7" t="s">
        <v>931</v>
      </c>
      <c r="B943" s="7" t="s">
        <v>229</v>
      </c>
      <c r="C943" s="7" t="s">
        <v>736</v>
      </c>
      <c r="D943" s="10" t="n">
        <v>0</v>
      </c>
      <c r="E943" s="10" t="n">
        <v>0</v>
      </c>
      <c r="F943" s="10" t="n">
        <v>129</v>
      </c>
      <c r="G943" s="10" t="n">
        <v>0</v>
      </c>
      <c r="H943" s="10" t="n">
        <v>0</v>
      </c>
      <c r="I943" s="10" t="n">
        <v>118</v>
      </c>
      <c r="J943" s="10" t="n">
        <v>0</v>
      </c>
      <c r="K943" s="10" t="n">
        <v>1</v>
      </c>
      <c r="L943" s="10" t="n">
        <v>0</v>
      </c>
      <c r="M943" s="10" t="n">
        <v>0</v>
      </c>
      <c r="N943" s="10" t="n">
        <v>0</v>
      </c>
      <c r="O943" s="10" t="n">
        <v>0</v>
      </c>
      <c r="P943" s="10" t="n">
        <v>-4</v>
      </c>
      <c r="Q943" s="10" t="n">
        <v>0</v>
      </c>
      <c r="R943" s="10" t="n">
        <v>121</v>
      </c>
      <c r="S943" s="10" t="n">
        <v>0</v>
      </c>
      <c r="T943" s="10" t="n">
        <v>0</v>
      </c>
      <c r="U943" s="10" t="n">
        <v>0</v>
      </c>
    </row>
    <row r="944" customFormat="false" ht="15" hidden="false" customHeight="false" outlineLevel="0" collapsed="false">
      <c r="A944" s="7" t="s">
        <v>931</v>
      </c>
      <c r="B944" s="7" t="s">
        <v>229</v>
      </c>
      <c r="C944" s="7" t="s">
        <v>737</v>
      </c>
      <c r="D944" s="10" t="n">
        <v>0</v>
      </c>
      <c r="E944" s="10" t="n">
        <v>0</v>
      </c>
      <c r="F944" s="10" t="n">
        <v>-1</v>
      </c>
      <c r="G944" s="10" t="n">
        <v>0</v>
      </c>
      <c r="H944" s="10" t="n">
        <v>0</v>
      </c>
      <c r="I944" s="10" t="n">
        <v>-5</v>
      </c>
      <c r="J944" s="10" t="n">
        <v>0</v>
      </c>
      <c r="K944" s="10" t="n">
        <v>0</v>
      </c>
      <c r="L944" s="10" t="n">
        <v>0</v>
      </c>
      <c r="M944" s="10" t="n">
        <v>0</v>
      </c>
      <c r="N944" s="10" t="n">
        <v>0</v>
      </c>
      <c r="O944" s="10" t="n">
        <v>0</v>
      </c>
      <c r="P944" s="10" t="n">
        <v>-3</v>
      </c>
      <c r="Q944" s="10" t="n">
        <v>-5</v>
      </c>
      <c r="R944" s="10" t="n">
        <v>3</v>
      </c>
      <c r="S944" s="10" t="n">
        <v>0</v>
      </c>
      <c r="T944" s="10" t="n">
        <v>0</v>
      </c>
      <c r="U944" s="10" t="n">
        <v>0</v>
      </c>
    </row>
    <row r="945" customFormat="false" ht="15" hidden="false" customHeight="false" outlineLevel="0" collapsed="false">
      <c r="A945" s="7" t="s">
        <v>931</v>
      </c>
      <c r="B945" s="7" t="s">
        <v>205</v>
      </c>
      <c r="C945" s="7" t="s">
        <v>738</v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>
        <v>-3</v>
      </c>
      <c r="J945" s="10" t="n">
        <v>0</v>
      </c>
      <c r="K945" s="10" t="n">
        <v>0</v>
      </c>
      <c r="L945" s="10" t="n">
        <v>0</v>
      </c>
      <c r="M945" s="10" t="n">
        <v>0</v>
      </c>
      <c r="N945" s="10" t="n">
        <v>0</v>
      </c>
      <c r="O945" s="10" t="n">
        <v>0</v>
      </c>
      <c r="P945" s="10" t="n">
        <v>0</v>
      </c>
      <c r="Q945" s="10" t="n">
        <v>-3</v>
      </c>
      <c r="R945" s="10" t="n">
        <v>0</v>
      </c>
      <c r="S945" s="10" t="n">
        <v>0</v>
      </c>
      <c r="T945" s="10" t="n">
        <v>0</v>
      </c>
      <c r="U945" s="10" t="n">
        <v>0</v>
      </c>
    </row>
    <row r="946" customFormat="false" ht="15" hidden="false" customHeight="false" outlineLevel="0" collapsed="false">
      <c r="A946" s="7" t="s">
        <v>931</v>
      </c>
      <c r="B946" s="7" t="s">
        <v>234</v>
      </c>
      <c r="C946" s="7" t="s">
        <v>635</v>
      </c>
      <c r="D946" s="10" t="n">
        <v>0</v>
      </c>
      <c r="E946" s="10" t="n">
        <v>0</v>
      </c>
      <c r="F946" s="10" t="n">
        <v>216</v>
      </c>
      <c r="G946" s="10" t="n">
        <v>0</v>
      </c>
      <c r="H946" s="10" t="n">
        <v>0</v>
      </c>
      <c r="I946" s="10" t="n">
        <v>200</v>
      </c>
      <c r="J946" s="10" t="n">
        <v>0</v>
      </c>
      <c r="K946" s="10" t="n">
        <v>34</v>
      </c>
      <c r="L946" s="10" t="n">
        <v>0</v>
      </c>
      <c r="M946" s="10" t="n">
        <v>0</v>
      </c>
      <c r="N946" s="10" t="n">
        <v>4</v>
      </c>
      <c r="O946" s="10" t="n">
        <v>0</v>
      </c>
      <c r="P946" s="10" t="n">
        <v>0</v>
      </c>
      <c r="Q946" s="10" t="n">
        <v>0</v>
      </c>
      <c r="R946" s="10" t="n">
        <v>162</v>
      </c>
      <c r="S946" s="10" t="n">
        <v>0</v>
      </c>
      <c r="T946" s="10" t="n">
        <v>0</v>
      </c>
      <c r="U946" s="10" t="n">
        <v>0</v>
      </c>
    </row>
    <row r="947" customFormat="false" ht="15" hidden="false" customHeight="false" outlineLevel="0" collapsed="false">
      <c r="A947" s="7" t="s">
        <v>931</v>
      </c>
      <c r="B947" s="7" t="s">
        <v>343</v>
      </c>
      <c r="C947" s="7" t="s">
        <v>739</v>
      </c>
      <c r="D947" s="10" t="n">
        <v>0</v>
      </c>
      <c r="E947" s="10" t="n">
        <v>0</v>
      </c>
      <c r="F947" s="10" t="n">
        <v>-1</v>
      </c>
      <c r="G947" s="10" t="n">
        <v>0</v>
      </c>
      <c r="H947" s="10" t="n">
        <v>0</v>
      </c>
      <c r="I947" s="10" t="n">
        <v>0</v>
      </c>
      <c r="J947" s="10" t="n">
        <v>0</v>
      </c>
      <c r="K947" s="10" t="n">
        <v>0</v>
      </c>
      <c r="L947" s="10" t="n">
        <v>0</v>
      </c>
      <c r="M947" s="10" t="n">
        <v>0</v>
      </c>
      <c r="N947" s="10" t="n">
        <v>0</v>
      </c>
      <c r="O947" s="10" t="n">
        <v>0</v>
      </c>
      <c r="P947" s="10" t="n">
        <v>0</v>
      </c>
      <c r="Q947" s="10" t="n">
        <v>0</v>
      </c>
      <c r="R947" s="10" t="n">
        <v>0</v>
      </c>
      <c r="S947" s="10" t="n">
        <v>0</v>
      </c>
      <c r="T947" s="10" t="n">
        <v>0</v>
      </c>
      <c r="U947" s="10" t="n">
        <v>0</v>
      </c>
    </row>
    <row r="948" customFormat="false" ht="15" hidden="false" customHeight="false" outlineLevel="0" collapsed="false">
      <c r="A948" s="7" t="s">
        <v>931</v>
      </c>
      <c r="B948" s="7" t="s">
        <v>73</v>
      </c>
      <c r="C948" s="7" t="s">
        <v>740</v>
      </c>
      <c r="D948" s="10" t="n">
        <v>0</v>
      </c>
      <c r="E948" s="10" t="n">
        <v>0</v>
      </c>
      <c r="F948" s="10" t="n">
        <v>188</v>
      </c>
      <c r="G948" s="10" t="n">
        <v>0</v>
      </c>
      <c r="H948" s="10" t="n">
        <v>0</v>
      </c>
      <c r="I948" s="10" t="n">
        <v>720</v>
      </c>
      <c r="J948" s="10" t="n">
        <v>0</v>
      </c>
      <c r="K948" s="10" t="n">
        <v>5</v>
      </c>
      <c r="L948" s="10" t="n">
        <v>0</v>
      </c>
      <c r="M948" s="10" t="n">
        <v>0</v>
      </c>
      <c r="N948" s="10" t="n">
        <v>4</v>
      </c>
      <c r="O948" s="10" t="n">
        <v>3</v>
      </c>
      <c r="P948" s="10" t="n">
        <v>-5</v>
      </c>
      <c r="Q948" s="10" t="n">
        <v>596</v>
      </c>
      <c r="R948" s="10" t="n">
        <v>117</v>
      </c>
      <c r="S948" s="10" t="n">
        <v>0</v>
      </c>
      <c r="T948" s="10" t="n">
        <v>0</v>
      </c>
      <c r="U948" s="10" t="n">
        <v>0</v>
      </c>
    </row>
    <row r="949" customFormat="false" ht="15" hidden="false" customHeight="false" outlineLevel="0" collapsed="false">
      <c r="A949" s="7" t="s">
        <v>931</v>
      </c>
      <c r="B949" s="7" t="s">
        <v>73</v>
      </c>
      <c r="C949" s="7" t="s">
        <v>741</v>
      </c>
      <c r="D949" s="10" t="n">
        <v>0</v>
      </c>
      <c r="E949" s="10" t="n">
        <v>0</v>
      </c>
      <c r="F949" s="10" t="n">
        <v>145</v>
      </c>
      <c r="G949" s="10" t="n">
        <v>0</v>
      </c>
      <c r="H949" s="10" t="n">
        <v>0</v>
      </c>
      <c r="I949" s="10" t="n">
        <v>763</v>
      </c>
      <c r="J949" s="10" t="n">
        <v>0</v>
      </c>
      <c r="K949" s="10" t="n">
        <v>3</v>
      </c>
      <c r="L949" s="10" t="n">
        <v>0</v>
      </c>
      <c r="M949" s="10" t="n">
        <v>0</v>
      </c>
      <c r="N949" s="10" t="n">
        <v>1</v>
      </c>
      <c r="O949" s="10" t="n">
        <v>2</v>
      </c>
      <c r="P949" s="10" t="n">
        <v>-1</v>
      </c>
      <c r="Q949" s="10" t="n">
        <v>635</v>
      </c>
      <c r="R949" s="10" t="n">
        <v>123</v>
      </c>
      <c r="S949" s="10" t="n">
        <v>0</v>
      </c>
      <c r="T949" s="10" t="n">
        <v>0</v>
      </c>
      <c r="U949" s="10" t="n">
        <v>0</v>
      </c>
    </row>
    <row r="950" customFormat="false" ht="15" hidden="false" customHeight="false" outlineLevel="0" collapsed="false">
      <c r="A950" s="7" t="s">
        <v>931</v>
      </c>
      <c r="B950" s="7" t="s">
        <v>73</v>
      </c>
      <c r="C950" s="7" t="s">
        <v>742</v>
      </c>
      <c r="D950" s="10" t="n">
        <v>0</v>
      </c>
      <c r="E950" s="10" t="n">
        <v>0</v>
      </c>
      <c r="F950" s="10" t="n">
        <v>71</v>
      </c>
      <c r="G950" s="10" t="n">
        <v>0</v>
      </c>
      <c r="H950" s="10" t="n">
        <v>0</v>
      </c>
      <c r="I950" s="10" t="n">
        <v>423</v>
      </c>
      <c r="J950" s="10" t="n">
        <v>0</v>
      </c>
      <c r="K950" s="10" t="n">
        <v>2</v>
      </c>
      <c r="L950" s="10" t="n">
        <v>0</v>
      </c>
      <c r="M950" s="10" t="n">
        <v>0</v>
      </c>
      <c r="N950" s="10" t="n">
        <v>0</v>
      </c>
      <c r="O950" s="10" t="n">
        <v>0</v>
      </c>
      <c r="P950" s="10" t="n">
        <v>-3</v>
      </c>
      <c r="Q950" s="10" t="n">
        <v>371</v>
      </c>
      <c r="R950" s="10" t="n">
        <v>53</v>
      </c>
      <c r="S950" s="10" t="n">
        <v>0</v>
      </c>
      <c r="T950" s="10" t="n">
        <v>0</v>
      </c>
      <c r="U950" s="10" t="n">
        <v>0</v>
      </c>
    </row>
    <row r="951" customFormat="false" ht="15" hidden="false" customHeight="false" outlineLevel="0" collapsed="false">
      <c r="A951" s="7" t="s">
        <v>931</v>
      </c>
      <c r="B951" s="7" t="s">
        <v>73</v>
      </c>
      <c r="C951" s="7" t="s">
        <v>743</v>
      </c>
      <c r="D951" s="10" t="n">
        <v>0</v>
      </c>
      <c r="E951" s="10" t="n">
        <v>0</v>
      </c>
      <c r="F951" s="10" t="n">
        <v>126</v>
      </c>
      <c r="G951" s="10" t="n">
        <v>0</v>
      </c>
      <c r="H951" s="10" t="n">
        <v>0</v>
      </c>
      <c r="I951" s="10" t="n">
        <v>593</v>
      </c>
      <c r="J951" s="10" t="n">
        <v>0</v>
      </c>
      <c r="K951" s="10" t="n">
        <v>2</v>
      </c>
      <c r="L951" s="10" t="n">
        <v>0</v>
      </c>
      <c r="M951" s="10" t="n">
        <v>0</v>
      </c>
      <c r="N951" s="10" t="n">
        <v>2</v>
      </c>
      <c r="O951" s="10" t="n">
        <v>3</v>
      </c>
      <c r="P951" s="10" t="n">
        <v>-3</v>
      </c>
      <c r="Q951" s="10" t="n">
        <v>503</v>
      </c>
      <c r="R951" s="10" t="n">
        <v>86</v>
      </c>
      <c r="S951" s="10" t="n">
        <v>0</v>
      </c>
      <c r="T951" s="10" t="n">
        <v>0</v>
      </c>
      <c r="U951" s="10" t="n">
        <v>0</v>
      </c>
    </row>
    <row r="952" customFormat="false" ht="15" hidden="false" customHeight="false" outlineLevel="0" collapsed="false">
      <c r="A952" s="7" t="s">
        <v>931</v>
      </c>
      <c r="B952" s="7" t="s">
        <v>73</v>
      </c>
      <c r="C952" s="7" t="s">
        <v>744</v>
      </c>
      <c r="D952" s="10" t="n">
        <v>0</v>
      </c>
      <c r="E952" s="10" t="n">
        <v>0</v>
      </c>
      <c r="F952" s="10" t="n">
        <v>2</v>
      </c>
      <c r="G952" s="10" t="n">
        <v>0</v>
      </c>
      <c r="H952" s="10" t="n">
        <v>0</v>
      </c>
      <c r="I952" s="10" t="n">
        <v>1</v>
      </c>
      <c r="J952" s="10" t="n">
        <v>0</v>
      </c>
      <c r="K952" s="10" t="n">
        <v>0</v>
      </c>
      <c r="L952" s="10" t="n">
        <v>0</v>
      </c>
      <c r="M952" s="10" t="n">
        <v>0</v>
      </c>
      <c r="N952" s="10" t="n">
        <v>0</v>
      </c>
      <c r="O952" s="10" t="n">
        <v>0</v>
      </c>
      <c r="P952" s="10" t="n">
        <v>0</v>
      </c>
      <c r="Q952" s="10" t="n">
        <v>1</v>
      </c>
      <c r="R952" s="10" t="n">
        <v>0</v>
      </c>
      <c r="S952" s="10" t="n">
        <v>0</v>
      </c>
      <c r="T952" s="10" t="n">
        <v>0</v>
      </c>
      <c r="U952" s="10" t="n">
        <v>0</v>
      </c>
    </row>
    <row r="953" customFormat="false" ht="15" hidden="false" customHeight="false" outlineLevel="0" collapsed="false">
      <c r="A953" s="7" t="s">
        <v>931</v>
      </c>
      <c r="B953" s="7" t="s">
        <v>345</v>
      </c>
      <c r="C953" s="7" t="s">
        <v>745</v>
      </c>
      <c r="D953" s="10" t="n">
        <v>0</v>
      </c>
      <c r="E953" s="10" t="n">
        <v>0</v>
      </c>
      <c r="F953" s="10" t="n">
        <v>1</v>
      </c>
      <c r="G953" s="10" t="n">
        <v>0</v>
      </c>
      <c r="H953" s="10" t="n">
        <v>0</v>
      </c>
      <c r="I953" s="10" t="n">
        <v>0</v>
      </c>
      <c r="J953" s="10" t="n">
        <v>0</v>
      </c>
      <c r="K953" s="10" t="n">
        <v>0</v>
      </c>
      <c r="L953" s="10" t="n">
        <v>0</v>
      </c>
      <c r="M953" s="10" t="n">
        <v>0</v>
      </c>
      <c r="N953" s="10" t="n">
        <v>0</v>
      </c>
      <c r="O953" s="10" t="n">
        <v>0</v>
      </c>
      <c r="P953" s="10" t="n">
        <v>0</v>
      </c>
      <c r="Q953" s="10" t="n">
        <v>0</v>
      </c>
      <c r="R953" s="10" t="n">
        <v>0</v>
      </c>
      <c r="S953" s="10" t="n">
        <v>0</v>
      </c>
      <c r="T953" s="10" t="n">
        <v>0</v>
      </c>
      <c r="U953" s="10" t="n">
        <v>0</v>
      </c>
    </row>
    <row r="954" customFormat="false" ht="15" hidden="false" customHeight="false" outlineLevel="0" collapsed="false">
      <c r="A954" s="7" t="s">
        <v>931</v>
      </c>
      <c r="B954" s="7" t="s">
        <v>233</v>
      </c>
      <c r="C954" s="7" t="s">
        <v>746</v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>
        <v>-3</v>
      </c>
      <c r="J954" s="10" t="n">
        <v>0</v>
      </c>
      <c r="K954" s="10" t="n">
        <v>0</v>
      </c>
      <c r="L954" s="10" t="n">
        <v>0</v>
      </c>
      <c r="M954" s="10" t="n">
        <v>0</v>
      </c>
      <c r="N954" s="10" t="n">
        <v>0</v>
      </c>
      <c r="O954" s="10" t="n">
        <v>0</v>
      </c>
      <c r="P954" s="10" t="n">
        <v>0</v>
      </c>
      <c r="Q954" s="10" t="n">
        <v>-3</v>
      </c>
      <c r="R954" s="10" t="n">
        <v>0</v>
      </c>
      <c r="S954" s="10" t="n">
        <v>0</v>
      </c>
      <c r="T954" s="10" t="n">
        <v>0</v>
      </c>
      <c r="U954" s="10" t="n">
        <v>0</v>
      </c>
    </row>
    <row r="955" customFormat="false" ht="15" hidden="false" customHeight="false" outlineLevel="0" collapsed="false">
      <c r="A955" s="7" t="s">
        <v>931</v>
      </c>
      <c r="B955" s="7" t="s">
        <v>388</v>
      </c>
      <c r="C955" s="7" t="s">
        <v>747</v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>
        <v>0</v>
      </c>
      <c r="J955" s="10" t="n">
        <v>0</v>
      </c>
      <c r="K955" s="10" t="n">
        <v>0</v>
      </c>
      <c r="L955" s="10" t="n">
        <v>0</v>
      </c>
      <c r="M955" s="10" t="n">
        <v>0</v>
      </c>
      <c r="N955" s="10" t="n">
        <v>0</v>
      </c>
      <c r="O955" s="10" t="n">
        <v>0</v>
      </c>
      <c r="P955" s="10" t="n">
        <v>0</v>
      </c>
      <c r="Q955" s="10" t="n">
        <v>0</v>
      </c>
      <c r="R955" s="10" t="n">
        <v>0</v>
      </c>
      <c r="S955" s="10" t="n">
        <v>0</v>
      </c>
      <c r="T955" s="10" t="n">
        <v>0</v>
      </c>
      <c r="U955" s="10" t="n">
        <v>-1</v>
      </c>
    </row>
    <row r="956" customFormat="false" ht="15" hidden="false" customHeight="false" outlineLevel="0" collapsed="false">
      <c r="A956" s="7" t="s">
        <v>931</v>
      </c>
      <c r="B956" s="7" t="s">
        <v>387</v>
      </c>
      <c r="C956" s="7" t="s">
        <v>748</v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>
        <v>0</v>
      </c>
      <c r="J956" s="10" t="n">
        <v>0</v>
      </c>
      <c r="K956" s="10" t="n">
        <v>0</v>
      </c>
      <c r="L956" s="10" t="n">
        <v>0</v>
      </c>
      <c r="M956" s="10" t="n">
        <v>0</v>
      </c>
      <c r="N956" s="10" t="n">
        <v>0</v>
      </c>
      <c r="O956" s="10" t="n">
        <v>0</v>
      </c>
      <c r="P956" s="10" t="n">
        <v>0</v>
      </c>
      <c r="Q956" s="10" t="n">
        <v>0</v>
      </c>
      <c r="R956" s="10" t="n">
        <v>0</v>
      </c>
      <c r="S956" s="10" t="n">
        <v>0</v>
      </c>
      <c r="T956" s="10" t="n">
        <v>0</v>
      </c>
      <c r="U956" s="10" t="n">
        <v>-5</v>
      </c>
    </row>
    <row r="957" customFormat="false" ht="15" hidden="false" customHeight="false" outlineLevel="0" collapsed="false">
      <c r="A957" s="7" t="s">
        <v>931</v>
      </c>
      <c r="B957" s="7" t="s">
        <v>389</v>
      </c>
      <c r="C957" s="7" t="s">
        <v>749</v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>
        <v>0</v>
      </c>
      <c r="J957" s="10" t="n">
        <v>0</v>
      </c>
      <c r="K957" s="10" t="n">
        <v>0</v>
      </c>
      <c r="L957" s="10" t="n">
        <v>0</v>
      </c>
      <c r="M957" s="10" t="n">
        <v>0</v>
      </c>
      <c r="N957" s="10" t="n">
        <v>0</v>
      </c>
      <c r="O957" s="10" t="n">
        <v>0</v>
      </c>
      <c r="P957" s="10" t="n">
        <v>0</v>
      </c>
      <c r="Q957" s="10" t="n">
        <v>0</v>
      </c>
      <c r="R957" s="10" t="n">
        <v>0</v>
      </c>
      <c r="S957" s="10" t="n">
        <v>0</v>
      </c>
      <c r="T957" s="10" t="n">
        <v>0</v>
      </c>
      <c r="U957" s="10" t="n">
        <v>-1</v>
      </c>
    </row>
    <row r="958" customFormat="false" ht="15" hidden="false" customHeight="false" outlineLevel="0" collapsed="false">
      <c r="A958" s="7" t="s">
        <v>931</v>
      </c>
      <c r="B958" s="7" t="s">
        <v>246</v>
      </c>
      <c r="C958" s="7" t="s">
        <v>750</v>
      </c>
      <c r="D958" s="10" t="n">
        <v>0</v>
      </c>
      <c r="E958" s="10" t="n">
        <v>0</v>
      </c>
      <c r="F958" s="10" t="n">
        <v>1054</v>
      </c>
      <c r="G958" s="10" t="n">
        <v>0</v>
      </c>
      <c r="H958" s="10" t="n">
        <v>0</v>
      </c>
      <c r="I958" s="10" t="n">
        <v>937</v>
      </c>
      <c r="J958" s="10" t="n">
        <v>0</v>
      </c>
      <c r="K958" s="10" t="n">
        <v>372</v>
      </c>
      <c r="L958" s="10" t="n">
        <v>-5</v>
      </c>
      <c r="M958" s="10" t="n">
        <v>0</v>
      </c>
      <c r="N958" s="10" t="n">
        <v>9</v>
      </c>
      <c r="O958" s="10" t="n">
        <v>20</v>
      </c>
      <c r="P958" s="10" t="n">
        <v>0</v>
      </c>
      <c r="Q958" s="10" t="n">
        <v>0</v>
      </c>
      <c r="R958" s="10" t="n">
        <v>541</v>
      </c>
      <c r="S958" s="10" t="n">
        <v>0</v>
      </c>
      <c r="T958" s="10" t="n">
        <v>0</v>
      </c>
      <c r="U958" s="10" t="n">
        <v>0</v>
      </c>
    </row>
    <row r="959" customFormat="false" ht="15" hidden="false" customHeight="false" outlineLevel="0" collapsed="false">
      <c r="A959" s="7" t="s">
        <v>931</v>
      </c>
      <c r="B959" s="7" t="s">
        <v>296</v>
      </c>
      <c r="C959" s="7" t="s">
        <v>751</v>
      </c>
      <c r="D959" s="10" t="n">
        <v>0</v>
      </c>
      <c r="E959" s="10" t="n">
        <v>0</v>
      </c>
      <c r="F959" s="10" t="n">
        <v>-17</v>
      </c>
      <c r="G959" s="10" t="n">
        <v>0</v>
      </c>
      <c r="H959" s="10" t="n">
        <v>0</v>
      </c>
      <c r="I959" s="10" t="n">
        <v>0</v>
      </c>
      <c r="J959" s="10" t="n">
        <v>0</v>
      </c>
      <c r="K959" s="10" t="n">
        <v>0</v>
      </c>
      <c r="L959" s="10" t="n">
        <v>0</v>
      </c>
      <c r="M959" s="10" t="n">
        <v>0</v>
      </c>
      <c r="N959" s="10" t="n">
        <v>0</v>
      </c>
      <c r="O959" s="10" t="n">
        <v>0</v>
      </c>
      <c r="P959" s="10" t="n">
        <v>0</v>
      </c>
      <c r="Q959" s="10" t="n">
        <v>0</v>
      </c>
      <c r="R959" s="10" t="n">
        <v>0</v>
      </c>
      <c r="S959" s="10" t="n">
        <v>0</v>
      </c>
      <c r="T959" s="10" t="n">
        <v>0</v>
      </c>
      <c r="U959" s="10" t="n">
        <v>0</v>
      </c>
    </row>
    <row r="960" customFormat="false" ht="15" hidden="false" customHeight="false" outlineLevel="0" collapsed="false">
      <c r="A960" s="7" t="s">
        <v>931</v>
      </c>
      <c r="B960" s="7" t="s">
        <v>286</v>
      </c>
      <c r="C960" s="7" t="s">
        <v>752</v>
      </c>
      <c r="D960" s="10" t="n">
        <v>0</v>
      </c>
      <c r="E960" s="10" t="n">
        <v>0</v>
      </c>
      <c r="F960" s="10" t="n">
        <v>410</v>
      </c>
      <c r="G960" s="10" t="n">
        <v>0</v>
      </c>
      <c r="H960" s="10" t="n">
        <v>0</v>
      </c>
      <c r="I960" s="10" t="n">
        <v>348</v>
      </c>
      <c r="J960" s="10" t="n">
        <v>0</v>
      </c>
      <c r="K960" s="10" t="n">
        <v>63</v>
      </c>
      <c r="L960" s="10" t="n">
        <v>0</v>
      </c>
      <c r="M960" s="10" t="n">
        <v>6</v>
      </c>
      <c r="N960" s="10" t="n">
        <v>12</v>
      </c>
      <c r="O960" s="10" t="n">
        <v>15</v>
      </c>
      <c r="P960" s="10" t="n">
        <v>-9</v>
      </c>
      <c r="Q960" s="10" t="n">
        <v>0</v>
      </c>
      <c r="R960" s="10" t="n">
        <v>261</v>
      </c>
      <c r="S960" s="10" t="n">
        <v>0</v>
      </c>
      <c r="T960" s="10" t="n">
        <v>0</v>
      </c>
      <c r="U960" s="10" t="n">
        <v>0</v>
      </c>
    </row>
    <row r="961" customFormat="false" ht="15" hidden="false" customHeight="false" outlineLevel="0" collapsed="false">
      <c r="A961" s="7" t="s">
        <v>931</v>
      </c>
      <c r="B961" s="7" t="s">
        <v>241</v>
      </c>
      <c r="C961" s="7" t="s">
        <v>753</v>
      </c>
      <c r="D961" s="10" t="n">
        <v>0</v>
      </c>
      <c r="E961" s="10" t="n">
        <v>0</v>
      </c>
      <c r="F961" s="10" t="n">
        <v>136</v>
      </c>
      <c r="G961" s="10" t="n">
        <v>0</v>
      </c>
      <c r="H961" s="10" t="n">
        <v>0</v>
      </c>
      <c r="I961" s="10" t="n">
        <v>100</v>
      </c>
      <c r="J961" s="10" t="n">
        <v>0</v>
      </c>
      <c r="K961" s="10" t="n">
        <v>5</v>
      </c>
      <c r="L961" s="10" t="n">
        <v>0</v>
      </c>
      <c r="M961" s="10" t="n">
        <v>0</v>
      </c>
      <c r="N961" s="10" t="n">
        <v>12</v>
      </c>
      <c r="O961" s="10" t="n">
        <v>0</v>
      </c>
      <c r="P961" s="10" t="n">
        <v>0</v>
      </c>
      <c r="Q961" s="10" t="n">
        <v>34</v>
      </c>
      <c r="R961" s="10" t="n">
        <v>49</v>
      </c>
      <c r="S961" s="10" t="n">
        <v>0</v>
      </c>
      <c r="T961" s="10" t="n">
        <v>0</v>
      </c>
      <c r="U961" s="10" t="n">
        <v>0</v>
      </c>
    </row>
    <row r="962" customFormat="false" ht="15" hidden="false" customHeight="false" outlineLevel="0" collapsed="false">
      <c r="A962" s="7" t="s">
        <v>931</v>
      </c>
      <c r="B962" s="7" t="s">
        <v>277</v>
      </c>
      <c r="C962" s="7" t="s">
        <v>754</v>
      </c>
      <c r="D962" s="10" t="n">
        <v>0</v>
      </c>
      <c r="E962" s="10" t="n">
        <v>0</v>
      </c>
      <c r="F962" s="10" t="n">
        <v>547</v>
      </c>
      <c r="G962" s="10" t="n">
        <v>0</v>
      </c>
      <c r="H962" s="10" t="n">
        <v>70</v>
      </c>
      <c r="I962" s="10" t="n">
        <v>246</v>
      </c>
      <c r="J962" s="10" t="n">
        <v>0</v>
      </c>
      <c r="K962" s="10" t="n">
        <v>16</v>
      </c>
      <c r="L962" s="10" t="n">
        <v>0</v>
      </c>
      <c r="M962" s="10" t="n">
        <v>6</v>
      </c>
      <c r="N962" s="10" t="n">
        <v>6</v>
      </c>
      <c r="O962" s="10" t="n">
        <v>6</v>
      </c>
      <c r="P962" s="10" t="n">
        <v>-10</v>
      </c>
      <c r="Q962" s="10" t="n">
        <v>0</v>
      </c>
      <c r="R962" s="10" t="n">
        <v>222</v>
      </c>
      <c r="S962" s="10" t="n">
        <v>0</v>
      </c>
      <c r="T962" s="10" t="n">
        <v>0</v>
      </c>
      <c r="U962" s="10" t="n">
        <v>0</v>
      </c>
    </row>
    <row r="963" customFormat="false" ht="15" hidden="false" customHeight="false" outlineLevel="0" collapsed="false">
      <c r="A963" s="7" t="s">
        <v>931</v>
      </c>
      <c r="B963" s="7" t="s">
        <v>287</v>
      </c>
      <c r="C963" s="7" t="s">
        <v>755</v>
      </c>
      <c r="D963" s="10" t="n">
        <v>0</v>
      </c>
      <c r="E963" s="10" t="n">
        <v>0</v>
      </c>
      <c r="F963" s="10" t="n">
        <v>286</v>
      </c>
      <c r="G963" s="10" t="n">
        <v>0</v>
      </c>
      <c r="H963" s="10" t="n">
        <v>0</v>
      </c>
      <c r="I963" s="10" t="n">
        <v>186</v>
      </c>
      <c r="J963" s="10" t="n">
        <v>0</v>
      </c>
      <c r="K963" s="10" t="n">
        <v>14</v>
      </c>
      <c r="L963" s="10" t="n">
        <v>0</v>
      </c>
      <c r="M963" s="10" t="n">
        <v>6</v>
      </c>
      <c r="N963" s="10" t="n">
        <v>12</v>
      </c>
      <c r="O963" s="10" t="n">
        <v>0</v>
      </c>
      <c r="P963" s="10" t="n">
        <v>-3</v>
      </c>
      <c r="Q963" s="10" t="n">
        <v>0</v>
      </c>
      <c r="R963" s="10" t="n">
        <v>157</v>
      </c>
      <c r="S963" s="10" t="n">
        <v>0</v>
      </c>
      <c r="T963" s="10" t="n">
        <v>0</v>
      </c>
      <c r="U963" s="10" t="n">
        <v>0</v>
      </c>
    </row>
    <row r="964" customFormat="false" ht="15" hidden="false" customHeight="false" outlineLevel="0" collapsed="false">
      <c r="A964" s="7" t="s">
        <v>931</v>
      </c>
      <c r="B964" s="7" t="s">
        <v>199</v>
      </c>
      <c r="C964" s="7" t="s">
        <v>756</v>
      </c>
      <c r="D964" s="10" t="n">
        <v>0</v>
      </c>
      <c r="E964" s="10" t="n">
        <v>0</v>
      </c>
      <c r="F964" s="10" t="n">
        <v>3</v>
      </c>
      <c r="G964" s="10" t="n">
        <v>0</v>
      </c>
      <c r="H964" s="10" t="n">
        <v>0</v>
      </c>
      <c r="I964" s="10" t="n">
        <v>4</v>
      </c>
      <c r="J964" s="10" t="n">
        <v>0</v>
      </c>
      <c r="K964" s="10" t="n">
        <v>0</v>
      </c>
      <c r="L964" s="10" t="n">
        <v>0</v>
      </c>
      <c r="M964" s="10" t="n">
        <v>0</v>
      </c>
      <c r="N964" s="10" t="n">
        <v>0</v>
      </c>
      <c r="O964" s="10" t="n">
        <v>0</v>
      </c>
      <c r="P964" s="10" t="n">
        <v>-1</v>
      </c>
      <c r="Q964" s="10" t="n">
        <v>0</v>
      </c>
      <c r="R964" s="10" t="n">
        <v>5</v>
      </c>
      <c r="S964" s="10" t="n">
        <v>0</v>
      </c>
      <c r="T964" s="10" t="n">
        <v>0</v>
      </c>
      <c r="U964" s="10" t="n">
        <v>0</v>
      </c>
    </row>
    <row r="965" customFormat="false" ht="15" hidden="false" customHeight="false" outlineLevel="0" collapsed="false">
      <c r="A965" s="7" t="s">
        <v>931</v>
      </c>
      <c r="B965" s="7" t="s">
        <v>199</v>
      </c>
      <c r="C965" s="7" t="s">
        <v>757</v>
      </c>
      <c r="D965" s="10" t="n">
        <v>0</v>
      </c>
      <c r="E965" s="10" t="n">
        <v>0</v>
      </c>
      <c r="F965" s="10" t="n">
        <v>3</v>
      </c>
      <c r="G965" s="10" t="n">
        <v>0</v>
      </c>
      <c r="H965" s="10" t="n">
        <v>0</v>
      </c>
      <c r="I965" s="10" t="n">
        <v>4</v>
      </c>
      <c r="J965" s="10" t="n">
        <v>0</v>
      </c>
      <c r="K965" s="10" t="n">
        <v>0</v>
      </c>
      <c r="L965" s="10" t="n">
        <v>0</v>
      </c>
      <c r="M965" s="10" t="n">
        <v>0</v>
      </c>
      <c r="N965" s="10" t="n">
        <v>0</v>
      </c>
      <c r="O965" s="10" t="n">
        <v>0</v>
      </c>
      <c r="P965" s="10" t="n">
        <v>0</v>
      </c>
      <c r="Q965" s="10" t="n">
        <v>0</v>
      </c>
      <c r="R965" s="10" t="n">
        <v>4</v>
      </c>
      <c r="S965" s="10" t="n">
        <v>0</v>
      </c>
      <c r="T965" s="10" t="n">
        <v>0</v>
      </c>
      <c r="U965" s="10" t="n">
        <v>0</v>
      </c>
    </row>
    <row r="966" customFormat="false" ht="15" hidden="false" customHeight="false" outlineLevel="0" collapsed="false">
      <c r="A966" s="7" t="s">
        <v>931</v>
      </c>
      <c r="B966" s="7" t="s">
        <v>199</v>
      </c>
      <c r="C966" s="7" t="s">
        <v>758</v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>
        <v>1</v>
      </c>
      <c r="J966" s="10" t="n">
        <v>0</v>
      </c>
      <c r="K966" s="10" t="n">
        <v>0</v>
      </c>
      <c r="L966" s="10" t="n">
        <v>0</v>
      </c>
      <c r="M966" s="10" t="n">
        <v>0</v>
      </c>
      <c r="N966" s="10" t="n">
        <v>0</v>
      </c>
      <c r="O966" s="10" t="n">
        <v>0</v>
      </c>
      <c r="P966" s="10" t="n">
        <v>0</v>
      </c>
      <c r="Q966" s="10" t="n">
        <v>0</v>
      </c>
      <c r="R966" s="10" t="n">
        <v>1</v>
      </c>
      <c r="S966" s="10" t="n">
        <v>0</v>
      </c>
      <c r="T966" s="10" t="n">
        <v>0</v>
      </c>
      <c r="U966" s="10" t="n">
        <v>0</v>
      </c>
    </row>
    <row r="967" customFormat="false" ht="15" hidden="false" customHeight="false" outlineLevel="0" collapsed="false">
      <c r="A967" s="7" t="s">
        <v>931</v>
      </c>
      <c r="B967" s="7" t="s">
        <v>199</v>
      </c>
      <c r="C967" s="7" t="s">
        <v>759</v>
      </c>
      <c r="D967" s="10" t="n">
        <v>0</v>
      </c>
      <c r="E967" s="10" t="n">
        <v>0</v>
      </c>
      <c r="F967" s="10" t="n">
        <v>2</v>
      </c>
      <c r="G967" s="10" t="n">
        <v>0</v>
      </c>
      <c r="H967" s="10" t="n">
        <v>0</v>
      </c>
      <c r="I967" s="10" t="n">
        <v>5</v>
      </c>
      <c r="J967" s="10" t="n">
        <v>0</v>
      </c>
      <c r="K967" s="10" t="n">
        <v>0</v>
      </c>
      <c r="L967" s="10" t="n">
        <v>0</v>
      </c>
      <c r="M967" s="10" t="n">
        <v>0</v>
      </c>
      <c r="N967" s="10" t="n">
        <v>0</v>
      </c>
      <c r="O967" s="10" t="n">
        <v>0</v>
      </c>
      <c r="P967" s="10" t="n">
        <v>-2</v>
      </c>
      <c r="Q967" s="10" t="n">
        <v>6</v>
      </c>
      <c r="R967" s="10" t="n">
        <v>1</v>
      </c>
      <c r="S967" s="10" t="n">
        <v>0</v>
      </c>
      <c r="T967" s="10" t="n">
        <v>0</v>
      </c>
      <c r="U967" s="10" t="n">
        <v>0</v>
      </c>
    </row>
    <row r="968" customFormat="false" ht="15" hidden="false" customHeight="false" outlineLevel="0" collapsed="false">
      <c r="A968" s="7" t="s">
        <v>931</v>
      </c>
      <c r="B968" s="7" t="s">
        <v>199</v>
      </c>
      <c r="C968" s="7" t="s">
        <v>760</v>
      </c>
      <c r="D968" s="10" t="n">
        <v>0</v>
      </c>
      <c r="E968" s="10" t="n">
        <v>0</v>
      </c>
      <c r="F968" s="10" t="n">
        <v>2</v>
      </c>
      <c r="G968" s="10" t="n">
        <v>0</v>
      </c>
      <c r="H968" s="10" t="n">
        <v>0</v>
      </c>
      <c r="I968" s="10" t="n">
        <v>7</v>
      </c>
      <c r="J968" s="10" t="n">
        <v>0</v>
      </c>
      <c r="K968" s="10" t="n">
        <v>0</v>
      </c>
      <c r="L968" s="10" t="n">
        <v>0</v>
      </c>
      <c r="M968" s="10" t="n">
        <v>0</v>
      </c>
      <c r="N968" s="10" t="n">
        <v>0</v>
      </c>
      <c r="O968" s="10" t="n">
        <v>0</v>
      </c>
      <c r="P968" s="10" t="n">
        <v>0</v>
      </c>
      <c r="Q968" s="10" t="n">
        <v>3</v>
      </c>
      <c r="R968" s="10" t="n">
        <v>4</v>
      </c>
      <c r="S968" s="10" t="n">
        <v>0</v>
      </c>
      <c r="T968" s="10" t="n">
        <v>0</v>
      </c>
      <c r="U968" s="10" t="n">
        <v>0</v>
      </c>
    </row>
    <row r="969" customFormat="false" ht="15" hidden="false" customHeight="false" outlineLevel="0" collapsed="false">
      <c r="A969" s="7" t="s">
        <v>931</v>
      </c>
      <c r="B969" s="7" t="s">
        <v>199</v>
      </c>
      <c r="C969" s="7" t="s">
        <v>761</v>
      </c>
      <c r="D969" s="10" t="n">
        <v>0</v>
      </c>
      <c r="E969" s="10" t="n">
        <v>0</v>
      </c>
      <c r="F969" s="10" t="n">
        <v>6</v>
      </c>
      <c r="G969" s="10" t="n">
        <v>0</v>
      </c>
      <c r="H969" s="10" t="n">
        <v>0</v>
      </c>
      <c r="I969" s="10" t="n">
        <v>3</v>
      </c>
      <c r="J969" s="10" t="n">
        <v>0</v>
      </c>
      <c r="K969" s="10" t="n">
        <v>0</v>
      </c>
      <c r="L969" s="10" t="n">
        <v>0</v>
      </c>
      <c r="M969" s="10" t="n">
        <v>0</v>
      </c>
      <c r="N969" s="10" t="n">
        <v>0</v>
      </c>
      <c r="O969" s="10" t="n">
        <v>0</v>
      </c>
      <c r="P969" s="10" t="n">
        <v>0</v>
      </c>
      <c r="Q969" s="10" t="n">
        <v>1</v>
      </c>
      <c r="R969" s="10" t="n">
        <v>2</v>
      </c>
      <c r="S969" s="10" t="n">
        <v>0</v>
      </c>
      <c r="T969" s="10" t="n">
        <v>0</v>
      </c>
      <c r="U969" s="10" t="n">
        <v>0</v>
      </c>
    </row>
    <row r="970" customFormat="false" ht="15" hidden="false" customHeight="false" outlineLevel="0" collapsed="false">
      <c r="A970" s="7" t="s">
        <v>931</v>
      </c>
      <c r="B970" s="7" t="s">
        <v>199</v>
      </c>
      <c r="C970" s="7" t="s">
        <v>762</v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>
        <v>0</v>
      </c>
      <c r="J970" s="10" t="n">
        <v>0</v>
      </c>
      <c r="K970" s="10" t="n">
        <v>0</v>
      </c>
      <c r="L970" s="10" t="n">
        <v>0</v>
      </c>
      <c r="M970" s="10" t="n">
        <v>0</v>
      </c>
      <c r="N970" s="10" t="n">
        <v>0</v>
      </c>
      <c r="O970" s="10" t="n">
        <v>0</v>
      </c>
      <c r="P970" s="10" t="n">
        <v>0</v>
      </c>
      <c r="Q970" s="10" t="n">
        <v>-2</v>
      </c>
      <c r="R970" s="10" t="n">
        <v>2</v>
      </c>
      <c r="S970" s="10" t="n">
        <v>0</v>
      </c>
      <c r="T970" s="10" t="n">
        <v>0</v>
      </c>
      <c r="U970" s="10" t="n">
        <v>0</v>
      </c>
    </row>
    <row r="971" customFormat="false" ht="15" hidden="false" customHeight="false" outlineLevel="0" collapsed="false">
      <c r="A971" s="7" t="s">
        <v>931</v>
      </c>
      <c r="B971" s="7" t="s">
        <v>199</v>
      </c>
      <c r="C971" s="7" t="s">
        <v>763</v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>
        <v>2</v>
      </c>
      <c r="J971" s="10" t="n">
        <v>0</v>
      </c>
      <c r="K971" s="10" t="n">
        <v>0</v>
      </c>
      <c r="L971" s="10" t="n">
        <v>0</v>
      </c>
      <c r="M971" s="10" t="n">
        <v>0</v>
      </c>
      <c r="N971" s="10" t="n">
        <v>0</v>
      </c>
      <c r="O971" s="10" t="n">
        <v>0</v>
      </c>
      <c r="P971" s="10" t="n">
        <v>-4</v>
      </c>
      <c r="Q971" s="10" t="n">
        <v>3</v>
      </c>
      <c r="R971" s="10" t="n">
        <v>3</v>
      </c>
      <c r="S971" s="10" t="n">
        <v>0</v>
      </c>
      <c r="T971" s="10" t="n">
        <v>0</v>
      </c>
      <c r="U971" s="10" t="n">
        <v>0</v>
      </c>
    </row>
    <row r="972" customFormat="false" ht="15" hidden="false" customHeight="false" outlineLevel="0" collapsed="false">
      <c r="A972" s="7" t="s">
        <v>931</v>
      </c>
      <c r="B972" s="7" t="s">
        <v>199</v>
      </c>
      <c r="C972" s="7" t="s">
        <v>764</v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>
        <v>1</v>
      </c>
      <c r="J972" s="10" t="n">
        <v>0</v>
      </c>
      <c r="K972" s="10" t="n">
        <v>0</v>
      </c>
      <c r="L972" s="10" t="n">
        <v>0</v>
      </c>
      <c r="M972" s="10" t="n">
        <v>0</v>
      </c>
      <c r="N972" s="10" t="n">
        <v>0</v>
      </c>
      <c r="O972" s="10" t="n">
        <v>0</v>
      </c>
      <c r="P972" s="10" t="n">
        <v>0</v>
      </c>
      <c r="Q972" s="10" t="n">
        <v>0</v>
      </c>
      <c r="R972" s="10" t="n">
        <v>1</v>
      </c>
      <c r="S972" s="10" t="n">
        <v>0</v>
      </c>
      <c r="T972" s="10" t="n">
        <v>0</v>
      </c>
      <c r="U972" s="10" t="n">
        <v>0</v>
      </c>
    </row>
    <row r="973" customFormat="false" ht="15" hidden="false" customHeight="false" outlineLevel="0" collapsed="false">
      <c r="A973" s="7" t="s">
        <v>931</v>
      </c>
      <c r="B973" s="7" t="s">
        <v>199</v>
      </c>
      <c r="C973" s="7" t="s">
        <v>765</v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>
        <v>-5</v>
      </c>
      <c r="J973" s="10" t="n">
        <v>0</v>
      </c>
      <c r="K973" s="10" t="n">
        <v>0</v>
      </c>
      <c r="L973" s="10" t="n">
        <v>0</v>
      </c>
      <c r="M973" s="10" t="n">
        <v>0</v>
      </c>
      <c r="N973" s="10" t="n">
        <v>0</v>
      </c>
      <c r="O973" s="10" t="n">
        <v>0</v>
      </c>
      <c r="P973" s="10" t="n">
        <v>0</v>
      </c>
      <c r="Q973" s="10" t="n">
        <v>-5</v>
      </c>
      <c r="R973" s="10" t="n">
        <v>0</v>
      </c>
      <c r="S973" s="10" t="n">
        <v>0</v>
      </c>
      <c r="T973" s="10" t="n">
        <v>0</v>
      </c>
      <c r="U973" s="10" t="n">
        <v>0</v>
      </c>
    </row>
    <row r="974" customFormat="false" ht="15" hidden="false" customHeight="false" outlineLevel="0" collapsed="false">
      <c r="A974" s="7" t="s">
        <v>931</v>
      </c>
      <c r="B974" s="7" t="s">
        <v>199</v>
      </c>
      <c r="C974" s="7" t="s">
        <v>766</v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>
        <v>-3</v>
      </c>
      <c r="J974" s="10" t="n">
        <v>0</v>
      </c>
      <c r="K974" s="10" t="n">
        <v>0</v>
      </c>
      <c r="L974" s="10" t="n">
        <v>0</v>
      </c>
      <c r="M974" s="10" t="n">
        <v>0</v>
      </c>
      <c r="N974" s="10" t="n">
        <v>0</v>
      </c>
      <c r="O974" s="10" t="n">
        <v>0</v>
      </c>
      <c r="P974" s="10" t="n">
        <v>0</v>
      </c>
      <c r="Q974" s="10" t="n">
        <v>-3</v>
      </c>
      <c r="R974" s="10" t="n">
        <v>0</v>
      </c>
      <c r="S974" s="10" t="n">
        <v>0</v>
      </c>
      <c r="T974" s="10" t="n">
        <v>0</v>
      </c>
      <c r="U974" s="10" t="n">
        <v>0</v>
      </c>
    </row>
    <row r="975" customFormat="false" ht="15" hidden="false" customHeight="false" outlineLevel="0" collapsed="false">
      <c r="A975" s="7" t="s">
        <v>931</v>
      </c>
      <c r="B975" s="7" t="s">
        <v>68</v>
      </c>
      <c r="C975" s="7" t="s">
        <v>767</v>
      </c>
      <c r="D975" s="10" t="n">
        <v>0</v>
      </c>
      <c r="E975" s="10" t="n">
        <v>0</v>
      </c>
      <c r="F975" s="10" t="n">
        <v>46</v>
      </c>
      <c r="G975" s="10" t="n">
        <v>0</v>
      </c>
      <c r="H975" s="10" t="n">
        <v>0</v>
      </c>
      <c r="I975" s="10" t="n">
        <v>1021</v>
      </c>
      <c r="J975" s="10" t="n">
        <v>0</v>
      </c>
      <c r="K975" s="10" t="n">
        <v>2</v>
      </c>
      <c r="L975" s="10" t="n">
        <v>0</v>
      </c>
      <c r="M975" s="10" t="n">
        <v>0</v>
      </c>
      <c r="N975" s="10" t="n">
        <v>0</v>
      </c>
      <c r="O975" s="10" t="n">
        <v>0</v>
      </c>
      <c r="P975" s="10" t="n">
        <v>0</v>
      </c>
      <c r="Q975" s="10" t="n">
        <v>965</v>
      </c>
      <c r="R975" s="10" t="n">
        <v>54</v>
      </c>
      <c r="S975" s="10" t="n">
        <v>0</v>
      </c>
      <c r="T975" s="10" t="n">
        <v>0</v>
      </c>
      <c r="U975" s="10" t="n">
        <v>0</v>
      </c>
    </row>
    <row r="976" customFormat="false" ht="15" hidden="false" customHeight="false" outlineLevel="0" collapsed="false">
      <c r="A976" s="7" t="s">
        <v>931</v>
      </c>
      <c r="B976" s="7" t="s">
        <v>134</v>
      </c>
      <c r="C976" s="7" t="s">
        <v>768</v>
      </c>
      <c r="D976" s="10" t="n">
        <v>0</v>
      </c>
      <c r="E976" s="10" t="n">
        <v>0</v>
      </c>
      <c r="F976" s="10" t="n">
        <v>35</v>
      </c>
      <c r="G976" s="10" t="n">
        <v>0</v>
      </c>
      <c r="H976" s="10" t="n">
        <v>0</v>
      </c>
      <c r="I976" s="10" t="n">
        <v>40</v>
      </c>
      <c r="J976" s="10" t="n">
        <v>0</v>
      </c>
      <c r="K976" s="10" t="n">
        <v>0</v>
      </c>
      <c r="L976" s="10" t="n">
        <v>0</v>
      </c>
      <c r="M976" s="10" t="n">
        <v>0</v>
      </c>
      <c r="N976" s="10" t="n">
        <v>0</v>
      </c>
      <c r="O976" s="10" t="n">
        <v>0</v>
      </c>
      <c r="P976" s="10" t="n">
        <v>0</v>
      </c>
      <c r="Q976" s="10" t="n">
        <v>40</v>
      </c>
      <c r="R976" s="10" t="n">
        <v>0</v>
      </c>
      <c r="S976" s="10" t="n">
        <v>0</v>
      </c>
      <c r="T976" s="10" t="n">
        <v>0</v>
      </c>
      <c r="U976" s="10" t="n">
        <v>0</v>
      </c>
    </row>
    <row r="977" customFormat="false" ht="15" hidden="false" customHeight="false" outlineLevel="0" collapsed="false">
      <c r="A977" s="7" t="s">
        <v>931</v>
      </c>
      <c r="B977" s="7" t="s">
        <v>326</v>
      </c>
      <c r="C977" s="7" t="s">
        <v>769</v>
      </c>
      <c r="D977" s="10" t="n">
        <v>0</v>
      </c>
      <c r="E977" s="10" t="n">
        <v>0</v>
      </c>
      <c r="F977" s="10" t="n">
        <v>-1</v>
      </c>
      <c r="G977" s="10" t="n">
        <v>0</v>
      </c>
      <c r="H977" s="10" t="n">
        <v>0</v>
      </c>
      <c r="I977" s="10" t="n">
        <v>1</v>
      </c>
      <c r="J977" s="10" t="n">
        <v>0</v>
      </c>
      <c r="K977" s="10" t="n">
        <v>0</v>
      </c>
      <c r="L977" s="10" t="n">
        <v>0</v>
      </c>
      <c r="M977" s="10" t="n">
        <v>0</v>
      </c>
      <c r="N977" s="10" t="n">
        <v>0</v>
      </c>
      <c r="O977" s="10" t="n">
        <v>0</v>
      </c>
      <c r="P977" s="10" t="n">
        <v>0</v>
      </c>
      <c r="Q977" s="10" t="n">
        <v>0</v>
      </c>
      <c r="R977" s="10" t="n">
        <v>1</v>
      </c>
      <c r="S977" s="10" t="n">
        <v>0</v>
      </c>
      <c r="T977" s="10" t="n">
        <v>0</v>
      </c>
      <c r="U977" s="10" t="n">
        <v>0</v>
      </c>
    </row>
    <row r="978" customFormat="false" ht="15" hidden="false" customHeight="false" outlineLevel="0" collapsed="false">
      <c r="A978" s="7" t="s">
        <v>931</v>
      </c>
      <c r="B978" s="7" t="s">
        <v>214</v>
      </c>
      <c r="C978" s="7" t="s">
        <v>770</v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>
        <v>-1</v>
      </c>
      <c r="J978" s="10" t="n">
        <v>0</v>
      </c>
      <c r="K978" s="10" t="n">
        <v>0</v>
      </c>
      <c r="L978" s="10" t="n">
        <v>0</v>
      </c>
      <c r="M978" s="10" t="n">
        <v>0</v>
      </c>
      <c r="N978" s="10" t="n">
        <v>0</v>
      </c>
      <c r="O978" s="10" t="n">
        <v>0</v>
      </c>
      <c r="P978" s="10" t="n">
        <v>-3</v>
      </c>
      <c r="Q978" s="10" t="n">
        <v>2</v>
      </c>
      <c r="R978" s="10" t="n">
        <v>0</v>
      </c>
      <c r="S978" s="10" t="n">
        <v>0</v>
      </c>
      <c r="T978" s="10" t="n">
        <v>0</v>
      </c>
      <c r="U978" s="10" t="n">
        <v>0</v>
      </c>
    </row>
    <row r="979" customFormat="false" ht="15" hidden="false" customHeight="false" outlineLevel="0" collapsed="false">
      <c r="A979" s="7" t="s">
        <v>931</v>
      </c>
      <c r="B979" s="7" t="s">
        <v>214</v>
      </c>
      <c r="C979" s="7" t="s">
        <v>771</v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>
        <v>-3</v>
      </c>
      <c r="J979" s="10" t="n">
        <v>0</v>
      </c>
      <c r="K979" s="10" t="n">
        <v>0</v>
      </c>
      <c r="L979" s="10" t="n">
        <v>0</v>
      </c>
      <c r="M979" s="10" t="n">
        <v>0</v>
      </c>
      <c r="N979" s="10" t="n">
        <v>0</v>
      </c>
      <c r="O979" s="10" t="n">
        <v>0</v>
      </c>
      <c r="P979" s="10" t="n">
        <v>-3</v>
      </c>
      <c r="Q979" s="10" t="n">
        <v>0</v>
      </c>
      <c r="R979" s="10" t="n">
        <v>0</v>
      </c>
      <c r="S979" s="10" t="n">
        <v>0</v>
      </c>
      <c r="T979" s="10" t="n">
        <v>0</v>
      </c>
      <c r="U979" s="10" t="n">
        <v>0</v>
      </c>
    </row>
    <row r="980" customFormat="false" ht="15" hidden="false" customHeight="false" outlineLevel="0" collapsed="false">
      <c r="A980" s="7" t="s">
        <v>931</v>
      </c>
      <c r="B980" s="7" t="s">
        <v>236</v>
      </c>
      <c r="C980" s="7" t="s">
        <v>772</v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>
        <v>-1</v>
      </c>
      <c r="J980" s="10" t="n">
        <v>0</v>
      </c>
      <c r="K980" s="10" t="n">
        <v>0</v>
      </c>
      <c r="L980" s="10" t="n">
        <v>0</v>
      </c>
      <c r="M980" s="10" t="n">
        <v>0</v>
      </c>
      <c r="N980" s="10" t="n">
        <v>0</v>
      </c>
      <c r="O980" s="10" t="n">
        <v>0</v>
      </c>
      <c r="P980" s="10" t="n">
        <v>0</v>
      </c>
      <c r="Q980" s="10" t="n">
        <v>-1</v>
      </c>
      <c r="R980" s="10" t="n">
        <v>0</v>
      </c>
      <c r="S980" s="10" t="n">
        <v>0</v>
      </c>
      <c r="T980" s="10" t="n">
        <v>0</v>
      </c>
      <c r="U980" s="10" t="n">
        <v>0</v>
      </c>
    </row>
    <row r="981" customFormat="false" ht="15" hidden="false" customHeight="false" outlineLevel="0" collapsed="false">
      <c r="A981" s="7" t="s">
        <v>931</v>
      </c>
      <c r="B981" s="7" t="s">
        <v>340</v>
      </c>
      <c r="C981" s="7" t="s">
        <v>773</v>
      </c>
      <c r="D981" s="10" t="n">
        <v>0</v>
      </c>
      <c r="E981" s="10" t="n">
        <v>0</v>
      </c>
      <c r="F981" s="10" t="n">
        <v>79</v>
      </c>
      <c r="G981" s="10" t="n">
        <v>0</v>
      </c>
      <c r="H981" s="10" t="n">
        <v>0</v>
      </c>
      <c r="I981" s="10" t="n">
        <v>89</v>
      </c>
      <c r="J981" s="10" t="n">
        <v>0</v>
      </c>
      <c r="K981" s="10" t="n">
        <v>8</v>
      </c>
      <c r="L981" s="10" t="n">
        <v>0</v>
      </c>
      <c r="M981" s="10" t="n">
        <v>0</v>
      </c>
      <c r="N981" s="10" t="n">
        <v>2</v>
      </c>
      <c r="O981" s="10" t="n">
        <v>0</v>
      </c>
      <c r="P981" s="10" t="n">
        <v>-8</v>
      </c>
      <c r="Q981" s="10" t="n">
        <v>0</v>
      </c>
      <c r="R981" s="10" t="n">
        <v>87</v>
      </c>
      <c r="S981" s="10" t="n">
        <v>0</v>
      </c>
      <c r="T981" s="10" t="n">
        <v>0</v>
      </c>
      <c r="U981" s="10" t="n">
        <v>0</v>
      </c>
    </row>
    <row r="982" customFormat="false" ht="15" hidden="false" customHeight="false" outlineLevel="0" collapsed="false">
      <c r="A982" s="7" t="s">
        <v>931</v>
      </c>
      <c r="B982" s="7" t="s">
        <v>225</v>
      </c>
      <c r="C982" s="7" t="s">
        <v>774</v>
      </c>
      <c r="D982" s="10" t="n">
        <v>0</v>
      </c>
      <c r="E982" s="10" t="n">
        <v>0</v>
      </c>
      <c r="F982" s="10" t="n">
        <v>7</v>
      </c>
      <c r="G982" s="10" t="n">
        <v>0</v>
      </c>
      <c r="H982" s="10" t="n">
        <v>0</v>
      </c>
      <c r="I982" s="10" t="n">
        <v>1</v>
      </c>
      <c r="J982" s="10" t="n">
        <v>0</v>
      </c>
      <c r="K982" s="10" t="n">
        <v>1</v>
      </c>
      <c r="L982" s="10" t="n">
        <v>0</v>
      </c>
      <c r="M982" s="10" t="n">
        <v>0</v>
      </c>
      <c r="N982" s="10" t="n">
        <v>0</v>
      </c>
      <c r="O982" s="10" t="n">
        <v>0</v>
      </c>
      <c r="P982" s="10" t="n">
        <v>-6</v>
      </c>
      <c r="Q982" s="10" t="n">
        <v>-3</v>
      </c>
      <c r="R982" s="10" t="n">
        <v>9</v>
      </c>
      <c r="S982" s="10" t="n">
        <v>0</v>
      </c>
      <c r="T982" s="10" t="n">
        <v>0</v>
      </c>
      <c r="U982" s="10" t="n">
        <v>0</v>
      </c>
    </row>
    <row r="983" customFormat="false" ht="15" hidden="false" customHeight="false" outlineLevel="0" collapsed="false">
      <c r="A983" s="7" t="s">
        <v>931</v>
      </c>
      <c r="B983" s="7" t="s">
        <v>300</v>
      </c>
      <c r="C983" s="7" t="s">
        <v>775</v>
      </c>
      <c r="D983" s="10" t="n">
        <v>0</v>
      </c>
      <c r="E983" s="10" t="n">
        <v>0</v>
      </c>
      <c r="F983" s="10" t="n">
        <v>52</v>
      </c>
      <c r="G983" s="10" t="n">
        <v>0</v>
      </c>
      <c r="H983" s="10" t="n">
        <v>0</v>
      </c>
      <c r="I983" s="10" t="n">
        <v>59</v>
      </c>
      <c r="J983" s="10" t="n">
        <v>0</v>
      </c>
      <c r="K983" s="10" t="n">
        <v>9</v>
      </c>
      <c r="L983" s="10" t="n">
        <v>0</v>
      </c>
      <c r="M983" s="10" t="n">
        <v>0</v>
      </c>
      <c r="N983" s="10" t="n">
        <v>2</v>
      </c>
      <c r="O983" s="10" t="n">
        <v>0</v>
      </c>
      <c r="P983" s="10" t="n">
        <v>-3</v>
      </c>
      <c r="Q983" s="10" t="n">
        <v>0</v>
      </c>
      <c r="R983" s="10" t="n">
        <v>51</v>
      </c>
      <c r="S983" s="10" t="n">
        <v>0</v>
      </c>
      <c r="T983" s="10" t="n">
        <v>0</v>
      </c>
      <c r="U983" s="10" t="n">
        <v>0</v>
      </c>
    </row>
    <row r="984" customFormat="false" ht="15" hidden="false" customHeight="false" outlineLevel="0" collapsed="false">
      <c r="A984" s="7" t="s">
        <v>931</v>
      </c>
      <c r="B984" s="7" t="s">
        <v>247</v>
      </c>
      <c r="C984" s="7" t="s">
        <v>776</v>
      </c>
      <c r="D984" s="10" t="n">
        <v>0</v>
      </c>
      <c r="E984" s="10" t="n">
        <v>0</v>
      </c>
      <c r="F984" s="10" t="n">
        <v>41</v>
      </c>
      <c r="G984" s="10" t="n">
        <v>0</v>
      </c>
      <c r="H984" s="10" t="n">
        <v>0</v>
      </c>
      <c r="I984" s="10" t="n">
        <v>43</v>
      </c>
      <c r="J984" s="10" t="n">
        <v>0</v>
      </c>
      <c r="K984" s="10" t="n">
        <v>5</v>
      </c>
      <c r="L984" s="10" t="n">
        <v>0</v>
      </c>
      <c r="M984" s="10" t="n">
        <v>0</v>
      </c>
      <c r="N984" s="10" t="n">
        <v>4</v>
      </c>
      <c r="O984" s="10" t="n">
        <v>0</v>
      </c>
      <c r="P984" s="10" t="n">
        <v>-11</v>
      </c>
      <c r="Q984" s="10" t="n">
        <v>-2</v>
      </c>
      <c r="R984" s="10" t="n">
        <v>47</v>
      </c>
      <c r="S984" s="10" t="n">
        <v>0</v>
      </c>
      <c r="T984" s="10" t="n">
        <v>0</v>
      </c>
      <c r="U984" s="10" t="n">
        <v>0</v>
      </c>
    </row>
    <row r="985" customFormat="false" ht="15" hidden="false" customHeight="false" outlineLevel="0" collapsed="false">
      <c r="A985" s="7" t="s">
        <v>931</v>
      </c>
      <c r="B985" s="7" t="s">
        <v>269</v>
      </c>
      <c r="C985" s="7" t="s">
        <v>777</v>
      </c>
      <c r="D985" s="10" t="n">
        <v>0</v>
      </c>
      <c r="E985" s="10" t="n">
        <v>0</v>
      </c>
      <c r="F985" s="10" t="n">
        <v>1647</v>
      </c>
      <c r="G985" s="10" t="n">
        <v>0</v>
      </c>
      <c r="H985" s="10" t="n">
        <v>25</v>
      </c>
      <c r="I985" s="10" t="n">
        <v>905</v>
      </c>
      <c r="J985" s="10" t="n">
        <v>0</v>
      </c>
      <c r="K985" s="10" t="n">
        <v>54</v>
      </c>
      <c r="L985" s="10" t="n">
        <v>-2</v>
      </c>
      <c r="M985" s="10" t="n">
        <v>5</v>
      </c>
      <c r="N985" s="10" t="n">
        <v>15</v>
      </c>
      <c r="O985" s="10" t="n">
        <v>18</v>
      </c>
      <c r="P985" s="10" t="n">
        <v>-1</v>
      </c>
      <c r="Q985" s="10" t="n">
        <v>0</v>
      </c>
      <c r="R985" s="10" t="n">
        <v>816</v>
      </c>
      <c r="S985" s="10" t="n">
        <v>1</v>
      </c>
      <c r="T985" s="10" t="n">
        <v>0</v>
      </c>
      <c r="U985" s="10" t="n">
        <v>0</v>
      </c>
    </row>
    <row r="986" customFormat="false" ht="15" hidden="false" customHeight="false" outlineLevel="0" collapsed="false">
      <c r="A986" s="7" t="s">
        <v>931</v>
      </c>
      <c r="B986" s="7" t="s">
        <v>67</v>
      </c>
      <c r="C986" s="7" t="s">
        <v>778</v>
      </c>
      <c r="D986" s="10" t="n">
        <v>0</v>
      </c>
      <c r="E986" s="10" t="n">
        <v>0</v>
      </c>
      <c r="F986" s="10" t="n">
        <v>160</v>
      </c>
      <c r="G986" s="10" t="n">
        <v>0</v>
      </c>
      <c r="H986" s="10" t="n">
        <v>0</v>
      </c>
      <c r="I986" s="10" t="n">
        <v>1239</v>
      </c>
      <c r="J986" s="10" t="n">
        <v>0</v>
      </c>
      <c r="K986" s="10" t="n">
        <v>11</v>
      </c>
      <c r="L986" s="10" t="n">
        <v>0</v>
      </c>
      <c r="M986" s="10" t="n">
        <v>0</v>
      </c>
      <c r="N986" s="10" t="n">
        <v>1</v>
      </c>
      <c r="O986" s="10" t="n">
        <v>1</v>
      </c>
      <c r="P986" s="10" t="n">
        <v>-2</v>
      </c>
      <c r="Q986" s="10" t="n">
        <v>1179</v>
      </c>
      <c r="R986" s="10" t="n">
        <v>49</v>
      </c>
      <c r="S986" s="10" t="n">
        <v>0</v>
      </c>
      <c r="T986" s="10" t="n">
        <v>0</v>
      </c>
      <c r="U986" s="10" t="n">
        <v>0</v>
      </c>
    </row>
    <row r="987" customFormat="false" ht="15" hidden="false" customHeight="false" outlineLevel="0" collapsed="false">
      <c r="A987" s="7" t="s">
        <v>931</v>
      </c>
      <c r="B987" s="7" t="s">
        <v>136</v>
      </c>
      <c r="C987" s="7" t="s">
        <v>779</v>
      </c>
      <c r="D987" s="10" t="n">
        <v>0</v>
      </c>
      <c r="E987" s="10" t="n">
        <v>0</v>
      </c>
      <c r="F987" s="10" t="n">
        <v>121</v>
      </c>
      <c r="G987" s="10" t="n">
        <v>0</v>
      </c>
      <c r="H987" s="10" t="n">
        <v>0</v>
      </c>
      <c r="I987" s="10" t="n">
        <v>425</v>
      </c>
      <c r="J987" s="10" t="n">
        <v>0</v>
      </c>
      <c r="K987" s="10" t="n">
        <v>39</v>
      </c>
      <c r="L987" s="10" t="n">
        <v>0</v>
      </c>
      <c r="M987" s="10" t="n">
        <v>2</v>
      </c>
      <c r="N987" s="10" t="n">
        <v>6</v>
      </c>
      <c r="O987" s="10" t="n">
        <v>8</v>
      </c>
      <c r="P987" s="10" t="n">
        <v>-3</v>
      </c>
      <c r="Q987" s="10" t="n">
        <v>283</v>
      </c>
      <c r="R987" s="10" t="n">
        <v>90</v>
      </c>
      <c r="S987" s="10" t="n">
        <v>0</v>
      </c>
      <c r="T987" s="10" t="n">
        <v>0</v>
      </c>
      <c r="U987" s="10" t="n">
        <v>0</v>
      </c>
    </row>
    <row r="988" customFormat="false" ht="15" hidden="false" customHeight="false" outlineLevel="0" collapsed="false">
      <c r="A988" s="7" t="s">
        <v>931</v>
      </c>
      <c r="B988" s="7" t="s">
        <v>238</v>
      </c>
      <c r="C988" s="7" t="s">
        <v>780</v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>
        <v>-3</v>
      </c>
      <c r="J988" s="10" t="n">
        <v>0</v>
      </c>
      <c r="K988" s="10" t="n">
        <v>0</v>
      </c>
      <c r="L988" s="10" t="n">
        <v>0</v>
      </c>
      <c r="M988" s="10" t="n">
        <v>0</v>
      </c>
      <c r="N988" s="10" t="n">
        <v>0</v>
      </c>
      <c r="O988" s="10" t="n">
        <v>0</v>
      </c>
      <c r="P988" s="10" t="n">
        <v>0</v>
      </c>
      <c r="Q988" s="10" t="n">
        <v>-3</v>
      </c>
      <c r="R988" s="10" t="n">
        <v>0</v>
      </c>
      <c r="S988" s="10" t="n">
        <v>0</v>
      </c>
      <c r="T988" s="10" t="n">
        <v>0</v>
      </c>
      <c r="U988" s="10" t="n">
        <v>-1</v>
      </c>
    </row>
    <row r="989" customFormat="false" ht="15" hidden="false" customHeight="false" outlineLevel="0" collapsed="false">
      <c r="A989" s="7" t="s">
        <v>931</v>
      </c>
      <c r="B989" s="7" t="s">
        <v>185</v>
      </c>
      <c r="C989" s="7" t="s">
        <v>781</v>
      </c>
      <c r="D989" s="10" t="n">
        <v>0</v>
      </c>
      <c r="E989" s="10" t="n">
        <v>0</v>
      </c>
      <c r="F989" s="10" t="n">
        <v>11</v>
      </c>
      <c r="G989" s="10" t="n">
        <v>0</v>
      </c>
      <c r="H989" s="10" t="n">
        <v>0</v>
      </c>
      <c r="I989" s="10" t="n">
        <v>0</v>
      </c>
      <c r="J989" s="10" t="n">
        <v>0</v>
      </c>
      <c r="K989" s="10" t="n">
        <v>0</v>
      </c>
      <c r="L989" s="10" t="n">
        <v>0</v>
      </c>
      <c r="M989" s="10" t="n">
        <v>0</v>
      </c>
      <c r="N989" s="10" t="n">
        <v>0</v>
      </c>
      <c r="O989" s="10" t="n">
        <v>0</v>
      </c>
      <c r="P989" s="10" t="n">
        <v>0</v>
      </c>
      <c r="Q989" s="10" t="n">
        <v>0</v>
      </c>
      <c r="R989" s="10" t="n">
        <v>0</v>
      </c>
      <c r="S989" s="10" t="n">
        <v>0</v>
      </c>
      <c r="T989" s="10" t="n">
        <v>0</v>
      </c>
      <c r="U989" s="10" t="n">
        <v>0</v>
      </c>
    </row>
    <row r="990" customFormat="false" ht="15" hidden="false" customHeight="false" outlineLevel="0" collapsed="false">
      <c r="A990" s="7" t="s">
        <v>931</v>
      </c>
      <c r="B990" s="7" t="s">
        <v>185</v>
      </c>
      <c r="C990" s="7" t="s">
        <v>782</v>
      </c>
      <c r="D990" s="10" t="n">
        <v>0</v>
      </c>
      <c r="E990" s="10" t="n">
        <v>0</v>
      </c>
      <c r="F990" s="10" t="n">
        <v>27</v>
      </c>
      <c r="G990" s="10" t="n">
        <v>0</v>
      </c>
      <c r="H990" s="10" t="n">
        <v>0</v>
      </c>
      <c r="I990" s="10" t="n">
        <v>10</v>
      </c>
      <c r="J990" s="10" t="n">
        <v>0</v>
      </c>
      <c r="K990" s="10" t="n">
        <v>0</v>
      </c>
      <c r="L990" s="10" t="n">
        <v>0</v>
      </c>
      <c r="M990" s="10" t="n">
        <v>0</v>
      </c>
      <c r="N990" s="10" t="n">
        <v>0</v>
      </c>
      <c r="O990" s="10" t="n">
        <v>0</v>
      </c>
      <c r="P990" s="10" t="n">
        <v>0</v>
      </c>
      <c r="Q990" s="10" t="n">
        <v>5</v>
      </c>
      <c r="R990" s="10" t="n">
        <v>5</v>
      </c>
      <c r="S990" s="10" t="n">
        <v>0</v>
      </c>
      <c r="T990" s="10" t="n">
        <v>0</v>
      </c>
      <c r="U990" s="10" t="n">
        <v>0</v>
      </c>
    </row>
    <row r="991" customFormat="false" ht="15" hidden="false" customHeight="false" outlineLevel="0" collapsed="false">
      <c r="A991" s="7" t="s">
        <v>931</v>
      </c>
      <c r="B991" s="7" t="s">
        <v>185</v>
      </c>
      <c r="C991" s="7" t="s">
        <v>783</v>
      </c>
      <c r="D991" s="10" t="n">
        <v>0</v>
      </c>
      <c r="E991" s="10" t="n">
        <v>0</v>
      </c>
      <c r="F991" s="10" t="n">
        <v>36</v>
      </c>
      <c r="G991" s="10" t="n">
        <v>0</v>
      </c>
      <c r="H991" s="10" t="n">
        <v>2</v>
      </c>
      <c r="I991" s="10" t="n">
        <v>6</v>
      </c>
      <c r="J991" s="10" t="n">
        <v>0</v>
      </c>
      <c r="K991" s="10" t="n">
        <v>0</v>
      </c>
      <c r="L991" s="10" t="n">
        <v>0</v>
      </c>
      <c r="M991" s="10" t="n">
        <v>0</v>
      </c>
      <c r="N991" s="10" t="n">
        <v>0</v>
      </c>
      <c r="O991" s="10" t="n">
        <v>0</v>
      </c>
      <c r="P991" s="10" t="n">
        <v>0</v>
      </c>
      <c r="Q991" s="10" t="n">
        <v>4</v>
      </c>
      <c r="R991" s="10" t="n">
        <v>2</v>
      </c>
      <c r="S991" s="10" t="n">
        <v>0</v>
      </c>
      <c r="T991" s="10" t="n">
        <v>0</v>
      </c>
      <c r="U991" s="10" t="n">
        <v>0</v>
      </c>
    </row>
    <row r="992" customFormat="false" ht="15" hidden="false" customHeight="false" outlineLevel="0" collapsed="false">
      <c r="A992" s="7" t="s">
        <v>931</v>
      </c>
      <c r="B992" s="7" t="s">
        <v>185</v>
      </c>
      <c r="C992" s="7" t="s">
        <v>784</v>
      </c>
      <c r="D992" s="10" t="n">
        <v>0</v>
      </c>
      <c r="E992" s="10" t="n">
        <v>0</v>
      </c>
      <c r="F992" s="10" t="n">
        <v>18</v>
      </c>
      <c r="G992" s="10" t="n">
        <v>0</v>
      </c>
      <c r="H992" s="10" t="n">
        <v>0</v>
      </c>
      <c r="I992" s="10" t="n">
        <v>4</v>
      </c>
      <c r="J992" s="10" t="n">
        <v>0</v>
      </c>
      <c r="K992" s="10" t="n">
        <v>0</v>
      </c>
      <c r="L992" s="10" t="n">
        <v>0</v>
      </c>
      <c r="M992" s="10" t="n">
        <v>0</v>
      </c>
      <c r="N992" s="10" t="n">
        <v>0</v>
      </c>
      <c r="O992" s="10" t="n">
        <v>0</v>
      </c>
      <c r="P992" s="10" t="n">
        <v>0</v>
      </c>
      <c r="Q992" s="10" t="n">
        <v>4</v>
      </c>
      <c r="R992" s="10" t="n">
        <v>0</v>
      </c>
      <c r="S992" s="10" t="n">
        <v>0</v>
      </c>
      <c r="T992" s="10" t="n">
        <v>0</v>
      </c>
      <c r="U992" s="10" t="n">
        <v>0</v>
      </c>
    </row>
    <row r="993" customFormat="false" ht="15" hidden="false" customHeight="false" outlineLevel="0" collapsed="false">
      <c r="A993" s="7" t="s">
        <v>931</v>
      </c>
      <c r="B993" s="7" t="s">
        <v>185</v>
      </c>
      <c r="C993" s="7" t="s">
        <v>785</v>
      </c>
      <c r="D993" s="10" t="n">
        <v>0</v>
      </c>
      <c r="E993" s="10" t="n">
        <v>0</v>
      </c>
      <c r="F993" s="10" t="n">
        <v>4</v>
      </c>
      <c r="G993" s="10" t="n">
        <v>0</v>
      </c>
      <c r="H993" s="10" t="n">
        <v>0</v>
      </c>
      <c r="I993" s="10" t="n">
        <v>0</v>
      </c>
      <c r="J993" s="10" t="n">
        <v>0</v>
      </c>
      <c r="K993" s="10" t="n">
        <v>0</v>
      </c>
      <c r="L993" s="10" t="n">
        <v>0</v>
      </c>
      <c r="M993" s="10" t="n">
        <v>0</v>
      </c>
      <c r="N993" s="10" t="n">
        <v>0</v>
      </c>
      <c r="O993" s="10" t="n">
        <v>0</v>
      </c>
      <c r="P993" s="10" t="n">
        <v>0</v>
      </c>
      <c r="Q993" s="10" t="n">
        <v>0</v>
      </c>
      <c r="R993" s="10" t="n">
        <v>0</v>
      </c>
      <c r="S993" s="10" t="n">
        <v>0</v>
      </c>
      <c r="T993" s="10" t="n">
        <v>0</v>
      </c>
      <c r="U993" s="10" t="n">
        <v>0</v>
      </c>
    </row>
    <row r="994" customFormat="false" ht="15" hidden="false" customHeight="false" outlineLevel="0" collapsed="false">
      <c r="A994" s="7" t="s">
        <v>931</v>
      </c>
      <c r="B994" s="7" t="s">
        <v>53</v>
      </c>
      <c r="C994" s="7" t="s">
        <v>786</v>
      </c>
      <c r="D994" s="10" t="n">
        <v>0</v>
      </c>
      <c r="E994" s="10" t="n">
        <v>0</v>
      </c>
      <c r="F994" s="10" t="n">
        <v>501</v>
      </c>
      <c r="G994" s="10" t="n">
        <v>0</v>
      </c>
      <c r="H994" s="10" t="n">
        <v>0</v>
      </c>
      <c r="I994" s="10" t="n">
        <v>4888</v>
      </c>
      <c r="J994" s="10" t="n">
        <v>0</v>
      </c>
      <c r="K994" s="10" t="n">
        <v>11</v>
      </c>
      <c r="L994" s="10" t="n">
        <v>0</v>
      </c>
      <c r="M994" s="10" t="n">
        <v>0</v>
      </c>
      <c r="N994" s="10" t="n">
        <v>0</v>
      </c>
      <c r="O994" s="10" t="n">
        <v>0</v>
      </c>
      <c r="P994" s="10" t="n">
        <v>-6</v>
      </c>
      <c r="Q994" s="10" t="n">
        <v>4521</v>
      </c>
      <c r="R994" s="10" t="n">
        <v>362</v>
      </c>
      <c r="S994" s="10" t="n">
        <v>1</v>
      </c>
      <c r="T994" s="10" t="n">
        <v>0</v>
      </c>
      <c r="U994" s="10" t="n">
        <v>0</v>
      </c>
    </row>
    <row r="995" customFormat="false" ht="15" hidden="false" customHeight="false" outlineLevel="0" collapsed="false">
      <c r="A995" s="7" t="s">
        <v>931</v>
      </c>
      <c r="B995" s="7" t="s">
        <v>149</v>
      </c>
      <c r="C995" s="7" t="s">
        <v>718</v>
      </c>
      <c r="D995" s="10" t="n">
        <v>0</v>
      </c>
      <c r="E995" s="10" t="n">
        <v>0</v>
      </c>
      <c r="F995" s="10" t="n">
        <v>120</v>
      </c>
      <c r="G995" s="10" t="n">
        <v>0</v>
      </c>
      <c r="H995" s="10" t="n">
        <v>0</v>
      </c>
      <c r="I995" s="10" t="n">
        <v>188</v>
      </c>
      <c r="J995" s="10" t="n">
        <v>0</v>
      </c>
      <c r="K995" s="10" t="n">
        <v>0</v>
      </c>
      <c r="L995" s="10" t="n">
        <v>0</v>
      </c>
      <c r="M995" s="10" t="n">
        <v>0</v>
      </c>
      <c r="N995" s="10" t="n">
        <v>0</v>
      </c>
      <c r="O995" s="10" t="n">
        <v>0</v>
      </c>
      <c r="P995" s="10" t="n">
        <v>-2</v>
      </c>
      <c r="Q995" s="10" t="n">
        <v>145</v>
      </c>
      <c r="R995" s="10" t="n">
        <v>45</v>
      </c>
      <c r="S995" s="10" t="n">
        <v>0</v>
      </c>
      <c r="T995" s="10" t="n">
        <v>0</v>
      </c>
      <c r="U995" s="10" t="n">
        <v>0</v>
      </c>
    </row>
    <row r="996" customFormat="false" ht="15" hidden="false" customHeight="false" outlineLevel="0" collapsed="false">
      <c r="A996" s="7" t="s">
        <v>931</v>
      </c>
      <c r="B996" s="7" t="s">
        <v>46</v>
      </c>
      <c r="C996" s="7" t="s">
        <v>787</v>
      </c>
      <c r="D996" s="10" t="n">
        <v>0</v>
      </c>
      <c r="E996" s="10" t="n">
        <v>0</v>
      </c>
      <c r="F996" s="10" t="n">
        <v>120</v>
      </c>
      <c r="G996" s="10" t="n">
        <v>0</v>
      </c>
      <c r="H996" s="10" t="n">
        <v>0</v>
      </c>
      <c r="I996" s="10" t="n">
        <v>580</v>
      </c>
      <c r="J996" s="10" t="n">
        <v>0</v>
      </c>
      <c r="K996" s="10" t="n">
        <v>8</v>
      </c>
      <c r="L996" s="10" t="n">
        <v>0</v>
      </c>
      <c r="M996" s="10" t="n">
        <v>0</v>
      </c>
      <c r="N996" s="10" t="n">
        <v>5</v>
      </c>
      <c r="O996" s="10" t="n">
        <v>0</v>
      </c>
      <c r="P996" s="10" t="n">
        <v>-5</v>
      </c>
      <c r="Q996" s="10" t="n">
        <v>434</v>
      </c>
      <c r="R996" s="10" t="n">
        <v>138</v>
      </c>
      <c r="S996" s="10" t="n">
        <v>0</v>
      </c>
      <c r="T996" s="10" t="n">
        <v>0</v>
      </c>
      <c r="U996" s="10" t="n">
        <v>0</v>
      </c>
    </row>
    <row r="997" customFormat="false" ht="15" hidden="false" customHeight="false" outlineLevel="0" collapsed="false">
      <c r="A997" s="7" t="s">
        <v>931</v>
      </c>
      <c r="B997" s="7" t="s">
        <v>46</v>
      </c>
      <c r="C997" s="7" t="s">
        <v>788</v>
      </c>
      <c r="D997" s="10" t="n">
        <v>0</v>
      </c>
      <c r="E997" s="10" t="n">
        <v>0</v>
      </c>
      <c r="F997" s="10" t="n">
        <v>198</v>
      </c>
      <c r="G997" s="10" t="n">
        <v>0</v>
      </c>
      <c r="H997" s="10" t="n">
        <v>3</v>
      </c>
      <c r="I997" s="10" t="n">
        <v>792</v>
      </c>
      <c r="J997" s="10" t="n">
        <v>0</v>
      </c>
      <c r="K997" s="10" t="n">
        <v>4</v>
      </c>
      <c r="L997" s="10" t="n">
        <v>0</v>
      </c>
      <c r="M997" s="10" t="n">
        <v>0</v>
      </c>
      <c r="N997" s="10" t="n">
        <v>0</v>
      </c>
      <c r="O997" s="10" t="n">
        <v>0</v>
      </c>
      <c r="P997" s="10" t="n">
        <v>-5</v>
      </c>
      <c r="Q997" s="10" t="n">
        <v>545</v>
      </c>
      <c r="R997" s="10" t="n">
        <v>248</v>
      </c>
      <c r="S997" s="10" t="n">
        <v>0</v>
      </c>
      <c r="T997" s="10" t="n">
        <v>0</v>
      </c>
      <c r="U997" s="10" t="n">
        <v>0</v>
      </c>
    </row>
    <row r="998" customFormat="false" ht="15" hidden="false" customHeight="false" outlineLevel="0" collapsed="false">
      <c r="A998" s="7" t="s">
        <v>931</v>
      </c>
      <c r="B998" s="7" t="s">
        <v>46</v>
      </c>
      <c r="C998" s="7" t="s">
        <v>789</v>
      </c>
      <c r="D998" s="10" t="n">
        <v>0</v>
      </c>
      <c r="E998" s="10" t="n">
        <v>0</v>
      </c>
      <c r="F998" s="10" t="n">
        <v>200</v>
      </c>
      <c r="G998" s="10" t="n">
        <v>0</v>
      </c>
      <c r="H998" s="10" t="n">
        <v>11</v>
      </c>
      <c r="I998" s="10" t="n">
        <v>676</v>
      </c>
      <c r="J998" s="10" t="n">
        <v>0</v>
      </c>
      <c r="K998" s="10" t="n">
        <v>3</v>
      </c>
      <c r="L998" s="10" t="n">
        <v>0</v>
      </c>
      <c r="M998" s="10" t="n">
        <v>0</v>
      </c>
      <c r="N998" s="10" t="n">
        <v>0</v>
      </c>
      <c r="O998" s="10" t="n">
        <v>0</v>
      </c>
      <c r="P998" s="10" t="n">
        <v>-3</v>
      </c>
      <c r="Q998" s="10" t="n">
        <v>527</v>
      </c>
      <c r="R998" s="10" t="n">
        <v>149</v>
      </c>
      <c r="S998" s="10" t="n">
        <v>0</v>
      </c>
      <c r="T998" s="10" t="n">
        <v>0</v>
      </c>
      <c r="U998" s="10" t="n">
        <v>0</v>
      </c>
    </row>
    <row r="999" customFormat="false" ht="15" hidden="false" customHeight="false" outlineLevel="0" collapsed="false">
      <c r="A999" s="7" t="s">
        <v>931</v>
      </c>
      <c r="B999" s="7" t="s">
        <v>333</v>
      </c>
      <c r="C999" s="7" t="s">
        <v>790</v>
      </c>
      <c r="D999" s="10" t="n">
        <v>0</v>
      </c>
      <c r="E999" s="10" t="n">
        <v>0</v>
      </c>
      <c r="F999" s="10" t="n">
        <v>4</v>
      </c>
      <c r="G999" s="10" t="n">
        <v>0</v>
      </c>
      <c r="H999" s="10" t="n">
        <v>0</v>
      </c>
      <c r="I999" s="10" t="n">
        <v>0</v>
      </c>
      <c r="J999" s="10" t="n">
        <v>0</v>
      </c>
      <c r="K999" s="10" t="n">
        <v>0</v>
      </c>
      <c r="L999" s="10" t="n">
        <v>0</v>
      </c>
      <c r="M999" s="10" t="n">
        <v>0</v>
      </c>
      <c r="N999" s="10" t="n">
        <v>0</v>
      </c>
      <c r="O999" s="10" t="n">
        <v>0</v>
      </c>
      <c r="P999" s="10" t="n">
        <v>0</v>
      </c>
      <c r="Q999" s="10" t="n">
        <v>0</v>
      </c>
      <c r="R999" s="10" t="n">
        <v>0</v>
      </c>
      <c r="S999" s="10" t="n">
        <v>0</v>
      </c>
      <c r="T999" s="10" t="n">
        <v>0</v>
      </c>
      <c r="U999" s="10" t="n">
        <v>0</v>
      </c>
    </row>
    <row r="1000" customFormat="false" ht="15" hidden="false" customHeight="false" outlineLevel="0" collapsed="false">
      <c r="A1000" s="7" t="s">
        <v>931</v>
      </c>
      <c r="B1000" s="7" t="s">
        <v>97</v>
      </c>
      <c r="C1000" s="7" t="s">
        <v>791</v>
      </c>
      <c r="D1000" s="10" t="n">
        <v>0</v>
      </c>
      <c r="E1000" s="10" t="n">
        <v>0</v>
      </c>
      <c r="F1000" s="10" t="n">
        <v>5</v>
      </c>
      <c r="G1000" s="10" t="n">
        <v>0</v>
      </c>
      <c r="H1000" s="10" t="n">
        <v>0</v>
      </c>
      <c r="I1000" s="10" t="n">
        <v>377</v>
      </c>
      <c r="J1000" s="10" t="n">
        <v>0</v>
      </c>
      <c r="K1000" s="10" t="n">
        <v>0</v>
      </c>
      <c r="L1000" s="10" t="n">
        <v>0</v>
      </c>
      <c r="M1000" s="10" t="n">
        <v>0</v>
      </c>
      <c r="N1000" s="10" t="n">
        <v>0</v>
      </c>
      <c r="O1000" s="10" t="n">
        <v>0</v>
      </c>
      <c r="P1000" s="10" t="n">
        <v>-8</v>
      </c>
      <c r="Q1000" s="10" t="n">
        <v>359</v>
      </c>
      <c r="R1000" s="10" t="n">
        <v>26</v>
      </c>
      <c r="S1000" s="10" t="n">
        <v>0</v>
      </c>
      <c r="T1000" s="10" t="n">
        <v>0</v>
      </c>
      <c r="U1000" s="10" t="n">
        <v>0</v>
      </c>
    </row>
    <row r="1001" customFormat="false" ht="15" hidden="false" customHeight="false" outlineLevel="0" collapsed="false">
      <c r="A1001" s="7" t="s">
        <v>931</v>
      </c>
      <c r="B1001" s="7" t="s">
        <v>61</v>
      </c>
      <c r="C1001" s="7" t="s">
        <v>791</v>
      </c>
      <c r="D1001" s="10" t="n">
        <v>0</v>
      </c>
      <c r="E1001" s="10" t="n">
        <v>0</v>
      </c>
      <c r="F1001" s="10" t="n">
        <v>27</v>
      </c>
      <c r="G1001" s="10" t="n">
        <v>0</v>
      </c>
      <c r="H1001" s="10" t="n">
        <v>0</v>
      </c>
      <c r="I1001" s="10" t="n">
        <v>1282</v>
      </c>
      <c r="J1001" s="10" t="n">
        <v>0</v>
      </c>
      <c r="K1001" s="10" t="n">
        <v>5</v>
      </c>
      <c r="L1001" s="10" t="n">
        <v>0</v>
      </c>
      <c r="M1001" s="10" t="n">
        <v>0</v>
      </c>
      <c r="N1001" s="10" t="n">
        <v>0</v>
      </c>
      <c r="O1001" s="10" t="n">
        <v>0</v>
      </c>
      <c r="P1001" s="10" t="n">
        <v>-10</v>
      </c>
      <c r="Q1001" s="10" t="n">
        <v>1204</v>
      </c>
      <c r="R1001" s="10" t="n">
        <v>83</v>
      </c>
      <c r="S1001" s="10" t="n">
        <v>0</v>
      </c>
      <c r="T1001" s="10" t="n">
        <v>0</v>
      </c>
      <c r="U1001" s="10" t="n">
        <v>0</v>
      </c>
    </row>
    <row r="1002" customFormat="false" ht="15" hidden="false" customHeight="false" outlineLevel="0" collapsed="false">
      <c r="A1002" s="7" t="s">
        <v>931</v>
      </c>
      <c r="B1002" s="7" t="s">
        <v>55</v>
      </c>
      <c r="C1002" s="7" t="s">
        <v>791</v>
      </c>
      <c r="D1002" s="10" t="n">
        <v>0</v>
      </c>
      <c r="E1002" s="10" t="n">
        <v>0</v>
      </c>
      <c r="F1002" s="10" t="n">
        <v>49</v>
      </c>
      <c r="G1002" s="10" t="n">
        <v>0</v>
      </c>
      <c r="H1002" s="10" t="n">
        <v>1</v>
      </c>
      <c r="I1002" s="10" t="n">
        <v>1906</v>
      </c>
      <c r="J1002" s="10" t="n">
        <v>0</v>
      </c>
      <c r="K1002" s="10" t="n">
        <v>7</v>
      </c>
      <c r="L1002" s="10" t="n">
        <v>0</v>
      </c>
      <c r="M1002" s="10" t="n">
        <v>0</v>
      </c>
      <c r="N1002" s="10" t="n">
        <v>0</v>
      </c>
      <c r="O1002" s="10" t="n">
        <v>0</v>
      </c>
      <c r="P1002" s="10" t="n">
        <v>-7</v>
      </c>
      <c r="Q1002" s="10" t="n">
        <v>1760</v>
      </c>
      <c r="R1002" s="10" t="n">
        <v>146</v>
      </c>
      <c r="S1002" s="10" t="n">
        <v>0</v>
      </c>
      <c r="T1002" s="10" t="n">
        <v>0</v>
      </c>
      <c r="U1002" s="10" t="n">
        <v>0</v>
      </c>
    </row>
    <row r="1003" customFormat="false" ht="15" hidden="false" customHeight="false" outlineLevel="0" collapsed="false">
      <c r="A1003" s="7" t="s">
        <v>931</v>
      </c>
      <c r="B1003" s="7" t="s">
        <v>54</v>
      </c>
      <c r="C1003" s="7" t="s">
        <v>792</v>
      </c>
      <c r="D1003" s="10" t="n">
        <v>0</v>
      </c>
      <c r="E1003" s="10" t="n">
        <v>0</v>
      </c>
      <c r="F1003" s="10" t="n">
        <v>53</v>
      </c>
      <c r="G1003" s="10" t="n">
        <v>0</v>
      </c>
      <c r="H1003" s="10" t="n">
        <v>0</v>
      </c>
      <c r="I1003" s="10" t="n">
        <v>1596</v>
      </c>
      <c r="J1003" s="10" t="n">
        <v>0</v>
      </c>
      <c r="K1003" s="10" t="n">
        <v>3</v>
      </c>
      <c r="L1003" s="10" t="n">
        <v>0</v>
      </c>
      <c r="M1003" s="10" t="n">
        <v>0</v>
      </c>
      <c r="N1003" s="10" t="n">
        <v>0</v>
      </c>
      <c r="O1003" s="10" t="n">
        <v>0</v>
      </c>
      <c r="P1003" s="10" t="n">
        <v>-7</v>
      </c>
      <c r="Q1003" s="10" t="n">
        <v>1499</v>
      </c>
      <c r="R1003" s="10" t="n">
        <v>101</v>
      </c>
      <c r="S1003" s="10" t="n">
        <v>0</v>
      </c>
      <c r="T1003" s="10" t="n">
        <v>0</v>
      </c>
      <c r="U1003" s="10" t="n">
        <v>0</v>
      </c>
    </row>
    <row r="1004" customFormat="false" ht="15" hidden="false" customHeight="false" outlineLevel="0" collapsed="false">
      <c r="A1004" s="7" t="s">
        <v>931</v>
      </c>
      <c r="B1004" s="7" t="s">
        <v>108</v>
      </c>
      <c r="C1004" s="7" t="s">
        <v>792</v>
      </c>
      <c r="D1004" s="10" t="n">
        <v>0</v>
      </c>
      <c r="E1004" s="10" t="n">
        <v>0</v>
      </c>
      <c r="F1004" s="10" t="n">
        <v>41</v>
      </c>
      <c r="G1004" s="10" t="n">
        <v>0</v>
      </c>
      <c r="H1004" s="10" t="n">
        <v>0</v>
      </c>
      <c r="I1004" s="10" t="n">
        <v>221</v>
      </c>
      <c r="J1004" s="10" t="n">
        <v>0</v>
      </c>
      <c r="K1004" s="10" t="n">
        <v>3</v>
      </c>
      <c r="L1004" s="10" t="n">
        <v>0</v>
      </c>
      <c r="M1004" s="10" t="n">
        <v>0</v>
      </c>
      <c r="N1004" s="10" t="n">
        <v>0</v>
      </c>
      <c r="O1004" s="10" t="n">
        <v>0</v>
      </c>
      <c r="P1004" s="10" t="n">
        <v>-9</v>
      </c>
      <c r="Q1004" s="10" t="n">
        <v>161</v>
      </c>
      <c r="R1004" s="10" t="n">
        <v>66</v>
      </c>
      <c r="S1004" s="10" t="n">
        <v>1</v>
      </c>
      <c r="T1004" s="10" t="n">
        <v>0</v>
      </c>
      <c r="U1004" s="10" t="n">
        <v>-1</v>
      </c>
    </row>
    <row r="1005" customFormat="false" ht="15" hidden="false" customHeight="false" outlineLevel="0" collapsed="false">
      <c r="A1005" s="7" t="s">
        <v>931</v>
      </c>
      <c r="B1005" s="7" t="s">
        <v>161</v>
      </c>
      <c r="C1005" s="7" t="s">
        <v>793</v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>
        <v>15</v>
      </c>
      <c r="J1005" s="10" t="n">
        <v>0</v>
      </c>
      <c r="K1005" s="10" t="n">
        <v>0</v>
      </c>
      <c r="L1005" s="10" t="n">
        <v>0</v>
      </c>
      <c r="M1005" s="10" t="n">
        <v>0</v>
      </c>
      <c r="N1005" s="10" t="n">
        <v>0</v>
      </c>
      <c r="O1005" s="10" t="n">
        <v>0</v>
      </c>
      <c r="P1005" s="10" t="n">
        <v>0</v>
      </c>
      <c r="Q1005" s="10" t="n">
        <v>15</v>
      </c>
      <c r="R1005" s="10" t="n">
        <v>0</v>
      </c>
      <c r="S1005" s="10" t="n">
        <v>0</v>
      </c>
      <c r="T1005" s="10" t="n">
        <v>0</v>
      </c>
      <c r="U1005" s="10" t="n">
        <v>0</v>
      </c>
    </row>
    <row r="1006" customFormat="false" ht="15" hidden="false" customHeight="false" outlineLevel="0" collapsed="false">
      <c r="A1006" s="7" t="s">
        <v>931</v>
      </c>
      <c r="B1006" s="7" t="s">
        <v>130</v>
      </c>
      <c r="C1006" s="7" t="s">
        <v>794</v>
      </c>
      <c r="D1006" s="10" t="n">
        <v>0</v>
      </c>
      <c r="E1006" s="10" t="n">
        <v>0</v>
      </c>
      <c r="F1006" s="10" t="n">
        <v>3</v>
      </c>
      <c r="G1006" s="10" t="n">
        <v>0</v>
      </c>
      <c r="H1006" s="10" t="n">
        <v>0</v>
      </c>
      <c r="I1006" s="10" t="n">
        <v>34</v>
      </c>
      <c r="J1006" s="10" t="n">
        <v>0</v>
      </c>
      <c r="K1006" s="10" t="n">
        <v>0</v>
      </c>
      <c r="L1006" s="10" t="n">
        <v>0</v>
      </c>
      <c r="M1006" s="10" t="n">
        <v>0</v>
      </c>
      <c r="N1006" s="10" t="n">
        <v>0</v>
      </c>
      <c r="O1006" s="10" t="n">
        <v>0</v>
      </c>
      <c r="P1006" s="10" t="n">
        <v>0</v>
      </c>
      <c r="Q1006" s="10" t="n">
        <v>34</v>
      </c>
      <c r="R1006" s="10" t="n">
        <v>0</v>
      </c>
      <c r="S1006" s="10" t="n">
        <v>0</v>
      </c>
      <c r="T1006" s="10" t="n">
        <v>0</v>
      </c>
      <c r="U1006" s="10" t="n">
        <v>0</v>
      </c>
    </row>
    <row r="1007" customFormat="false" ht="15" hidden="false" customHeight="false" outlineLevel="0" collapsed="false">
      <c r="A1007" s="7" t="s">
        <v>931</v>
      </c>
      <c r="B1007" s="7" t="s">
        <v>123</v>
      </c>
      <c r="C1007" s="7" t="s">
        <v>794</v>
      </c>
      <c r="D1007" s="10" t="n">
        <v>0</v>
      </c>
      <c r="E1007" s="10" t="n">
        <v>0</v>
      </c>
      <c r="F1007" s="10" t="n">
        <v>2</v>
      </c>
      <c r="G1007" s="10" t="n">
        <v>0</v>
      </c>
      <c r="H1007" s="10" t="n">
        <v>0</v>
      </c>
      <c r="I1007" s="10" t="n">
        <v>45</v>
      </c>
      <c r="J1007" s="10" t="n">
        <v>0</v>
      </c>
      <c r="K1007" s="10" t="n">
        <v>0</v>
      </c>
      <c r="L1007" s="10" t="n">
        <v>0</v>
      </c>
      <c r="M1007" s="10" t="n">
        <v>0</v>
      </c>
      <c r="N1007" s="10" t="n">
        <v>0</v>
      </c>
      <c r="O1007" s="10" t="n">
        <v>0</v>
      </c>
      <c r="P1007" s="10" t="n">
        <v>0</v>
      </c>
      <c r="Q1007" s="10" t="n">
        <v>45</v>
      </c>
      <c r="R1007" s="10" t="n">
        <v>0</v>
      </c>
      <c r="S1007" s="10" t="n">
        <v>0</v>
      </c>
      <c r="T1007" s="10" t="n">
        <v>0</v>
      </c>
      <c r="U1007" s="10" t="n">
        <v>0</v>
      </c>
    </row>
    <row r="1008" customFormat="false" ht="15" hidden="false" customHeight="false" outlineLevel="0" collapsed="false">
      <c r="A1008" s="7" t="s">
        <v>931</v>
      </c>
      <c r="B1008" s="7" t="s">
        <v>138</v>
      </c>
      <c r="C1008" s="7" t="s">
        <v>794</v>
      </c>
      <c r="D1008" s="10" t="n">
        <v>0</v>
      </c>
      <c r="E1008" s="10" t="n">
        <v>0</v>
      </c>
      <c r="F1008" s="10" t="n">
        <v>1</v>
      </c>
      <c r="G1008" s="10" t="n">
        <v>0</v>
      </c>
      <c r="H1008" s="10" t="n">
        <v>0</v>
      </c>
      <c r="I1008" s="10" t="n">
        <v>32</v>
      </c>
      <c r="J1008" s="10" t="n">
        <v>0</v>
      </c>
      <c r="K1008" s="10" t="n">
        <v>0</v>
      </c>
      <c r="L1008" s="10" t="n">
        <v>0</v>
      </c>
      <c r="M1008" s="10" t="n">
        <v>0</v>
      </c>
      <c r="N1008" s="10" t="n">
        <v>0</v>
      </c>
      <c r="O1008" s="10" t="n">
        <v>0</v>
      </c>
      <c r="P1008" s="10" t="n">
        <v>0</v>
      </c>
      <c r="Q1008" s="10" t="n">
        <v>32</v>
      </c>
      <c r="R1008" s="10" t="n">
        <v>0</v>
      </c>
      <c r="S1008" s="10" t="n">
        <v>0</v>
      </c>
      <c r="T1008" s="10" t="n">
        <v>0</v>
      </c>
      <c r="U1008" s="10" t="n">
        <v>0</v>
      </c>
    </row>
    <row r="1009" customFormat="false" ht="15" hidden="false" customHeight="false" outlineLevel="0" collapsed="false">
      <c r="A1009" s="7" t="s">
        <v>931</v>
      </c>
      <c r="B1009" s="7" t="s">
        <v>182</v>
      </c>
      <c r="C1009" s="7" t="s">
        <v>795</v>
      </c>
      <c r="D1009" s="10" t="n">
        <v>0</v>
      </c>
      <c r="E1009" s="10" t="n">
        <v>0</v>
      </c>
      <c r="F1009" s="10" t="n">
        <v>1</v>
      </c>
      <c r="G1009" s="10" t="n">
        <v>0</v>
      </c>
      <c r="H1009" s="10" t="n">
        <v>0</v>
      </c>
      <c r="I1009" s="10" t="n">
        <v>8</v>
      </c>
      <c r="J1009" s="10" t="n">
        <v>0</v>
      </c>
      <c r="K1009" s="10" t="n">
        <v>0</v>
      </c>
      <c r="L1009" s="10" t="n">
        <v>0</v>
      </c>
      <c r="M1009" s="10" t="n">
        <v>0</v>
      </c>
      <c r="N1009" s="10" t="n">
        <v>0</v>
      </c>
      <c r="O1009" s="10" t="n">
        <v>0</v>
      </c>
      <c r="P1009" s="10" t="n">
        <v>0</v>
      </c>
      <c r="Q1009" s="10" t="n">
        <v>8</v>
      </c>
      <c r="R1009" s="10" t="n">
        <v>0</v>
      </c>
      <c r="S1009" s="10" t="n">
        <v>0</v>
      </c>
      <c r="T1009" s="10" t="n">
        <v>0</v>
      </c>
      <c r="U1009" s="10" t="n">
        <v>0</v>
      </c>
    </row>
    <row r="1010" customFormat="false" ht="15" hidden="false" customHeight="false" outlineLevel="0" collapsed="false">
      <c r="A1010" s="7" t="s">
        <v>931</v>
      </c>
      <c r="B1010" s="7" t="s">
        <v>310</v>
      </c>
      <c r="C1010" s="7" t="s">
        <v>796</v>
      </c>
      <c r="D1010" s="10" t="n">
        <v>0</v>
      </c>
      <c r="E1010" s="10" t="n">
        <v>0</v>
      </c>
      <c r="F1010" s="10" t="n">
        <v>2</v>
      </c>
      <c r="G1010" s="10" t="n">
        <v>0</v>
      </c>
      <c r="H1010" s="10" t="n">
        <v>0</v>
      </c>
      <c r="I1010" s="10" t="n">
        <v>0</v>
      </c>
      <c r="J1010" s="10" t="n">
        <v>0</v>
      </c>
      <c r="K1010" s="10" t="n">
        <v>0</v>
      </c>
      <c r="L1010" s="10" t="n">
        <v>0</v>
      </c>
      <c r="M1010" s="10" t="n">
        <v>0</v>
      </c>
      <c r="N1010" s="10" t="n">
        <v>0</v>
      </c>
      <c r="O1010" s="10" t="n">
        <v>0</v>
      </c>
      <c r="P1010" s="10" t="n">
        <v>0</v>
      </c>
      <c r="Q1010" s="10" t="n">
        <v>0</v>
      </c>
      <c r="R1010" s="10" t="n">
        <v>0</v>
      </c>
      <c r="S1010" s="10" t="n">
        <v>0</v>
      </c>
      <c r="T1010" s="10" t="n">
        <v>0</v>
      </c>
      <c r="U1010" s="10" t="n">
        <v>0</v>
      </c>
    </row>
    <row r="1011" customFormat="false" ht="15" hidden="false" customHeight="false" outlineLevel="0" collapsed="false">
      <c r="A1011" s="7" t="s">
        <v>931</v>
      </c>
      <c r="B1011" s="7" t="s">
        <v>322</v>
      </c>
      <c r="C1011" s="7" t="s">
        <v>796</v>
      </c>
      <c r="D1011" s="10" t="n">
        <v>0</v>
      </c>
      <c r="E1011" s="10" t="n">
        <v>0</v>
      </c>
      <c r="F1011" s="10" t="n">
        <v>1</v>
      </c>
      <c r="G1011" s="10" t="n">
        <v>0</v>
      </c>
      <c r="H1011" s="10" t="n">
        <v>0</v>
      </c>
      <c r="I1011" s="10" t="n">
        <v>0</v>
      </c>
      <c r="J1011" s="10" t="n">
        <v>0</v>
      </c>
      <c r="K1011" s="10" t="n">
        <v>0</v>
      </c>
      <c r="L1011" s="10" t="n">
        <v>0</v>
      </c>
      <c r="M1011" s="10" t="n">
        <v>0</v>
      </c>
      <c r="N1011" s="10" t="n">
        <v>0</v>
      </c>
      <c r="O1011" s="10" t="n">
        <v>0</v>
      </c>
      <c r="P1011" s="10" t="n">
        <v>0</v>
      </c>
      <c r="Q1011" s="10" t="n">
        <v>0</v>
      </c>
      <c r="R1011" s="10" t="n">
        <v>0</v>
      </c>
      <c r="S1011" s="10" t="n">
        <v>0</v>
      </c>
      <c r="T1011" s="10" t="n">
        <v>0</v>
      </c>
      <c r="U1011" s="10" t="n">
        <v>0</v>
      </c>
    </row>
    <row r="1012" customFormat="false" ht="15" hidden="false" customHeight="false" outlineLevel="0" collapsed="false">
      <c r="A1012" s="7" t="s">
        <v>931</v>
      </c>
      <c r="B1012" s="7" t="s">
        <v>216</v>
      </c>
      <c r="C1012" s="7" t="s">
        <v>796</v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>
        <v>-1</v>
      </c>
      <c r="J1012" s="10" t="n">
        <v>0</v>
      </c>
      <c r="K1012" s="10" t="n">
        <v>0</v>
      </c>
      <c r="L1012" s="10" t="n">
        <v>0</v>
      </c>
      <c r="M1012" s="10" t="n">
        <v>0</v>
      </c>
      <c r="N1012" s="10" t="n">
        <v>0</v>
      </c>
      <c r="O1012" s="10" t="n">
        <v>0</v>
      </c>
      <c r="P1012" s="10" t="n">
        <v>0</v>
      </c>
      <c r="Q1012" s="10" t="n">
        <v>-1</v>
      </c>
      <c r="R1012" s="10" t="n">
        <v>0</v>
      </c>
      <c r="S1012" s="10" t="n">
        <v>0</v>
      </c>
      <c r="T1012" s="10" t="n">
        <v>0</v>
      </c>
      <c r="U1012" s="10" t="n">
        <v>0</v>
      </c>
    </row>
    <row r="1013" customFormat="false" ht="15" hidden="false" customHeight="false" outlineLevel="0" collapsed="false">
      <c r="A1013" s="7" t="s">
        <v>931</v>
      </c>
      <c r="B1013" s="7" t="s">
        <v>218</v>
      </c>
      <c r="C1013" s="7" t="s">
        <v>797</v>
      </c>
      <c r="D1013" s="10" t="n">
        <v>0</v>
      </c>
      <c r="E1013" s="10" t="n">
        <v>0</v>
      </c>
      <c r="F1013" s="10" t="n">
        <v>1</v>
      </c>
      <c r="G1013" s="10" t="n">
        <v>0</v>
      </c>
      <c r="H1013" s="10" t="n">
        <v>0</v>
      </c>
      <c r="I1013" s="10" t="n">
        <v>0</v>
      </c>
      <c r="J1013" s="10" t="n">
        <v>0</v>
      </c>
      <c r="K1013" s="10" t="n">
        <v>0</v>
      </c>
      <c r="L1013" s="10" t="n">
        <v>0</v>
      </c>
      <c r="M1013" s="10" t="n">
        <v>0</v>
      </c>
      <c r="N1013" s="10" t="n">
        <v>0</v>
      </c>
      <c r="O1013" s="10" t="n">
        <v>0</v>
      </c>
      <c r="P1013" s="10" t="n">
        <v>0</v>
      </c>
      <c r="Q1013" s="10" t="n">
        <v>0</v>
      </c>
      <c r="R1013" s="10" t="n">
        <v>0</v>
      </c>
      <c r="S1013" s="10" t="n">
        <v>0</v>
      </c>
      <c r="T1013" s="10" t="n">
        <v>0</v>
      </c>
      <c r="U1013" s="10" t="n">
        <v>0</v>
      </c>
    </row>
    <row r="1014" customFormat="false" ht="15" hidden="false" customHeight="false" outlineLevel="0" collapsed="false">
      <c r="A1014" s="7" t="s">
        <v>931</v>
      </c>
      <c r="B1014" s="7" t="s">
        <v>217</v>
      </c>
      <c r="C1014" s="7" t="s">
        <v>796</v>
      </c>
      <c r="D1014" s="10" t="n">
        <v>0</v>
      </c>
      <c r="E1014" s="10" t="n">
        <v>0</v>
      </c>
      <c r="F1014" s="10" t="n">
        <v>1</v>
      </c>
      <c r="G1014" s="10" t="n">
        <v>0</v>
      </c>
      <c r="H1014" s="10" t="n">
        <v>0</v>
      </c>
      <c r="I1014" s="10" t="n">
        <v>-1</v>
      </c>
      <c r="J1014" s="10" t="n">
        <v>0</v>
      </c>
      <c r="K1014" s="10" t="n">
        <v>0</v>
      </c>
      <c r="L1014" s="10" t="n">
        <v>0</v>
      </c>
      <c r="M1014" s="10" t="n">
        <v>0</v>
      </c>
      <c r="N1014" s="10" t="n">
        <v>0</v>
      </c>
      <c r="O1014" s="10" t="n">
        <v>0</v>
      </c>
      <c r="P1014" s="10" t="n">
        <v>0</v>
      </c>
      <c r="Q1014" s="10" t="n">
        <v>-1</v>
      </c>
      <c r="R1014" s="10" t="n">
        <v>0</v>
      </c>
      <c r="S1014" s="10" t="n">
        <v>0</v>
      </c>
      <c r="T1014" s="10" t="n">
        <v>0</v>
      </c>
      <c r="U1014" s="10" t="n">
        <v>0</v>
      </c>
    </row>
    <row r="1015" customFormat="false" ht="15" hidden="false" customHeight="false" outlineLevel="0" collapsed="false">
      <c r="A1015" s="7" t="s">
        <v>931</v>
      </c>
      <c r="B1015" s="7" t="s">
        <v>151</v>
      </c>
      <c r="C1015" s="7" t="s">
        <v>798</v>
      </c>
      <c r="D1015" s="10" t="n">
        <v>0</v>
      </c>
      <c r="E1015" s="10" t="n">
        <v>0</v>
      </c>
      <c r="F1015" s="10" t="n">
        <v>13</v>
      </c>
      <c r="G1015" s="10" t="n">
        <v>0</v>
      </c>
      <c r="H1015" s="10" t="n">
        <v>0</v>
      </c>
      <c r="I1015" s="10" t="n">
        <v>48</v>
      </c>
      <c r="J1015" s="10" t="n">
        <v>0</v>
      </c>
      <c r="K1015" s="10" t="n">
        <v>1</v>
      </c>
      <c r="L1015" s="10" t="n">
        <v>0</v>
      </c>
      <c r="M1015" s="10" t="n">
        <v>0</v>
      </c>
      <c r="N1015" s="10" t="n">
        <v>0</v>
      </c>
      <c r="O1015" s="10" t="n">
        <v>0</v>
      </c>
      <c r="P1015" s="10" t="n">
        <v>-1</v>
      </c>
      <c r="Q1015" s="10" t="n">
        <v>44</v>
      </c>
      <c r="R1015" s="10" t="n">
        <v>4</v>
      </c>
      <c r="S1015" s="10" t="n">
        <v>0</v>
      </c>
      <c r="T1015" s="10" t="n">
        <v>0</v>
      </c>
      <c r="U1015" s="10" t="n">
        <v>0</v>
      </c>
    </row>
    <row r="1016" customFormat="false" ht="15" hidden="false" customHeight="false" outlineLevel="0" collapsed="false">
      <c r="A1016" s="7" t="s">
        <v>931</v>
      </c>
      <c r="B1016" s="7" t="s">
        <v>151</v>
      </c>
      <c r="C1016" s="7" t="s">
        <v>799</v>
      </c>
      <c r="D1016" s="10" t="n">
        <v>0</v>
      </c>
      <c r="E1016" s="10" t="n">
        <v>0</v>
      </c>
      <c r="F1016" s="10" t="n">
        <v>3</v>
      </c>
      <c r="G1016" s="10" t="n">
        <v>0</v>
      </c>
      <c r="H1016" s="10" t="n">
        <v>0</v>
      </c>
      <c r="I1016" s="10" t="n">
        <v>22</v>
      </c>
      <c r="J1016" s="10" t="n">
        <v>0</v>
      </c>
      <c r="K1016" s="10" t="n">
        <v>0</v>
      </c>
      <c r="L1016" s="10" t="n">
        <v>0</v>
      </c>
      <c r="M1016" s="10" t="n">
        <v>0</v>
      </c>
      <c r="N1016" s="10" t="n">
        <v>0</v>
      </c>
      <c r="O1016" s="10" t="n">
        <v>0</v>
      </c>
      <c r="P1016" s="10" t="n">
        <v>0</v>
      </c>
      <c r="Q1016" s="10" t="n">
        <v>19</v>
      </c>
      <c r="R1016" s="10" t="n">
        <v>3</v>
      </c>
      <c r="S1016" s="10" t="n">
        <v>0</v>
      </c>
      <c r="T1016" s="10" t="n">
        <v>0</v>
      </c>
      <c r="U1016" s="10" t="n">
        <v>0</v>
      </c>
    </row>
    <row r="1017" customFormat="false" ht="15" hidden="false" customHeight="false" outlineLevel="0" collapsed="false">
      <c r="A1017" s="7" t="s">
        <v>931</v>
      </c>
      <c r="B1017" s="7" t="s">
        <v>151</v>
      </c>
      <c r="C1017" s="7" t="s">
        <v>800</v>
      </c>
      <c r="D1017" s="10" t="n">
        <v>0</v>
      </c>
      <c r="E1017" s="10" t="n">
        <v>0</v>
      </c>
      <c r="F1017" s="10" t="n">
        <v>2</v>
      </c>
      <c r="G1017" s="10" t="n">
        <v>0</v>
      </c>
      <c r="H1017" s="10" t="n">
        <v>0</v>
      </c>
      <c r="I1017" s="10" t="n">
        <v>-1</v>
      </c>
      <c r="J1017" s="10" t="n">
        <v>0</v>
      </c>
      <c r="K1017" s="10" t="n">
        <v>0</v>
      </c>
      <c r="L1017" s="10" t="n">
        <v>0</v>
      </c>
      <c r="M1017" s="10" t="n">
        <v>0</v>
      </c>
      <c r="N1017" s="10" t="n">
        <v>0</v>
      </c>
      <c r="O1017" s="10" t="n">
        <v>0</v>
      </c>
      <c r="P1017" s="10" t="n">
        <v>0</v>
      </c>
      <c r="Q1017" s="10" t="n">
        <v>-1</v>
      </c>
      <c r="R1017" s="10" t="n">
        <v>0</v>
      </c>
      <c r="S1017" s="10" t="n">
        <v>0</v>
      </c>
      <c r="T1017" s="10" t="n">
        <v>0</v>
      </c>
      <c r="U1017" s="10" t="n">
        <v>0</v>
      </c>
    </row>
    <row r="1018" customFormat="false" ht="15" hidden="false" customHeight="false" outlineLevel="0" collapsed="false">
      <c r="A1018" s="7" t="s">
        <v>931</v>
      </c>
      <c r="B1018" s="7" t="s">
        <v>190</v>
      </c>
      <c r="C1018" s="7" t="s">
        <v>801</v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>
        <v>-1</v>
      </c>
      <c r="J1018" s="10" t="n">
        <v>0</v>
      </c>
      <c r="K1018" s="10" t="n">
        <v>0</v>
      </c>
      <c r="L1018" s="10" t="n">
        <v>0</v>
      </c>
      <c r="M1018" s="10" t="n">
        <v>0</v>
      </c>
      <c r="N1018" s="10" t="n">
        <v>0</v>
      </c>
      <c r="O1018" s="10" t="n">
        <v>0</v>
      </c>
      <c r="P1018" s="10" t="n">
        <v>0</v>
      </c>
      <c r="Q1018" s="10" t="n">
        <v>-1</v>
      </c>
      <c r="R1018" s="10" t="n">
        <v>0</v>
      </c>
      <c r="S1018" s="10" t="n">
        <v>0</v>
      </c>
      <c r="T1018" s="10" t="n">
        <v>0</v>
      </c>
      <c r="U1018" s="10" t="n">
        <v>0</v>
      </c>
    </row>
    <row r="1019" customFormat="false" ht="15" hidden="false" customHeight="false" outlineLevel="0" collapsed="false">
      <c r="A1019" s="7" t="s">
        <v>931</v>
      </c>
      <c r="B1019" s="7" t="s">
        <v>190</v>
      </c>
      <c r="C1019" s="7" t="s">
        <v>802</v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>
        <v>-4</v>
      </c>
      <c r="J1019" s="10" t="n">
        <v>0</v>
      </c>
      <c r="K1019" s="10" t="n">
        <v>0</v>
      </c>
      <c r="L1019" s="10" t="n">
        <v>0</v>
      </c>
      <c r="M1019" s="10" t="n">
        <v>0</v>
      </c>
      <c r="N1019" s="10" t="n">
        <v>0</v>
      </c>
      <c r="O1019" s="10" t="n">
        <v>0</v>
      </c>
      <c r="P1019" s="10" t="n">
        <v>-3</v>
      </c>
      <c r="Q1019" s="10" t="n">
        <v>-1</v>
      </c>
      <c r="R1019" s="10" t="n">
        <v>0</v>
      </c>
      <c r="S1019" s="10" t="n">
        <v>0</v>
      </c>
      <c r="T1019" s="10" t="n">
        <v>0</v>
      </c>
      <c r="U1019" s="10" t="n">
        <v>-1</v>
      </c>
    </row>
    <row r="1020" customFormat="false" ht="15" hidden="false" customHeight="false" outlineLevel="0" collapsed="false">
      <c r="A1020" s="7" t="s">
        <v>931</v>
      </c>
      <c r="B1020" s="7" t="s">
        <v>190</v>
      </c>
      <c r="C1020" s="7" t="s">
        <v>803</v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>
        <v>-11</v>
      </c>
      <c r="J1020" s="10" t="n">
        <v>0</v>
      </c>
      <c r="K1020" s="10" t="n">
        <v>0</v>
      </c>
      <c r="L1020" s="10" t="n">
        <v>0</v>
      </c>
      <c r="M1020" s="10" t="n">
        <v>0</v>
      </c>
      <c r="N1020" s="10" t="n">
        <v>0</v>
      </c>
      <c r="O1020" s="10" t="n">
        <v>0</v>
      </c>
      <c r="P1020" s="10" t="n">
        <v>-3</v>
      </c>
      <c r="Q1020" s="10" t="n">
        <v>-10</v>
      </c>
      <c r="R1020" s="10" t="n">
        <v>2</v>
      </c>
      <c r="S1020" s="10" t="n">
        <v>0</v>
      </c>
      <c r="T1020" s="10" t="n">
        <v>0</v>
      </c>
      <c r="U1020" s="10" t="n">
        <v>0</v>
      </c>
    </row>
    <row r="1021" customFormat="false" ht="15" hidden="false" customHeight="false" outlineLevel="0" collapsed="false">
      <c r="A1021" s="7" t="s">
        <v>931</v>
      </c>
      <c r="B1021" s="7" t="s">
        <v>190</v>
      </c>
      <c r="C1021" s="7" t="s">
        <v>804</v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>
        <v>-1</v>
      </c>
      <c r="J1021" s="10" t="n">
        <v>0</v>
      </c>
      <c r="K1021" s="10" t="n">
        <v>0</v>
      </c>
      <c r="L1021" s="10" t="n">
        <v>0</v>
      </c>
      <c r="M1021" s="10" t="n">
        <v>0</v>
      </c>
      <c r="N1021" s="10" t="n">
        <v>0</v>
      </c>
      <c r="O1021" s="10" t="n">
        <v>0</v>
      </c>
      <c r="P1021" s="10" t="n">
        <v>-1</v>
      </c>
      <c r="Q1021" s="10" t="n">
        <v>0</v>
      </c>
      <c r="R1021" s="10" t="n">
        <v>0</v>
      </c>
      <c r="S1021" s="10" t="n">
        <v>0</v>
      </c>
      <c r="T1021" s="10" t="n">
        <v>0</v>
      </c>
      <c r="U1021" s="10" t="n">
        <v>0</v>
      </c>
    </row>
    <row r="1022" customFormat="false" ht="15" hidden="false" customHeight="false" outlineLevel="0" collapsed="false">
      <c r="A1022" s="7" t="s">
        <v>931</v>
      </c>
      <c r="B1022" s="7" t="s">
        <v>280</v>
      </c>
      <c r="C1022" s="7" t="s">
        <v>805</v>
      </c>
      <c r="D1022" s="10" t="n">
        <v>0</v>
      </c>
      <c r="E1022" s="10" t="n">
        <v>0</v>
      </c>
      <c r="F1022" s="10" t="n">
        <v>7</v>
      </c>
      <c r="G1022" s="10" t="n">
        <v>0</v>
      </c>
      <c r="H1022" s="10" t="n">
        <v>0</v>
      </c>
      <c r="I1022" s="10" t="n">
        <v>0</v>
      </c>
      <c r="J1022" s="10" t="n">
        <v>0</v>
      </c>
      <c r="K1022" s="10" t="n">
        <v>0</v>
      </c>
      <c r="L1022" s="10" t="n">
        <v>0</v>
      </c>
      <c r="M1022" s="10" t="n">
        <v>0</v>
      </c>
      <c r="N1022" s="10" t="n">
        <v>0</v>
      </c>
      <c r="O1022" s="10" t="n">
        <v>0</v>
      </c>
      <c r="P1022" s="10" t="n">
        <v>0</v>
      </c>
      <c r="Q1022" s="10" t="n">
        <v>0</v>
      </c>
      <c r="R1022" s="10" t="n">
        <v>0</v>
      </c>
      <c r="S1022" s="10" t="n">
        <v>0</v>
      </c>
      <c r="T1022" s="10" t="n">
        <v>0</v>
      </c>
      <c r="U1022" s="10" t="n">
        <v>0</v>
      </c>
    </row>
    <row r="1023" customFormat="false" ht="15" hidden="false" customHeight="false" outlineLevel="0" collapsed="false">
      <c r="A1023" s="7" t="s">
        <v>931</v>
      </c>
      <c r="B1023" s="7" t="s">
        <v>335</v>
      </c>
      <c r="C1023" s="7" t="s">
        <v>806</v>
      </c>
      <c r="D1023" s="10" t="n">
        <v>0</v>
      </c>
      <c r="E1023" s="10" t="n">
        <v>0</v>
      </c>
      <c r="F1023" s="10" t="n">
        <v>10</v>
      </c>
      <c r="G1023" s="10" t="n">
        <v>0</v>
      </c>
      <c r="H1023" s="10" t="n">
        <v>0</v>
      </c>
      <c r="I1023" s="10" t="n">
        <v>0</v>
      </c>
      <c r="J1023" s="10" t="n">
        <v>0</v>
      </c>
      <c r="K1023" s="10" t="n">
        <v>0</v>
      </c>
      <c r="L1023" s="10" t="n">
        <v>0</v>
      </c>
      <c r="M1023" s="10" t="n">
        <v>0</v>
      </c>
      <c r="N1023" s="10" t="n">
        <v>0</v>
      </c>
      <c r="O1023" s="10" t="n">
        <v>0</v>
      </c>
      <c r="P1023" s="10" t="n">
        <v>0</v>
      </c>
      <c r="Q1023" s="10" t="n">
        <v>0</v>
      </c>
      <c r="R1023" s="10" t="n">
        <v>0</v>
      </c>
      <c r="S1023" s="10" t="n">
        <v>0</v>
      </c>
      <c r="T1023" s="10" t="n">
        <v>0</v>
      </c>
      <c r="U1023" s="10" t="n">
        <v>0</v>
      </c>
    </row>
    <row r="1024" customFormat="false" ht="15" hidden="false" customHeight="false" outlineLevel="0" collapsed="false">
      <c r="A1024" s="7" t="s">
        <v>931</v>
      </c>
      <c r="B1024" s="7" t="s">
        <v>297</v>
      </c>
      <c r="C1024" s="7" t="s">
        <v>806</v>
      </c>
      <c r="D1024" s="10" t="n">
        <v>0</v>
      </c>
      <c r="E1024" s="10" t="n">
        <v>0</v>
      </c>
      <c r="F1024" s="10" t="n">
        <v>26</v>
      </c>
      <c r="G1024" s="10" t="n">
        <v>0</v>
      </c>
      <c r="H1024" s="10" t="n">
        <v>0</v>
      </c>
      <c r="I1024" s="10" t="n">
        <v>218</v>
      </c>
      <c r="J1024" s="10" t="n">
        <v>0</v>
      </c>
      <c r="K1024" s="10" t="n">
        <v>51</v>
      </c>
      <c r="L1024" s="10" t="n">
        <v>-1</v>
      </c>
      <c r="M1024" s="10" t="n">
        <v>0</v>
      </c>
      <c r="N1024" s="10" t="n">
        <v>0</v>
      </c>
      <c r="O1024" s="10" t="n">
        <v>0</v>
      </c>
      <c r="P1024" s="10" t="n">
        <v>-2</v>
      </c>
      <c r="Q1024" s="10" t="n">
        <v>0</v>
      </c>
      <c r="R1024" s="10" t="n">
        <v>170</v>
      </c>
      <c r="S1024" s="10" t="n">
        <v>0</v>
      </c>
      <c r="T1024" s="10" t="n">
        <v>0</v>
      </c>
      <c r="U1024" s="10" t="n">
        <v>0</v>
      </c>
    </row>
    <row r="1025" customFormat="false" ht="15" hidden="false" customHeight="false" outlineLevel="0" collapsed="false">
      <c r="A1025" s="7" t="s">
        <v>931</v>
      </c>
      <c r="B1025" s="7" t="s">
        <v>342</v>
      </c>
      <c r="C1025" s="7" t="s">
        <v>806</v>
      </c>
      <c r="D1025" s="10" t="n">
        <v>0</v>
      </c>
      <c r="E1025" s="10" t="n">
        <v>0</v>
      </c>
      <c r="F1025" s="10" t="n">
        <v>41</v>
      </c>
      <c r="G1025" s="10" t="n">
        <v>0</v>
      </c>
      <c r="H1025" s="10" t="n">
        <v>0</v>
      </c>
      <c r="I1025" s="10" t="n">
        <v>0</v>
      </c>
      <c r="J1025" s="10" t="n">
        <v>0</v>
      </c>
      <c r="K1025" s="10" t="n">
        <v>0</v>
      </c>
      <c r="L1025" s="10" t="n">
        <v>0</v>
      </c>
      <c r="M1025" s="10" t="n">
        <v>0</v>
      </c>
      <c r="N1025" s="10" t="n">
        <v>0</v>
      </c>
      <c r="O1025" s="10" t="n">
        <v>0</v>
      </c>
      <c r="P1025" s="10" t="n">
        <v>0</v>
      </c>
      <c r="Q1025" s="10" t="n">
        <v>0</v>
      </c>
      <c r="R1025" s="10" t="n">
        <v>0</v>
      </c>
      <c r="S1025" s="10" t="n">
        <v>0</v>
      </c>
      <c r="T1025" s="10" t="n">
        <v>0</v>
      </c>
      <c r="U1025" s="10" t="n">
        <v>0</v>
      </c>
    </row>
    <row r="1026" customFormat="false" ht="15" hidden="false" customHeight="false" outlineLevel="0" collapsed="false">
      <c r="A1026" s="7" t="s">
        <v>931</v>
      </c>
      <c r="B1026" s="7" t="s">
        <v>306</v>
      </c>
      <c r="C1026" s="7" t="s">
        <v>806</v>
      </c>
      <c r="D1026" s="10" t="n">
        <v>0</v>
      </c>
      <c r="E1026" s="10" t="n">
        <v>0</v>
      </c>
      <c r="F1026" s="10" t="n">
        <v>7</v>
      </c>
      <c r="G1026" s="10" t="n">
        <v>0</v>
      </c>
      <c r="H1026" s="10" t="n">
        <v>0</v>
      </c>
      <c r="I1026" s="10" t="n">
        <v>282</v>
      </c>
      <c r="J1026" s="10" t="n">
        <v>0</v>
      </c>
      <c r="K1026" s="10" t="n">
        <v>36</v>
      </c>
      <c r="L1026" s="10" t="n">
        <v>0</v>
      </c>
      <c r="M1026" s="10" t="n">
        <v>0</v>
      </c>
      <c r="N1026" s="10" t="n">
        <v>0</v>
      </c>
      <c r="O1026" s="10" t="n">
        <v>0</v>
      </c>
      <c r="P1026" s="10" t="n">
        <v>-2</v>
      </c>
      <c r="Q1026" s="10" t="n">
        <v>0</v>
      </c>
      <c r="R1026" s="10" t="n">
        <v>248</v>
      </c>
      <c r="S1026" s="10" t="n">
        <v>0</v>
      </c>
      <c r="T1026" s="10" t="n">
        <v>0</v>
      </c>
      <c r="U1026" s="10" t="n">
        <v>0</v>
      </c>
    </row>
    <row r="1027" customFormat="false" ht="15" hidden="false" customHeight="false" outlineLevel="0" collapsed="false">
      <c r="A1027" s="7" t="s">
        <v>931</v>
      </c>
      <c r="B1027" s="7" t="s">
        <v>78</v>
      </c>
      <c r="C1027" s="7" t="s">
        <v>807</v>
      </c>
      <c r="D1027" s="10" t="n">
        <v>0</v>
      </c>
      <c r="E1027" s="10" t="n">
        <v>0</v>
      </c>
      <c r="F1027" s="10" t="n">
        <v>295</v>
      </c>
      <c r="G1027" s="10" t="n">
        <v>0</v>
      </c>
      <c r="H1027" s="10" t="n">
        <v>0</v>
      </c>
      <c r="I1027" s="10" t="n">
        <v>1052</v>
      </c>
      <c r="J1027" s="10" t="n">
        <v>0</v>
      </c>
      <c r="K1027" s="10" t="n">
        <v>24</v>
      </c>
      <c r="L1027" s="10" t="n">
        <v>0</v>
      </c>
      <c r="M1027" s="10" t="n">
        <v>0</v>
      </c>
      <c r="N1027" s="10" t="n">
        <v>0</v>
      </c>
      <c r="O1027" s="10" t="n">
        <v>0</v>
      </c>
      <c r="P1027" s="10" t="n">
        <v>-2</v>
      </c>
      <c r="Q1027" s="10" t="n">
        <v>796</v>
      </c>
      <c r="R1027" s="10" t="n">
        <v>234</v>
      </c>
      <c r="S1027" s="10" t="n">
        <v>0</v>
      </c>
      <c r="T1027" s="10" t="n">
        <v>0</v>
      </c>
      <c r="U1027" s="10" t="n">
        <v>0</v>
      </c>
    </row>
    <row r="1028" customFormat="false" ht="15" hidden="false" customHeight="false" outlineLevel="0" collapsed="false">
      <c r="A1028" s="7" t="s">
        <v>931</v>
      </c>
      <c r="B1028" s="7" t="s">
        <v>71</v>
      </c>
      <c r="C1028" s="7" t="s">
        <v>807</v>
      </c>
      <c r="D1028" s="10" t="n">
        <v>0</v>
      </c>
      <c r="E1028" s="10" t="n">
        <v>0</v>
      </c>
      <c r="F1028" s="10" t="n">
        <v>411</v>
      </c>
      <c r="G1028" s="10" t="n">
        <v>0</v>
      </c>
      <c r="H1028" s="10" t="n">
        <v>0</v>
      </c>
      <c r="I1028" s="10" t="n">
        <v>1200</v>
      </c>
      <c r="J1028" s="10" t="n">
        <v>0</v>
      </c>
      <c r="K1028" s="10" t="n">
        <v>0</v>
      </c>
      <c r="L1028" s="10" t="n">
        <v>0</v>
      </c>
      <c r="M1028" s="10" t="n">
        <v>0</v>
      </c>
      <c r="N1028" s="10" t="n">
        <v>0</v>
      </c>
      <c r="O1028" s="10" t="n">
        <v>0</v>
      </c>
      <c r="P1028" s="10" t="n">
        <v>0</v>
      </c>
      <c r="Q1028" s="10" t="n">
        <v>1200</v>
      </c>
      <c r="R1028" s="10" t="n">
        <v>0</v>
      </c>
      <c r="S1028" s="10" t="n">
        <v>0</v>
      </c>
      <c r="T1028" s="10" t="n">
        <v>0</v>
      </c>
      <c r="U1028" s="10" t="n">
        <v>0</v>
      </c>
    </row>
    <row r="1029" customFormat="false" ht="15" hidden="false" customHeight="false" outlineLevel="0" collapsed="false">
      <c r="A1029" s="7" t="s">
        <v>931</v>
      </c>
      <c r="B1029" s="7" t="s">
        <v>72</v>
      </c>
      <c r="C1029" s="7" t="s">
        <v>807</v>
      </c>
      <c r="D1029" s="10" t="n">
        <v>0</v>
      </c>
      <c r="E1029" s="10" t="n">
        <v>0</v>
      </c>
      <c r="F1029" s="10" t="n">
        <v>517</v>
      </c>
      <c r="G1029" s="10" t="n">
        <v>0</v>
      </c>
      <c r="H1029" s="10" t="n">
        <v>0</v>
      </c>
      <c r="I1029" s="10" t="n">
        <v>1250</v>
      </c>
      <c r="J1029" s="10" t="n">
        <v>0</v>
      </c>
      <c r="K1029" s="10" t="n">
        <v>0</v>
      </c>
      <c r="L1029" s="10" t="n">
        <v>0</v>
      </c>
      <c r="M1029" s="10" t="n">
        <v>0</v>
      </c>
      <c r="N1029" s="10" t="n">
        <v>0</v>
      </c>
      <c r="O1029" s="10" t="n">
        <v>0</v>
      </c>
      <c r="P1029" s="10" t="n">
        <v>-1</v>
      </c>
      <c r="Q1029" s="10" t="n">
        <v>1251</v>
      </c>
      <c r="R1029" s="10" t="n">
        <v>0</v>
      </c>
      <c r="S1029" s="10" t="n">
        <v>0</v>
      </c>
      <c r="T1029" s="10" t="n">
        <v>0</v>
      </c>
      <c r="U1029" s="10" t="n">
        <v>0</v>
      </c>
    </row>
    <row r="1030" customFormat="false" ht="15" hidden="false" customHeight="false" outlineLevel="0" collapsed="false">
      <c r="A1030" s="7" t="s">
        <v>931</v>
      </c>
      <c r="B1030" s="7" t="s">
        <v>76</v>
      </c>
      <c r="C1030" s="7" t="s">
        <v>807</v>
      </c>
      <c r="D1030" s="10" t="n">
        <v>0</v>
      </c>
      <c r="E1030" s="10" t="n">
        <v>0</v>
      </c>
      <c r="F1030" s="10" t="n">
        <v>391</v>
      </c>
      <c r="G1030" s="10" t="n">
        <v>0</v>
      </c>
      <c r="H1030" s="10" t="n">
        <v>0</v>
      </c>
      <c r="I1030" s="10" t="n">
        <v>1150</v>
      </c>
      <c r="J1030" s="10" t="n">
        <v>0</v>
      </c>
      <c r="K1030" s="10" t="n">
        <v>0</v>
      </c>
      <c r="L1030" s="10" t="n">
        <v>0</v>
      </c>
      <c r="M1030" s="10" t="n">
        <v>0</v>
      </c>
      <c r="N1030" s="10" t="n">
        <v>0</v>
      </c>
      <c r="O1030" s="10" t="n">
        <v>0</v>
      </c>
      <c r="P1030" s="10" t="n">
        <v>0</v>
      </c>
      <c r="Q1030" s="10" t="n">
        <v>1150</v>
      </c>
      <c r="R1030" s="10" t="n">
        <v>0</v>
      </c>
      <c r="S1030" s="10" t="n">
        <v>0</v>
      </c>
      <c r="T1030" s="10" t="n">
        <v>0</v>
      </c>
      <c r="U1030" s="10" t="n">
        <v>0</v>
      </c>
    </row>
    <row r="1031" customFormat="false" ht="15" hidden="false" customHeight="false" outlineLevel="0" collapsed="false">
      <c r="A1031" s="7" t="s">
        <v>931</v>
      </c>
      <c r="B1031" s="7" t="s">
        <v>63</v>
      </c>
      <c r="C1031" s="7" t="s">
        <v>808</v>
      </c>
      <c r="D1031" s="10" t="n">
        <v>0</v>
      </c>
      <c r="E1031" s="10" t="n">
        <v>0</v>
      </c>
      <c r="F1031" s="10" t="n">
        <v>101</v>
      </c>
      <c r="G1031" s="10" t="n">
        <v>0</v>
      </c>
      <c r="H1031" s="10" t="n">
        <v>0</v>
      </c>
      <c r="I1031" s="10" t="n">
        <v>365</v>
      </c>
      <c r="J1031" s="10" t="n">
        <v>0</v>
      </c>
      <c r="K1031" s="10" t="n">
        <v>15</v>
      </c>
      <c r="L1031" s="10" t="n">
        <v>0</v>
      </c>
      <c r="M1031" s="10" t="n">
        <v>0</v>
      </c>
      <c r="N1031" s="10" t="n">
        <v>3</v>
      </c>
      <c r="O1031" s="10" t="n">
        <v>1</v>
      </c>
      <c r="P1031" s="10" t="n">
        <v>-6</v>
      </c>
      <c r="Q1031" s="10" t="n">
        <v>278</v>
      </c>
      <c r="R1031" s="10" t="n">
        <v>74</v>
      </c>
      <c r="S1031" s="10" t="n">
        <v>0</v>
      </c>
      <c r="T1031" s="10" t="n">
        <v>0</v>
      </c>
      <c r="U1031" s="10" t="n">
        <v>0</v>
      </c>
    </row>
    <row r="1032" customFormat="false" ht="15" hidden="false" customHeight="false" outlineLevel="0" collapsed="false">
      <c r="A1032" s="7" t="s">
        <v>931</v>
      </c>
      <c r="B1032" s="7" t="s">
        <v>265</v>
      </c>
      <c r="C1032" s="7" t="s">
        <v>809</v>
      </c>
      <c r="D1032" s="10" t="n">
        <v>0</v>
      </c>
      <c r="E1032" s="10" t="n">
        <v>0</v>
      </c>
      <c r="F1032" s="10" t="n">
        <v>572</v>
      </c>
      <c r="G1032" s="10" t="n">
        <v>0</v>
      </c>
      <c r="H1032" s="10" t="n">
        <v>5</v>
      </c>
      <c r="I1032" s="10" t="n">
        <v>181</v>
      </c>
      <c r="J1032" s="10" t="n">
        <v>0</v>
      </c>
      <c r="K1032" s="10" t="n">
        <v>21</v>
      </c>
      <c r="L1032" s="10" t="n">
        <v>-5</v>
      </c>
      <c r="M1032" s="10" t="n">
        <v>9</v>
      </c>
      <c r="N1032" s="10" t="n">
        <v>-15</v>
      </c>
      <c r="O1032" s="10" t="n">
        <v>3</v>
      </c>
      <c r="P1032" s="10" t="n">
        <v>-18</v>
      </c>
      <c r="Q1032" s="10" t="n">
        <v>0</v>
      </c>
      <c r="R1032" s="10" t="n">
        <v>186</v>
      </c>
      <c r="S1032" s="10" t="n">
        <v>0</v>
      </c>
      <c r="T1032" s="10" t="n">
        <v>0</v>
      </c>
      <c r="U1032" s="10" t="n">
        <v>-2</v>
      </c>
    </row>
    <row r="1033" customFormat="false" ht="15" hidden="false" customHeight="false" outlineLevel="0" collapsed="false">
      <c r="A1033" s="7" t="s">
        <v>931</v>
      </c>
      <c r="B1033" s="7" t="s">
        <v>65</v>
      </c>
      <c r="C1033" s="7" t="s">
        <v>810</v>
      </c>
      <c r="D1033" s="10" t="n">
        <v>0</v>
      </c>
      <c r="E1033" s="10" t="n">
        <v>0</v>
      </c>
      <c r="F1033" s="10" t="n">
        <v>216</v>
      </c>
      <c r="G1033" s="10" t="n">
        <v>0</v>
      </c>
      <c r="H1033" s="10" t="n">
        <v>0</v>
      </c>
      <c r="I1033" s="10" t="n">
        <v>1210</v>
      </c>
      <c r="J1033" s="10" t="n">
        <v>0</v>
      </c>
      <c r="K1033" s="10" t="n">
        <v>7</v>
      </c>
      <c r="L1033" s="10" t="n">
        <v>0</v>
      </c>
      <c r="M1033" s="10" t="n">
        <v>0</v>
      </c>
      <c r="N1033" s="10" t="n">
        <v>0</v>
      </c>
      <c r="O1033" s="10" t="n">
        <v>1</v>
      </c>
      <c r="P1033" s="10" t="n">
        <v>-10</v>
      </c>
      <c r="Q1033" s="10" t="n">
        <v>1089</v>
      </c>
      <c r="R1033" s="10" t="n">
        <v>123</v>
      </c>
      <c r="S1033" s="10" t="n">
        <v>0</v>
      </c>
      <c r="T1033" s="10" t="n">
        <v>0</v>
      </c>
      <c r="U1033" s="10" t="n">
        <v>0</v>
      </c>
    </row>
    <row r="1034" customFormat="false" ht="15" hidden="false" customHeight="false" outlineLevel="0" collapsed="false">
      <c r="A1034" s="7" t="s">
        <v>931</v>
      </c>
      <c r="B1034" s="7" t="s">
        <v>65</v>
      </c>
      <c r="C1034" s="7" t="s">
        <v>811</v>
      </c>
      <c r="D1034" s="10" t="n">
        <v>0</v>
      </c>
      <c r="E1034" s="10" t="n">
        <v>0</v>
      </c>
      <c r="F1034" s="10" t="n">
        <v>146</v>
      </c>
      <c r="G1034" s="10" t="n">
        <v>0</v>
      </c>
      <c r="H1034" s="10" t="n">
        <v>0</v>
      </c>
      <c r="I1034" s="10" t="n">
        <v>840</v>
      </c>
      <c r="J1034" s="10" t="n">
        <v>0</v>
      </c>
      <c r="K1034" s="10" t="n">
        <v>6</v>
      </c>
      <c r="L1034" s="10" t="n">
        <v>0</v>
      </c>
      <c r="M1034" s="10" t="n">
        <v>0</v>
      </c>
      <c r="N1034" s="10" t="n">
        <v>0</v>
      </c>
      <c r="O1034" s="10" t="n">
        <v>1</v>
      </c>
      <c r="P1034" s="10" t="n">
        <v>-6</v>
      </c>
      <c r="Q1034" s="10" t="n">
        <v>733</v>
      </c>
      <c r="R1034" s="10" t="n">
        <v>106</v>
      </c>
      <c r="S1034" s="10" t="n">
        <v>0</v>
      </c>
      <c r="T1034" s="10" t="n">
        <v>0</v>
      </c>
      <c r="U1034" s="10" t="n">
        <v>0</v>
      </c>
    </row>
    <row r="1035" customFormat="false" ht="15" hidden="false" customHeight="false" outlineLevel="0" collapsed="false">
      <c r="A1035" s="7" t="s">
        <v>931</v>
      </c>
      <c r="B1035" s="7" t="s">
        <v>65</v>
      </c>
      <c r="C1035" s="7" t="s">
        <v>812</v>
      </c>
      <c r="D1035" s="10" t="n">
        <v>0</v>
      </c>
      <c r="E1035" s="10" t="n">
        <v>0</v>
      </c>
      <c r="F1035" s="10" t="n">
        <v>155</v>
      </c>
      <c r="G1035" s="10" t="n">
        <v>0</v>
      </c>
      <c r="H1035" s="10" t="n">
        <v>0</v>
      </c>
      <c r="I1035" s="10" t="n">
        <v>942</v>
      </c>
      <c r="J1035" s="10" t="n">
        <v>0</v>
      </c>
      <c r="K1035" s="10" t="n">
        <v>6</v>
      </c>
      <c r="L1035" s="10" t="n">
        <v>0</v>
      </c>
      <c r="M1035" s="10" t="n">
        <v>0</v>
      </c>
      <c r="N1035" s="10" t="n">
        <v>0</v>
      </c>
      <c r="O1035" s="10" t="n">
        <v>0</v>
      </c>
      <c r="P1035" s="10" t="n">
        <v>-6</v>
      </c>
      <c r="Q1035" s="10" t="n">
        <v>833</v>
      </c>
      <c r="R1035" s="10" t="n">
        <v>109</v>
      </c>
      <c r="S1035" s="10" t="n">
        <v>0</v>
      </c>
      <c r="T1035" s="10" t="n">
        <v>0</v>
      </c>
      <c r="U1035" s="10" t="n">
        <v>0</v>
      </c>
    </row>
    <row r="1036" customFormat="false" ht="15" hidden="false" customHeight="false" outlineLevel="0" collapsed="false">
      <c r="A1036" s="7" t="s">
        <v>931</v>
      </c>
      <c r="B1036" s="7" t="s">
        <v>65</v>
      </c>
      <c r="C1036" s="7" t="s">
        <v>813</v>
      </c>
      <c r="D1036" s="10" t="n">
        <v>0</v>
      </c>
      <c r="E1036" s="10" t="n">
        <v>0</v>
      </c>
      <c r="F1036" s="10" t="n">
        <v>49</v>
      </c>
      <c r="G1036" s="10" t="n">
        <v>0</v>
      </c>
      <c r="H1036" s="10" t="n">
        <v>0</v>
      </c>
      <c r="I1036" s="10" t="n">
        <v>394</v>
      </c>
      <c r="J1036" s="10" t="n">
        <v>0</v>
      </c>
      <c r="K1036" s="10" t="n">
        <v>3</v>
      </c>
      <c r="L1036" s="10" t="n">
        <v>0</v>
      </c>
      <c r="M1036" s="10" t="n">
        <v>0</v>
      </c>
      <c r="N1036" s="10" t="n">
        <v>0</v>
      </c>
      <c r="O1036" s="10" t="n">
        <v>0</v>
      </c>
      <c r="P1036" s="10" t="n">
        <v>-8</v>
      </c>
      <c r="Q1036" s="10" t="n">
        <v>347</v>
      </c>
      <c r="R1036" s="10" t="n">
        <v>52</v>
      </c>
      <c r="S1036" s="10" t="n">
        <v>0</v>
      </c>
      <c r="T1036" s="10" t="n">
        <v>0</v>
      </c>
      <c r="U1036" s="10" t="n">
        <v>0</v>
      </c>
    </row>
    <row r="1037" customFormat="false" ht="15" hidden="false" customHeight="false" outlineLevel="0" collapsed="false">
      <c r="A1037" s="7" t="s">
        <v>931</v>
      </c>
      <c r="B1037" s="7" t="s">
        <v>65</v>
      </c>
      <c r="C1037" s="7" t="s">
        <v>814</v>
      </c>
      <c r="D1037" s="10" t="n">
        <v>0</v>
      </c>
      <c r="E1037" s="10" t="n">
        <v>0</v>
      </c>
      <c r="F1037" s="10" t="n">
        <v>12</v>
      </c>
      <c r="G1037" s="10" t="n">
        <v>0</v>
      </c>
      <c r="H1037" s="10" t="n">
        <v>0</v>
      </c>
      <c r="I1037" s="10" t="n">
        <v>44</v>
      </c>
      <c r="J1037" s="10" t="n">
        <v>0</v>
      </c>
      <c r="K1037" s="10" t="n">
        <v>4</v>
      </c>
      <c r="L1037" s="10" t="n">
        <v>0</v>
      </c>
      <c r="M1037" s="10" t="n">
        <v>0</v>
      </c>
      <c r="N1037" s="10" t="n">
        <v>0</v>
      </c>
      <c r="O1037" s="10" t="n">
        <v>0</v>
      </c>
      <c r="P1037" s="10" t="n">
        <v>-3</v>
      </c>
      <c r="Q1037" s="10" t="n">
        <v>0</v>
      </c>
      <c r="R1037" s="10" t="n">
        <v>43</v>
      </c>
      <c r="S1037" s="10" t="n">
        <v>0</v>
      </c>
      <c r="T1037" s="10" t="n">
        <v>0</v>
      </c>
      <c r="U1037" s="10" t="n">
        <v>0</v>
      </c>
    </row>
    <row r="1038" customFormat="false" ht="15" hidden="false" customHeight="false" outlineLevel="0" collapsed="false">
      <c r="A1038" s="7" t="s">
        <v>931</v>
      </c>
      <c r="B1038" s="7" t="s">
        <v>65</v>
      </c>
      <c r="C1038" s="7" t="s">
        <v>815</v>
      </c>
      <c r="D1038" s="10" t="n">
        <v>0</v>
      </c>
      <c r="E1038" s="10" t="n">
        <v>0</v>
      </c>
      <c r="F1038" s="10" t="n">
        <v>6</v>
      </c>
      <c r="G1038" s="10" t="n">
        <v>0</v>
      </c>
      <c r="H1038" s="10" t="n">
        <v>0</v>
      </c>
      <c r="I1038" s="10" t="n">
        <v>0</v>
      </c>
      <c r="J1038" s="10" t="n">
        <v>0</v>
      </c>
      <c r="K1038" s="10" t="n">
        <v>0</v>
      </c>
      <c r="L1038" s="10" t="n">
        <v>0</v>
      </c>
      <c r="M1038" s="10" t="n">
        <v>0</v>
      </c>
      <c r="N1038" s="10" t="n">
        <v>0</v>
      </c>
      <c r="O1038" s="10" t="n">
        <v>0</v>
      </c>
      <c r="P1038" s="10" t="n">
        <v>0</v>
      </c>
      <c r="Q1038" s="10" t="n">
        <v>0</v>
      </c>
      <c r="R1038" s="10" t="n">
        <v>0</v>
      </c>
      <c r="S1038" s="10" t="n">
        <v>0</v>
      </c>
      <c r="T1038" s="10" t="n">
        <v>0</v>
      </c>
      <c r="U1038" s="10" t="n">
        <v>0</v>
      </c>
    </row>
    <row r="1039" customFormat="false" ht="15" hidden="false" customHeight="false" outlineLevel="0" collapsed="false">
      <c r="A1039" s="7" t="s">
        <v>931</v>
      </c>
      <c r="B1039" s="7" t="s">
        <v>81</v>
      </c>
      <c r="C1039" s="7" t="s">
        <v>816</v>
      </c>
      <c r="D1039" s="10" t="n">
        <v>0</v>
      </c>
      <c r="E1039" s="10" t="n">
        <v>0</v>
      </c>
      <c r="F1039" s="10" t="n">
        <v>324</v>
      </c>
      <c r="G1039" s="10" t="n">
        <v>0</v>
      </c>
      <c r="H1039" s="10" t="n">
        <v>0</v>
      </c>
      <c r="I1039" s="10" t="n">
        <v>1966</v>
      </c>
      <c r="J1039" s="10" t="n">
        <v>0</v>
      </c>
      <c r="K1039" s="10" t="n">
        <v>13</v>
      </c>
      <c r="L1039" s="10" t="n">
        <v>-1</v>
      </c>
      <c r="M1039" s="10" t="n">
        <v>3</v>
      </c>
      <c r="N1039" s="10" t="n">
        <v>3</v>
      </c>
      <c r="O1039" s="10" t="n">
        <v>4</v>
      </c>
      <c r="P1039" s="10" t="n">
        <v>-3</v>
      </c>
      <c r="Q1039" s="10" t="n">
        <v>1818</v>
      </c>
      <c r="R1039" s="10" t="n">
        <v>129</v>
      </c>
      <c r="S1039" s="10" t="n">
        <v>0</v>
      </c>
      <c r="T1039" s="10" t="n">
        <v>0</v>
      </c>
      <c r="U1039" s="10" t="n">
        <v>0</v>
      </c>
    </row>
    <row r="1040" customFormat="false" ht="15" hidden="false" customHeight="false" outlineLevel="0" collapsed="false">
      <c r="A1040" s="7" t="s">
        <v>931</v>
      </c>
      <c r="B1040" s="7" t="s">
        <v>196</v>
      </c>
      <c r="C1040" s="7" t="s">
        <v>817</v>
      </c>
      <c r="D1040" s="10" t="n">
        <v>0</v>
      </c>
      <c r="E1040" s="10" t="n">
        <v>0</v>
      </c>
      <c r="F1040" s="10" t="n">
        <v>52</v>
      </c>
      <c r="G1040" s="10" t="n">
        <v>0</v>
      </c>
      <c r="H1040" s="10" t="n">
        <v>1</v>
      </c>
      <c r="I1040" s="10" t="n">
        <v>107</v>
      </c>
      <c r="J1040" s="10" t="n">
        <v>0</v>
      </c>
      <c r="K1040" s="10" t="n">
        <v>5</v>
      </c>
      <c r="L1040" s="10" t="n">
        <v>-3</v>
      </c>
      <c r="M1040" s="10" t="n">
        <v>0</v>
      </c>
      <c r="N1040" s="10" t="n">
        <v>6</v>
      </c>
      <c r="O1040" s="10" t="n">
        <v>0</v>
      </c>
      <c r="P1040" s="10" t="n">
        <v>-7</v>
      </c>
      <c r="Q1040" s="10" t="n">
        <v>84</v>
      </c>
      <c r="R1040" s="10" t="n">
        <v>22</v>
      </c>
      <c r="S1040" s="10" t="n">
        <v>0</v>
      </c>
      <c r="T1040" s="10" t="n">
        <v>0</v>
      </c>
      <c r="U1040" s="10" t="n">
        <v>0</v>
      </c>
    </row>
    <row r="1041" customFormat="false" ht="15" hidden="false" customHeight="false" outlineLevel="0" collapsed="false">
      <c r="A1041" s="7" t="s">
        <v>931</v>
      </c>
      <c r="B1041" s="7" t="s">
        <v>265</v>
      </c>
      <c r="C1041" s="7" t="s">
        <v>818</v>
      </c>
      <c r="D1041" s="10" t="n">
        <v>0</v>
      </c>
      <c r="E1041" s="10" t="n">
        <v>0</v>
      </c>
      <c r="F1041" s="10" t="n">
        <v>265</v>
      </c>
      <c r="G1041" s="10" t="n">
        <v>0</v>
      </c>
      <c r="H1041" s="10" t="n">
        <v>0</v>
      </c>
      <c r="I1041" s="10" t="n">
        <v>106</v>
      </c>
      <c r="J1041" s="10" t="n">
        <v>0</v>
      </c>
      <c r="K1041" s="10" t="n">
        <v>9</v>
      </c>
      <c r="L1041" s="10" t="n">
        <v>-4</v>
      </c>
      <c r="M1041" s="10" t="n">
        <v>3</v>
      </c>
      <c r="N1041" s="10" t="n">
        <v>4</v>
      </c>
      <c r="O1041" s="10" t="n">
        <v>0</v>
      </c>
      <c r="P1041" s="10" t="n">
        <v>-16</v>
      </c>
      <c r="Q1041" s="10" t="n">
        <v>0</v>
      </c>
      <c r="R1041" s="10" t="n">
        <v>110</v>
      </c>
      <c r="S1041" s="10" t="n">
        <v>0</v>
      </c>
      <c r="T1041" s="10" t="n">
        <v>0</v>
      </c>
      <c r="U1041" s="10" t="n">
        <v>0</v>
      </c>
    </row>
    <row r="1042" customFormat="false" ht="15" hidden="false" customHeight="false" outlineLevel="0" collapsed="false">
      <c r="A1042" s="7" t="s">
        <v>931</v>
      </c>
      <c r="B1042" s="7" t="s">
        <v>50</v>
      </c>
      <c r="C1042" s="7" t="s">
        <v>819</v>
      </c>
      <c r="D1042" s="10" t="n">
        <v>0</v>
      </c>
      <c r="E1042" s="10" t="n">
        <v>0</v>
      </c>
      <c r="F1042" s="10" t="n">
        <v>35</v>
      </c>
      <c r="G1042" s="10" t="n">
        <v>0</v>
      </c>
      <c r="H1042" s="10" t="n">
        <v>0</v>
      </c>
      <c r="I1042" s="10" t="n">
        <v>1231</v>
      </c>
      <c r="J1042" s="10" t="n">
        <v>0</v>
      </c>
      <c r="K1042" s="10" t="n">
        <v>0</v>
      </c>
      <c r="L1042" s="10" t="n">
        <v>0</v>
      </c>
      <c r="M1042" s="10" t="n">
        <v>0</v>
      </c>
      <c r="N1042" s="10" t="n">
        <v>0</v>
      </c>
      <c r="O1042" s="10" t="n">
        <v>0</v>
      </c>
      <c r="P1042" s="10" t="n">
        <v>0</v>
      </c>
      <c r="Q1042" s="10" t="n">
        <v>1231</v>
      </c>
      <c r="R1042" s="10" t="n">
        <v>0</v>
      </c>
      <c r="S1042" s="10" t="n">
        <v>0</v>
      </c>
      <c r="T1042" s="10" t="n">
        <v>0</v>
      </c>
      <c r="U1042" s="10" t="n">
        <v>0</v>
      </c>
    </row>
    <row r="1043" customFormat="false" ht="15" hidden="false" customHeight="false" outlineLevel="0" collapsed="false">
      <c r="A1043" s="7" t="s">
        <v>931</v>
      </c>
      <c r="B1043" s="7" t="s">
        <v>50</v>
      </c>
      <c r="C1043" s="7" t="s">
        <v>820</v>
      </c>
      <c r="D1043" s="10" t="n">
        <v>0</v>
      </c>
      <c r="E1043" s="10" t="n">
        <v>0</v>
      </c>
      <c r="F1043" s="10" t="n">
        <v>93</v>
      </c>
      <c r="G1043" s="10" t="n">
        <v>0</v>
      </c>
      <c r="H1043" s="10" t="n">
        <v>0</v>
      </c>
      <c r="I1043" s="10" t="n">
        <v>2788</v>
      </c>
      <c r="J1043" s="10" t="n">
        <v>0</v>
      </c>
      <c r="K1043" s="10" t="n">
        <v>0</v>
      </c>
      <c r="L1043" s="10" t="n">
        <v>0</v>
      </c>
      <c r="M1043" s="10" t="n">
        <v>0</v>
      </c>
      <c r="N1043" s="10" t="n">
        <v>0</v>
      </c>
      <c r="O1043" s="10" t="n">
        <v>0</v>
      </c>
      <c r="P1043" s="10" t="n">
        <v>0</v>
      </c>
      <c r="Q1043" s="10" t="n">
        <v>2788</v>
      </c>
      <c r="R1043" s="10" t="n">
        <v>0</v>
      </c>
      <c r="S1043" s="10" t="n">
        <v>0</v>
      </c>
      <c r="T1043" s="10" t="n">
        <v>0</v>
      </c>
      <c r="U1043" s="10" t="n">
        <v>0</v>
      </c>
    </row>
    <row r="1044" customFormat="false" ht="15" hidden="false" customHeight="false" outlineLevel="0" collapsed="false">
      <c r="A1044" s="7" t="s">
        <v>931</v>
      </c>
      <c r="B1044" s="7" t="s">
        <v>50</v>
      </c>
      <c r="C1044" s="7" t="s">
        <v>821</v>
      </c>
      <c r="D1044" s="10" t="n">
        <v>0</v>
      </c>
      <c r="E1044" s="10" t="n">
        <v>0</v>
      </c>
      <c r="F1044" s="10" t="n">
        <v>100</v>
      </c>
      <c r="G1044" s="10" t="n">
        <v>0</v>
      </c>
      <c r="H1044" s="10" t="n">
        <v>0</v>
      </c>
      <c r="I1044" s="10" t="n">
        <v>2670</v>
      </c>
      <c r="J1044" s="10" t="n">
        <v>0</v>
      </c>
      <c r="K1044" s="10" t="n">
        <v>0</v>
      </c>
      <c r="L1044" s="10" t="n">
        <v>0</v>
      </c>
      <c r="M1044" s="10" t="n">
        <v>0</v>
      </c>
      <c r="N1044" s="10" t="n">
        <v>0</v>
      </c>
      <c r="O1044" s="10" t="n">
        <v>0</v>
      </c>
      <c r="P1044" s="10" t="n">
        <v>0</v>
      </c>
      <c r="Q1044" s="10" t="n">
        <v>2670</v>
      </c>
      <c r="R1044" s="10" t="n">
        <v>0</v>
      </c>
      <c r="S1044" s="10" t="n">
        <v>0</v>
      </c>
      <c r="T1044" s="10" t="n">
        <v>0</v>
      </c>
      <c r="U1044" s="10" t="n">
        <v>0</v>
      </c>
    </row>
    <row r="1045" customFormat="false" ht="15" hidden="false" customHeight="false" outlineLevel="0" collapsed="false">
      <c r="A1045" s="7" t="s">
        <v>931</v>
      </c>
      <c r="B1045" s="7" t="s">
        <v>50</v>
      </c>
      <c r="C1045" s="7" t="s">
        <v>822</v>
      </c>
      <c r="D1045" s="10" t="n">
        <v>0</v>
      </c>
      <c r="E1045" s="10" t="n">
        <v>0</v>
      </c>
      <c r="F1045" s="10" t="n">
        <v>103</v>
      </c>
      <c r="G1045" s="10" t="n">
        <v>0</v>
      </c>
      <c r="H1045" s="10" t="n">
        <v>0</v>
      </c>
      <c r="I1045" s="10" t="n">
        <v>2302</v>
      </c>
      <c r="J1045" s="10" t="n">
        <v>0</v>
      </c>
      <c r="K1045" s="10" t="n">
        <v>0</v>
      </c>
      <c r="L1045" s="10" t="n">
        <v>0</v>
      </c>
      <c r="M1045" s="10" t="n">
        <v>0</v>
      </c>
      <c r="N1045" s="10" t="n">
        <v>0</v>
      </c>
      <c r="O1045" s="10" t="n">
        <v>0</v>
      </c>
      <c r="P1045" s="10" t="n">
        <v>0</v>
      </c>
      <c r="Q1045" s="10" t="n">
        <v>2302</v>
      </c>
      <c r="R1045" s="10" t="n">
        <v>0</v>
      </c>
      <c r="S1045" s="10" t="n">
        <v>0</v>
      </c>
      <c r="T1045" s="10" t="n">
        <v>0</v>
      </c>
      <c r="U1045" s="10" t="n">
        <v>0</v>
      </c>
    </row>
    <row r="1046" customFormat="false" ht="15" hidden="false" customHeight="false" outlineLevel="0" collapsed="false">
      <c r="A1046" s="7" t="s">
        <v>931</v>
      </c>
      <c r="B1046" s="7" t="s">
        <v>50</v>
      </c>
      <c r="C1046" s="7" t="s">
        <v>823</v>
      </c>
      <c r="D1046" s="10" t="n">
        <v>0</v>
      </c>
      <c r="E1046" s="10" t="n">
        <v>0</v>
      </c>
      <c r="F1046" s="10" t="n">
        <v>43</v>
      </c>
      <c r="G1046" s="10" t="n">
        <v>0</v>
      </c>
      <c r="H1046" s="10" t="n">
        <v>0</v>
      </c>
      <c r="I1046" s="10" t="n">
        <v>360</v>
      </c>
      <c r="J1046" s="10" t="n">
        <v>0</v>
      </c>
      <c r="K1046" s="10" t="n">
        <v>0</v>
      </c>
      <c r="L1046" s="10" t="n">
        <v>0</v>
      </c>
      <c r="M1046" s="10" t="n">
        <v>0</v>
      </c>
      <c r="N1046" s="10" t="n">
        <v>0</v>
      </c>
      <c r="O1046" s="10" t="n">
        <v>0</v>
      </c>
      <c r="P1046" s="10" t="n">
        <v>0</v>
      </c>
      <c r="Q1046" s="10" t="n">
        <v>360</v>
      </c>
      <c r="R1046" s="10" t="n">
        <v>0</v>
      </c>
      <c r="S1046" s="10" t="n">
        <v>1</v>
      </c>
      <c r="T1046" s="10" t="n">
        <v>0</v>
      </c>
      <c r="U1046" s="10" t="n">
        <v>0</v>
      </c>
    </row>
    <row r="1047" customFormat="false" ht="15" hidden="false" customHeight="false" outlineLevel="0" collapsed="false">
      <c r="A1047" s="7" t="s">
        <v>931</v>
      </c>
      <c r="B1047" s="7" t="s">
        <v>44</v>
      </c>
      <c r="C1047" s="7" t="s">
        <v>824</v>
      </c>
      <c r="D1047" s="10" t="n">
        <v>0</v>
      </c>
      <c r="E1047" s="10" t="n">
        <v>0</v>
      </c>
      <c r="F1047" s="10" t="n">
        <v>-1</v>
      </c>
      <c r="G1047" s="10" t="n">
        <v>0</v>
      </c>
      <c r="H1047" s="10" t="n">
        <v>0</v>
      </c>
      <c r="I1047" s="10" t="n">
        <v>0</v>
      </c>
      <c r="J1047" s="10" t="n">
        <v>0</v>
      </c>
      <c r="K1047" s="10" t="n">
        <v>0</v>
      </c>
      <c r="L1047" s="10" t="n">
        <v>0</v>
      </c>
      <c r="M1047" s="10" t="n">
        <v>0</v>
      </c>
      <c r="N1047" s="10" t="n">
        <v>0</v>
      </c>
      <c r="O1047" s="10" t="n">
        <v>0</v>
      </c>
      <c r="P1047" s="10" t="n">
        <v>0</v>
      </c>
      <c r="Q1047" s="10" t="n">
        <v>0</v>
      </c>
      <c r="R1047" s="10" t="n">
        <v>0</v>
      </c>
      <c r="S1047" s="10" t="n">
        <v>0</v>
      </c>
      <c r="T1047" s="10" t="n">
        <v>0</v>
      </c>
      <c r="U1047" s="10" t="n">
        <v>0</v>
      </c>
    </row>
    <row r="1048" customFormat="false" ht="15" hidden="false" customHeight="false" outlineLevel="0" collapsed="false">
      <c r="A1048" s="7" t="s">
        <v>931</v>
      </c>
      <c r="B1048" s="7" t="s">
        <v>198</v>
      </c>
      <c r="C1048" s="7" t="s">
        <v>825</v>
      </c>
      <c r="D1048" s="10" t="n">
        <v>0</v>
      </c>
      <c r="E1048" s="10" t="n">
        <v>0</v>
      </c>
      <c r="F1048" s="10" t="n">
        <v>-1</v>
      </c>
      <c r="G1048" s="10" t="n">
        <v>0</v>
      </c>
      <c r="H1048" s="10" t="n">
        <v>0</v>
      </c>
      <c r="I1048" s="10" t="n">
        <v>0</v>
      </c>
      <c r="J1048" s="10" t="n">
        <v>0</v>
      </c>
      <c r="K1048" s="10" t="n">
        <v>0</v>
      </c>
      <c r="L1048" s="10" t="n">
        <v>0</v>
      </c>
      <c r="M1048" s="10" t="n">
        <v>0</v>
      </c>
      <c r="N1048" s="10" t="n">
        <v>0</v>
      </c>
      <c r="O1048" s="10" t="n">
        <v>0</v>
      </c>
      <c r="P1048" s="10" t="n">
        <v>0</v>
      </c>
      <c r="Q1048" s="10" t="n">
        <v>0</v>
      </c>
      <c r="R1048" s="10" t="n">
        <v>0</v>
      </c>
      <c r="S1048" s="10" t="n">
        <v>0</v>
      </c>
      <c r="T1048" s="10" t="n">
        <v>0</v>
      </c>
      <c r="U1048" s="10" t="n">
        <v>0</v>
      </c>
    </row>
    <row r="1049" customFormat="false" ht="15" hidden="false" customHeight="false" outlineLevel="0" collapsed="false">
      <c r="A1049" s="7" t="s">
        <v>931</v>
      </c>
      <c r="B1049" s="7" t="s">
        <v>115</v>
      </c>
      <c r="C1049" s="7" t="s">
        <v>826</v>
      </c>
      <c r="D1049" s="10" t="n">
        <v>0</v>
      </c>
      <c r="E1049" s="10" t="n">
        <v>0</v>
      </c>
      <c r="F1049" s="10" t="n">
        <v>273</v>
      </c>
      <c r="G1049" s="10" t="n">
        <v>0</v>
      </c>
      <c r="H1049" s="10" t="n">
        <v>0</v>
      </c>
      <c r="I1049" s="10" t="n">
        <v>1778</v>
      </c>
      <c r="J1049" s="10" t="n">
        <v>0</v>
      </c>
      <c r="K1049" s="10" t="n">
        <v>28</v>
      </c>
      <c r="L1049" s="10" t="n">
        <v>0</v>
      </c>
      <c r="M1049" s="10" t="n">
        <v>2</v>
      </c>
      <c r="N1049" s="10" t="n">
        <v>3</v>
      </c>
      <c r="O1049" s="10" t="n">
        <v>0</v>
      </c>
      <c r="P1049" s="10" t="n">
        <v>-1</v>
      </c>
      <c r="Q1049" s="10" t="n">
        <v>1303</v>
      </c>
      <c r="R1049" s="10" t="n">
        <v>443</v>
      </c>
      <c r="S1049" s="10" t="n">
        <v>0</v>
      </c>
      <c r="T1049" s="10" t="n">
        <v>0</v>
      </c>
      <c r="U1049" s="10" t="n">
        <v>0</v>
      </c>
    </row>
    <row r="1050" customFormat="false" ht="15" hidden="false" customHeight="false" outlineLevel="0" collapsed="false">
      <c r="A1050" s="7" t="s">
        <v>931</v>
      </c>
      <c r="B1050" s="7" t="s">
        <v>160</v>
      </c>
      <c r="C1050" s="7" t="s">
        <v>826</v>
      </c>
      <c r="D1050" s="10" t="n">
        <v>0</v>
      </c>
      <c r="E1050" s="10" t="n">
        <v>0</v>
      </c>
      <c r="F1050" s="10" t="n">
        <v>372</v>
      </c>
      <c r="G1050" s="10" t="n">
        <v>0</v>
      </c>
      <c r="H1050" s="10" t="n">
        <v>0</v>
      </c>
      <c r="I1050" s="10" t="n">
        <v>2616</v>
      </c>
      <c r="J1050" s="10" t="n">
        <v>0</v>
      </c>
      <c r="K1050" s="10" t="n">
        <v>25</v>
      </c>
      <c r="L1050" s="10" t="n">
        <v>0</v>
      </c>
      <c r="M1050" s="10" t="n">
        <v>9</v>
      </c>
      <c r="N1050" s="10" t="n">
        <v>9</v>
      </c>
      <c r="O1050" s="10" t="n">
        <v>0</v>
      </c>
      <c r="P1050" s="10" t="n">
        <v>-2</v>
      </c>
      <c r="Q1050" s="10" t="n">
        <v>2021</v>
      </c>
      <c r="R1050" s="10" t="n">
        <v>554</v>
      </c>
      <c r="S1050" s="10" t="n">
        <v>0</v>
      </c>
      <c r="T1050" s="10" t="n">
        <v>0</v>
      </c>
      <c r="U1050" s="10" t="n">
        <v>0</v>
      </c>
    </row>
    <row r="1051" customFormat="false" ht="15" hidden="false" customHeight="false" outlineLevel="0" collapsed="false">
      <c r="A1051" s="7" t="s">
        <v>931</v>
      </c>
      <c r="B1051" s="7" t="s">
        <v>174</v>
      </c>
      <c r="C1051" s="7" t="s">
        <v>826</v>
      </c>
      <c r="D1051" s="10" t="n">
        <v>0</v>
      </c>
      <c r="E1051" s="10" t="n">
        <v>0</v>
      </c>
      <c r="F1051" s="10" t="n">
        <v>377</v>
      </c>
      <c r="G1051" s="10" t="n">
        <v>0</v>
      </c>
      <c r="H1051" s="10" t="n">
        <v>0</v>
      </c>
      <c r="I1051" s="10" t="n">
        <v>2441</v>
      </c>
      <c r="J1051" s="10" t="n">
        <v>0</v>
      </c>
      <c r="K1051" s="10" t="n">
        <v>22</v>
      </c>
      <c r="L1051" s="10" t="n">
        <v>0</v>
      </c>
      <c r="M1051" s="10" t="n">
        <v>5</v>
      </c>
      <c r="N1051" s="10" t="n">
        <v>0</v>
      </c>
      <c r="O1051" s="10" t="n">
        <v>0</v>
      </c>
      <c r="P1051" s="10" t="n">
        <v>-4</v>
      </c>
      <c r="Q1051" s="10" t="n">
        <v>1840</v>
      </c>
      <c r="R1051" s="10" t="n">
        <v>578</v>
      </c>
      <c r="S1051" s="10" t="n">
        <v>0</v>
      </c>
      <c r="T1051" s="10" t="n">
        <v>0</v>
      </c>
      <c r="U1051" s="10" t="n">
        <v>0</v>
      </c>
    </row>
    <row r="1052" customFormat="false" ht="15" hidden="false" customHeight="false" outlineLevel="0" collapsed="false">
      <c r="A1052" s="7" t="s">
        <v>931</v>
      </c>
      <c r="B1052" s="7" t="s">
        <v>175</v>
      </c>
      <c r="C1052" s="7" t="s">
        <v>826</v>
      </c>
      <c r="D1052" s="10" t="n">
        <v>0</v>
      </c>
      <c r="E1052" s="10" t="n">
        <v>0</v>
      </c>
      <c r="F1052" s="10" t="n">
        <v>210</v>
      </c>
      <c r="G1052" s="10" t="n">
        <v>0</v>
      </c>
      <c r="H1052" s="10" t="n">
        <v>0</v>
      </c>
      <c r="I1052" s="10" t="n">
        <v>1389</v>
      </c>
      <c r="J1052" s="10" t="n">
        <v>0</v>
      </c>
      <c r="K1052" s="10" t="n">
        <v>2</v>
      </c>
      <c r="L1052" s="10" t="n">
        <v>0</v>
      </c>
      <c r="M1052" s="10" t="n">
        <v>4</v>
      </c>
      <c r="N1052" s="10" t="n">
        <v>8</v>
      </c>
      <c r="O1052" s="10" t="n">
        <v>0</v>
      </c>
      <c r="P1052" s="10" t="n">
        <v>-4</v>
      </c>
      <c r="Q1052" s="10" t="n">
        <v>1128</v>
      </c>
      <c r="R1052" s="10" t="n">
        <v>251</v>
      </c>
      <c r="S1052" s="10" t="n">
        <v>0</v>
      </c>
      <c r="T1052" s="10" t="n">
        <v>0</v>
      </c>
      <c r="U1052" s="10" t="n">
        <v>0</v>
      </c>
    </row>
    <row r="1053" customFormat="false" ht="15" hidden="false" customHeight="false" outlineLevel="0" collapsed="false">
      <c r="A1053" s="7" t="s">
        <v>931</v>
      </c>
      <c r="B1053" s="7" t="s">
        <v>240</v>
      </c>
      <c r="C1053" s="7" t="s">
        <v>827</v>
      </c>
      <c r="D1053" s="10" t="n">
        <v>0</v>
      </c>
      <c r="E1053" s="10" t="n">
        <v>0</v>
      </c>
      <c r="F1053" s="10" t="n">
        <v>316</v>
      </c>
      <c r="G1053" s="10" t="n">
        <v>0</v>
      </c>
      <c r="H1053" s="10" t="n">
        <v>0</v>
      </c>
      <c r="I1053" s="10" t="n">
        <v>0</v>
      </c>
      <c r="J1053" s="10" t="n">
        <v>0</v>
      </c>
      <c r="K1053" s="10" t="n">
        <v>0</v>
      </c>
      <c r="L1053" s="10" t="n">
        <v>0</v>
      </c>
      <c r="M1053" s="10" t="n">
        <v>0</v>
      </c>
      <c r="N1053" s="10" t="n">
        <v>0</v>
      </c>
      <c r="O1053" s="10" t="n">
        <v>0</v>
      </c>
      <c r="P1053" s="10" t="n">
        <v>0</v>
      </c>
      <c r="Q1053" s="10" t="n">
        <v>0</v>
      </c>
      <c r="R1053" s="10" t="n">
        <v>0</v>
      </c>
      <c r="S1053" s="10" t="n">
        <v>0</v>
      </c>
      <c r="T1053" s="10" t="n">
        <v>0</v>
      </c>
      <c r="U1053" s="10" t="n">
        <v>0</v>
      </c>
    </row>
    <row r="1054" customFormat="false" ht="15" hidden="false" customHeight="false" outlineLevel="0" collapsed="false">
      <c r="A1054" s="7" t="s">
        <v>931</v>
      </c>
      <c r="B1054" s="7" t="s">
        <v>170</v>
      </c>
      <c r="C1054" s="7" t="s">
        <v>828</v>
      </c>
      <c r="D1054" s="10" t="n">
        <v>0</v>
      </c>
      <c r="E1054" s="10" t="n">
        <v>0</v>
      </c>
      <c r="F1054" s="10" t="n">
        <v>40</v>
      </c>
      <c r="G1054" s="10" t="n">
        <v>0</v>
      </c>
      <c r="H1054" s="10" t="n">
        <v>12</v>
      </c>
      <c r="I1054" s="10" t="n">
        <v>146</v>
      </c>
      <c r="J1054" s="10" t="n">
        <v>0</v>
      </c>
      <c r="K1054" s="10" t="n">
        <v>0</v>
      </c>
      <c r="L1054" s="10" t="n">
        <v>0</v>
      </c>
      <c r="M1054" s="10" t="n">
        <v>0</v>
      </c>
      <c r="N1054" s="10" t="n">
        <v>6</v>
      </c>
      <c r="O1054" s="10" t="n">
        <v>0</v>
      </c>
      <c r="P1054" s="10" t="n">
        <v>0</v>
      </c>
      <c r="Q1054" s="10" t="n">
        <v>140</v>
      </c>
      <c r="R1054" s="10" t="n">
        <v>0</v>
      </c>
      <c r="S1054" s="10" t="n">
        <v>0</v>
      </c>
      <c r="T1054" s="10" t="n">
        <v>0</v>
      </c>
      <c r="U1054" s="10" t="n">
        <v>0</v>
      </c>
    </row>
    <row r="1055" customFormat="false" ht="15" hidden="false" customHeight="false" outlineLevel="0" collapsed="false">
      <c r="A1055" s="7" t="s">
        <v>931</v>
      </c>
      <c r="B1055" s="7" t="s">
        <v>332</v>
      </c>
      <c r="C1055" s="7" t="s">
        <v>829</v>
      </c>
      <c r="D1055" s="10" t="n">
        <v>0</v>
      </c>
      <c r="E1055" s="10" t="n">
        <v>0</v>
      </c>
      <c r="F1055" s="10" t="n">
        <v>-1</v>
      </c>
      <c r="G1055" s="10" t="n">
        <v>0</v>
      </c>
      <c r="H1055" s="10" t="n">
        <v>0</v>
      </c>
      <c r="I1055" s="10" t="n">
        <v>0</v>
      </c>
      <c r="J1055" s="10" t="n">
        <v>0</v>
      </c>
      <c r="K1055" s="10" t="n">
        <v>0</v>
      </c>
      <c r="L1055" s="10" t="n">
        <v>0</v>
      </c>
      <c r="M1055" s="10" t="n">
        <v>0</v>
      </c>
      <c r="N1055" s="10" t="n">
        <v>0</v>
      </c>
      <c r="O1055" s="10" t="n">
        <v>0</v>
      </c>
      <c r="P1055" s="10" t="n">
        <v>0</v>
      </c>
      <c r="Q1055" s="10" t="n">
        <v>0</v>
      </c>
      <c r="R1055" s="10" t="n">
        <v>0</v>
      </c>
      <c r="S1055" s="10" t="n">
        <v>0</v>
      </c>
      <c r="T1055" s="10" t="n">
        <v>0</v>
      </c>
      <c r="U1055" s="10" t="n">
        <v>0</v>
      </c>
    </row>
    <row r="1056" customFormat="false" ht="15" hidden="false" customHeight="false" outlineLevel="0" collapsed="false">
      <c r="A1056" s="7" t="s">
        <v>931</v>
      </c>
      <c r="B1056" s="7" t="s">
        <v>344</v>
      </c>
      <c r="C1056" s="7" t="s">
        <v>829</v>
      </c>
      <c r="D1056" s="10" t="n">
        <v>0</v>
      </c>
      <c r="E1056" s="10" t="n">
        <v>0</v>
      </c>
      <c r="F1056" s="10" t="n">
        <v>1</v>
      </c>
      <c r="G1056" s="10" t="n">
        <v>0</v>
      </c>
      <c r="H1056" s="10" t="n">
        <v>0</v>
      </c>
      <c r="I1056" s="10" t="n">
        <v>0</v>
      </c>
      <c r="J1056" s="10" t="n">
        <v>0</v>
      </c>
      <c r="K1056" s="10" t="n">
        <v>0</v>
      </c>
      <c r="L1056" s="10" t="n">
        <v>0</v>
      </c>
      <c r="M1056" s="10" t="n">
        <v>0</v>
      </c>
      <c r="N1056" s="10" t="n">
        <v>0</v>
      </c>
      <c r="O1056" s="10" t="n">
        <v>0</v>
      </c>
      <c r="P1056" s="10" t="n">
        <v>0</v>
      </c>
      <c r="Q1056" s="10" t="n">
        <v>0</v>
      </c>
      <c r="R1056" s="10" t="n">
        <v>0</v>
      </c>
      <c r="S1056" s="10" t="n">
        <v>0</v>
      </c>
      <c r="T1056" s="10" t="n">
        <v>0</v>
      </c>
      <c r="U1056" s="10" t="n">
        <v>0</v>
      </c>
    </row>
    <row r="1057" customFormat="false" ht="15" hidden="false" customHeight="false" outlineLevel="0" collapsed="false">
      <c r="A1057" s="7" t="s">
        <v>931</v>
      </c>
      <c r="B1057" s="7" t="s">
        <v>325</v>
      </c>
      <c r="C1057" s="7" t="s">
        <v>829</v>
      </c>
      <c r="D1057" s="10" t="n">
        <v>0</v>
      </c>
      <c r="E1057" s="10" t="n">
        <v>0</v>
      </c>
      <c r="F1057" s="10" t="n">
        <v>4</v>
      </c>
      <c r="G1057" s="10" t="n">
        <v>0</v>
      </c>
      <c r="H1057" s="10" t="n">
        <v>0</v>
      </c>
      <c r="I1057" s="10" t="n">
        <v>0</v>
      </c>
      <c r="J1057" s="10" t="n">
        <v>0</v>
      </c>
      <c r="K1057" s="10" t="n">
        <v>0</v>
      </c>
      <c r="L1057" s="10" t="n">
        <v>0</v>
      </c>
      <c r="M1057" s="10" t="n">
        <v>0</v>
      </c>
      <c r="N1057" s="10" t="n">
        <v>0</v>
      </c>
      <c r="O1057" s="10" t="n">
        <v>0</v>
      </c>
      <c r="P1057" s="10" t="n">
        <v>0</v>
      </c>
      <c r="Q1057" s="10" t="n">
        <v>0</v>
      </c>
      <c r="R1057" s="10" t="n">
        <v>0</v>
      </c>
      <c r="S1057" s="10" t="n">
        <v>0</v>
      </c>
      <c r="T1057" s="10" t="n">
        <v>0</v>
      </c>
      <c r="U1057" s="10" t="n">
        <v>0</v>
      </c>
    </row>
    <row r="1058" customFormat="false" ht="15" hidden="false" customHeight="false" outlineLevel="0" collapsed="false">
      <c r="A1058" s="7" t="s">
        <v>931</v>
      </c>
      <c r="B1058" s="7" t="s">
        <v>96</v>
      </c>
      <c r="C1058" s="7" t="s">
        <v>830</v>
      </c>
      <c r="D1058" s="10" t="n">
        <v>0</v>
      </c>
      <c r="E1058" s="10" t="n">
        <v>0</v>
      </c>
      <c r="F1058" s="10" t="n">
        <v>124</v>
      </c>
      <c r="G1058" s="10" t="n">
        <v>0</v>
      </c>
      <c r="H1058" s="10" t="n">
        <v>0</v>
      </c>
      <c r="I1058" s="10" t="n">
        <v>1069</v>
      </c>
      <c r="J1058" s="10" t="n">
        <v>0</v>
      </c>
      <c r="K1058" s="10" t="n">
        <v>25</v>
      </c>
      <c r="L1058" s="10" t="n">
        <v>0</v>
      </c>
      <c r="M1058" s="10" t="n">
        <v>0</v>
      </c>
      <c r="N1058" s="10" t="n">
        <v>3</v>
      </c>
      <c r="O1058" s="10" t="n">
        <v>2</v>
      </c>
      <c r="P1058" s="10" t="n">
        <v>-4</v>
      </c>
      <c r="Q1058" s="10" t="n">
        <v>968</v>
      </c>
      <c r="R1058" s="10" t="n">
        <v>75</v>
      </c>
      <c r="S1058" s="10" t="n">
        <v>0</v>
      </c>
      <c r="T1058" s="10" t="n">
        <v>0</v>
      </c>
      <c r="U1058" s="10" t="n">
        <v>0</v>
      </c>
    </row>
    <row r="1059" customFormat="false" ht="15" hidden="false" customHeight="false" outlineLevel="0" collapsed="false">
      <c r="A1059" s="7" t="s">
        <v>931</v>
      </c>
      <c r="B1059" s="7" t="s">
        <v>70</v>
      </c>
      <c r="C1059" s="7" t="s">
        <v>831</v>
      </c>
      <c r="D1059" s="10" t="n">
        <v>0</v>
      </c>
      <c r="E1059" s="10" t="n">
        <v>0</v>
      </c>
      <c r="F1059" s="10" t="n">
        <v>1500</v>
      </c>
      <c r="G1059" s="10" t="n">
        <v>0</v>
      </c>
      <c r="H1059" s="10" t="n">
        <v>0</v>
      </c>
      <c r="I1059" s="10" t="n">
        <v>4000</v>
      </c>
      <c r="J1059" s="10" t="n">
        <v>0</v>
      </c>
      <c r="K1059" s="10" t="n">
        <v>7</v>
      </c>
      <c r="L1059" s="10" t="n">
        <v>0</v>
      </c>
      <c r="M1059" s="10" t="n">
        <v>0</v>
      </c>
      <c r="N1059" s="10" t="n">
        <v>0</v>
      </c>
      <c r="O1059" s="10" t="n">
        <v>10</v>
      </c>
      <c r="P1059" s="10" t="n">
        <v>-1</v>
      </c>
      <c r="Q1059" s="10" t="n">
        <v>3203</v>
      </c>
      <c r="R1059" s="10" t="n">
        <v>781</v>
      </c>
      <c r="S1059" s="10" t="n">
        <v>0</v>
      </c>
      <c r="T1059" s="10" t="n">
        <v>0</v>
      </c>
      <c r="U1059" s="10" t="n">
        <v>0</v>
      </c>
    </row>
    <row r="1060" customFormat="false" ht="15" hidden="false" customHeight="false" outlineLevel="0" collapsed="false">
      <c r="A1060" s="7" t="s">
        <v>931</v>
      </c>
      <c r="B1060" s="7" t="s">
        <v>93</v>
      </c>
      <c r="C1060" s="7" t="s">
        <v>831</v>
      </c>
      <c r="D1060" s="10" t="n">
        <v>0</v>
      </c>
      <c r="E1060" s="10" t="n">
        <v>0</v>
      </c>
      <c r="F1060" s="10" t="n">
        <v>931</v>
      </c>
      <c r="G1060" s="10" t="n">
        <v>0</v>
      </c>
      <c r="H1060" s="10" t="n">
        <v>0</v>
      </c>
      <c r="I1060" s="10" t="n">
        <v>3355</v>
      </c>
      <c r="J1060" s="10" t="n">
        <v>0</v>
      </c>
      <c r="K1060" s="10" t="n">
        <v>137</v>
      </c>
      <c r="L1060" s="10" t="n">
        <v>-1</v>
      </c>
      <c r="M1060" s="10" t="n">
        <v>0</v>
      </c>
      <c r="N1060" s="10" t="n">
        <v>-3</v>
      </c>
      <c r="O1060" s="10" t="n">
        <v>5</v>
      </c>
      <c r="P1060" s="10" t="n">
        <v>-4</v>
      </c>
      <c r="Q1060" s="10" t="n">
        <v>2756</v>
      </c>
      <c r="R1060" s="10" t="n">
        <v>465</v>
      </c>
      <c r="S1060" s="10" t="n">
        <v>0</v>
      </c>
      <c r="T1060" s="10" t="n">
        <v>0</v>
      </c>
      <c r="U1060" s="10" t="n">
        <v>0</v>
      </c>
    </row>
    <row r="1061" customFormat="false" ht="15" hidden="false" customHeight="false" outlineLevel="0" collapsed="false">
      <c r="A1061" s="7" t="s">
        <v>931</v>
      </c>
      <c r="B1061" s="7" t="s">
        <v>92</v>
      </c>
      <c r="C1061" s="7" t="s">
        <v>831</v>
      </c>
      <c r="D1061" s="10" t="n">
        <v>0</v>
      </c>
      <c r="E1061" s="10" t="n">
        <v>0</v>
      </c>
      <c r="F1061" s="10" t="n">
        <v>462</v>
      </c>
      <c r="G1061" s="10" t="n">
        <v>0</v>
      </c>
      <c r="H1061" s="10" t="n">
        <v>0</v>
      </c>
      <c r="I1061" s="10" t="n">
        <v>2036</v>
      </c>
      <c r="J1061" s="10" t="n">
        <v>0</v>
      </c>
      <c r="K1061" s="10" t="n">
        <v>3</v>
      </c>
      <c r="L1061" s="10" t="n">
        <v>0</v>
      </c>
      <c r="M1061" s="10" t="n">
        <v>0</v>
      </c>
      <c r="N1061" s="10" t="n">
        <v>14</v>
      </c>
      <c r="O1061" s="10" t="n">
        <v>0</v>
      </c>
      <c r="P1061" s="10" t="n">
        <v>-4</v>
      </c>
      <c r="Q1061" s="10" t="n">
        <v>1749</v>
      </c>
      <c r="R1061" s="10" t="n">
        <v>274</v>
      </c>
      <c r="S1061" s="10" t="n">
        <v>0</v>
      </c>
      <c r="T1061" s="10" t="n">
        <v>0</v>
      </c>
      <c r="U1061" s="10" t="n">
        <v>0</v>
      </c>
    </row>
    <row r="1062" customFormat="false" ht="15" hidden="false" customHeight="false" outlineLevel="0" collapsed="false">
      <c r="A1062" s="7" t="s">
        <v>931</v>
      </c>
      <c r="B1062" s="7" t="s">
        <v>129</v>
      </c>
      <c r="C1062" s="7" t="s">
        <v>831</v>
      </c>
      <c r="D1062" s="10" t="n">
        <v>0</v>
      </c>
      <c r="E1062" s="10" t="n">
        <v>0</v>
      </c>
      <c r="F1062" s="10" t="n">
        <v>471</v>
      </c>
      <c r="G1062" s="10" t="n">
        <v>0</v>
      </c>
      <c r="H1062" s="10" t="n">
        <v>0</v>
      </c>
      <c r="I1062" s="10" t="n">
        <v>1335</v>
      </c>
      <c r="J1062" s="10" t="n">
        <v>0</v>
      </c>
      <c r="K1062" s="10" t="n">
        <v>3</v>
      </c>
      <c r="L1062" s="10" t="n">
        <v>0</v>
      </c>
      <c r="M1062" s="10" t="n">
        <v>0</v>
      </c>
      <c r="N1062" s="10" t="n">
        <v>0</v>
      </c>
      <c r="O1062" s="10" t="n">
        <v>0</v>
      </c>
      <c r="P1062" s="10" t="n">
        <v>0</v>
      </c>
      <c r="Q1062" s="10" t="n">
        <v>980</v>
      </c>
      <c r="R1062" s="10" t="n">
        <v>352</v>
      </c>
      <c r="S1062" s="10" t="n">
        <v>0</v>
      </c>
      <c r="T1062" s="10" t="n">
        <v>0</v>
      </c>
      <c r="U1062" s="10" t="n">
        <v>0</v>
      </c>
    </row>
    <row r="1063" customFormat="false" ht="15" hidden="false" customHeight="false" outlineLevel="0" collapsed="false">
      <c r="A1063" s="7" t="s">
        <v>931</v>
      </c>
      <c r="B1063" s="7" t="s">
        <v>186</v>
      </c>
      <c r="C1063" s="7" t="s">
        <v>832</v>
      </c>
      <c r="D1063" s="10" t="n">
        <v>0</v>
      </c>
      <c r="E1063" s="10" t="n">
        <v>0</v>
      </c>
      <c r="F1063" s="10" t="n">
        <v>3</v>
      </c>
      <c r="G1063" s="10" t="n">
        <v>0</v>
      </c>
      <c r="H1063" s="10" t="n">
        <v>0</v>
      </c>
      <c r="I1063" s="10" t="n">
        <v>1</v>
      </c>
      <c r="J1063" s="10" t="n">
        <v>0</v>
      </c>
      <c r="K1063" s="10" t="n">
        <v>0</v>
      </c>
      <c r="L1063" s="10" t="n">
        <v>0</v>
      </c>
      <c r="M1063" s="10" t="n">
        <v>0</v>
      </c>
      <c r="N1063" s="10" t="n">
        <v>0</v>
      </c>
      <c r="O1063" s="10" t="n">
        <v>0</v>
      </c>
      <c r="P1063" s="10" t="n">
        <v>-1</v>
      </c>
      <c r="Q1063" s="10" t="n">
        <v>0</v>
      </c>
      <c r="R1063" s="10" t="n">
        <v>2</v>
      </c>
      <c r="S1063" s="10" t="n">
        <v>0</v>
      </c>
      <c r="T1063" s="10" t="n">
        <v>0</v>
      </c>
      <c r="U1063" s="10" t="n">
        <v>0</v>
      </c>
    </row>
    <row r="1064" customFormat="false" ht="15" hidden="false" customHeight="false" outlineLevel="0" collapsed="false">
      <c r="A1064" s="7" t="s">
        <v>931</v>
      </c>
      <c r="B1064" s="7" t="s">
        <v>186</v>
      </c>
      <c r="C1064" s="7" t="s">
        <v>833</v>
      </c>
      <c r="D1064" s="10" t="n">
        <v>0</v>
      </c>
      <c r="E1064" s="10" t="n">
        <v>0</v>
      </c>
      <c r="F1064" s="10" t="n">
        <v>13</v>
      </c>
      <c r="G1064" s="10" t="n">
        <v>0</v>
      </c>
      <c r="H1064" s="10" t="n">
        <v>0</v>
      </c>
      <c r="I1064" s="10" t="n">
        <v>16</v>
      </c>
      <c r="J1064" s="10" t="n">
        <v>0</v>
      </c>
      <c r="K1064" s="10" t="n">
        <v>0</v>
      </c>
      <c r="L1064" s="10" t="n">
        <v>0</v>
      </c>
      <c r="M1064" s="10" t="n">
        <v>0</v>
      </c>
      <c r="N1064" s="10" t="n">
        <v>0</v>
      </c>
      <c r="O1064" s="10" t="n">
        <v>0</v>
      </c>
      <c r="P1064" s="10" t="n">
        <v>-4</v>
      </c>
      <c r="Q1064" s="10" t="n">
        <v>13</v>
      </c>
      <c r="R1064" s="10" t="n">
        <v>7</v>
      </c>
      <c r="S1064" s="10" t="n">
        <v>0</v>
      </c>
      <c r="T1064" s="10" t="n">
        <v>0</v>
      </c>
      <c r="U1064" s="10" t="n">
        <v>0</v>
      </c>
    </row>
    <row r="1065" customFormat="false" ht="15" hidden="false" customHeight="false" outlineLevel="0" collapsed="false">
      <c r="A1065" s="7" t="s">
        <v>931</v>
      </c>
      <c r="B1065" s="7" t="s">
        <v>186</v>
      </c>
      <c r="C1065" s="7" t="s">
        <v>834</v>
      </c>
      <c r="D1065" s="10" t="n">
        <v>0</v>
      </c>
      <c r="E1065" s="10" t="n">
        <v>0</v>
      </c>
      <c r="F1065" s="10" t="n">
        <v>10</v>
      </c>
      <c r="G1065" s="10" t="n">
        <v>0</v>
      </c>
      <c r="H1065" s="10" t="n">
        <v>0</v>
      </c>
      <c r="I1065" s="10" t="n">
        <v>7</v>
      </c>
      <c r="J1065" s="10" t="n">
        <v>0</v>
      </c>
      <c r="K1065" s="10" t="n">
        <v>0</v>
      </c>
      <c r="L1065" s="10" t="n">
        <v>0</v>
      </c>
      <c r="M1065" s="10" t="n">
        <v>0</v>
      </c>
      <c r="N1065" s="10" t="n">
        <v>0</v>
      </c>
      <c r="O1065" s="10" t="n">
        <v>0</v>
      </c>
      <c r="P1065" s="10" t="n">
        <v>-5</v>
      </c>
      <c r="Q1065" s="10" t="n">
        <v>6</v>
      </c>
      <c r="R1065" s="10" t="n">
        <v>6</v>
      </c>
      <c r="S1065" s="10" t="n">
        <v>0</v>
      </c>
      <c r="T1065" s="10" t="n">
        <v>0</v>
      </c>
      <c r="U1065" s="10" t="n">
        <v>0</v>
      </c>
    </row>
    <row r="1066" customFormat="false" ht="15" hidden="false" customHeight="false" outlineLevel="0" collapsed="false">
      <c r="A1066" s="7" t="s">
        <v>931</v>
      </c>
      <c r="B1066" s="7" t="s">
        <v>186</v>
      </c>
      <c r="C1066" s="7" t="s">
        <v>835</v>
      </c>
      <c r="D1066" s="10" t="n">
        <v>0</v>
      </c>
      <c r="E1066" s="10" t="n">
        <v>0</v>
      </c>
      <c r="F1066" s="10" t="n">
        <v>9</v>
      </c>
      <c r="G1066" s="10" t="n">
        <v>0</v>
      </c>
      <c r="H1066" s="10" t="n">
        <v>0</v>
      </c>
      <c r="I1066" s="10" t="n">
        <v>15</v>
      </c>
      <c r="J1066" s="10" t="n">
        <v>0</v>
      </c>
      <c r="K1066" s="10" t="n">
        <v>0</v>
      </c>
      <c r="L1066" s="10" t="n">
        <v>0</v>
      </c>
      <c r="M1066" s="10" t="n">
        <v>0</v>
      </c>
      <c r="N1066" s="10" t="n">
        <v>0</v>
      </c>
      <c r="O1066" s="10" t="n">
        <v>0</v>
      </c>
      <c r="P1066" s="10" t="n">
        <v>-4</v>
      </c>
      <c r="Q1066" s="10" t="n">
        <v>15</v>
      </c>
      <c r="R1066" s="10" t="n">
        <v>4</v>
      </c>
      <c r="S1066" s="10" t="n">
        <v>0</v>
      </c>
      <c r="T1066" s="10" t="n">
        <v>0</v>
      </c>
      <c r="U1066" s="10" t="n">
        <v>0</v>
      </c>
    </row>
    <row r="1067" customFormat="false" ht="15" hidden="false" customHeight="false" outlineLevel="0" collapsed="false">
      <c r="A1067" s="7" t="s">
        <v>931</v>
      </c>
      <c r="B1067" s="7" t="s">
        <v>166</v>
      </c>
      <c r="C1067" s="7" t="s">
        <v>836</v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>
        <v>5</v>
      </c>
      <c r="J1067" s="10" t="n">
        <v>0</v>
      </c>
      <c r="K1067" s="10" t="n">
        <v>0</v>
      </c>
      <c r="L1067" s="10" t="n">
        <v>0</v>
      </c>
      <c r="M1067" s="10" t="n">
        <v>0</v>
      </c>
      <c r="N1067" s="10" t="n">
        <v>0</v>
      </c>
      <c r="O1067" s="10" t="n">
        <v>0</v>
      </c>
      <c r="P1067" s="10" t="n">
        <v>-3</v>
      </c>
      <c r="Q1067" s="10" t="n">
        <v>7</v>
      </c>
      <c r="R1067" s="10" t="n">
        <v>1</v>
      </c>
      <c r="S1067" s="10" t="n">
        <v>0</v>
      </c>
      <c r="T1067" s="10" t="n">
        <v>0</v>
      </c>
      <c r="U1067" s="10" t="n">
        <v>0</v>
      </c>
    </row>
    <row r="1068" customFormat="false" ht="15" hidden="false" customHeight="false" outlineLevel="0" collapsed="false">
      <c r="A1068" s="7" t="s">
        <v>931</v>
      </c>
      <c r="B1068" s="7" t="s">
        <v>166</v>
      </c>
      <c r="C1068" s="7" t="s">
        <v>837</v>
      </c>
      <c r="D1068" s="10" t="n">
        <v>0</v>
      </c>
      <c r="E1068" s="10" t="n">
        <v>0</v>
      </c>
      <c r="F1068" s="10" t="n">
        <v>6</v>
      </c>
      <c r="G1068" s="10" t="n">
        <v>0</v>
      </c>
      <c r="H1068" s="10" t="n">
        <v>0</v>
      </c>
      <c r="I1068" s="10" t="n">
        <v>10</v>
      </c>
      <c r="J1068" s="10" t="n">
        <v>0</v>
      </c>
      <c r="K1068" s="10" t="n">
        <v>0</v>
      </c>
      <c r="L1068" s="10" t="n">
        <v>0</v>
      </c>
      <c r="M1068" s="10" t="n">
        <v>0</v>
      </c>
      <c r="N1068" s="10" t="n">
        <v>0</v>
      </c>
      <c r="O1068" s="10" t="n">
        <v>0</v>
      </c>
      <c r="P1068" s="10" t="n">
        <v>-3</v>
      </c>
      <c r="Q1068" s="10" t="n">
        <v>8</v>
      </c>
      <c r="R1068" s="10" t="n">
        <v>5</v>
      </c>
      <c r="S1068" s="10" t="n">
        <v>0</v>
      </c>
      <c r="T1068" s="10" t="n">
        <v>0</v>
      </c>
      <c r="U1068" s="10" t="n">
        <v>0</v>
      </c>
    </row>
    <row r="1069" customFormat="false" ht="15" hidden="false" customHeight="false" outlineLevel="0" collapsed="false">
      <c r="A1069" s="7" t="s">
        <v>931</v>
      </c>
      <c r="B1069" s="7" t="s">
        <v>166</v>
      </c>
      <c r="C1069" s="7" t="s">
        <v>838</v>
      </c>
      <c r="D1069" s="10" t="n">
        <v>0</v>
      </c>
      <c r="E1069" s="10" t="n">
        <v>0</v>
      </c>
      <c r="F1069" s="10" t="n">
        <v>7</v>
      </c>
      <c r="G1069" s="10" t="n">
        <v>0</v>
      </c>
      <c r="H1069" s="10" t="n">
        <v>0</v>
      </c>
      <c r="I1069" s="10" t="n">
        <v>30</v>
      </c>
      <c r="J1069" s="10" t="n">
        <v>0</v>
      </c>
      <c r="K1069" s="10" t="n">
        <v>2</v>
      </c>
      <c r="L1069" s="10" t="n">
        <v>0</v>
      </c>
      <c r="M1069" s="10" t="n">
        <v>0</v>
      </c>
      <c r="N1069" s="10" t="n">
        <v>0</v>
      </c>
      <c r="O1069" s="10" t="n">
        <v>0</v>
      </c>
      <c r="P1069" s="10" t="n">
        <v>-5</v>
      </c>
      <c r="Q1069" s="10" t="n">
        <v>26</v>
      </c>
      <c r="R1069" s="10" t="n">
        <v>7</v>
      </c>
      <c r="S1069" s="10" t="n">
        <v>0</v>
      </c>
      <c r="T1069" s="10" t="n">
        <v>0</v>
      </c>
      <c r="U1069" s="10" t="n">
        <v>0</v>
      </c>
    </row>
    <row r="1070" customFormat="false" ht="15" hidden="false" customHeight="false" outlineLevel="0" collapsed="false">
      <c r="A1070" s="7" t="s">
        <v>931</v>
      </c>
      <c r="B1070" s="7" t="s">
        <v>166</v>
      </c>
      <c r="C1070" s="7" t="s">
        <v>839</v>
      </c>
      <c r="D1070" s="10" t="n">
        <v>0</v>
      </c>
      <c r="E1070" s="10" t="n">
        <v>0</v>
      </c>
      <c r="F1070" s="10" t="n">
        <v>5</v>
      </c>
      <c r="G1070" s="10" t="n">
        <v>0</v>
      </c>
      <c r="H1070" s="10" t="n">
        <v>0</v>
      </c>
      <c r="I1070" s="10" t="n">
        <v>19</v>
      </c>
      <c r="J1070" s="10" t="n">
        <v>0</v>
      </c>
      <c r="K1070" s="10" t="n">
        <v>3</v>
      </c>
      <c r="L1070" s="10" t="n">
        <v>0</v>
      </c>
      <c r="M1070" s="10" t="n">
        <v>0</v>
      </c>
      <c r="N1070" s="10" t="n">
        <v>0</v>
      </c>
      <c r="O1070" s="10" t="n">
        <v>0</v>
      </c>
      <c r="P1070" s="10" t="n">
        <v>-3</v>
      </c>
      <c r="Q1070" s="10" t="n">
        <v>13</v>
      </c>
      <c r="R1070" s="10" t="n">
        <v>6</v>
      </c>
      <c r="S1070" s="10" t="n">
        <v>0</v>
      </c>
      <c r="T1070" s="10" t="n">
        <v>0</v>
      </c>
      <c r="U1070" s="10" t="n">
        <v>0</v>
      </c>
    </row>
    <row r="1071" customFormat="false" ht="15" hidden="false" customHeight="false" outlineLevel="0" collapsed="false">
      <c r="A1071" s="7" t="s">
        <v>931</v>
      </c>
      <c r="B1071" s="7" t="s">
        <v>159</v>
      </c>
      <c r="C1071" s="7" t="s">
        <v>659</v>
      </c>
      <c r="D1071" s="10" t="n">
        <v>0</v>
      </c>
      <c r="E1071" s="10" t="n">
        <v>0</v>
      </c>
      <c r="F1071" s="10" t="n">
        <v>3</v>
      </c>
      <c r="G1071" s="10" t="n">
        <v>0</v>
      </c>
      <c r="H1071" s="10" t="n">
        <v>0</v>
      </c>
      <c r="I1071" s="10" t="n">
        <v>2</v>
      </c>
      <c r="J1071" s="10" t="n">
        <v>0</v>
      </c>
      <c r="K1071" s="10" t="n">
        <v>0</v>
      </c>
      <c r="L1071" s="10" t="n">
        <v>0</v>
      </c>
      <c r="M1071" s="10" t="n">
        <v>0</v>
      </c>
      <c r="N1071" s="10" t="n">
        <v>0</v>
      </c>
      <c r="O1071" s="10" t="n">
        <v>0</v>
      </c>
      <c r="P1071" s="10" t="n">
        <v>-2</v>
      </c>
      <c r="Q1071" s="10" t="n">
        <v>0</v>
      </c>
      <c r="R1071" s="10" t="n">
        <v>4</v>
      </c>
      <c r="S1071" s="10" t="n">
        <v>0</v>
      </c>
      <c r="T1071" s="10" t="n">
        <v>0</v>
      </c>
      <c r="U1071" s="10" t="n">
        <v>0</v>
      </c>
    </row>
    <row r="1072" customFormat="false" ht="15" hidden="false" customHeight="false" outlineLevel="0" collapsed="false">
      <c r="A1072" s="7" t="s">
        <v>931</v>
      </c>
      <c r="B1072" s="7" t="s">
        <v>159</v>
      </c>
      <c r="C1072" s="7" t="s">
        <v>658</v>
      </c>
      <c r="D1072" s="10" t="n">
        <v>0</v>
      </c>
      <c r="E1072" s="10" t="n">
        <v>0</v>
      </c>
      <c r="F1072" s="10" t="n">
        <v>1</v>
      </c>
      <c r="G1072" s="10" t="n">
        <v>0</v>
      </c>
      <c r="H1072" s="10" t="n">
        <v>0</v>
      </c>
      <c r="I1072" s="10" t="n">
        <v>18</v>
      </c>
      <c r="J1072" s="10" t="n">
        <v>0</v>
      </c>
      <c r="K1072" s="10" t="n">
        <v>0</v>
      </c>
      <c r="L1072" s="10" t="n">
        <v>0</v>
      </c>
      <c r="M1072" s="10" t="n">
        <v>0</v>
      </c>
      <c r="N1072" s="10" t="n">
        <v>0</v>
      </c>
      <c r="O1072" s="10" t="n">
        <v>0</v>
      </c>
      <c r="P1072" s="10" t="n">
        <v>-4</v>
      </c>
      <c r="Q1072" s="10" t="n">
        <v>11</v>
      </c>
      <c r="R1072" s="10" t="n">
        <v>11</v>
      </c>
      <c r="S1072" s="10" t="n">
        <v>0</v>
      </c>
      <c r="T1072" s="10" t="n">
        <v>0</v>
      </c>
      <c r="U1072" s="10" t="n">
        <v>0</v>
      </c>
    </row>
    <row r="1073" customFormat="false" ht="15" hidden="false" customHeight="false" outlineLevel="0" collapsed="false">
      <c r="A1073" s="7" t="s">
        <v>931</v>
      </c>
      <c r="B1073" s="7" t="s">
        <v>159</v>
      </c>
      <c r="C1073" s="7" t="s">
        <v>660</v>
      </c>
      <c r="D1073" s="10" t="n">
        <v>0</v>
      </c>
      <c r="E1073" s="10" t="n">
        <v>0</v>
      </c>
      <c r="F1073" s="10" t="n">
        <v>2</v>
      </c>
      <c r="G1073" s="10" t="n">
        <v>0</v>
      </c>
      <c r="H1073" s="10" t="n">
        <v>0</v>
      </c>
      <c r="I1073" s="10" t="n">
        <v>12</v>
      </c>
      <c r="J1073" s="10" t="n">
        <v>0</v>
      </c>
      <c r="K1073" s="10" t="n">
        <v>0</v>
      </c>
      <c r="L1073" s="10" t="n">
        <v>0</v>
      </c>
      <c r="M1073" s="10" t="n">
        <v>0</v>
      </c>
      <c r="N1073" s="10" t="n">
        <v>0</v>
      </c>
      <c r="O1073" s="10" t="n">
        <v>0</v>
      </c>
      <c r="P1073" s="10" t="n">
        <v>-4</v>
      </c>
      <c r="Q1073" s="10" t="n">
        <v>3</v>
      </c>
      <c r="R1073" s="10" t="n">
        <v>13</v>
      </c>
      <c r="S1073" s="10" t="n">
        <v>0</v>
      </c>
      <c r="T1073" s="10" t="n">
        <v>0</v>
      </c>
      <c r="U1073" s="10" t="n">
        <v>0</v>
      </c>
    </row>
    <row r="1074" customFormat="false" ht="15" hidden="false" customHeight="false" outlineLevel="0" collapsed="false">
      <c r="A1074" s="7" t="s">
        <v>931</v>
      </c>
      <c r="B1074" s="7" t="s">
        <v>159</v>
      </c>
      <c r="C1074" s="7" t="s">
        <v>657</v>
      </c>
      <c r="D1074" s="10" t="n">
        <v>0</v>
      </c>
      <c r="E1074" s="10" t="n">
        <v>0</v>
      </c>
      <c r="F1074" s="10" t="n">
        <v>1</v>
      </c>
      <c r="G1074" s="10" t="n">
        <v>0</v>
      </c>
      <c r="H1074" s="10" t="n">
        <v>0</v>
      </c>
      <c r="I1074" s="10" t="n">
        <v>1</v>
      </c>
      <c r="J1074" s="10" t="n">
        <v>0</v>
      </c>
      <c r="K1074" s="10" t="n">
        <v>0</v>
      </c>
      <c r="L1074" s="10" t="n">
        <v>0</v>
      </c>
      <c r="M1074" s="10" t="n">
        <v>0</v>
      </c>
      <c r="N1074" s="10" t="n">
        <v>0</v>
      </c>
      <c r="O1074" s="10" t="n">
        <v>0</v>
      </c>
      <c r="P1074" s="10" t="n">
        <v>-1</v>
      </c>
      <c r="Q1074" s="10" t="n">
        <v>2</v>
      </c>
      <c r="R1074" s="10" t="n">
        <v>0</v>
      </c>
      <c r="S1074" s="10" t="n">
        <v>0</v>
      </c>
      <c r="T1074" s="10" t="n">
        <v>0</v>
      </c>
      <c r="U1074" s="10" t="n">
        <v>0</v>
      </c>
    </row>
    <row r="1075" customFormat="false" ht="15" hidden="false" customHeight="false" outlineLevel="0" collapsed="false">
      <c r="A1075" s="7" t="s">
        <v>931</v>
      </c>
      <c r="B1075" s="7" t="s">
        <v>159</v>
      </c>
      <c r="C1075" s="7" t="s">
        <v>840</v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>
        <v>-4</v>
      </c>
      <c r="J1075" s="10" t="n">
        <v>0</v>
      </c>
      <c r="K1075" s="10" t="n">
        <v>0</v>
      </c>
      <c r="L1075" s="10" t="n">
        <v>0</v>
      </c>
      <c r="M1075" s="10" t="n">
        <v>0</v>
      </c>
      <c r="N1075" s="10" t="n">
        <v>0</v>
      </c>
      <c r="O1075" s="10" t="n">
        <v>0</v>
      </c>
      <c r="P1075" s="10" t="n">
        <v>-4</v>
      </c>
      <c r="Q1075" s="10" t="n">
        <v>0</v>
      </c>
      <c r="R1075" s="10" t="n">
        <v>0</v>
      </c>
      <c r="S1075" s="10" t="n">
        <v>0</v>
      </c>
      <c r="T1075" s="10" t="n">
        <v>0</v>
      </c>
      <c r="U1075" s="10" t="n">
        <v>0</v>
      </c>
    </row>
    <row r="1076" customFormat="false" ht="15" hidden="false" customHeight="false" outlineLevel="0" collapsed="false">
      <c r="A1076" s="7" t="s">
        <v>931</v>
      </c>
      <c r="B1076" s="7" t="s">
        <v>150</v>
      </c>
      <c r="C1076" s="7" t="s">
        <v>841</v>
      </c>
      <c r="D1076" s="10" t="n">
        <v>0</v>
      </c>
      <c r="E1076" s="10" t="n">
        <v>0</v>
      </c>
      <c r="F1076" s="10" t="n">
        <v>2</v>
      </c>
      <c r="G1076" s="10" t="n">
        <v>0</v>
      </c>
      <c r="H1076" s="10" t="n">
        <v>0</v>
      </c>
      <c r="I1076" s="10" t="n">
        <v>0</v>
      </c>
      <c r="J1076" s="10" t="n">
        <v>0</v>
      </c>
      <c r="K1076" s="10" t="n">
        <v>0</v>
      </c>
      <c r="L1076" s="10" t="n">
        <v>0</v>
      </c>
      <c r="M1076" s="10" t="n">
        <v>0</v>
      </c>
      <c r="N1076" s="10" t="n">
        <v>0</v>
      </c>
      <c r="O1076" s="10" t="n">
        <v>0</v>
      </c>
      <c r="P1076" s="10" t="n">
        <v>0</v>
      </c>
      <c r="Q1076" s="10" t="n">
        <v>0</v>
      </c>
      <c r="R1076" s="10" t="n">
        <v>0</v>
      </c>
      <c r="S1076" s="10" t="n">
        <v>0</v>
      </c>
      <c r="T1076" s="10" t="n">
        <v>0</v>
      </c>
      <c r="U1076" s="10" t="n">
        <v>0</v>
      </c>
    </row>
    <row r="1077" customFormat="false" ht="15" hidden="false" customHeight="false" outlineLevel="0" collapsed="false">
      <c r="A1077" s="7" t="s">
        <v>931</v>
      </c>
      <c r="B1077" s="7" t="s">
        <v>150</v>
      </c>
      <c r="C1077" s="7" t="s">
        <v>842</v>
      </c>
      <c r="D1077" s="10" t="n">
        <v>0</v>
      </c>
      <c r="E1077" s="10" t="n">
        <v>0</v>
      </c>
      <c r="F1077" s="10" t="n">
        <v>6</v>
      </c>
      <c r="G1077" s="10" t="n">
        <v>0</v>
      </c>
      <c r="H1077" s="10" t="n">
        <v>0</v>
      </c>
      <c r="I1077" s="10" t="n">
        <v>33</v>
      </c>
      <c r="J1077" s="10" t="n">
        <v>0</v>
      </c>
      <c r="K1077" s="10" t="n">
        <v>0</v>
      </c>
      <c r="L1077" s="10" t="n">
        <v>0</v>
      </c>
      <c r="M1077" s="10" t="n">
        <v>0</v>
      </c>
      <c r="N1077" s="10" t="n">
        <v>0</v>
      </c>
      <c r="O1077" s="10" t="n">
        <v>0</v>
      </c>
      <c r="P1077" s="10" t="n">
        <v>-4</v>
      </c>
      <c r="Q1077" s="10" t="n">
        <v>26</v>
      </c>
      <c r="R1077" s="10" t="n">
        <v>11</v>
      </c>
      <c r="S1077" s="10" t="n">
        <v>0</v>
      </c>
      <c r="T1077" s="10" t="n">
        <v>0</v>
      </c>
      <c r="U1077" s="10" t="n">
        <v>0</v>
      </c>
    </row>
    <row r="1078" customFormat="false" ht="15" hidden="false" customHeight="false" outlineLevel="0" collapsed="false">
      <c r="A1078" s="7" t="s">
        <v>931</v>
      </c>
      <c r="B1078" s="7" t="s">
        <v>150</v>
      </c>
      <c r="C1078" s="7" t="s">
        <v>843</v>
      </c>
      <c r="D1078" s="10" t="n">
        <v>0</v>
      </c>
      <c r="E1078" s="10" t="n">
        <v>0</v>
      </c>
      <c r="F1078" s="10" t="n">
        <v>3</v>
      </c>
      <c r="G1078" s="10" t="n">
        <v>0</v>
      </c>
      <c r="H1078" s="10" t="n">
        <v>0</v>
      </c>
      <c r="I1078" s="10" t="n">
        <v>31</v>
      </c>
      <c r="J1078" s="10" t="n">
        <v>0</v>
      </c>
      <c r="K1078" s="10" t="n">
        <v>0</v>
      </c>
      <c r="L1078" s="10" t="n">
        <v>0</v>
      </c>
      <c r="M1078" s="10" t="n">
        <v>0</v>
      </c>
      <c r="N1078" s="10" t="n">
        <v>0</v>
      </c>
      <c r="O1078" s="10" t="n">
        <v>0</v>
      </c>
      <c r="P1078" s="10" t="n">
        <v>-6</v>
      </c>
      <c r="Q1078" s="10" t="n">
        <v>22</v>
      </c>
      <c r="R1078" s="10" t="n">
        <v>15</v>
      </c>
      <c r="S1078" s="10" t="n">
        <v>0</v>
      </c>
      <c r="T1078" s="10" t="n">
        <v>0</v>
      </c>
      <c r="U1078" s="10" t="n">
        <v>0</v>
      </c>
    </row>
    <row r="1079" customFormat="false" ht="15" hidden="false" customHeight="false" outlineLevel="0" collapsed="false">
      <c r="A1079" s="7" t="s">
        <v>931</v>
      </c>
      <c r="B1079" s="7" t="s">
        <v>150</v>
      </c>
      <c r="C1079" s="7" t="s">
        <v>844</v>
      </c>
      <c r="D1079" s="10" t="n">
        <v>0</v>
      </c>
      <c r="E1079" s="10" t="n">
        <v>0</v>
      </c>
      <c r="F1079" s="10" t="n">
        <v>1</v>
      </c>
      <c r="G1079" s="10" t="n">
        <v>0</v>
      </c>
      <c r="H1079" s="10" t="n">
        <v>0</v>
      </c>
      <c r="I1079" s="10" t="n">
        <v>4</v>
      </c>
      <c r="J1079" s="10" t="n">
        <v>0</v>
      </c>
      <c r="K1079" s="10" t="n">
        <v>4</v>
      </c>
      <c r="L1079" s="10" t="n">
        <v>0</v>
      </c>
      <c r="M1079" s="10" t="n">
        <v>0</v>
      </c>
      <c r="N1079" s="10" t="n">
        <v>0</v>
      </c>
      <c r="O1079" s="10" t="n">
        <v>0</v>
      </c>
      <c r="P1079" s="10" t="n">
        <v>-5</v>
      </c>
      <c r="Q1079" s="10" t="n">
        <v>0</v>
      </c>
      <c r="R1079" s="10" t="n">
        <v>5</v>
      </c>
      <c r="S1079" s="10" t="n">
        <v>0</v>
      </c>
      <c r="T1079" s="10" t="n">
        <v>0</v>
      </c>
      <c r="U1079" s="10" t="n">
        <v>0</v>
      </c>
    </row>
    <row r="1080" customFormat="false" ht="15" hidden="false" customHeight="false" outlineLevel="0" collapsed="false">
      <c r="A1080" s="7" t="s">
        <v>931</v>
      </c>
      <c r="B1080" s="7" t="s">
        <v>165</v>
      </c>
      <c r="C1080" s="7" t="s">
        <v>845</v>
      </c>
      <c r="D1080" s="10" t="n">
        <v>0</v>
      </c>
      <c r="E1080" s="10" t="n">
        <v>0</v>
      </c>
      <c r="F1080" s="10" t="n">
        <v>3</v>
      </c>
      <c r="G1080" s="10" t="n">
        <v>0</v>
      </c>
      <c r="H1080" s="10" t="n">
        <v>0</v>
      </c>
      <c r="I1080" s="10" t="n">
        <v>0</v>
      </c>
      <c r="J1080" s="10" t="n">
        <v>0</v>
      </c>
      <c r="K1080" s="10" t="n">
        <v>0</v>
      </c>
      <c r="L1080" s="10" t="n">
        <v>0</v>
      </c>
      <c r="M1080" s="10" t="n">
        <v>0</v>
      </c>
      <c r="N1080" s="10" t="n">
        <v>0</v>
      </c>
      <c r="O1080" s="10" t="n">
        <v>0</v>
      </c>
      <c r="P1080" s="10" t="n">
        <v>0</v>
      </c>
      <c r="Q1080" s="10" t="n">
        <v>0</v>
      </c>
      <c r="R1080" s="10" t="n">
        <v>0</v>
      </c>
      <c r="S1080" s="10" t="n">
        <v>0</v>
      </c>
      <c r="T1080" s="10" t="n">
        <v>0</v>
      </c>
      <c r="U1080" s="10" t="n">
        <v>0</v>
      </c>
    </row>
    <row r="1081" customFormat="false" ht="15" hidden="false" customHeight="false" outlineLevel="0" collapsed="false">
      <c r="A1081" s="7" t="s">
        <v>931</v>
      </c>
      <c r="B1081" s="7" t="s">
        <v>165</v>
      </c>
      <c r="C1081" s="7" t="s">
        <v>846</v>
      </c>
      <c r="D1081" s="10" t="n">
        <v>0</v>
      </c>
      <c r="E1081" s="10" t="n">
        <v>0</v>
      </c>
      <c r="F1081" s="10" t="n">
        <v>9</v>
      </c>
      <c r="G1081" s="10" t="n">
        <v>0</v>
      </c>
      <c r="H1081" s="10" t="n">
        <v>0</v>
      </c>
      <c r="I1081" s="10" t="n">
        <v>24</v>
      </c>
      <c r="J1081" s="10" t="n">
        <v>0</v>
      </c>
      <c r="K1081" s="10" t="n">
        <v>0</v>
      </c>
      <c r="L1081" s="10" t="n">
        <v>0</v>
      </c>
      <c r="M1081" s="10" t="n">
        <v>0</v>
      </c>
      <c r="N1081" s="10" t="n">
        <v>0</v>
      </c>
      <c r="O1081" s="10" t="n">
        <v>0</v>
      </c>
      <c r="P1081" s="10" t="n">
        <v>-3</v>
      </c>
      <c r="Q1081" s="10" t="n">
        <v>24</v>
      </c>
      <c r="R1081" s="10" t="n">
        <v>3</v>
      </c>
      <c r="S1081" s="10" t="n">
        <v>0</v>
      </c>
      <c r="T1081" s="10" t="n">
        <v>0</v>
      </c>
      <c r="U1081" s="10" t="n">
        <v>0</v>
      </c>
    </row>
    <row r="1082" customFormat="false" ht="15" hidden="false" customHeight="false" outlineLevel="0" collapsed="false">
      <c r="A1082" s="7" t="s">
        <v>931</v>
      </c>
      <c r="B1082" s="7" t="s">
        <v>165</v>
      </c>
      <c r="C1082" s="7" t="s">
        <v>847</v>
      </c>
      <c r="D1082" s="10" t="n">
        <v>0</v>
      </c>
      <c r="E1082" s="10" t="n">
        <v>0</v>
      </c>
      <c r="F1082" s="10" t="n">
        <v>4</v>
      </c>
      <c r="G1082" s="10" t="n">
        <v>0</v>
      </c>
      <c r="H1082" s="10" t="n">
        <v>0</v>
      </c>
      <c r="I1082" s="10" t="n">
        <v>18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n">
        <v>0</v>
      </c>
      <c r="O1082" s="10" t="n">
        <v>0</v>
      </c>
      <c r="P1082" s="10" t="n">
        <v>-5</v>
      </c>
      <c r="Q1082" s="10" t="n">
        <v>21</v>
      </c>
      <c r="R1082" s="10" t="n">
        <v>2</v>
      </c>
      <c r="S1082" s="10" t="n">
        <v>0</v>
      </c>
      <c r="T1082" s="10" t="n">
        <v>0</v>
      </c>
      <c r="U1082" s="10" t="n">
        <v>0</v>
      </c>
    </row>
    <row r="1083" customFormat="false" ht="15" hidden="false" customHeight="false" outlineLevel="0" collapsed="false">
      <c r="A1083" s="7" t="s">
        <v>931</v>
      </c>
      <c r="B1083" s="7" t="s">
        <v>165</v>
      </c>
      <c r="C1083" s="7" t="s">
        <v>848</v>
      </c>
      <c r="D1083" s="10" t="n">
        <v>0</v>
      </c>
      <c r="E1083" s="10" t="n">
        <v>0</v>
      </c>
      <c r="F1083" s="10" t="n">
        <v>1</v>
      </c>
      <c r="G1083" s="10" t="n">
        <v>0</v>
      </c>
      <c r="H1083" s="10" t="n">
        <v>0</v>
      </c>
      <c r="I1083" s="10" t="n">
        <v>10</v>
      </c>
      <c r="J1083" s="10" t="n">
        <v>0</v>
      </c>
      <c r="K1083" s="10" t="n">
        <v>0</v>
      </c>
      <c r="L1083" s="10" t="n">
        <v>0</v>
      </c>
      <c r="M1083" s="10" t="n">
        <v>0</v>
      </c>
      <c r="N1083" s="10" t="n">
        <v>0</v>
      </c>
      <c r="O1083" s="10" t="n">
        <v>0</v>
      </c>
      <c r="P1083" s="10" t="n">
        <v>-5</v>
      </c>
      <c r="Q1083" s="10" t="n">
        <v>11</v>
      </c>
      <c r="R1083" s="10" t="n">
        <v>4</v>
      </c>
      <c r="S1083" s="10" t="n">
        <v>0</v>
      </c>
      <c r="T1083" s="10" t="n">
        <v>0</v>
      </c>
      <c r="U1083" s="10" t="n">
        <v>0</v>
      </c>
    </row>
    <row r="1084" customFormat="false" ht="15" hidden="false" customHeight="false" outlineLevel="0" collapsed="false">
      <c r="A1084" s="7" t="s">
        <v>931</v>
      </c>
      <c r="B1084" s="7" t="s">
        <v>206</v>
      </c>
      <c r="C1084" s="7" t="s">
        <v>849</v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>
        <v>-2</v>
      </c>
      <c r="J1084" s="10" t="n">
        <v>0</v>
      </c>
      <c r="K1084" s="10" t="n">
        <v>0</v>
      </c>
      <c r="L1084" s="10" t="n">
        <v>0</v>
      </c>
      <c r="M1084" s="10" t="n">
        <v>0</v>
      </c>
      <c r="N1084" s="10" t="n">
        <v>0</v>
      </c>
      <c r="O1084" s="10" t="n">
        <v>0</v>
      </c>
      <c r="P1084" s="10" t="n">
        <v>0</v>
      </c>
      <c r="Q1084" s="10" t="n">
        <v>-2</v>
      </c>
      <c r="R1084" s="10" t="n">
        <v>0</v>
      </c>
      <c r="S1084" s="10" t="n">
        <v>0</v>
      </c>
      <c r="T1084" s="10" t="n">
        <v>0</v>
      </c>
      <c r="U1084" s="10" t="n">
        <v>0</v>
      </c>
    </row>
    <row r="1085" customFormat="false" ht="15" hidden="false" customHeight="false" outlineLevel="0" collapsed="false">
      <c r="A1085" s="7" t="s">
        <v>931</v>
      </c>
      <c r="B1085" s="7" t="s">
        <v>227</v>
      </c>
      <c r="C1085" s="7" t="s">
        <v>849</v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>
        <v>-1</v>
      </c>
      <c r="J1085" s="10" t="n">
        <v>0</v>
      </c>
      <c r="K1085" s="10" t="n">
        <v>0</v>
      </c>
      <c r="L1085" s="10" t="n">
        <v>0</v>
      </c>
      <c r="M1085" s="10" t="n">
        <v>0</v>
      </c>
      <c r="N1085" s="10" t="n">
        <v>0</v>
      </c>
      <c r="O1085" s="10" t="n">
        <v>0</v>
      </c>
      <c r="P1085" s="10" t="n">
        <v>0</v>
      </c>
      <c r="Q1085" s="10" t="n">
        <v>-1</v>
      </c>
      <c r="R1085" s="10" t="n">
        <v>0</v>
      </c>
      <c r="S1085" s="10" t="n">
        <v>0</v>
      </c>
      <c r="T1085" s="10" t="n">
        <v>0</v>
      </c>
      <c r="U1085" s="10" t="n">
        <v>0</v>
      </c>
    </row>
    <row r="1086" customFormat="false" ht="15" hidden="false" customHeight="false" outlineLevel="0" collapsed="false">
      <c r="A1086" s="7" t="s">
        <v>931</v>
      </c>
      <c r="B1086" s="7" t="s">
        <v>226</v>
      </c>
      <c r="C1086" s="7" t="s">
        <v>849</v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>
        <v>-1</v>
      </c>
      <c r="J1086" s="10" t="n">
        <v>0</v>
      </c>
      <c r="K1086" s="10" t="n">
        <v>0</v>
      </c>
      <c r="L1086" s="10" t="n">
        <v>0</v>
      </c>
      <c r="M1086" s="10" t="n">
        <v>0</v>
      </c>
      <c r="N1086" s="10" t="n">
        <v>0</v>
      </c>
      <c r="O1086" s="10" t="n">
        <v>0</v>
      </c>
      <c r="P1086" s="10" t="n">
        <v>0</v>
      </c>
      <c r="Q1086" s="10" t="n">
        <v>-1</v>
      </c>
      <c r="R1086" s="10" t="n">
        <v>0</v>
      </c>
      <c r="S1086" s="10" t="n">
        <v>0</v>
      </c>
      <c r="T1086" s="10" t="n">
        <v>0</v>
      </c>
      <c r="U1086" s="10" t="n">
        <v>0</v>
      </c>
    </row>
    <row r="1087" customFormat="false" ht="15" hidden="false" customHeight="false" outlineLevel="0" collapsed="false">
      <c r="A1087" s="7" t="s">
        <v>931</v>
      </c>
      <c r="B1087" s="7" t="s">
        <v>228</v>
      </c>
      <c r="C1087" s="7" t="s">
        <v>849</v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>
        <v>-1</v>
      </c>
      <c r="J1087" s="10" t="n">
        <v>0</v>
      </c>
      <c r="K1087" s="10" t="n">
        <v>0</v>
      </c>
      <c r="L1087" s="10" t="n">
        <v>0</v>
      </c>
      <c r="M1087" s="10" t="n">
        <v>0</v>
      </c>
      <c r="N1087" s="10" t="n">
        <v>0</v>
      </c>
      <c r="O1087" s="10" t="n">
        <v>0</v>
      </c>
      <c r="P1087" s="10" t="n">
        <v>0</v>
      </c>
      <c r="Q1087" s="10" t="n">
        <v>-1</v>
      </c>
      <c r="R1087" s="10" t="n">
        <v>0</v>
      </c>
      <c r="S1087" s="10" t="n">
        <v>0</v>
      </c>
      <c r="T1087" s="10" t="n">
        <v>0</v>
      </c>
      <c r="U1087" s="10" t="n">
        <v>0</v>
      </c>
    </row>
    <row r="1088" customFormat="false" ht="15" hidden="false" customHeight="false" outlineLevel="0" collapsed="false">
      <c r="A1088" s="7" t="s">
        <v>931</v>
      </c>
      <c r="B1088" s="7" t="s">
        <v>180</v>
      </c>
      <c r="C1088" s="7" t="s">
        <v>850</v>
      </c>
      <c r="D1088" s="10" t="n">
        <v>0</v>
      </c>
      <c r="E1088" s="10" t="n">
        <v>0</v>
      </c>
      <c r="F1088" s="10" t="n">
        <v>6</v>
      </c>
      <c r="G1088" s="10" t="n">
        <v>0</v>
      </c>
      <c r="H1088" s="10" t="n">
        <v>0</v>
      </c>
      <c r="I1088" s="10" t="n">
        <v>14</v>
      </c>
      <c r="J1088" s="10" t="n">
        <v>0</v>
      </c>
      <c r="K1088" s="10" t="n">
        <v>0</v>
      </c>
      <c r="L1088" s="10" t="n">
        <v>0</v>
      </c>
      <c r="M1088" s="10" t="n">
        <v>0</v>
      </c>
      <c r="N1088" s="10" t="n">
        <v>0</v>
      </c>
      <c r="O1088" s="10" t="n">
        <v>0</v>
      </c>
      <c r="P1088" s="10" t="n">
        <v>0</v>
      </c>
      <c r="Q1088" s="10" t="n">
        <v>14</v>
      </c>
      <c r="R1088" s="10" t="n">
        <v>0</v>
      </c>
      <c r="S1088" s="10" t="n">
        <v>0</v>
      </c>
      <c r="T1088" s="10" t="n">
        <v>0</v>
      </c>
      <c r="U1088" s="10" t="n">
        <v>0</v>
      </c>
    </row>
    <row r="1089" customFormat="false" ht="15" hidden="false" customHeight="false" outlineLevel="0" collapsed="false">
      <c r="A1089" s="7" t="s">
        <v>931</v>
      </c>
      <c r="B1089" s="7" t="s">
        <v>180</v>
      </c>
      <c r="C1089" s="7" t="s">
        <v>851</v>
      </c>
      <c r="D1089" s="10" t="n">
        <v>0</v>
      </c>
      <c r="E1089" s="10" t="n">
        <v>0</v>
      </c>
      <c r="F1089" s="10" t="n">
        <v>11</v>
      </c>
      <c r="G1089" s="10" t="n">
        <v>0</v>
      </c>
      <c r="H1089" s="10" t="n">
        <v>0</v>
      </c>
      <c r="I1089" s="10" t="n">
        <v>25</v>
      </c>
      <c r="J1089" s="10" t="n">
        <v>0</v>
      </c>
      <c r="K1089" s="10" t="n">
        <v>8</v>
      </c>
      <c r="L1089" s="10" t="n">
        <v>-2</v>
      </c>
      <c r="M1089" s="10" t="n">
        <v>0</v>
      </c>
      <c r="N1089" s="10" t="n">
        <v>0</v>
      </c>
      <c r="O1089" s="10" t="n">
        <v>0</v>
      </c>
      <c r="P1089" s="10" t="n">
        <v>-6</v>
      </c>
      <c r="Q1089" s="10" t="n">
        <v>20</v>
      </c>
      <c r="R1089" s="10" t="n">
        <v>5</v>
      </c>
      <c r="S1089" s="10" t="n">
        <v>0</v>
      </c>
      <c r="T1089" s="10" t="n">
        <v>0</v>
      </c>
      <c r="U1089" s="10" t="n">
        <v>0</v>
      </c>
    </row>
    <row r="1090" customFormat="false" ht="15" hidden="false" customHeight="false" outlineLevel="0" collapsed="false">
      <c r="A1090" s="7" t="s">
        <v>931</v>
      </c>
      <c r="B1090" s="7" t="s">
        <v>180</v>
      </c>
      <c r="C1090" s="7" t="s">
        <v>852</v>
      </c>
      <c r="D1090" s="10" t="n">
        <v>0</v>
      </c>
      <c r="E1090" s="10" t="n">
        <v>0</v>
      </c>
      <c r="F1090" s="10" t="n">
        <v>19</v>
      </c>
      <c r="G1090" s="10" t="n">
        <v>0</v>
      </c>
      <c r="H1090" s="10" t="n">
        <v>0</v>
      </c>
      <c r="I1090" s="10" t="n">
        <v>39</v>
      </c>
      <c r="J1090" s="10" t="n">
        <v>0</v>
      </c>
      <c r="K1090" s="10" t="n">
        <v>1</v>
      </c>
      <c r="L1090" s="10" t="n">
        <v>0</v>
      </c>
      <c r="M1090" s="10" t="n">
        <v>0</v>
      </c>
      <c r="N1090" s="10" t="n">
        <v>0</v>
      </c>
      <c r="O1090" s="10" t="n">
        <v>0</v>
      </c>
      <c r="P1090" s="10" t="n">
        <v>-7</v>
      </c>
      <c r="Q1090" s="10" t="n">
        <v>31</v>
      </c>
      <c r="R1090" s="10" t="n">
        <v>14</v>
      </c>
      <c r="S1090" s="10" t="n">
        <v>0</v>
      </c>
      <c r="T1090" s="10" t="n">
        <v>0</v>
      </c>
      <c r="U1090" s="10" t="n">
        <v>0</v>
      </c>
    </row>
    <row r="1091" customFormat="false" ht="15" hidden="false" customHeight="false" outlineLevel="0" collapsed="false">
      <c r="A1091" s="7" t="s">
        <v>931</v>
      </c>
      <c r="B1091" s="7" t="s">
        <v>180</v>
      </c>
      <c r="C1091" s="7" t="s">
        <v>853</v>
      </c>
      <c r="D1091" s="10" t="n">
        <v>0</v>
      </c>
      <c r="E1091" s="10" t="n">
        <v>0</v>
      </c>
      <c r="F1091" s="10" t="n">
        <v>11</v>
      </c>
      <c r="G1091" s="10" t="n">
        <v>0</v>
      </c>
      <c r="H1091" s="10" t="n">
        <v>0</v>
      </c>
      <c r="I1091" s="10" t="n">
        <v>14</v>
      </c>
      <c r="J1091" s="10" t="n">
        <v>0</v>
      </c>
      <c r="K1091" s="10" t="n">
        <v>2</v>
      </c>
      <c r="L1091" s="10" t="n">
        <v>0</v>
      </c>
      <c r="M1091" s="10" t="n">
        <v>0</v>
      </c>
      <c r="N1091" s="10" t="n">
        <v>0</v>
      </c>
      <c r="O1091" s="10" t="n">
        <v>0</v>
      </c>
      <c r="P1091" s="10" t="n">
        <v>-3</v>
      </c>
      <c r="Q1091" s="10" t="n">
        <v>13</v>
      </c>
      <c r="R1091" s="10" t="n">
        <v>2</v>
      </c>
      <c r="S1091" s="10" t="n">
        <v>0</v>
      </c>
      <c r="T1091" s="10" t="n">
        <v>0</v>
      </c>
      <c r="U1091" s="10" t="n">
        <v>0</v>
      </c>
    </row>
    <row r="1092" customFormat="false" ht="15" hidden="false" customHeight="false" outlineLevel="0" collapsed="false">
      <c r="A1092" s="7" t="s">
        <v>931</v>
      </c>
      <c r="B1092" s="7" t="s">
        <v>180</v>
      </c>
      <c r="C1092" s="7" t="s">
        <v>854</v>
      </c>
      <c r="D1092" s="10" t="n">
        <v>0</v>
      </c>
      <c r="E1092" s="10" t="n">
        <v>0</v>
      </c>
      <c r="F1092" s="10" t="n">
        <v>1</v>
      </c>
      <c r="G1092" s="10" t="n">
        <v>0</v>
      </c>
      <c r="H1092" s="10" t="n">
        <v>0</v>
      </c>
      <c r="I1092" s="10" t="n">
        <v>4</v>
      </c>
      <c r="J1092" s="10" t="n">
        <v>0</v>
      </c>
      <c r="K1092" s="10" t="n">
        <v>2</v>
      </c>
      <c r="L1092" s="10" t="n">
        <v>0</v>
      </c>
      <c r="M1092" s="10" t="n">
        <v>0</v>
      </c>
      <c r="N1092" s="10" t="n">
        <v>0</v>
      </c>
      <c r="O1092" s="10" t="n">
        <v>0</v>
      </c>
      <c r="P1092" s="10" t="n">
        <v>-7</v>
      </c>
      <c r="Q1092" s="10" t="n">
        <v>4</v>
      </c>
      <c r="R1092" s="10" t="n">
        <v>5</v>
      </c>
      <c r="S1092" s="10" t="n">
        <v>0</v>
      </c>
      <c r="T1092" s="10" t="n">
        <v>0</v>
      </c>
      <c r="U1092" s="10" t="n">
        <v>0</v>
      </c>
    </row>
    <row r="1093" customFormat="false" ht="15" hidden="false" customHeight="false" outlineLevel="0" collapsed="false">
      <c r="A1093" s="7" t="s">
        <v>931</v>
      </c>
      <c r="B1093" s="7" t="s">
        <v>198</v>
      </c>
      <c r="C1093" s="7" t="s">
        <v>855</v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>
        <v>-2</v>
      </c>
      <c r="J1093" s="10" t="n">
        <v>0</v>
      </c>
      <c r="K1093" s="10" t="n">
        <v>0</v>
      </c>
      <c r="L1093" s="10" t="n">
        <v>0</v>
      </c>
      <c r="M1093" s="10" t="n">
        <v>0</v>
      </c>
      <c r="N1093" s="10" t="n">
        <v>0</v>
      </c>
      <c r="O1093" s="10" t="n">
        <v>0</v>
      </c>
      <c r="P1093" s="10" t="n">
        <v>0</v>
      </c>
      <c r="Q1093" s="10" t="n">
        <v>-2</v>
      </c>
      <c r="R1093" s="10" t="n">
        <v>0</v>
      </c>
      <c r="S1093" s="10" t="n">
        <v>0</v>
      </c>
      <c r="T1093" s="10" t="n">
        <v>0</v>
      </c>
      <c r="U1093" s="10" t="n">
        <v>0</v>
      </c>
    </row>
    <row r="1094" customFormat="false" ht="15" hidden="false" customHeight="false" outlineLevel="0" collapsed="false">
      <c r="A1094" s="7" t="s">
        <v>931</v>
      </c>
      <c r="B1094" s="7" t="s">
        <v>231</v>
      </c>
      <c r="C1094" s="7" t="s">
        <v>856</v>
      </c>
      <c r="D1094" s="10" t="n">
        <v>0</v>
      </c>
      <c r="E1094" s="10" t="n">
        <v>0</v>
      </c>
      <c r="F1094" s="10" t="n">
        <v>1</v>
      </c>
      <c r="G1094" s="10" t="n">
        <v>0</v>
      </c>
      <c r="H1094" s="10" t="n">
        <v>0</v>
      </c>
      <c r="I1094" s="10" t="n">
        <v>0</v>
      </c>
      <c r="J1094" s="10" t="n">
        <v>0</v>
      </c>
      <c r="K1094" s="10" t="n">
        <v>0</v>
      </c>
      <c r="L1094" s="10" t="n">
        <v>0</v>
      </c>
      <c r="M1094" s="10" t="n">
        <v>0</v>
      </c>
      <c r="N1094" s="10" t="n">
        <v>0</v>
      </c>
      <c r="O1094" s="10" t="n">
        <v>0</v>
      </c>
      <c r="P1094" s="10" t="n">
        <v>0</v>
      </c>
      <c r="Q1094" s="10" t="n">
        <v>0</v>
      </c>
      <c r="R1094" s="10" t="n">
        <v>0</v>
      </c>
      <c r="S1094" s="10" t="n">
        <v>0</v>
      </c>
      <c r="T1094" s="10" t="n">
        <v>0</v>
      </c>
      <c r="U1094" s="10" t="n">
        <v>0</v>
      </c>
    </row>
    <row r="1095" customFormat="false" ht="15" hidden="false" customHeight="false" outlineLevel="0" collapsed="false">
      <c r="A1095" s="7" t="s">
        <v>931</v>
      </c>
      <c r="B1095" s="7" t="s">
        <v>231</v>
      </c>
      <c r="C1095" s="7" t="s">
        <v>857</v>
      </c>
      <c r="D1095" s="10" t="n">
        <v>0</v>
      </c>
      <c r="E1095" s="10" t="n">
        <v>0</v>
      </c>
      <c r="F1095" s="10" t="n">
        <v>1</v>
      </c>
      <c r="G1095" s="10" t="n">
        <v>0</v>
      </c>
      <c r="H1095" s="10" t="n">
        <v>0</v>
      </c>
      <c r="I1095" s="10" t="n">
        <v>-2</v>
      </c>
      <c r="J1095" s="10" t="n">
        <v>0</v>
      </c>
      <c r="K1095" s="10" t="n">
        <v>0</v>
      </c>
      <c r="L1095" s="10" t="n">
        <v>0</v>
      </c>
      <c r="M1095" s="10" t="n">
        <v>0</v>
      </c>
      <c r="N1095" s="10" t="n">
        <v>0</v>
      </c>
      <c r="O1095" s="10" t="n">
        <v>0</v>
      </c>
      <c r="P1095" s="10" t="n">
        <v>0</v>
      </c>
      <c r="Q1095" s="10" t="n">
        <v>-2</v>
      </c>
      <c r="R1095" s="10" t="n">
        <v>0</v>
      </c>
      <c r="S1095" s="10" t="n">
        <v>0</v>
      </c>
      <c r="T1095" s="10" t="n">
        <v>0</v>
      </c>
      <c r="U1095" s="10" t="n">
        <v>0</v>
      </c>
    </row>
    <row r="1096" customFormat="false" ht="15" hidden="false" customHeight="false" outlineLevel="0" collapsed="false">
      <c r="A1096" s="7" t="s">
        <v>931</v>
      </c>
      <c r="B1096" s="7" t="s">
        <v>313</v>
      </c>
      <c r="C1096" s="7" t="s">
        <v>858</v>
      </c>
      <c r="D1096" s="10" t="n">
        <v>0</v>
      </c>
      <c r="E1096" s="10" t="n">
        <v>0</v>
      </c>
      <c r="F1096" s="10" t="n">
        <v>1</v>
      </c>
      <c r="G1096" s="10" t="n">
        <v>0</v>
      </c>
      <c r="H1096" s="10" t="n">
        <v>0</v>
      </c>
      <c r="I1096" s="10" t="n">
        <v>0</v>
      </c>
      <c r="J1096" s="10" t="n">
        <v>0</v>
      </c>
      <c r="K1096" s="10" t="n">
        <v>0</v>
      </c>
      <c r="L1096" s="10" t="n">
        <v>0</v>
      </c>
      <c r="M1096" s="10" t="n">
        <v>0</v>
      </c>
      <c r="N1096" s="10" t="n">
        <v>0</v>
      </c>
      <c r="O1096" s="10" t="n">
        <v>0</v>
      </c>
      <c r="P1096" s="10" t="n">
        <v>0</v>
      </c>
      <c r="Q1096" s="10" t="n">
        <v>0</v>
      </c>
      <c r="R1096" s="10" t="n">
        <v>0</v>
      </c>
      <c r="S1096" s="10" t="n">
        <v>0</v>
      </c>
      <c r="T1096" s="10" t="n">
        <v>0</v>
      </c>
      <c r="U1096" s="10" t="n">
        <v>0</v>
      </c>
    </row>
    <row r="1097" customFormat="false" ht="15" hidden="false" customHeight="false" outlineLevel="0" collapsed="false">
      <c r="A1097" s="7" t="s">
        <v>931</v>
      </c>
      <c r="B1097" s="7" t="s">
        <v>313</v>
      </c>
      <c r="C1097" s="7" t="s">
        <v>859</v>
      </c>
      <c r="D1097" s="10" t="n">
        <v>0</v>
      </c>
      <c r="E1097" s="10" t="n">
        <v>0</v>
      </c>
      <c r="F1097" s="10" t="n">
        <v>1</v>
      </c>
      <c r="G1097" s="10" t="n">
        <v>0</v>
      </c>
      <c r="H1097" s="10" t="n">
        <v>0</v>
      </c>
      <c r="I1097" s="10" t="n">
        <v>0</v>
      </c>
      <c r="J1097" s="10" t="n">
        <v>0</v>
      </c>
      <c r="K1097" s="10" t="n">
        <v>0</v>
      </c>
      <c r="L1097" s="10" t="n">
        <v>0</v>
      </c>
      <c r="M1097" s="10" t="n">
        <v>0</v>
      </c>
      <c r="N1097" s="10" t="n">
        <v>0</v>
      </c>
      <c r="O1097" s="10" t="n">
        <v>0</v>
      </c>
      <c r="P1097" s="10" t="n">
        <v>0</v>
      </c>
      <c r="Q1097" s="10" t="n">
        <v>0</v>
      </c>
      <c r="R1097" s="10" t="n">
        <v>0</v>
      </c>
      <c r="S1097" s="10" t="n">
        <v>0</v>
      </c>
      <c r="T1097" s="10" t="n">
        <v>0</v>
      </c>
      <c r="U1097" s="10" t="n">
        <v>0</v>
      </c>
    </row>
    <row r="1098" customFormat="false" ht="15" hidden="false" customHeight="false" outlineLevel="0" collapsed="false">
      <c r="A1098" s="7" t="s">
        <v>931</v>
      </c>
      <c r="B1098" s="7" t="s">
        <v>314</v>
      </c>
      <c r="C1098" s="7" t="s">
        <v>860</v>
      </c>
      <c r="D1098" s="10" t="n">
        <v>0</v>
      </c>
      <c r="E1098" s="10" t="n">
        <v>0</v>
      </c>
      <c r="F1098" s="10" t="n">
        <v>1</v>
      </c>
      <c r="G1098" s="10" t="n">
        <v>0</v>
      </c>
      <c r="H1098" s="10" t="n">
        <v>0</v>
      </c>
      <c r="I1098" s="10" t="n">
        <v>0</v>
      </c>
      <c r="J1098" s="10" t="n">
        <v>0</v>
      </c>
      <c r="K1098" s="10" t="n">
        <v>0</v>
      </c>
      <c r="L1098" s="10" t="n">
        <v>0</v>
      </c>
      <c r="M1098" s="10" t="n">
        <v>0</v>
      </c>
      <c r="N1098" s="10" t="n">
        <v>0</v>
      </c>
      <c r="O1098" s="10" t="n">
        <v>0</v>
      </c>
      <c r="P1098" s="10" t="n">
        <v>0</v>
      </c>
      <c r="Q1098" s="10" t="n">
        <v>0</v>
      </c>
      <c r="R1098" s="10" t="n">
        <v>0</v>
      </c>
      <c r="S1098" s="10" t="n">
        <v>0</v>
      </c>
      <c r="T1098" s="10" t="n">
        <v>0</v>
      </c>
      <c r="U1098" s="10" t="n">
        <v>0</v>
      </c>
    </row>
    <row r="1099" customFormat="false" ht="15" hidden="false" customHeight="false" outlineLevel="0" collapsed="false">
      <c r="A1099" s="7" t="s">
        <v>931</v>
      </c>
      <c r="B1099" s="7" t="s">
        <v>314</v>
      </c>
      <c r="C1099" s="7" t="s">
        <v>861</v>
      </c>
      <c r="D1099" s="10" t="n">
        <v>0</v>
      </c>
      <c r="E1099" s="10" t="n">
        <v>0</v>
      </c>
      <c r="F1099" s="10" t="n">
        <v>1</v>
      </c>
      <c r="G1099" s="10" t="n">
        <v>0</v>
      </c>
      <c r="H1099" s="10" t="n">
        <v>0</v>
      </c>
      <c r="I1099" s="10" t="n">
        <v>0</v>
      </c>
      <c r="J1099" s="10" t="n">
        <v>0</v>
      </c>
      <c r="K1099" s="10" t="n">
        <v>0</v>
      </c>
      <c r="L1099" s="10" t="n">
        <v>0</v>
      </c>
      <c r="M1099" s="10" t="n">
        <v>0</v>
      </c>
      <c r="N1099" s="10" t="n">
        <v>0</v>
      </c>
      <c r="O1099" s="10" t="n">
        <v>0</v>
      </c>
      <c r="P1099" s="10" t="n">
        <v>0</v>
      </c>
      <c r="Q1099" s="10" t="n">
        <v>0</v>
      </c>
      <c r="R1099" s="10" t="n">
        <v>0</v>
      </c>
      <c r="S1099" s="10" t="n">
        <v>0</v>
      </c>
      <c r="T1099" s="10" t="n">
        <v>0</v>
      </c>
      <c r="U1099" s="10" t="n">
        <v>0</v>
      </c>
    </row>
    <row r="1100" customFormat="false" ht="15" hidden="false" customHeight="false" outlineLevel="0" collapsed="false">
      <c r="A1100" s="7" t="s">
        <v>931</v>
      </c>
      <c r="B1100" s="7" t="s">
        <v>315</v>
      </c>
      <c r="C1100" s="7" t="s">
        <v>862</v>
      </c>
      <c r="D1100" s="10" t="n">
        <v>0</v>
      </c>
      <c r="E1100" s="10" t="n">
        <v>0</v>
      </c>
      <c r="F1100" s="10" t="n">
        <v>1</v>
      </c>
      <c r="G1100" s="10" t="n">
        <v>0</v>
      </c>
      <c r="H1100" s="10" t="n">
        <v>0</v>
      </c>
      <c r="I1100" s="10" t="n">
        <v>0</v>
      </c>
      <c r="J1100" s="10" t="n">
        <v>0</v>
      </c>
      <c r="K1100" s="10" t="n">
        <v>0</v>
      </c>
      <c r="L1100" s="10" t="n">
        <v>0</v>
      </c>
      <c r="M1100" s="10" t="n">
        <v>0</v>
      </c>
      <c r="N1100" s="10" t="n">
        <v>0</v>
      </c>
      <c r="O1100" s="10" t="n">
        <v>0</v>
      </c>
      <c r="P1100" s="10" t="n">
        <v>0</v>
      </c>
      <c r="Q1100" s="10" t="n">
        <v>0</v>
      </c>
      <c r="R1100" s="10" t="n">
        <v>0</v>
      </c>
      <c r="S1100" s="10" t="n">
        <v>0</v>
      </c>
      <c r="T1100" s="10" t="n">
        <v>0</v>
      </c>
      <c r="U1100" s="10" t="n">
        <v>0</v>
      </c>
    </row>
    <row r="1101" customFormat="false" ht="15" hidden="false" customHeight="false" outlineLevel="0" collapsed="false">
      <c r="A1101" s="7" t="s">
        <v>931</v>
      </c>
      <c r="B1101" s="7" t="s">
        <v>315</v>
      </c>
      <c r="C1101" s="7" t="s">
        <v>863</v>
      </c>
      <c r="D1101" s="10" t="n">
        <v>0</v>
      </c>
      <c r="E1101" s="10" t="n">
        <v>0</v>
      </c>
      <c r="F1101" s="10" t="n">
        <v>1</v>
      </c>
      <c r="G1101" s="10" t="n">
        <v>0</v>
      </c>
      <c r="H1101" s="10" t="n">
        <v>0</v>
      </c>
      <c r="I1101" s="10" t="n">
        <v>0</v>
      </c>
      <c r="J1101" s="10" t="n">
        <v>0</v>
      </c>
      <c r="K1101" s="10" t="n">
        <v>0</v>
      </c>
      <c r="L1101" s="10" t="n">
        <v>0</v>
      </c>
      <c r="M1101" s="10" t="n">
        <v>0</v>
      </c>
      <c r="N1101" s="10" t="n">
        <v>0</v>
      </c>
      <c r="O1101" s="10" t="n">
        <v>0</v>
      </c>
      <c r="P1101" s="10" t="n">
        <v>0</v>
      </c>
      <c r="Q1101" s="10" t="n">
        <v>0</v>
      </c>
      <c r="R1101" s="10" t="n">
        <v>0</v>
      </c>
      <c r="S1101" s="10" t="n">
        <v>0</v>
      </c>
      <c r="T1101" s="10" t="n">
        <v>0</v>
      </c>
      <c r="U1101" s="10" t="n">
        <v>0</v>
      </c>
    </row>
    <row r="1102" customFormat="false" ht="15" hidden="false" customHeight="false" outlineLevel="0" collapsed="false">
      <c r="A1102" s="7" t="s">
        <v>931</v>
      </c>
      <c r="B1102" s="7" t="s">
        <v>18</v>
      </c>
      <c r="C1102" s="7" t="s">
        <v>864</v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>
        <v>-8</v>
      </c>
      <c r="J1102" s="10" t="n">
        <v>0</v>
      </c>
      <c r="K1102" s="10" t="n">
        <v>0</v>
      </c>
      <c r="L1102" s="10" t="n">
        <v>0</v>
      </c>
      <c r="M1102" s="10" t="n">
        <v>0</v>
      </c>
      <c r="N1102" s="10" t="n">
        <v>0</v>
      </c>
      <c r="O1102" s="10" t="n">
        <v>0</v>
      </c>
      <c r="P1102" s="10" t="n">
        <v>-8</v>
      </c>
      <c r="Q1102" s="10" t="n">
        <v>0</v>
      </c>
      <c r="R1102" s="10" t="n">
        <v>0</v>
      </c>
      <c r="S1102" s="10" t="n">
        <v>0</v>
      </c>
      <c r="T1102" s="10" t="n">
        <v>0</v>
      </c>
      <c r="U1102" s="10" t="n">
        <v>0</v>
      </c>
    </row>
    <row r="1103" customFormat="false" ht="15" hidden="false" customHeight="false" outlineLevel="0" collapsed="false">
      <c r="A1103" s="7" t="s">
        <v>931</v>
      </c>
      <c r="B1103" s="7" t="s">
        <v>18</v>
      </c>
      <c r="C1103" s="7" t="s">
        <v>865</v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>
        <v>-2</v>
      </c>
      <c r="J1103" s="10" t="n">
        <v>0</v>
      </c>
      <c r="K1103" s="10" t="n">
        <v>0</v>
      </c>
      <c r="L1103" s="10" t="n">
        <v>0</v>
      </c>
      <c r="M1103" s="10" t="n">
        <v>0</v>
      </c>
      <c r="N1103" s="10" t="n">
        <v>0</v>
      </c>
      <c r="O1103" s="10" t="n">
        <v>-2</v>
      </c>
      <c r="P1103" s="10" t="n">
        <v>0</v>
      </c>
      <c r="Q1103" s="10" t="n">
        <v>0</v>
      </c>
      <c r="R1103" s="10" t="n">
        <v>0</v>
      </c>
      <c r="S1103" s="10" t="n">
        <v>0</v>
      </c>
      <c r="T1103" s="10" t="n">
        <v>0</v>
      </c>
      <c r="U1103" s="10" t="n">
        <v>0</v>
      </c>
    </row>
    <row r="1104" customFormat="false" ht="15" hidden="false" customHeight="false" outlineLevel="0" collapsed="false">
      <c r="A1104" s="7" t="s">
        <v>931</v>
      </c>
      <c r="B1104" s="7" t="s">
        <v>18</v>
      </c>
      <c r="C1104" s="7" t="s">
        <v>866</v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>
        <v>-1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n">
        <v>0</v>
      </c>
      <c r="O1104" s="10" t="n">
        <v>0</v>
      </c>
      <c r="P1104" s="10" t="n">
        <v>-1</v>
      </c>
      <c r="Q1104" s="10" t="n">
        <v>0</v>
      </c>
      <c r="R1104" s="10" t="n">
        <v>0</v>
      </c>
      <c r="S1104" s="10" t="n">
        <v>0</v>
      </c>
      <c r="T1104" s="10" t="n">
        <v>0</v>
      </c>
      <c r="U1104" s="10" t="n">
        <v>0</v>
      </c>
    </row>
    <row r="1105" customFormat="false" ht="15" hidden="false" customHeight="false" outlineLevel="0" collapsed="false">
      <c r="A1105" s="7" t="s">
        <v>931</v>
      </c>
      <c r="B1105" s="7" t="s">
        <v>147</v>
      </c>
      <c r="C1105" s="7" t="s">
        <v>867</v>
      </c>
      <c r="D1105" s="10" t="n">
        <v>0</v>
      </c>
      <c r="E1105" s="10" t="n">
        <v>0</v>
      </c>
      <c r="F1105" s="10" t="n">
        <v>26</v>
      </c>
      <c r="G1105" s="10" t="n">
        <v>0</v>
      </c>
      <c r="H1105" s="10" t="n">
        <v>0</v>
      </c>
      <c r="I1105" s="10" t="n">
        <v>180</v>
      </c>
      <c r="J1105" s="10" t="n">
        <v>0</v>
      </c>
      <c r="K1105" s="10" t="n">
        <v>0</v>
      </c>
      <c r="L1105" s="10" t="n">
        <v>0</v>
      </c>
      <c r="M1105" s="10" t="n">
        <v>0</v>
      </c>
      <c r="N1105" s="10" t="n">
        <v>0</v>
      </c>
      <c r="O1105" s="10" t="n">
        <v>0</v>
      </c>
      <c r="P1105" s="10" t="n">
        <v>0</v>
      </c>
      <c r="Q1105" s="10" t="n">
        <v>180</v>
      </c>
      <c r="R1105" s="10" t="n">
        <v>0</v>
      </c>
      <c r="S1105" s="10" t="n">
        <v>0</v>
      </c>
      <c r="T1105" s="10" t="n">
        <v>0</v>
      </c>
      <c r="U1105" s="10" t="n">
        <v>0</v>
      </c>
    </row>
    <row r="1106" customFormat="false" ht="15" hidden="false" customHeight="false" outlineLevel="0" collapsed="false">
      <c r="A1106" s="7" t="s">
        <v>931</v>
      </c>
      <c r="B1106" s="7" t="s">
        <v>131</v>
      </c>
      <c r="C1106" s="7" t="s">
        <v>867</v>
      </c>
      <c r="D1106" s="10" t="n">
        <v>0</v>
      </c>
      <c r="E1106" s="10" t="n">
        <v>0</v>
      </c>
      <c r="F1106" s="10" t="n">
        <v>32</v>
      </c>
      <c r="G1106" s="10" t="n">
        <v>0</v>
      </c>
      <c r="H1106" s="10" t="n">
        <v>0</v>
      </c>
      <c r="I1106" s="10" t="n">
        <v>258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0</v>
      </c>
      <c r="O1106" s="10" t="n">
        <v>0</v>
      </c>
      <c r="P1106" s="10" t="n">
        <v>0</v>
      </c>
      <c r="Q1106" s="10" t="n">
        <v>258</v>
      </c>
      <c r="R1106" s="10" t="n">
        <v>0</v>
      </c>
      <c r="S1106" s="10" t="n">
        <v>0</v>
      </c>
      <c r="T1106" s="10" t="n">
        <v>0</v>
      </c>
      <c r="U1106" s="10" t="n">
        <v>0</v>
      </c>
    </row>
    <row r="1107" customFormat="false" ht="15" hidden="false" customHeight="false" outlineLevel="0" collapsed="false">
      <c r="A1107" s="7" t="s">
        <v>931</v>
      </c>
      <c r="B1107" s="7" t="s">
        <v>135</v>
      </c>
      <c r="C1107" s="7" t="s">
        <v>867</v>
      </c>
      <c r="D1107" s="10" t="n">
        <v>0</v>
      </c>
      <c r="E1107" s="10" t="n">
        <v>0</v>
      </c>
      <c r="F1107" s="10" t="n">
        <v>24</v>
      </c>
      <c r="G1107" s="10" t="n">
        <v>0</v>
      </c>
      <c r="H1107" s="10" t="n">
        <v>0</v>
      </c>
      <c r="I1107" s="10" t="n">
        <v>246</v>
      </c>
      <c r="J1107" s="10" t="n">
        <v>0</v>
      </c>
      <c r="K1107" s="10" t="n">
        <v>0</v>
      </c>
      <c r="L1107" s="10" t="n">
        <v>0</v>
      </c>
      <c r="M1107" s="10" t="n">
        <v>0</v>
      </c>
      <c r="N1107" s="10" t="n">
        <v>0</v>
      </c>
      <c r="O1107" s="10" t="n">
        <v>0</v>
      </c>
      <c r="P1107" s="10" t="n">
        <v>0</v>
      </c>
      <c r="Q1107" s="10" t="n">
        <v>246</v>
      </c>
      <c r="R1107" s="10" t="n">
        <v>0</v>
      </c>
      <c r="S1107" s="10" t="n">
        <v>0</v>
      </c>
      <c r="T1107" s="10" t="n">
        <v>0</v>
      </c>
      <c r="U1107" s="10" t="n">
        <v>0</v>
      </c>
    </row>
    <row r="1108" customFormat="false" ht="15" hidden="false" customHeight="false" outlineLevel="0" collapsed="false">
      <c r="A1108" s="7" t="s">
        <v>931</v>
      </c>
      <c r="B1108" s="7" t="s">
        <v>163</v>
      </c>
      <c r="C1108" s="7" t="s">
        <v>867</v>
      </c>
      <c r="D1108" s="10" t="n">
        <v>0</v>
      </c>
      <c r="E1108" s="10" t="n">
        <v>0</v>
      </c>
      <c r="F1108" s="10" t="n">
        <v>13</v>
      </c>
      <c r="G1108" s="10" t="n">
        <v>0</v>
      </c>
      <c r="H1108" s="10" t="n">
        <v>0</v>
      </c>
      <c r="I1108" s="10" t="n">
        <v>76</v>
      </c>
      <c r="J1108" s="10" t="n">
        <v>0</v>
      </c>
      <c r="K1108" s="10" t="n">
        <v>0</v>
      </c>
      <c r="L1108" s="10" t="n">
        <v>0</v>
      </c>
      <c r="M1108" s="10" t="n">
        <v>0</v>
      </c>
      <c r="N1108" s="10" t="n">
        <v>0</v>
      </c>
      <c r="O1108" s="10" t="n">
        <v>0</v>
      </c>
      <c r="P1108" s="10" t="n">
        <v>0</v>
      </c>
      <c r="Q1108" s="10" t="n">
        <v>76</v>
      </c>
      <c r="R1108" s="10" t="n">
        <v>0</v>
      </c>
      <c r="S1108" s="10" t="n">
        <v>0</v>
      </c>
      <c r="T1108" s="10" t="n">
        <v>0</v>
      </c>
      <c r="U1108" s="10" t="n">
        <v>0</v>
      </c>
    </row>
    <row r="1109" customFormat="false" ht="15" hidden="false" customHeight="false" outlineLevel="0" collapsed="false">
      <c r="A1109" s="7" t="s">
        <v>931</v>
      </c>
      <c r="B1109" s="7" t="s">
        <v>154</v>
      </c>
      <c r="C1109" s="7" t="s">
        <v>868</v>
      </c>
      <c r="D1109" s="10" t="n">
        <v>0</v>
      </c>
      <c r="E1109" s="10" t="n">
        <v>0</v>
      </c>
      <c r="F1109" s="10" t="n">
        <v>28</v>
      </c>
      <c r="G1109" s="10" t="n">
        <v>0</v>
      </c>
      <c r="H1109" s="10" t="n">
        <v>0</v>
      </c>
      <c r="I1109" s="10" t="n">
        <v>244</v>
      </c>
      <c r="J1109" s="10" t="n">
        <v>0</v>
      </c>
      <c r="K1109" s="10" t="n">
        <v>0</v>
      </c>
      <c r="L1109" s="10" t="n">
        <v>0</v>
      </c>
      <c r="M1109" s="10" t="n">
        <v>0</v>
      </c>
      <c r="N1109" s="10" t="n">
        <v>0</v>
      </c>
      <c r="O1109" s="10" t="n">
        <v>0</v>
      </c>
      <c r="P1109" s="10" t="n">
        <v>0</v>
      </c>
      <c r="Q1109" s="10" t="n">
        <v>244</v>
      </c>
      <c r="R1109" s="10" t="n">
        <v>0</v>
      </c>
      <c r="S1109" s="10" t="n">
        <v>0</v>
      </c>
      <c r="T1109" s="10" t="n">
        <v>0</v>
      </c>
      <c r="U1109" s="10" t="n">
        <v>0</v>
      </c>
    </row>
    <row r="1110" customFormat="false" ht="15" hidden="false" customHeight="false" outlineLevel="0" collapsed="false">
      <c r="A1110" s="7" t="s">
        <v>931</v>
      </c>
      <c r="B1110" s="7" t="s">
        <v>139</v>
      </c>
      <c r="C1110" s="7" t="s">
        <v>868</v>
      </c>
      <c r="D1110" s="10" t="n">
        <v>0</v>
      </c>
      <c r="E1110" s="10" t="n">
        <v>0</v>
      </c>
      <c r="F1110" s="10" t="n">
        <v>44</v>
      </c>
      <c r="G1110" s="10" t="n">
        <v>0</v>
      </c>
      <c r="H1110" s="10" t="n">
        <v>0</v>
      </c>
      <c r="I1110" s="10" t="n">
        <v>419</v>
      </c>
      <c r="J1110" s="10" t="n">
        <v>0</v>
      </c>
      <c r="K1110" s="10" t="n">
        <v>0</v>
      </c>
      <c r="L1110" s="10" t="n">
        <v>0</v>
      </c>
      <c r="M1110" s="10" t="n">
        <v>0</v>
      </c>
      <c r="N1110" s="10" t="n">
        <v>0</v>
      </c>
      <c r="O1110" s="10" t="n">
        <v>0</v>
      </c>
      <c r="P1110" s="10" t="n">
        <v>0</v>
      </c>
      <c r="Q1110" s="10" t="n">
        <v>419</v>
      </c>
      <c r="R1110" s="10" t="n">
        <v>0</v>
      </c>
      <c r="S1110" s="10" t="n">
        <v>0</v>
      </c>
      <c r="T1110" s="10" t="n">
        <v>0</v>
      </c>
      <c r="U1110" s="10" t="n">
        <v>0</v>
      </c>
    </row>
    <row r="1111" customFormat="false" ht="15" hidden="false" customHeight="false" outlineLevel="0" collapsed="false">
      <c r="A1111" s="7" t="s">
        <v>931</v>
      </c>
      <c r="B1111" s="7" t="s">
        <v>117</v>
      </c>
      <c r="C1111" s="7" t="s">
        <v>868</v>
      </c>
      <c r="D1111" s="10" t="n">
        <v>0</v>
      </c>
      <c r="E1111" s="10" t="n">
        <v>0</v>
      </c>
      <c r="F1111" s="10" t="n">
        <v>35</v>
      </c>
      <c r="G1111" s="10" t="n">
        <v>0</v>
      </c>
      <c r="H1111" s="10" t="n">
        <v>0</v>
      </c>
      <c r="I1111" s="10" t="n">
        <v>395</v>
      </c>
      <c r="J1111" s="10" t="n">
        <v>0</v>
      </c>
      <c r="K1111" s="10" t="n">
        <v>0</v>
      </c>
      <c r="L1111" s="10" t="n">
        <v>0</v>
      </c>
      <c r="M1111" s="10" t="n">
        <v>0</v>
      </c>
      <c r="N1111" s="10" t="n">
        <v>0</v>
      </c>
      <c r="O1111" s="10" t="n">
        <v>0</v>
      </c>
      <c r="P1111" s="10" t="n">
        <v>0</v>
      </c>
      <c r="Q1111" s="10" t="n">
        <v>395</v>
      </c>
      <c r="R1111" s="10" t="n">
        <v>0</v>
      </c>
      <c r="S1111" s="10" t="n">
        <v>0</v>
      </c>
      <c r="T1111" s="10" t="n">
        <v>0</v>
      </c>
      <c r="U1111" s="10" t="n">
        <v>0</v>
      </c>
    </row>
    <row r="1112" customFormat="false" ht="15" hidden="false" customHeight="false" outlineLevel="0" collapsed="false">
      <c r="A1112" s="7" t="s">
        <v>931</v>
      </c>
      <c r="B1112" s="7" t="s">
        <v>212</v>
      </c>
      <c r="C1112" s="7" t="s">
        <v>868</v>
      </c>
      <c r="D1112" s="10" t="n">
        <v>0</v>
      </c>
      <c r="E1112" s="10" t="n">
        <v>0</v>
      </c>
      <c r="F1112" s="10" t="n">
        <v>16</v>
      </c>
      <c r="G1112" s="10" t="n">
        <v>0</v>
      </c>
      <c r="H1112" s="10" t="n">
        <v>0</v>
      </c>
      <c r="I1112" s="10" t="n">
        <v>62</v>
      </c>
      <c r="J1112" s="10" t="n">
        <v>0</v>
      </c>
      <c r="K1112" s="10" t="n">
        <v>0</v>
      </c>
      <c r="L1112" s="10" t="n">
        <v>0</v>
      </c>
      <c r="M1112" s="10" t="n">
        <v>0</v>
      </c>
      <c r="N1112" s="10" t="n">
        <v>0</v>
      </c>
      <c r="O1112" s="10" t="n">
        <v>0</v>
      </c>
      <c r="P1112" s="10" t="n">
        <v>0</v>
      </c>
      <c r="Q1112" s="10" t="n">
        <v>62</v>
      </c>
      <c r="R1112" s="10" t="n">
        <v>0</v>
      </c>
      <c r="S1112" s="10" t="n">
        <v>0</v>
      </c>
      <c r="T1112" s="10" t="n">
        <v>0</v>
      </c>
      <c r="U1112" s="10" t="n">
        <v>0</v>
      </c>
    </row>
    <row r="1113" customFormat="false" ht="15" hidden="false" customHeight="false" outlineLevel="0" collapsed="false">
      <c r="A1113" s="7" t="s">
        <v>931</v>
      </c>
      <c r="B1113" s="7" t="s">
        <v>281</v>
      </c>
      <c r="C1113" s="7" t="s">
        <v>869</v>
      </c>
      <c r="D1113" s="10" t="n">
        <v>0</v>
      </c>
      <c r="E1113" s="10" t="n">
        <v>0</v>
      </c>
      <c r="F1113" s="10" t="n">
        <v>-1</v>
      </c>
      <c r="G1113" s="10" t="n">
        <v>0</v>
      </c>
      <c r="H1113" s="10" t="n">
        <v>0</v>
      </c>
      <c r="I1113" s="10" t="n">
        <v>-1</v>
      </c>
      <c r="J1113" s="10" t="n">
        <v>0</v>
      </c>
      <c r="K1113" s="10" t="n">
        <v>0</v>
      </c>
      <c r="L1113" s="10" t="n">
        <v>0</v>
      </c>
      <c r="M1113" s="10" t="n">
        <v>0</v>
      </c>
      <c r="N1113" s="10" t="n">
        <v>0</v>
      </c>
      <c r="O1113" s="10" t="n">
        <v>0</v>
      </c>
      <c r="P1113" s="10" t="n">
        <v>-1</v>
      </c>
      <c r="Q1113" s="10" t="n">
        <v>0</v>
      </c>
      <c r="R1113" s="10" t="n">
        <v>0</v>
      </c>
      <c r="S1113" s="10" t="n">
        <v>0</v>
      </c>
      <c r="T1113" s="10" t="n">
        <v>0</v>
      </c>
      <c r="U1113" s="10" t="n">
        <v>-1</v>
      </c>
    </row>
    <row r="1114" customFormat="false" ht="15" hidden="false" customHeight="false" outlineLevel="0" collapsed="false">
      <c r="A1114" s="7" t="s">
        <v>931</v>
      </c>
      <c r="B1114" s="7" t="s">
        <v>281</v>
      </c>
      <c r="C1114" s="7" t="s">
        <v>870</v>
      </c>
      <c r="D1114" s="10" t="n">
        <v>0</v>
      </c>
      <c r="E1114" s="10" t="n">
        <v>0</v>
      </c>
      <c r="F1114" s="10" t="n">
        <v>2</v>
      </c>
      <c r="G1114" s="10" t="n">
        <v>0</v>
      </c>
      <c r="H1114" s="10" t="n">
        <v>0</v>
      </c>
      <c r="I1114" s="10" t="n">
        <v>3</v>
      </c>
      <c r="J1114" s="10" t="n">
        <v>0</v>
      </c>
      <c r="K1114" s="10" t="n">
        <v>0</v>
      </c>
      <c r="L1114" s="10" t="n">
        <v>-1</v>
      </c>
      <c r="M1114" s="10" t="n">
        <v>0</v>
      </c>
      <c r="N1114" s="10" t="n">
        <v>0</v>
      </c>
      <c r="O1114" s="10" t="n">
        <v>0</v>
      </c>
      <c r="P1114" s="10" t="n">
        <v>-1</v>
      </c>
      <c r="Q1114" s="10" t="n">
        <v>0</v>
      </c>
      <c r="R1114" s="10" t="n">
        <v>5</v>
      </c>
      <c r="S1114" s="10" t="n">
        <v>0</v>
      </c>
      <c r="T1114" s="10" t="n">
        <v>0</v>
      </c>
      <c r="U1114" s="10" t="n">
        <v>-1</v>
      </c>
    </row>
    <row r="1115" customFormat="false" ht="15" hidden="false" customHeight="false" outlineLevel="0" collapsed="false">
      <c r="A1115" s="7" t="s">
        <v>931</v>
      </c>
      <c r="B1115" s="7" t="s">
        <v>104</v>
      </c>
      <c r="C1115" s="7" t="s">
        <v>871</v>
      </c>
      <c r="D1115" s="10" t="n">
        <v>0</v>
      </c>
      <c r="E1115" s="10" t="n">
        <v>0</v>
      </c>
      <c r="F1115" s="10" t="n">
        <v>57</v>
      </c>
      <c r="G1115" s="10" t="n">
        <v>0</v>
      </c>
      <c r="H1115" s="10" t="n">
        <v>0</v>
      </c>
      <c r="I1115" s="10" t="n">
        <v>864</v>
      </c>
      <c r="J1115" s="10" t="n">
        <v>0</v>
      </c>
      <c r="K1115" s="10" t="n">
        <v>3</v>
      </c>
      <c r="L1115" s="10" t="n">
        <v>0</v>
      </c>
      <c r="M1115" s="10" t="n">
        <v>4</v>
      </c>
      <c r="N1115" s="10" t="n">
        <v>2</v>
      </c>
      <c r="O1115" s="10" t="n">
        <v>0</v>
      </c>
      <c r="P1115" s="10" t="n">
        <v>0</v>
      </c>
      <c r="Q1115" s="10" t="n">
        <v>830</v>
      </c>
      <c r="R1115" s="10" t="n">
        <v>25</v>
      </c>
      <c r="S1115" s="10" t="n">
        <v>0</v>
      </c>
      <c r="T1115" s="10" t="n">
        <v>0</v>
      </c>
      <c r="U1115" s="10" t="n">
        <v>0</v>
      </c>
    </row>
    <row r="1116" customFormat="false" ht="15" hidden="false" customHeight="false" outlineLevel="0" collapsed="false">
      <c r="A1116" s="7" t="s">
        <v>931</v>
      </c>
      <c r="B1116" s="7" t="s">
        <v>48</v>
      </c>
      <c r="C1116" s="7" t="s">
        <v>872</v>
      </c>
      <c r="D1116" s="10" t="n">
        <v>0</v>
      </c>
      <c r="E1116" s="10" t="n">
        <v>0</v>
      </c>
      <c r="F1116" s="10" t="n">
        <v>926</v>
      </c>
      <c r="G1116" s="10" t="n">
        <v>0</v>
      </c>
      <c r="H1116" s="10" t="n">
        <v>0</v>
      </c>
      <c r="I1116" s="10" t="n">
        <v>641</v>
      </c>
      <c r="J1116" s="10" t="n">
        <v>0</v>
      </c>
      <c r="K1116" s="10" t="n">
        <v>17</v>
      </c>
      <c r="L1116" s="10" t="n">
        <v>0</v>
      </c>
      <c r="M1116" s="10" t="n">
        <v>0</v>
      </c>
      <c r="N1116" s="10" t="n">
        <v>14</v>
      </c>
      <c r="O1116" s="10" t="n">
        <v>0</v>
      </c>
      <c r="P1116" s="10" t="n">
        <v>-2</v>
      </c>
      <c r="Q1116" s="10" t="n">
        <v>561</v>
      </c>
      <c r="R1116" s="10" t="n">
        <v>51</v>
      </c>
      <c r="S1116" s="10" t="n">
        <v>3</v>
      </c>
      <c r="T1116" s="10" t="n">
        <v>0</v>
      </c>
      <c r="U1116" s="10" t="n">
        <v>0</v>
      </c>
    </row>
    <row r="1117" customFormat="false" ht="15" hidden="false" customHeight="false" outlineLevel="0" collapsed="false">
      <c r="A1117" s="7" t="s">
        <v>931</v>
      </c>
      <c r="B1117" s="7" t="s">
        <v>127</v>
      </c>
      <c r="C1117" s="7" t="s">
        <v>873</v>
      </c>
      <c r="D1117" s="10" t="n">
        <v>0</v>
      </c>
      <c r="E1117" s="10" t="n">
        <v>0</v>
      </c>
      <c r="F1117" s="10" t="n">
        <v>147</v>
      </c>
      <c r="G1117" s="10" t="n">
        <v>0</v>
      </c>
      <c r="H1117" s="10" t="n">
        <v>0</v>
      </c>
      <c r="I1117" s="10" t="n">
        <v>320</v>
      </c>
      <c r="J1117" s="10" t="n">
        <v>0</v>
      </c>
      <c r="K1117" s="10" t="n">
        <v>2</v>
      </c>
      <c r="L1117" s="10" t="n">
        <v>0</v>
      </c>
      <c r="M1117" s="10" t="n">
        <v>5</v>
      </c>
      <c r="N1117" s="10" t="n">
        <v>1</v>
      </c>
      <c r="O1117" s="10" t="n">
        <v>0</v>
      </c>
      <c r="P1117" s="10" t="n">
        <v>0</v>
      </c>
      <c r="Q1117" s="10" t="n">
        <v>299</v>
      </c>
      <c r="R1117" s="10" t="n">
        <v>13</v>
      </c>
      <c r="S1117" s="10" t="n">
        <v>0</v>
      </c>
      <c r="T1117" s="10" t="n">
        <v>0</v>
      </c>
      <c r="U1117" s="10" t="n">
        <v>0</v>
      </c>
    </row>
    <row r="1118" customFormat="false" ht="15" hidden="false" customHeight="false" outlineLevel="0" collapsed="false">
      <c r="A1118" s="7" t="s">
        <v>931</v>
      </c>
      <c r="B1118" s="7" t="s">
        <v>48</v>
      </c>
      <c r="C1118" s="7" t="s">
        <v>874</v>
      </c>
      <c r="D1118" s="10" t="n">
        <v>0</v>
      </c>
      <c r="E1118" s="10" t="n">
        <v>0</v>
      </c>
      <c r="F1118" s="10" t="n">
        <v>107</v>
      </c>
      <c r="G1118" s="10" t="n">
        <v>0</v>
      </c>
      <c r="H1118" s="10" t="n">
        <v>0</v>
      </c>
      <c r="I1118" s="10" t="n">
        <v>97</v>
      </c>
      <c r="J1118" s="10" t="n">
        <v>0</v>
      </c>
      <c r="K1118" s="10" t="n">
        <v>0</v>
      </c>
      <c r="L1118" s="10" t="n">
        <v>0</v>
      </c>
      <c r="M1118" s="10" t="n">
        <v>0</v>
      </c>
      <c r="N1118" s="10" t="n">
        <v>-1</v>
      </c>
      <c r="O1118" s="10" t="n">
        <v>0</v>
      </c>
      <c r="P1118" s="10" t="n">
        <v>0</v>
      </c>
      <c r="Q1118" s="10" t="n">
        <v>98</v>
      </c>
      <c r="R1118" s="10" t="n">
        <v>0</v>
      </c>
      <c r="S1118" s="10" t="n">
        <v>0</v>
      </c>
      <c r="T1118" s="10" t="n">
        <v>0</v>
      </c>
      <c r="U1118" s="10" t="n">
        <v>0</v>
      </c>
    </row>
    <row r="1119" customFormat="false" ht="15" hidden="false" customHeight="false" outlineLevel="0" collapsed="false">
      <c r="A1119" s="7" t="s">
        <v>931</v>
      </c>
      <c r="B1119" s="7" t="s">
        <v>339</v>
      </c>
      <c r="C1119" s="7" t="s">
        <v>875</v>
      </c>
      <c r="D1119" s="10" t="n">
        <v>0</v>
      </c>
      <c r="E1119" s="10" t="n">
        <v>0</v>
      </c>
      <c r="F1119" s="10" t="n">
        <v>-4</v>
      </c>
      <c r="G1119" s="10" t="n">
        <v>0</v>
      </c>
      <c r="H1119" s="10" t="n">
        <v>0</v>
      </c>
      <c r="I1119" s="10" t="n">
        <v>0</v>
      </c>
      <c r="J1119" s="10" t="n">
        <v>0</v>
      </c>
      <c r="K1119" s="10" t="n">
        <v>0</v>
      </c>
      <c r="L1119" s="10" t="n">
        <v>0</v>
      </c>
      <c r="M1119" s="10" t="n">
        <v>0</v>
      </c>
      <c r="N1119" s="10" t="n">
        <v>0</v>
      </c>
      <c r="O1119" s="10" t="n">
        <v>0</v>
      </c>
      <c r="P1119" s="10" t="n">
        <v>0</v>
      </c>
      <c r="Q1119" s="10" t="n">
        <v>0</v>
      </c>
      <c r="R1119" s="10" t="n">
        <v>0</v>
      </c>
      <c r="S1119" s="10" t="n">
        <v>0</v>
      </c>
      <c r="T1119" s="10" t="n">
        <v>0</v>
      </c>
      <c r="U1119" s="10" t="n">
        <v>0</v>
      </c>
    </row>
    <row r="1120" customFormat="false" ht="15" hidden="false" customHeight="false" outlineLevel="0" collapsed="false">
      <c r="A1120" s="7" t="s">
        <v>931</v>
      </c>
      <c r="B1120" s="7" t="s">
        <v>268</v>
      </c>
      <c r="C1120" s="7" t="s">
        <v>876</v>
      </c>
      <c r="D1120" s="10" t="n">
        <v>0</v>
      </c>
      <c r="E1120" s="10" t="n">
        <v>0</v>
      </c>
      <c r="F1120" s="10" t="n">
        <v>291</v>
      </c>
      <c r="G1120" s="10" t="n">
        <v>0</v>
      </c>
      <c r="H1120" s="10" t="n">
        <v>0</v>
      </c>
      <c r="I1120" s="10" t="n">
        <v>2</v>
      </c>
      <c r="J1120" s="10" t="n">
        <v>0</v>
      </c>
      <c r="K1120" s="10" t="n">
        <v>0</v>
      </c>
      <c r="L1120" s="10" t="n">
        <v>0</v>
      </c>
      <c r="M1120" s="10" t="n">
        <v>0</v>
      </c>
      <c r="N1120" s="10" t="n">
        <v>2</v>
      </c>
      <c r="O1120" s="10" t="n">
        <v>0</v>
      </c>
      <c r="P1120" s="10" t="n">
        <v>0</v>
      </c>
      <c r="Q1120" s="10" t="n">
        <v>0</v>
      </c>
      <c r="R1120" s="10" t="n">
        <v>0</v>
      </c>
      <c r="S1120" s="10" t="n">
        <v>0</v>
      </c>
      <c r="T1120" s="10" t="n">
        <v>0</v>
      </c>
      <c r="U1120" s="10" t="n">
        <v>0</v>
      </c>
    </row>
    <row r="1121" customFormat="false" ht="15" hidden="false" customHeight="false" outlineLevel="0" collapsed="false">
      <c r="A1121" s="7" t="s">
        <v>931</v>
      </c>
      <c r="B1121" s="7" t="s">
        <v>268</v>
      </c>
      <c r="C1121" s="7" t="s">
        <v>877</v>
      </c>
      <c r="D1121" s="10" t="n">
        <v>0</v>
      </c>
      <c r="E1121" s="10" t="n">
        <v>0</v>
      </c>
      <c r="F1121" s="10" t="n">
        <v>183</v>
      </c>
      <c r="G1121" s="10" t="n">
        <v>0</v>
      </c>
      <c r="H1121" s="10" t="n">
        <v>0</v>
      </c>
      <c r="I1121" s="10" t="n">
        <v>2</v>
      </c>
      <c r="J1121" s="10" t="n">
        <v>0</v>
      </c>
      <c r="K1121" s="10" t="n">
        <v>0</v>
      </c>
      <c r="L1121" s="10" t="n">
        <v>0</v>
      </c>
      <c r="M1121" s="10" t="n">
        <v>0</v>
      </c>
      <c r="N1121" s="10" t="n">
        <v>2</v>
      </c>
      <c r="O1121" s="10" t="n">
        <v>0</v>
      </c>
      <c r="P1121" s="10" t="n">
        <v>0</v>
      </c>
      <c r="Q1121" s="10" t="n">
        <v>0</v>
      </c>
      <c r="R1121" s="10" t="n">
        <v>0</v>
      </c>
      <c r="S1121" s="10" t="n">
        <v>0</v>
      </c>
      <c r="T1121" s="10" t="n">
        <v>0</v>
      </c>
      <c r="U1121" s="10" t="n">
        <v>0</v>
      </c>
    </row>
    <row r="1122" customFormat="false" ht="15" hidden="false" customHeight="false" outlineLevel="0" collapsed="false">
      <c r="A1122" s="7" t="s">
        <v>931</v>
      </c>
      <c r="B1122" s="7" t="s">
        <v>268</v>
      </c>
      <c r="C1122" s="7" t="s">
        <v>878</v>
      </c>
      <c r="D1122" s="10" t="n">
        <v>0</v>
      </c>
      <c r="E1122" s="10" t="n">
        <v>0</v>
      </c>
      <c r="F1122" s="10" t="n">
        <v>264</v>
      </c>
      <c r="G1122" s="10" t="n">
        <v>0</v>
      </c>
      <c r="H1122" s="10" t="n">
        <v>0</v>
      </c>
      <c r="I1122" s="10" t="n">
        <v>1</v>
      </c>
      <c r="J1122" s="10" t="n">
        <v>0</v>
      </c>
      <c r="K1122" s="10" t="n">
        <v>0</v>
      </c>
      <c r="L1122" s="10" t="n">
        <v>0</v>
      </c>
      <c r="M1122" s="10" t="n">
        <v>0</v>
      </c>
      <c r="N1122" s="10" t="n">
        <v>1</v>
      </c>
      <c r="O1122" s="10" t="n">
        <v>0</v>
      </c>
      <c r="P1122" s="10" t="n">
        <v>0</v>
      </c>
      <c r="Q1122" s="10" t="n">
        <v>0</v>
      </c>
      <c r="R1122" s="10" t="n">
        <v>0</v>
      </c>
      <c r="S1122" s="10" t="n">
        <v>0</v>
      </c>
      <c r="T1122" s="10" t="n">
        <v>0</v>
      </c>
      <c r="U1122" s="10" t="n">
        <v>0</v>
      </c>
    </row>
    <row r="1123" customFormat="false" ht="15" hidden="false" customHeight="false" outlineLevel="0" collapsed="false">
      <c r="A1123" s="7" t="s">
        <v>931</v>
      </c>
      <c r="B1123" s="7" t="s">
        <v>268</v>
      </c>
      <c r="C1123" s="7" t="s">
        <v>879</v>
      </c>
      <c r="D1123" s="10" t="n">
        <v>0</v>
      </c>
      <c r="E1123" s="10" t="n">
        <v>0</v>
      </c>
      <c r="F1123" s="10" t="n">
        <v>135</v>
      </c>
      <c r="G1123" s="10" t="n">
        <v>0</v>
      </c>
      <c r="H1123" s="10" t="n">
        <v>0</v>
      </c>
      <c r="I1123" s="10" t="n">
        <v>1</v>
      </c>
      <c r="J1123" s="10" t="n">
        <v>0</v>
      </c>
      <c r="K1123" s="10" t="n">
        <v>0</v>
      </c>
      <c r="L1123" s="10" t="n">
        <v>0</v>
      </c>
      <c r="M1123" s="10" t="n">
        <v>0</v>
      </c>
      <c r="N1123" s="10" t="n">
        <v>1</v>
      </c>
      <c r="O1123" s="10" t="n">
        <v>0</v>
      </c>
      <c r="P1123" s="10" t="n">
        <v>0</v>
      </c>
      <c r="Q1123" s="10" t="n">
        <v>0</v>
      </c>
      <c r="R1123" s="10" t="n">
        <v>0</v>
      </c>
      <c r="S1123" s="10" t="n">
        <v>0</v>
      </c>
      <c r="T1123" s="10" t="n">
        <v>0</v>
      </c>
      <c r="U1123" s="10" t="n">
        <v>0</v>
      </c>
    </row>
    <row r="1124" customFormat="false" ht="15" hidden="false" customHeight="false" outlineLevel="0" collapsed="false">
      <c r="A1124" s="7" t="s">
        <v>931</v>
      </c>
      <c r="B1124" s="7" t="s">
        <v>268</v>
      </c>
      <c r="C1124" s="7" t="s">
        <v>880</v>
      </c>
      <c r="D1124" s="10" t="n">
        <v>0</v>
      </c>
      <c r="E1124" s="10" t="n">
        <v>0</v>
      </c>
      <c r="F1124" s="10" t="n">
        <v>47</v>
      </c>
      <c r="G1124" s="10" t="n">
        <v>0</v>
      </c>
      <c r="H1124" s="10" t="n">
        <v>0</v>
      </c>
      <c r="I1124" s="10" t="n">
        <v>0</v>
      </c>
      <c r="J1124" s="10" t="n">
        <v>0</v>
      </c>
      <c r="K1124" s="10" t="n">
        <v>0</v>
      </c>
      <c r="L1124" s="10" t="n">
        <v>0</v>
      </c>
      <c r="M1124" s="10" t="n">
        <v>0</v>
      </c>
      <c r="N1124" s="10" t="n">
        <v>0</v>
      </c>
      <c r="O1124" s="10" t="n">
        <v>0</v>
      </c>
      <c r="P1124" s="10" t="n">
        <v>0</v>
      </c>
      <c r="Q1124" s="10" t="n">
        <v>0</v>
      </c>
      <c r="R1124" s="10" t="n">
        <v>0</v>
      </c>
      <c r="S1124" s="10" t="n">
        <v>0</v>
      </c>
      <c r="T1124" s="10" t="n">
        <v>0</v>
      </c>
      <c r="U1124" s="10" t="n">
        <v>0</v>
      </c>
    </row>
    <row r="1125" customFormat="false" ht="15" hidden="false" customHeight="false" outlineLevel="0" collapsed="false">
      <c r="A1125" s="7" t="s">
        <v>931</v>
      </c>
      <c r="B1125" s="7" t="s">
        <v>267</v>
      </c>
      <c r="C1125" s="7" t="s">
        <v>881</v>
      </c>
      <c r="D1125" s="10" t="n">
        <v>0</v>
      </c>
      <c r="E1125" s="10" t="n">
        <v>0</v>
      </c>
      <c r="F1125" s="10" t="n">
        <v>385</v>
      </c>
      <c r="G1125" s="10" t="n">
        <v>0</v>
      </c>
      <c r="H1125" s="10" t="n">
        <v>0</v>
      </c>
      <c r="I1125" s="10" t="n">
        <v>47</v>
      </c>
      <c r="J1125" s="10" t="n">
        <v>0</v>
      </c>
      <c r="K1125" s="10" t="n">
        <v>27</v>
      </c>
      <c r="L1125" s="10" t="n">
        <v>0</v>
      </c>
      <c r="M1125" s="10" t="n">
        <v>0</v>
      </c>
      <c r="N1125" s="10" t="n">
        <v>3</v>
      </c>
      <c r="O1125" s="10" t="n">
        <v>0</v>
      </c>
      <c r="P1125" s="10" t="n">
        <v>-1</v>
      </c>
      <c r="Q1125" s="10" t="n">
        <v>0</v>
      </c>
      <c r="R1125" s="10" t="n">
        <v>18</v>
      </c>
      <c r="S1125" s="10" t="n">
        <v>0</v>
      </c>
      <c r="T1125" s="10" t="n">
        <v>0</v>
      </c>
      <c r="U1125" s="10" t="n">
        <v>0</v>
      </c>
    </row>
    <row r="1126" customFormat="false" ht="15" hidden="false" customHeight="false" outlineLevel="0" collapsed="false">
      <c r="A1126" s="7" t="s">
        <v>931</v>
      </c>
      <c r="B1126" s="7" t="s">
        <v>267</v>
      </c>
      <c r="C1126" s="7" t="s">
        <v>882</v>
      </c>
      <c r="D1126" s="10" t="n">
        <v>0</v>
      </c>
      <c r="E1126" s="10" t="n">
        <v>0</v>
      </c>
      <c r="F1126" s="10" t="n">
        <v>279</v>
      </c>
      <c r="G1126" s="10" t="n">
        <v>0</v>
      </c>
      <c r="H1126" s="10" t="n">
        <v>0</v>
      </c>
      <c r="I1126" s="10" t="n">
        <v>15</v>
      </c>
      <c r="J1126" s="10" t="n">
        <v>0</v>
      </c>
      <c r="K1126" s="10" t="n">
        <v>9</v>
      </c>
      <c r="L1126" s="10" t="n">
        <v>0</v>
      </c>
      <c r="M1126" s="10" t="n">
        <v>0</v>
      </c>
      <c r="N1126" s="10" t="n">
        <v>2</v>
      </c>
      <c r="O1126" s="10" t="n">
        <v>0</v>
      </c>
      <c r="P1126" s="10" t="n">
        <v>0</v>
      </c>
      <c r="Q1126" s="10" t="n">
        <v>0</v>
      </c>
      <c r="R1126" s="10" t="n">
        <v>4</v>
      </c>
      <c r="S1126" s="10" t="n">
        <v>0</v>
      </c>
      <c r="T1126" s="10" t="n">
        <v>0</v>
      </c>
      <c r="U1126" s="10" t="n">
        <v>0</v>
      </c>
    </row>
    <row r="1127" customFormat="false" ht="15" hidden="false" customHeight="false" outlineLevel="0" collapsed="false">
      <c r="A1127" s="7" t="s">
        <v>931</v>
      </c>
      <c r="B1127" s="7" t="s">
        <v>267</v>
      </c>
      <c r="C1127" s="7" t="s">
        <v>883</v>
      </c>
      <c r="D1127" s="10" t="n">
        <v>0</v>
      </c>
      <c r="E1127" s="10" t="n">
        <v>0</v>
      </c>
      <c r="F1127" s="10" t="n">
        <v>276</v>
      </c>
      <c r="G1127" s="10" t="n">
        <v>0</v>
      </c>
      <c r="H1127" s="10" t="n">
        <v>0</v>
      </c>
      <c r="I1127" s="10" t="n">
        <v>40</v>
      </c>
      <c r="J1127" s="10" t="n">
        <v>0</v>
      </c>
      <c r="K1127" s="10" t="n">
        <v>17</v>
      </c>
      <c r="L1127" s="10" t="n">
        <v>0</v>
      </c>
      <c r="M1127" s="10" t="n">
        <v>0</v>
      </c>
      <c r="N1127" s="10" t="n">
        <v>0</v>
      </c>
      <c r="O1127" s="10" t="n">
        <v>0</v>
      </c>
      <c r="P1127" s="10" t="n">
        <v>0</v>
      </c>
      <c r="Q1127" s="10" t="n">
        <v>0</v>
      </c>
      <c r="R1127" s="10" t="n">
        <v>23</v>
      </c>
      <c r="S1127" s="10" t="n">
        <v>0</v>
      </c>
      <c r="T1127" s="10" t="n">
        <v>0</v>
      </c>
      <c r="U1127" s="10" t="n">
        <v>0</v>
      </c>
    </row>
    <row r="1128" customFormat="false" ht="15" hidden="false" customHeight="false" outlineLevel="0" collapsed="false">
      <c r="A1128" s="7" t="s">
        <v>931</v>
      </c>
      <c r="B1128" s="7" t="s">
        <v>267</v>
      </c>
      <c r="C1128" s="7" t="s">
        <v>884</v>
      </c>
      <c r="D1128" s="10" t="n">
        <v>0</v>
      </c>
      <c r="E1128" s="10" t="n">
        <v>0</v>
      </c>
      <c r="F1128" s="10" t="n">
        <v>121</v>
      </c>
      <c r="G1128" s="10" t="n">
        <v>0</v>
      </c>
      <c r="H1128" s="10" t="n">
        <v>0</v>
      </c>
      <c r="I1128" s="10" t="n">
        <v>13</v>
      </c>
      <c r="J1128" s="10" t="n">
        <v>0</v>
      </c>
      <c r="K1128" s="10" t="n">
        <v>11</v>
      </c>
      <c r="L1128" s="10" t="n">
        <v>0</v>
      </c>
      <c r="M1128" s="10" t="n">
        <v>0</v>
      </c>
      <c r="N1128" s="10" t="n">
        <v>1</v>
      </c>
      <c r="O1128" s="10" t="n">
        <v>0</v>
      </c>
      <c r="P1128" s="10" t="n">
        <v>-1</v>
      </c>
      <c r="Q1128" s="10" t="n">
        <v>0</v>
      </c>
      <c r="R1128" s="10" t="n">
        <v>2</v>
      </c>
      <c r="S1128" s="10" t="n">
        <v>0</v>
      </c>
      <c r="T1128" s="10" t="n">
        <v>0</v>
      </c>
      <c r="U1128" s="10" t="n">
        <v>0</v>
      </c>
    </row>
    <row r="1129" customFormat="false" ht="15" hidden="false" customHeight="false" outlineLevel="0" collapsed="false">
      <c r="A1129" s="7" t="s">
        <v>931</v>
      </c>
      <c r="B1129" s="7" t="s">
        <v>267</v>
      </c>
      <c r="C1129" s="7" t="s">
        <v>885</v>
      </c>
      <c r="D1129" s="10" t="n">
        <v>0</v>
      </c>
      <c r="E1129" s="10" t="n">
        <v>0</v>
      </c>
      <c r="F1129" s="10" t="n">
        <v>83</v>
      </c>
      <c r="G1129" s="10" t="n">
        <v>0</v>
      </c>
      <c r="H1129" s="10" t="n">
        <v>0</v>
      </c>
      <c r="I1129" s="10" t="n">
        <v>20</v>
      </c>
      <c r="J1129" s="10" t="n">
        <v>0</v>
      </c>
      <c r="K1129" s="10" t="n">
        <v>12</v>
      </c>
      <c r="L1129" s="10" t="n">
        <v>0</v>
      </c>
      <c r="M1129" s="10" t="n">
        <v>0</v>
      </c>
      <c r="N1129" s="10" t="n">
        <v>0</v>
      </c>
      <c r="O1129" s="10" t="n">
        <v>0</v>
      </c>
      <c r="P1129" s="10" t="n">
        <v>-2</v>
      </c>
      <c r="Q1129" s="10" t="n">
        <v>0</v>
      </c>
      <c r="R1129" s="10" t="n">
        <v>10</v>
      </c>
      <c r="S1129" s="10" t="n">
        <v>0</v>
      </c>
      <c r="T1129" s="10" t="n">
        <v>0</v>
      </c>
      <c r="U1129" s="10" t="n">
        <v>0</v>
      </c>
    </row>
    <row r="1130" customFormat="false" ht="15" hidden="false" customHeight="false" outlineLevel="0" collapsed="false">
      <c r="A1130" s="7" t="s">
        <v>931</v>
      </c>
      <c r="B1130" s="7" t="s">
        <v>274</v>
      </c>
      <c r="C1130" s="7" t="s">
        <v>886</v>
      </c>
      <c r="D1130" s="10" t="n">
        <v>0</v>
      </c>
      <c r="E1130" s="10" t="n">
        <v>0</v>
      </c>
      <c r="F1130" s="10" t="n">
        <v>92</v>
      </c>
      <c r="G1130" s="10" t="n">
        <v>0</v>
      </c>
      <c r="H1130" s="10" t="n">
        <v>0</v>
      </c>
      <c r="I1130" s="10" t="n">
        <v>2</v>
      </c>
      <c r="J1130" s="10" t="n">
        <v>0</v>
      </c>
      <c r="K1130" s="10" t="n">
        <v>0</v>
      </c>
      <c r="L1130" s="10" t="n">
        <v>0</v>
      </c>
      <c r="M1130" s="10" t="n">
        <v>0</v>
      </c>
      <c r="N1130" s="10" t="n">
        <v>2</v>
      </c>
      <c r="O1130" s="10" t="n">
        <v>0</v>
      </c>
      <c r="P1130" s="10" t="n">
        <v>0</v>
      </c>
      <c r="Q1130" s="10" t="n">
        <v>0</v>
      </c>
      <c r="R1130" s="10" t="n">
        <v>0</v>
      </c>
      <c r="S1130" s="10" t="n">
        <v>0</v>
      </c>
      <c r="T1130" s="10" t="n">
        <v>0</v>
      </c>
      <c r="U1130" s="10" t="n">
        <v>0</v>
      </c>
    </row>
    <row r="1131" customFormat="false" ht="15" hidden="false" customHeight="false" outlineLevel="0" collapsed="false">
      <c r="A1131" s="7" t="s">
        <v>931</v>
      </c>
      <c r="B1131" s="7" t="s">
        <v>274</v>
      </c>
      <c r="C1131" s="7" t="s">
        <v>887</v>
      </c>
      <c r="D1131" s="10" t="n">
        <v>0</v>
      </c>
      <c r="E1131" s="10" t="n">
        <v>0</v>
      </c>
      <c r="F1131" s="10" t="n">
        <v>169</v>
      </c>
      <c r="G1131" s="10" t="n">
        <v>0</v>
      </c>
      <c r="H1131" s="10" t="n">
        <v>0</v>
      </c>
      <c r="I1131" s="10" t="n">
        <v>0</v>
      </c>
      <c r="J1131" s="10" t="n">
        <v>0</v>
      </c>
      <c r="K1131" s="10" t="n">
        <v>0</v>
      </c>
      <c r="L1131" s="10" t="n">
        <v>0</v>
      </c>
      <c r="M1131" s="10" t="n">
        <v>0</v>
      </c>
      <c r="N1131" s="10" t="n">
        <v>0</v>
      </c>
      <c r="O1131" s="10" t="n">
        <v>0</v>
      </c>
      <c r="P1131" s="10" t="n">
        <v>0</v>
      </c>
      <c r="Q1131" s="10" t="n">
        <v>0</v>
      </c>
      <c r="R1131" s="10" t="n">
        <v>0</v>
      </c>
      <c r="S1131" s="10" t="n">
        <v>0</v>
      </c>
      <c r="T1131" s="10" t="n">
        <v>0</v>
      </c>
      <c r="U1131" s="10" t="n">
        <v>0</v>
      </c>
    </row>
    <row r="1132" customFormat="false" ht="15" hidden="false" customHeight="false" outlineLevel="0" collapsed="false">
      <c r="A1132" s="7" t="s">
        <v>931</v>
      </c>
      <c r="B1132" s="7" t="s">
        <v>274</v>
      </c>
      <c r="C1132" s="7" t="s">
        <v>888</v>
      </c>
      <c r="D1132" s="10" t="n">
        <v>0</v>
      </c>
      <c r="E1132" s="10" t="n">
        <v>0</v>
      </c>
      <c r="F1132" s="10" t="n">
        <v>117</v>
      </c>
      <c r="G1132" s="10" t="n">
        <v>0</v>
      </c>
      <c r="H1132" s="10" t="n">
        <v>0</v>
      </c>
      <c r="I1132" s="10" t="n">
        <v>2</v>
      </c>
      <c r="J1132" s="10" t="n">
        <v>0</v>
      </c>
      <c r="K1132" s="10" t="n">
        <v>0</v>
      </c>
      <c r="L1132" s="10" t="n">
        <v>0</v>
      </c>
      <c r="M1132" s="10" t="n">
        <v>0</v>
      </c>
      <c r="N1132" s="10" t="n">
        <v>2</v>
      </c>
      <c r="O1132" s="10" t="n">
        <v>0</v>
      </c>
      <c r="P1132" s="10" t="n">
        <v>0</v>
      </c>
      <c r="Q1132" s="10" t="n">
        <v>0</v>
      </c>
      <c r="R1132" s="10" t="n">
        <v>0</v>
      </c>
      <c r="S1132" s="10" t="n">
        <v>0</v>
      </c>
      <c r="T1132" s="10" t="n">
        <v>0</v>
      </c>
      <c r="U1132" s="10" t="n">
        <v>0</v>
      </c>
    </row>
    <row r="1133" customFormat="false" ht="15" hidden="false" customHeight="false" outlineLevel="0" collapsed="false">
      <c r="A1133" s="7" t="s">
        <v>931</v>
      </c>
      <c r="B1133" s="7" t="s">
        <v>274</v>
      </c>
      <c r="C1133" s="7" t="s">
        <v>889</v>
      </c>
      <c r="D1133" s="10" t="n">
        <v>0</v>
      </c>
      <c r="E1133" s="10" t="n">
        <v>0</v>
      </c>
      <c r="F1133" s="10" t="n">
        <v>89</v>
      </c>
      <c r="G1133" s="10" t="n">
        <v>0</v>
      </c>
      <c r="H1133" s="10" t="n">
        <v>0</v>
      </c>
      <c r="I1133" s="10" t="n">
        <v>2</v>
      </c>
      <c r="J1133" s="10" t="n">
        <v>0</v>
      </c>
      <c r="K1133" s="10" t="n">
        <v>0</v>
      </c>
      <c r="L1133" s="10" t="n">
        <v>0</v>
      </c>
      <c r="M1133" s="10" t="n">
        <v>0</v>
      </c>
      <c r="N1133" s="10" t="n">
        <v>2</v>
      </c>
      <c r="O1133" s="10" t="n">
        <v>0</v>
      </c>
      <c r="P1133" s="10" t="n">
        <v>0</v>
      </c>
      <c r="Q1133" s="10" t="n">
        <v>0</v>
      </c>
      <c r="R1133" s="10" t="n">
        <v>0</v>
      </c>
      <c r="S1133" s="10" t="n">
        <v>1</v>
      </c>
      <c r="T1133" s="10" t="n">
        <v>0</v>
      </c>
      <c r="U1133" s="10" t="n">
        <v>0</v>
      </c>
    </row>
    <row r="1134" customFormat="false" ht="15" hidden="false" customHeight="false" outlineLevel="0" collapsed="false">
      <c r="A1134" s="7" t="s">
        <v>931</v>
      </c>
      <c r="B1134" s="7" t="s">
        <v>274</v>
      </c>
      <c r="C1134" s="7" t="s">
        <v>890</v>
      </c>
      <c r="D1134" s="10" t="n">
        <v>0</v>
      </c>
      <c r="E1134" s="10" t="n">
        <v>0</v>
      </c>
      <c r="F1134" s="10" t="n">
        <v>4</v>
      </c>
      <c r="G1134" s="10" t="n">
        <v>0</v>
      </c>
      <c r="H1134" s="10" t="n">
        <v>0</v>
      </c>
      <c r="I1134" s="10" t="n">
        <v>0</v>
      </c>
      <c r="J1134" s="10" t="n">
        <v>0</v>
      </c>
      <c r="K1134" s="10" t="n">
        <v>0</v>
      </c>
      <c r="L1134" s="10" t="n">
        <v>0</v>
      </c>
      <c r="M1134" s="10" t="n">
        <v>0</v>
      </c>
      <c r="N1134" s="10" t="n">
        <v>0</v>
      </c>
      <c r="O1134" s="10" t="n">
        <v>0</v>
      </c>
      <c r="P1134" s="10" t="n">
        <v>0</v>
      </c>
      <c r="Q1134" s="10" t="n">
        <v>0</v>
      </c>
      <c r="R1134" s="10" t="n">
        <v>0</v>
      </c>
      <c r="S1134" s="10" t="n">
        <v>1</v>
      </c>
      <c r="T1134" s="10" t="n">
        <v>0</v>
      </c>
      <c r="U1134" s="10" t="n">
        <v>0</v>
      </c>
    </row>
    <row r="1135" customFormat="false" ht="15" hidden="false" customHeight="false" outlineLevel="0" collapsed="false">
      <c r="A1135" s="7" t="s">
        <v>931</v>
      </c>
      <c r="B1135" s="7" t="s">
        <v>158</v>
      </c>
      <c r="C1135" s="7" t="s">
        <v>891</v>
      </c>
      <c r="D1135" s="10" t="n">
        <v>0</v>
      </c>
      <c r="E1135" s="10" t="n">
        <v>0</v>
      </c>
      <c r="F1135" s="10" t="n">
        <v>44</v>
      </c>
      <c r="G1135" s="10" t="n">
        <v>0</v>
      </c>
      <c r="H1135" s="10" t="n">
        <v>0</v>
      </c>
      <c r="I1135" s="10" t="n">
        <v>230</v>
      </c>
      <c r="J1135" s="10" t="n">
        <v>0</v>
      </c>
      <c r="K1135" s="10" t="n">
        <v>0</v>
      </c>
      <c r="L1135" s="10" t="n">
        <v>0</v>
      </c>
      <c r="M1135" s="10" t="n">
        <v>0</v>
      </c>
      <c r="N1135" s="10" t="n">
        <v>0</v>
      </c>
      <c r="O1135" s="10" t="n">
        <v>0</v>
      </c>
      <c r="P1135" s="10" t="n">
        <v>-1</v>
      </c>
      <c r="Q1135" s="10" t="n">
        <v>217</v>
      </c>
      <c r="R1135" s="10" t="n">
        <v>14</v>
      </c>
      <c r="S1135" s="10" t="n">
        <v>0</v>
      </c>
      <c r="T1135" s="10" t="n">
        <v>0</v>
      </c>
      <c r="U1135" s="10" t="n">
        <v>0</v>
      </c>
    </row>
    <row r="1136" customFormat="false" ht="15" hidden="false" customHeight="false" outlineLevel="0" collapsed="false">
      <c r="A1136" s="7" t="s">
        <v>931</v>
      </c>
      <c r="B1136" s="7" t="s">
        <v>338</v>
      </c>
      <c r="C1136" s="7" t="s">
        <v>892</v>
      </c>
      <c r="D1136" s="10" t="n">
        <v>0</v>
      </c>
      <c r="E1136" s="10" t="n">
        <v>0</v>
      </c>
      <c r="F1136" s="10" t="n">
        <v>2</v>
      </c>
      <c r="G1136" s="10" t="n">
        <v>0</v>
      </c>
      <c r="H1136" s="10" t="n">
        <v>0</v>
      </c>
      <c r="I1136" s="10" t="n">
        <v>0</v>
      </c>
      <c r="J1136" s="10" t="n">
        <v>0</v>
      </c>
      <c r="K1136" s="10" t="n">
        <v>0</v>
      </c>
      <c r="L1136" s="10" t="n">
        <v>0</v>
      </c>
      <c r="M1136" s="10" t="n">
        <v>0</v>
      </c>
      <c r="N1136" s="10" t="n">
        <v>0</v>
      </c>
      <c r="O1136" s="10" t="n">
        <v>0</v>
      </c>
      <c r="P1136" s="10" t="n">
        <v>0</v>
      </c>
      <c r="Q1136" s="10" t="n">
        <v>0</v>
      </c>
      <c r="R1136" s="10" t="n">
        <v>0</v>
      </c>
      <c r="S1136" s="10" t="n">
        <v>0</v>
      </c>
      <c r="T1136" s="10" t="n">
        <v>0</v>
      </c>
      <c r="U1136" s="10" t="n">
        <v>0</v>
      </c>
    </row>
    <row r="1137" customFormat="false" ht="15" hidden="false" customHeight="false" outlineLevel="0" collapsed="false">
      <c r="A1137" s="7" t="s">
        <v>931</v>
      </c>
      <c r="B1137" s="7" t="s">
        <v>316</v>
      </c>
      <c r="C1137" s="7" t="s">
        <v>893</v>
      </c>
      <c r="D1137" s="10" t="n">
        <v>0</v>
      </c>
      <c r="E1137" s="10" t="n">
        <v>0</v>
      </c>
      <c r="F1137" s="10" t="n">
        <v>8</v>
      </c>
      <c r="G1137" s="10" t="n">
        <v>0</v>
      </c>
      <c r="H1137" s="10" t="n">
        <v>0</v>
      </c>
      <c r="I1137" s="10" t="n">
        <v>0</v>
      </c>
      <c r="J1137" s="10" t="n">
        <v>0</v>
      </c>
      <c r="K1137" s="10" t="n">
        <v>0</v>
      </c>
      <c r="L1137" s="10" t="n">
        <v>0</v>
      </c>
      <c r="M1137" s="10" t="n">
        <v>0</v>
      </c>
      <c r="N1137" s="10" t="n">
        <v>0</v>
      </c>
      <c r="O1137" s="10" t="n">
        <v>0</v>
      </c>
      <c r="P1137" s="10" t="n">
        <v>0</v>
      </c>
      <c r="Q1137" s="10" t="n">
        <v>0</v>
      </c>
      <c r="R1137" s="10" t="n">
        <v>0</v>
      </c>
      <c r="S1137" s="10" t="n">
        <v>0</v>
      </c>
      <c r="T1137" s="10" t="n">
        <v>0</v>
      </c>
      <c r="U1137" s="10" t="n">
        <v>0</v>
      </c>
    </row>
    <row r="1138" customFormat="false" ht="15" hidden="false" customHeight="false" outlineLevel="0" collapsed="false">
      <c r="A1138" s="7" t="s">
        <v>931</v>
      </c>
      <c r="B1138" s="7" t="s">
        <v>285</v>
      </c>
      <c r="C1138" s="7" t="s">
        <v>894</v>
      </c>
      <c r="D1138" s="10" t="n">
        <v>0</v>
      </c>
      <c r="E1138" s="10" t="n">
        <v>0</v>
      </c>
      <c r="F1138" s="10" t="n">
        <v>28</v>
      </c>
      <c r="G1138" s="10" t="n">
        <v>0</v>
      </c>
      <c r="H1138" s="10" t="n">
        <v>0</v>
      </c>
      <c r="I1138" s="10" t="n">
        <v>0</v>
      </c>
      <c r="J1138" s="10" t="n">
        <v>0</v>
      </c>
      <c r="K1138" s="10" t="n">
        <v>0</v>
      </c>
      <c r="L1138" s="10" t="n">
        <v>0</v>
      </c>
      <c r="M1138" s="10" t="n">
        <v>0</v>
      </c>
      <c r="N1138" s="10" t="n">
        <v>0</v>
      </c>
      <c r="O1138" s="10" t="n">
        <v>0</v>
      </c>
      <c r="P1138" s="10" t="n">
        <v>0</v>
      </c>
      <c r="Q1138" s="10" t="n">
        <v>0</v>
      </c>
      <c r="R1138" s="10" t="n">
        <v>0</v>
      </c>
      <c r="S1138" s="10" t="n">
        <v>0</v>
      </c>
      <c r="T1138" s="10" t="n">
        <v>0</v>
      </c>
      <c r="U1138" s="10" t="n">
        <v>0</v>
      </c>
    </row>
    <row r="1139" customFormat="false" ht="15" hidden="false" customHeight="false" outlineLevel="0" collapsed="false">
      <c r="A1139" s="7" t="s">
        <v>931</v>
      </c>
      <c r="B1139" s="7" t="s">
        <v>301</v>
      </c>
      <c r="C1139" s="7" t="s">
        <v>895</v>
      </c>
      <c r="D1139" s="10" t="n">
        <v>0</v>
      </c>
      <c r="E1139" s="10" t="n">
        <v>0</v>
      </c>
      <c r="F1139" s="10" t="n">
        <v>-2</v>
      </c>
      <c r="G1139" s="10" t="n">
        <v>0</v>
      </c>
      <c r="H1139" s="10" t="n">
        <v>0</v>
      </c>
      <c r="I1139" s="10" t="n">
        <v>0</v>
      </c>
      <c r="J1139" s="10" t="n">
        <v>0</v>
      </c>
      <c r="K1139" s="10" t="n">
        <v>0</v>
      </c>
      <c r="L1139" s="10" t="n">
        <v>0</v>
      </c>
      <c r="M1139" s="10" t="n">
        <v>0</v>
      </c>
      <c r="N1139" s="10" t="n">
        <v>0</v>
      </c>
      <c r="O1139" s="10" t="n">
        <v>0</v>
      </c>
      <c r="P1139" s="10" t="n">
        <v>0</v>
      </c>
      <c r="Q1139" s="10" t="n">
        <v>0</v>
      </c>
      <c r="R1139" s="10" t="n">
        <v>0</v>
      </c>
      <c r="S1139" s="10" t="n">
        <v>0</v>
      </c>
      <c r="T1139" s="10" t="n">
        <v>0</v>
      </c>
      <c r="U1139" s="10" t="n">
        <v>0</v>
      </c>
    </row>
    <row r="1140" customFormat="false" ht="15" hidden="false" customHeight="false" outlineLevel="0" collapsed="false">
      <c r="A1140" s="7" t="s">
        <v>931</v>
      </c>
      <c r="B1140" s="7" t="s">
        <v>145</v>
      </c>
      <c r="C1140" s="7" t="s">
        <v>896</v>
      </c>
      <c r="D1140" s="10" t="n">
        <v>0</v>
      </c>
      <c r="E1140" s="10" t="n">
        <v>0</v>
      </c>
      <c r="F1140" s="10" t="n">
        <v>72</v>
      </c>
      <c r="G1140" s="10" t="n">
        <v>0</v>
      </c>
      <c r="H1140" s="10" t="n">
        <v>0</v>
      </c>
      <c r="I1140" s="10" t="n">
        <v>382</v>
      </c>
      <c r="J1140" s="10" t="n">
        <v>0</v>
      </c>
      <c r="K1140" s="10" t="n">
        <v>0</v>
      </c>
      <c r="L1140" s="10" t="n">
        <v>0</v>
      </c>
      <c r="M1140" s="10" t="n">
        <v>0</v>
      </c>
      <c r="N1140" s="10" t="n">
        <v>0</v>
      </c>
      <c r="O1140" s="10" t="n">
        <v>0</v>
      </c>
      <c r="P1140" s="10" t="n">
        <v>0</v>
      </c>
      <c r="Q1140" s="10" t="n">
        <v>382</v>
      </c>
      <c r="R1140" s="10" t="n">
        <v>0</v>
      </c>
      <c r="S1140" s="10" t="n">
        <v>0</v>
      </c>
      <c r="T1140" s="10" t="n">
        <v>0</v>
      </c>
      <c r="U1140" s="10" t="n">
        <v>0</v>
      </c>
    </row>
    <row r="1141" customFormat="false" ht="15" hidden="false" customHeight="false" outlineLevel="0" collapsed="false">
      <c r="A1141" s="7" t="s">
        <v>931</v>
      </c>
      <c r="B1141" s="7" t="s">
        <v>145</v>
      </c>
      <c r="C1141" s="7" t="s">
        <v>897</v>
      </c>
      <c r="D1141" s="10" t="n">
        <v>0</v>
      </c>
      <c r="E1141" s="10" t="n">
        <v>0</v>
      </c>
      <c r="F1141" s="10" t="n">
        <v>117</v>
      </c>
      <c r="G1141" s="10" t="n">
        <v>0</v>
      </c>
      <c r="H1141" s="10" t="n">
        <v>0</v>
      </c>
      <c r="I1141" s="10" t="n">
        <v>532</v>
      </c>
      <c r="J1141" s="10" t="n">
        <v>0</v>
      </c>
      <c r="K1141" s="10" t="n">
        <v>0</v>
      </c>
      <c r="L1141" s="10" t="n">
        <v>0</v>
      </c>
      <c r="M1141" s="10" t="n">
        <v>0</v>
      </c>
      <c r="N1141" s="10" t="n">
        <v>0</v>
      </c>
      <c r="O1141" s="10" t="n">
        <v>0</v>
      </c>
      <c r="P1141" s="10" t="n">
        <v>0</v>
      </c>
      <c r="Q1141" s="10" t="n">
        <v>532</v>
      </c>
      <c r="R1141" s="10" t="n">
        <v>0</v>
      </c>
      <c r="S1141" s="10" t="n">
        <v>0</v>
      </c>
      <c r="T1141" s="10" t="n">
        <v>0</v>
      </c>
      <c r="U1141" s="10" t="n">
        <v>0</v>
      </c>
    </row>
    <row r="1142" customFormat="false" ht="15" hidden="false" customHeight="false" outlineLevel="0" collapsed="false">
      <c r="A1142" s="7" t="s">
        <v>931</v>
      </c>
      <c r="B1142" s="7" t="s">
        <v>145</v>
      </c>
      <c r="C1142" s="7" t="s">
        <v>898</v>
      </c>
      <c r="D1142" s="10" t="n">
        <v>0</v>
      </c>
      <c r="E1142" s="10" t="n">
        <v>0</v>
      </c>
      <c r="F1142" s="10" t="n">
        <v>80</v>
      </c>
      <c r="G1142" s="10" t="n">
        <v>0</v>
      </c>
      <c r="H1142" s="10" t="n">
        <v>0</v>
      </c>
      <c r="I1142" s="10" t="n">
        <v>262</v>
      </c>
      <c r="J1142" s="10" t="n">
        <v>0</v>
      </c>
      <c r="K1142" s="10" t="n">
        <v>0</v>
      </c>
      <c r="L1142" s="10" t="n">
        <v>0</v>
      </c>
      <c r="M1142" s="10" t="n">
        <v>0</v>
      </c>
      <c r="N1142" s="10" t="n">
        <v>0</v>
      </c>
      <c r="O1142" s="10" t="n">
        <v>0</v>
      </c>
      <c r="P1142" s="10" t="n">
        <v>0</v>
      </c>
      <c r="Q1142" s="10" t="n">
        <v>262</v>
      </c>
      <c r="R1142" s="10" t="n">
        <v>0</v>
      </c>
      <c r="S1142" s="10" t="n">
        <v>0</v>
      </c>
      <c r="T1142" s="10" t="n">
        <v>0</v>
      </c>
      <c r="U1142" s="10" t="n">
        <v>0</v>
      </c>
    </row>
    <row r="1143" customFormat="false" ht="15" hidden="false" customHeight="false" outlineLevel="0" collapsed="false">
      <c r="A1143" s="7" t="s">
        <v>931</v>
      </c>
      <c r="B1143" s="7" t="s">
        <v>145</v>
      </c>
      <c r="C1143" s="7" t="s">
        <v>899</v>
      </c>
      <c r="D1143" s="10" t="n">
        <v>0</v>
      </c>
      <c r="E1143" s="10" t="n">
        <v>0</v>
      </c>
      <c r="F1143" s="10" t="n">
        <v>89</v>
      </c>
      <c r="G1143" s="10" t="n">
        <v>0</v>
      </c>
      <c r="H1143" s="10" t="n">
        <v>0</v>
      </c>
      <c r="I1143" s="10" t="n">
        <v>350</v>
      </c>
      <c r="J1143" s="10" t="n">
        <v>0</v>
      </c>
      <c r="K1143" s="10" t="n">
        <v>0</v>
      </c>
      <c r="L1143" s="10" t="n">
        <v>0</v>
      </c>
      <c r="M1143" s="10" t="n">
        <v>0</v>
      </c>
      <c r="N1143" s="10" t="n">
        <v>0</v>
      </c>
      <c r="O1143" s="10" t="n">
        <v>0</v>
      </c>
      <c r="P1143" s="10" t="n">
        <v>0</v>
      </c>
      <c r="Q1143" s="10" t="n">
        <v>350</v>
      </c>
      <c r="R1143" s="10" t="n">
        <v>0</v>
      </c>
      <c r="S1143" s="10" t="n">
        <v>0</v>
      </c>
      <c r="T1143" s="10" t="n">
        <v>0</v>
      </c>
      <c r="U1143" s="10" t="n">
        <v>0</v>
      </c>
    </row>
    <row r="1144" customFormat="false" ht="15" hidden="false" customHeight="false" outlineLevel="0" collapsed="false">
      <c r="A1144" s="7" t="s">
        <v>931</v>
      </c>
      <c r="B1144" s="7" t="s">
        <v>137</v>
      </c>
      <c r="C1144" s="7" t="s">
        <v>900</v>
      </c>
      <c r="D1144" s="10" t="n">
        <v>0</v>
      </c>
      <c r="E1144" s="10" t="n">
        <v>0</v>
      </c>
      <c r="F1144" s="10" t="n">
        <v>702</v>
      </c>
      <c r="G1144" s="10" t="n">
        <v>0</v>
      </c>
      <c r="H1144" s="10" t="n">
        <v>0</v>
      </c>
      <c r="I1144" s="10" t="n">
        <v>1235</v>
      </c>
      <c r="J1144" s="10" t="n">
        <v>0</v>
      </c>
      <c r="K1144" s="10" t="n">
        <v>0</v>
      </c>
      <c r="L1144" s="10" t="n">
        <v>0</v>
      </c>
      <c r="M1144" s="10" t="n">
        <v>0</v>
      </c>
      <c r="N1144" s="10" t="n">
        <v>0</v>
      </c>
      <c r="O1144" s="10" t="n">
        <v>0</v>
      </c>
      <c r="P1144" s="10" t="n">
        <v>0</v>
      </c>
      <c r="Q1144" s="10" t="n">
        <v>1235</v>
      </c>
      <c r="R1144" s="10" t="n">
        <v>0</v>
      </c>
      <c r="S1144" s="10" t="n">
        <v>0</v>
      </c>
      <c r="T1144" s="10" t="n">
        <v>0</v>
      </c>
      <c r="U1144" s="10" t="n">
        <v>0</v>
      </c>
    </row>
    <row r="1145" customFormat="false" ht="15" hidden="false" customHeight="false" outlineLevel="0" collapsed="false">
      <c r="A1145" s="7" t="s">
        <v>931</v>
      </c>
      <c r="B1145" s="7" t="s">
        <v>85</v>
      </c>
      <c r="C1145" s="7" t="s">
        <v>901</v>
      </c>
      <c r="D1145" s="10" t="n">
        <v>0</v>
      </c>
      <c r="E1145" s="10" t="n">
        <v>0</v>
      </c>
      <c r="F1145" s="10" t="n">
        <v>482</v>
      </c>
      <c r="G1145" s="10" t="n">
        <v>0</v>
      </c>
      <c r="H1145" s="10" t="n">
        <v>0</v>
      </c>
      <c r="I1145" s="10" t="n">
        <v>1790</v>
      </c>
      <c r="J1145" s="10" t="n">
        <v>0</v>
      </c>
      <c r="K1145" s="10" t="n">
        <v>0</v>
      </c>
      <c r="L1145" s="10" t="n">
        <v>0</v>
      </c>
      <c r="M1145" s="10" t="n">
        <v>0</v>
      </c>
      <c r="N1145" s="10" t="n">
        <v>0</v>
      </c>
      <c r="O1145" s="10" t="n">
        <v>0</v>
      </c>
      <c r="P1145" s="10" t="n">
        <v>0</v>
      </c>
      <c r="Q1145" s="10" t="n">
        <v>1790</v>
      </c>
      <c r="R1145" s="10" t="n">
        <v>0</v>
      </c>
      <c r="S1145" s="10" t="n">
        <v>0</v>
      </c>
      <c r="T1145" s="10" t="n">
        <v>0</v>
      </c>
      <c r="U1145" s="10" t="n">
        <v>0</v>
      </c>
    </row>
    <row r="1146" customFormat="false" ht="15" hidden="false" customHeight="false" outlineLevel="0" collapsed="false">
      <c r="A1146" s="7" t="s">
        <v>931</v>
      </c>
      <c r="B1146" s="7" t="s">
        <v>86</v>
      </c>
      <c r="C1146" s="7" t="s">
        <v>902</v>
      </c>
      <c r="D1146" s="10" t="n">
        <v>0</v>
      </c>
      <c r="E1146" s="10" t="n">
        <v>0</v>
      </c>
      <c r="F1146" s="10" t="n">
        <v>400</v>
      </c>
      <c r="G1146" s="10" t="n">
        <v>0</v>
      </c>
      <c r="H1146" s="10" t="n">
        <v>0</v>
      </c>
      <c r="I1146" s="10" t="n">
        <v>1556</v>
      </c>
      <c r="J1146" s="10" t="n">
        <v>0</v>
      </c>
      <c r="K1146" s="10" t="n">
        <v>0</v>
      </c>
      <c r="L1146" s="10" t="n">
        <v>0</v>
      </c>
      <c r="M1146" s="10" t="n">
        <v>0</v>
      </c>
      <c r="N1146" s="10" t="n">
        <v>0</v>
      </c>
      <c r="O1146" s="10" t="n">
        <v>0</v>
      </c>
      <c r="P1146" s="10" t="n">
        <v>0</v>
      </c>
      <c r="Q1146" s="10" t="n">
        <v>1556</v>
      </c>
      <c r="R1146" s="10" t="n">
        <v>0</v>
      </c>
      <c r="S1146" s="10" t="n">
        <v>0</v>
      </c>
      <c r="T1146" s="10" t="n">
        <v>0</v>
      </c>
      <c r="U1146" s="10" t="n">
        <v>0</v>
      </c>
    </row>
    <row r="1147" customFormat="false" ht="15" hidden="false" customHeight="false" outlineLevel="0" collapsed="false">
      <c r="A1147" s="7" t="s">
        <v>931</v>
      </c>
      <c r="B1147" s="7" t="s">
        <v>95</v>
      </c>
      <c r="C1147" s="7" t="s">
        <v>903</v>
      </c>
      <c r="D1147" s="10" t="n">
        <v>0</v>
      </c>
      <c r="E1147" s="10" t="n">
        <v>0</v>
      </c>
      <c r="F1147" s="10" t="n">
        <v>201</v>
      </c>
      <c r="G1147" s="10" t="n">
        <v>0</v>
      </c>
      <c r="H1147" s="10" t="n">
        <v>0</v>
      </c>
      <c r="I1147" s="10" t="n">
        <v>1134</v>
      </c>
      <c r="J1147" s="10" t="n">
        <v>0</v>
      </c>
      <c r="K1147" s="10" t="n">
        <v>0</v>
      </c>
      <c r="L1147" s="10" t="n">
        <v>0</v>
      </c>
      <c r="M1147" s="10" t="n">
        <v>0</v>
      </c>
      <c r="N1147" s="10" t="n">
        <v>0</v>
      </c>
      <c r="O1147" s="10" t="n">
        <v>0</v>
      </c>
      <c r="P1147" s="10" t="n">
        <v>0</v>
      </c>
      <c r="Q1147" s="10" t="n">
        <v>1134</v>
      </c>
      <c r="R1147" s="10" t="n">
        <v>0</v>
      </c>
      <c r="S1147" s="10" t="n">
        <v>0</v>
      </c>
      <c r="T1147" s="10" t="n">
        <v>0</v>
      </c>
      <c r="U1147" s="10" t="n">
        <v>0</v>
      </c>
    </row>
    <row r="1148" customFormat="false" ht="15" hidden="false" customHeight="false" outlineLevel="0" collapsed="false">
      <c r="A1148" s="7" t="s">
        <v>931</v>
      </c>
      <c r="B1148" s="7" t="s">
        <v>330</v>
      </c>
      <c r="C1148" s="7" t="s">
        <v>904</v>
      </c>
      <c r="D1148" s="10" t="n">
        <v>0</v>
      </c>
      <c r="E1148" s="10" t="n">
        <v>0</v>
      </c>
      <c r="F1148" s="10" t="n">
        <v>1</v>
      </c>
      <c r="G1148" s="10" t="n">
        <v>0</v>
      </c>
      <c r="H1148" s="10" t="n">
        <v>0</v>
      </c>
      <c r="I1148" s="10" t="n">
        <v>0</v>
      </c>
      <c r="J1148" s="10" t="n">
        <v>0</v>
      </c>
      <c r="K1148" s="10" t="n">
        <v>0</v>
      </c>
      <c r="L1148" s="10" t="n">
        <v>0</v>
      </c>
      <c r="M1148" s="10" t="n">
        <v>0</v>
      </c>
      <c r="N1148" s="10" t="n">
        <v>0</v>
      </c>
      <c r="O1148" s="10" t="n">
        <v>0</v>
      </c>
      <c r="P1148" s="10" t="n">
        <v>0</v>
      </c>
      <c r="Q1148" s="10" t="n">
        <v>0</v>
      </c>
      <c r="R1148" s="10" t="n">
        <v>0</v>
      </c>
      <c r="S1148" s="10" t="n">
        <v>0</v>
      </c>
      <c r="T1148" s="10" t="n">
        <v>0</v>
      </c>
      <c r="U1148" s="10" t="n">
        <v>0</v>
      </c>
    </row>
    <row r="1149" customFormat="false" ht="15" hidden="false" customHeight="false" outlineLevel="0" collapsed="false">
      <c r="A1149" s="7" t="s">
        <v>931</v>
      </c>
      <c r="B1149" s="7" t="s">
        <v>304</v>
      </c>
      <c r="C1149" s="7" t="s">
        <v>905</v>
      </c>
      <c r="D1149" s="10" t="n">
        <v>0</v>
      </c>
      <c r="E1149" s="10" t="n">
        <v>0</v>
      </c>
      <c r="F1149" s="10" t="n">
        <v>2</v>
      </c>
      <c r="G1149" s="10" t="n">
        <v>0</v>
      </c>
      <c r="H1149" s="10" t="n">
        <v>0</v>
      </c>
      <c r="I1149" s="10" t="n">
        <v>0</v>
      </c>
      <c r="J1149" s="10" t="n">
        <v>0</v>
      </c>
      <c r="K1149" s="10" t="n">
        <v>0</v>
      </c>
      <c r="L1149" s="10" t="n">
        <v>0</v>
      </c>
      <c r="M1149" s="10" t="n">
        <v>0</v>
      </c>
      <c r="N1149" s="10" t="n">
        <v>0</v>
      </c>
      <c r="O1149" s="10" t="n">
        <v>0</v>
      </c>
      <c r="P1149" s="10" t="n">
        <v>0</v>
      </c>
      <c r="Q1149" s="10" t="n">
        <v>0</v>
      </c>
      <c r="R1149" s="10" t="n">
        <v>0</v>
      </c>
      <c r="S1149" s="10" t="n">
        <v>0</v>
      </c>
      <c r="T1149" s="10" t="n">
        <v>0</v>
      </c>
      <c r="U1149" s="10" t="n">
        <v>0</v>
      </c>
    </row>
    <row r="1150" customFormat="false" ht="15" hidden="false" customHeight="false" outlineLevel="0" collapsed="false">
      <c r="A1150" s="7" t="s">
        <v>931</v>
      </c>
      <c r="B1150" s="7" t="s">
        <v>334</v>
      </c>
      <c r="C1150" s="7" t="s">
        <v>906</v>
      </c>
      <c r="D1150" s="10" t="n">
        <v>0</v>
      </c>
      <c r="E1150" s="10" t="n">
        <v>0</v>
      </c>
      <c r="F1150" s="10" t="n">
        <v>-1</v>
      </c>
      <c r="G1150" s="10" t="n">
        <v>0</v>
      </c>
      <c r="H1150" s="10" t="n">
        <v>0</v>
      </c>
      <c r="I1150" s="10" t="n">
        <v>0</v>
      </c>
      <c r="J1150" s="10" t="n">
        <v>0</v>
      </c>
      <c r="K1150" s="10" t="n">
        <v>0</v>
      </c>
      <c r="L1150" s="10" t="n">
        <v>0</v>
      </c>
      <c r="M1150" s="10" t="n">
        <v>0</v>
      </c>
      <c r="N1150" s="10" t="n">
        <v>0</v>
      </c>
      <c r="O1150" s="10" t="n">
        <v>0</v>
      </c>
      <c r="P1150" s="10" t="n">
        <v>0</v>
      </c>
      <c r="Q1150" s="10" t="n">
        <v>0</v>
      </c>
      <c r="R1150" s="10" t="n">
        <v>0</v>
      </c>
      <c r="S1150" s="10" t="n">
        <v>0</v>
      </c>
      <c r="T1150" s="10" t="n">
        <v>0</v>
      </c>
      <c r="U1150" s="10" t="n">
        <v>0</v>
      </c>
    </row>
    <row r="1151" customFormat="false" ht="15" hidden="false" customHeight="false" outlineLevel="0" collapsed="false">
      <c r="A1151" s="7" t="s">
        <v>931</v>
      </c>
      <c r="B1151" s="7" t="s">
        <v>128</v>
      </c>
      <c r="C1151" s="7" t="s">
        <v>907</v>
      </c>
      <c r="D1151" s="10" t="n">
        <v>0</v>
      </c>
      <c r="E1151" s="10" t="n">
        <v>0</v>
      </c>
      <c r="F1151" s="10" t="n">
        <v>241</v>
      </c>
      <c r="G1151" s="10" t="n">
        <v>0</v>
      </c>
      <c r="H1151" s="10" t="n">
        <v>0</v>
      </c>
      <c r="I1151" s="10" t="n">
        <v>935</v>
      </c>
      <c r="J1151" s="10" t="n">
        <v>0</v>
      </c>
      <c r="K1151" s="10" t="n">
        <v>0</v>
      </c>
      <c r="L1151" s="10" t="n">
        <v>0</v>
      </c>
      <c r="M1151" s="10" t="n">
        <v>0</v>
      </c>
      <c r="N1151" s="10" t="n">
        <v>0</v>
      </c>
      <c r="O1151" s="10" t="n">
        <v>0</v>
      </c>
      <c r="P1151" s="10" t="n">
        <v>0</v>
      </c>
      <c r="Q1151" s="10" t="n">
        <v>935</v>
      </c>
      <c r="R1151" s="10" t="n">
        <v>0</v>
      </c>
      <c r="S1151" s="10" t="n">
        <v>0</v>
      </c>
      <c r="T1151" s="10" t="n">
        <v>0</v>
      </c>
      <c r="U1151" s="10" t="n">
        <v>0</v>
      </c>
    </row>
    <row r="1152" customFormat="false" ht="15" hidden="false" customHeight="false" outlineLevel="0" collapsed="false">
      <c r="A1152" s="7" t="s">
        <v>931</v>
      </c>
      <c r="B1152" s="7" t="s">
        <v>128</v>
      </c>
      <c r="C1152" s="7" t="s">
        <v>908</v>
      </c>
      <c r="D1152" s="10" t="n">
        <v>0</v>
      </c>
      <c r="E1152" s="10" t="n">
        <v>0</v>
      </c>
      <c r="F1152" s="10" t="n">
        <v>160</v>
      </c>
      <c r="G1152" s="10" t="n">
        <v>0</v>
      </c>
      <c r="H1152" s="10" t="n">
        <v>0</v>
      </c>
      <c r="I1152" s="10" t="n">
        <v>802</v>
      </c>
      <c r="J1152" s="10" t="n">
        <v>0</v>
      </c>
      <c r="K1152" s="10" t="n">
        <v>0</v>
      </c>
      <c r="L1152" s="10" t="n">
        <v>0</v>
      </c>
      <c r="M1152" s="10" t="n">
        <v>0</v>
      </c>
      <c r="N1152" s="10" t="n">
        <v>0</v>
      </c>
      <c r="O1152" s="10" t="n">
        <v>0</v>
      </c>
      <c r="P1152" s="10" t="n">
        <v>0</v>
      </c>
      <c r="Q1152" s="10" t="n">
        <v>802</v>
      </c>
      <c r="R1152" s="10" t="n">
        <v>0</v>
      </c>
      <c r="S1152" s="10" t="n">
        <v>0</v>
      </c>
      <c r="T1152" s="10" t="n">
        <v>0</v>
      </c>
      <c r="U1152" s="10" t="n">
        <v>0</v>
      </c>
    </row>
    <row r="1153" customFormat="false" ht="15" hidden="false" customHeight="false" outlineLevel="0" collapsed="false">
      <c r="A1153" s="7" t="s">
        <v>931</v>
      </c>
      <c r="B1153" s="7" t="s">
        <v>128</v>
      </c>
      <c r="C1153" s="7" t="s">
        <v>909</v>
      </c>
      <c r="D1153" s="10" t="n">
        <v>0</v>
      </c>
      <c r="E1153" s="10" t="n">
        <v>0</v>
      </c>
      <c r="F1153" s="10" t="n">
        <v>113</v>
      </c>
      <c r="G1153" s="10" t="n">
        <v>0</v>
      </c>
      <c r="H1153" s="10" t="n">
        <v>0</v>
      </c>
      <c r="I1153" s="10" t="n">
        <v>588</v>
      </c>
      <c r="J1153" s="10" t="n">
        <v>0</v>
      </c>
      <c r="K1153" s="10" t="n">
        <v>0</v>
      </c>
      <c r="L1153" s="10" t="n">
        <v>0</v>
      </c>
      <c r="M1153" s="10" t="n">
        <v>0</v>
      </c>
      <c r="N1153" s="10" t="n">
        <v>0</v>
      </c>
      <c r="O1153" s="10" t="n">
        <v>0</v>
      </c>
      <c r="P1153" s="10" t="n">
        <v>0</v>
      </c>
      <c r="Q1153" s="10" t="n">
        <v>588</v>
      </c>
      <c r="R1153" s="10" t="n">
        <v>0</v>
      </c>
      <c r="S1153" s="10" t="n">
        <v>0</v>
      </c>
      <c r="T1153" s="10" t="n">
        <v>0</v>
      </c>
      <c r="U1153" s="10" t="n">
        <v>0</v>
      </c>
    </row>
    <row r="1154" customFormat="false" ht="15" hidden="false" customHeight="false" outlineLevel="0" collapsed="false">
      <c r="A1154" s="7" t="s">
        <v>931</v>
      </c>
      <c r="B1154" s="7" t="s">
        <v>128</v>
      </c>
      <c r="C1154" s="7" t="s">
        <v>910</v>
      </c>
      <c r="D1154" s="10" t="n">
        <v>0</v>
      </c>
      <c r="E1154" s="10" t="n">
        <v>0</v>
      </c>
      <c r="F1154" s="10" t="n">
        <v>86</v>
      </c>
      <c r="G1154" s="10" t="n">
        <v>0</v>
      </c>
      <c r="H1154" s="10" t="n">
        <v>0</v>
      </c>
      <c r="I1154" s="10" t="n">
        <v>464</v>
      </c>
      <c r="J1154" s="10" t="n">
        <v>0</v>
      </c>
      <c r="K1154" s="10" t="n">
        <v>0</v>
      </c>
      <c r="L1154" s="10" t="n">
        <v>0</v>
      </c>
      <c r="M1154" s="10" t="n">
        <v>0</v>
      </c>
      <c r="N1154" s="10" t="n">
        <v>0</v>
      </c>
      <c r="O1154" s="10" t="n">
        <v>0</v>
      </c>
      <c r="P1154" s="10" t="n">
        <v>0</v>
      </c>
      <c r="Q1154" s="10" t="n">
        <v>464</v>
      </c>
      <c r="R1154" s="10" t="n">
        <v>0</v>
      </c>
      <c r="S1154" s="10" t="n">
        <v>0</v>
      </c>
      <c r="T1154" s="10" t="n">
        <v>0</v>
      </c>
      <c r="U1154" s="10" t="n">
        <v>0</v>
      </c>
    </row>
    <row r="1155" customFormat="false" ht="15" hidden="false" customHeight="false" outlineLevel="0" collapsed="false">
      <c r="A1155" s="7" t="s">
        <v>931</v>
      </c>
      <c r="B1155" s="7" t="s">
        <v>106</v>
      </c>
      <c r="C1155" s="7" t="s">
        <v>911</v>
      </c>
      <c r="D1155" s="10" t="n">
        <v>0</v>
      </c>
      <c r="E1155" s="10" t="n">
        <v>0</v>
      </c>
      <c r="F1155" s="10" t="n">
        <v>-4</v>
      </c>
      <c r="G1155" s="10" t="n">
        <v>0</v>
      </c>
      <c r="H1155" s="10" t="n">
        <v>0</v>
      </c>
      <c r="I1155" s="10" t="n">
        <v>257</v>
      </c>
      <c r="J1155" s="10" t="n">
        <v>0</v>
      </c>
      <c r="K1155" s="10" t="n">
        <v>0</v>
      </c>
      <c r="L1155" s="10" t="n">
        <v>0</v>
      </c>
      <c r="M1155" s="10" t="n">
        <v>0</v>
      </c>
      <c r="N1155" s="10" t="n">
        <v>0</v>
      </c>
      <c r="O1155" s="10" t="n">
        <v>0</v>
      </c>
      <c r="P1155" s="10" t="n">
        <v>0</v>
      </c>
      <c r="Q1155" s="10" t="n">
        <v>257</v>
      </c>
      <c r="R1155" s="10" t="n">
        <v>0</v>
      </c>
      <c r="S1155" s="10" t="n">
        <v>0</v>
      </c>
      <c r="T1155" s="10" t="n">
        <v>0</v>
      </c>
      <c r="U1155" s="10" t="n">
        <v>0</v>
      </c>
    </row>
    <row r="1156" customFormat="false" ht="15" hidden="false" customHeight="false" outlineLevel="0" collapsed="false">
      <c r="A1156" s="7" t="s">
        <v>931</v>
      </c>
      <c r="B1156" s="7" t="s">
        <v>140</v>
      </c>
      <c r="C1156" s="7" t="s">
        <v>911</v>
      </c>
      <c r="D1156" s="10" t="n">
        <v>0</v>
      </c>
      <c r="E1156" s="10" t="n">
        <v>0</v>
      </c>
      <c r="F1156" s="10" t="n">
        <v>-4</v>
      </c>
      <c r="G1156" s="10" t="n">
        <v>0</v>
      </c>
      <c r="H1156" s="10" t="n">
        <v>0</v>
      </c>
      <c r="I1156" s="10" t="n">
        <v>95</v>
      </c>
      <c r="J1156" s="10" t="n">
        <v>0</v>
      </c>
      <c r="K1156" s="10" t="n">
        <v>0</v>
      </c>
      <c r="L1156" s="10" t="n">
        <v>0</v>
      </c>
      <c r="M1156" s="10" t="n">
        <v>0</v>
      </c>
      <c r="N1156" s="10" t="n">
        <v>0</v>
      </c>
      <c r="O1156" s="10" t="n">
        <v>0</v>
      </c>
      <c r="P1156" s="10" t="n">
        <v>0</v>
      </c>
      <c r="Q1156" s="10" t="n">
        <v>95</v>
      </c>
      <c r="R1156" s="10" t="n">
        <v>0</v>
      </c>
      <c r="S1156" s="10" t="n">
        <v>0</v>
      </c>
      <c r="T1156" s="10" t="n">
        <v>0</v>
      </c>
      <c r="U1156" s="10" t="n">
        <v>0</v>
      </c>
    </row>
    <row r="1157" customFormat="false" ht="15" hidden="false" customHeight="false" outlineLevel="0" collapsed="false">
      <c r="A1157" s="7" t="s">
        <v>931</v>
      </c>
      <c r="B1157" s="7" t="s">
        <v>106</v>
      </c>
      <c r="C1157" s="7" t="s">
        <v>912</v>
      </c>
      <c r="D1157" s="10" t="n">
        <v>0</v>
      </c>
      <c r="E1157" s="10" t="n">
        <v>0</v>
      </c>
      <c r="F1157" s="10" t="n">
        <v>-6</v>
      </c>
      <c r="G1157" s="10" t="n">
        <v>0</v>
      </c>
      <c r="H1157" s="10" t="n">
        <v>0</v>
      </c>
      <c r="I1157" s="10" t="n">
        <v>239</v>
      </c>
      <c r="J1157" s="10" t="n">
        <v>0</v>
      </c>
      <c r="K1157" s="10" t="n">
        <v>0</v>
      </c>
      <c r="L1157" s="10" t="n">
        <v>0</v>
      </c>
      <c r="M1157" s="10" t="n">
        <v>0</v>
      </c>
      <c r="N1157" s="10" t="n">
        <v>0</v>
      </c>
      <c r="O1157" s="10" t="n">
        <v>0</v>
      </c>
      <c r="P1157" s="10" t="n">
        <v>0</v>
      </c>
      <c r="Q1157" s="10" t="n">
        <v>239</v>
      </c>
      <c r="R1157" s="10" t="n">
        <v>0</v>
      </c>
      <c r="S1157" s="10" t="n">
        <v>0</v>
      </c>
      <c r="T1157" s="10" t="n">
        <v>0</v>
      </c>
      <c r="U1157" s="10" t="n">
        <v>0</v>
      </c>
    </row>
    <row r="1158" customFormat="false" ht="15" hidden="false" customHeight="false" outlineLevel="0" collapsed="false">
      <c r="A1158" s="7" t="s">
        <v>931</v>
      </c>
      <c r="B1158" s="7" t="s">
        <v>121</v>
      </c>
      <c r="C1158" s="7" t="s">
        <v>912</v>
      </c>
      <c r="D1158" s="10" t="n">
        <v>0</v>
      </c>
      <c r="E1158" s="10" t="n">
        <v>0</v>
      </c>
      <c r="F1158" s="10" t="n">
        <v>-4</v>
      </c>
      <c r="G1158" s="10" t="n">
        <v>0</v>
      </c>
      <c r="H1158" s="10" t="n">
        <v>0</v>
      </c>
      <c r="I1158" s="10" t="n">
        <v>328</v>
      </c>
      <c r="J1158" s="10" t="n">
        <v>0</v>
      </c>
      <c r="K1158" s="10" t="n">
        <v>0</v>
      </c>
      <c r="L1158" s="10" t="n">
        <v>0</v>
      </c>
      <c r="M1158" s="10" t="n">
        <v>0</v>
      </c>
      <c r="N1158" s="10" t="n">
        <v>0</v>
      </c>
      <c r="O1158" s="10" t="n">
        <v>0</v>
      </c>
      <c r="P1158" s="10" t="n">
        <v>0</v>
      </c>
      <c r="Q1158" s="10" t="n">
        <v>328</v>
      </c>
      <c r="R1158" s="10" t="n">
        <v>0</v>
      </c>
      <c r="S1158" s="10" t="n">
        <v>0</v>
      </c>
      <c r="T1158" s="10" t="n">
        <v>0</v>
      </c>
      <c r="U1158" s="10" t="n">
        <v>0</v>
      </c>
    </row>
    <row r="1159" customFormat="false" ht="15" hidden="false" customHeight="false" outlineLevel="0" collapsed="false">
      <c r="A1159" s="7" t="s">
        <v>931</v>
      </c>
      <c r="B1159" s="7" t="s">
        <v>98</v>
      </c>
      <c r="C1159" s="7" t="s">
        <v>913</v>
      </c>
      <c r="D1159" s="10" t="n">
        <v>0</v>
      </c>
      <c r="E1159" s="10" t="n">
        <v>0</v>
      </c>
      <c r="F1159" s="10" t="n">
        <v>938</v>
      </c>
      <c r="G1159" s="10" t="n">
        <v>0</v>
      </c>
      <c r="H1159" s="10" t="n">
        <v>0</v>
      </c>
      <c r="I1159" s="10" t="n">
        <v>1681</v>
      </c>
      <c r="J1159" s="10" t="n">
        <v>0</v>
      </c>
      <c r="K1159" s="10" t="n">
        <v>0</v>
      </c>
      <c r="L1159" s="10" t="n">
        <v>0</v>
      </c>
      <c r="M1159" s="10" t="n">
        <v>12</v>
      </c>
      <c r="N1159" s="10" t="n">
        <v>6</v>
      </c>
      <c r="O1159" s="10" t="n">
        <v>0</v>
      </c>
      <c r="P1159" s="10" t="n">
        <v>0</v>
      </c>
      <c r="Q1159" s="10" t="n">
        <v>1663</v>
      </c>
      <c r="R1159" s="10" t="n">
        <v>0</v>
      </c>
      <c r="S1159" s="10" t="n">
        <v>0</v>
      </c>
      <c r="T1159" s="10" t="n">
        <v>0</v>
      </c>
      <c r="U1159" s="10" t="n">
        <v>0</v>
      </c>
    </row>
    <row r="1160" customFormat="false" ht="15" hidden="false" customHeight="false" outlineLevel="0" collapsed="false">
      <c r="A1160" s="7" t="s">
        <v>931</v>
      </c>
      <c r="B1160" s="7" t="s">
        <v>157</v>
      </c>
      <c r="C1160" s="7" t="s">
        <v>914</v>
      </c>
      <c r="D1160" s="10" t="n">
        <v>0</v>
      </c>
      <c r="E1160" s="10" t="n">
        <v>0</v>
      </c>
      <c r="F1160" s="10" t="n">
        <v>110</v>
      </c>
      <c r="G1160" s="10" t="n">
        <v>0</v>
      </c>
      <c r="H1160" s="10" t="n">
        <v>0</v>
      </c>
      <c r="I1160" s="10" t="n">
        <v>111</v>
      </c>
      <c r="J1160" s="10" t="n">
        <v>0</v>
      </c>
      <c r="K1160" s="10" t="n">
        <v>0</v>
      </c>
      <c r="L1160" s="10" t="n">
        <v>0</v>
      </c>
      <c r="M1160" s="10" t="n">
        <v>0</v>
      </c>
      <c r="N1160" s="10" t="n">
        <v>0</v>
      </c>
      <c r="O1160" s="10" t="n">
        <v>0</v>
      </c>
      <c r="P1160" s="10" t="n">
        <v>0</v>
      </c>
      <c r="Q1160" s="10" t="n">
        <v>111</v>
      </c>
      <c r="R1160" s="10" t="n">
        <v>0</v>
      </c>
      <c r="S1160" s="10" t="n">
        <v>0</v>
      </c>
      <c r="T1160" s="10" t="n">
        <v>0</v>
      </c>
      <c r="U1160" s="10" t="n">
        <v>0</v>
      </c>
    </row>
    <row r="1161" customFormat="false" ht="15" hidden="false" customHeight="false" outlineLevel="0" collapsed="false">
      <c r="A1161" s="7" t="s">
        <v>931</v>
      </c>
      <c r="B1161" s="7" t="s">
        <v>271</v>
      </c>
      <c r="C1161" s="7" t="s">
        <v>915</v>
      </c>
      <c r="D1161" s="10" t="n">
        <v>0</v>
      </c>
      <c r="E1161" s="10" t="n">
        <v>0</v>
      </c>
      <c r="F1161" s="10" t="n">
        <v>382</v>
      </c>
      <c r="G1161" s="10" t="n">
        <v>0</v>
      </c>
      <c r="H1161" s="10" t="n">
        <v>0</v>
      </c>
      <c r="I1161" s="10" t="n">
        <v>0</v>
      </c>
      <c r="J1161" s="10" t="n">
        <v>0</v>
      </c>
      <c r="K1161" s="10" t="n">
        <v>0</v>
      </c>
      <c r="L1161" s="10" t="n">
        <v>0</v>
      </c>
      <c r="M1161" s="10" t="n">
        <v>0</v>
      </c>
      <c r="N1161" s="10" t="n">
        <v>0</v>
      </c>
      <c r="O1161" s="10" t="n">
        <v>0</v>
      </c>
      <c r="P1161" s="10" t="n">
        <v>0</v>
      </c>
      <c r="Q1161" s="10" t="n">
        <v>0</v>
      </c>
      <c r="R1161" s="10" t="n">
        <v>0</v>
      </c>
      <c r="S1161" s="10" t="n">
        <v>0</v>
      </c>
      <c r="T1161" s="10" t="n">
        <v>0</v>
      </c>
      <c r="U1161" s="10" t="n">
        <v>0</v>
      </c>
    </row>
    <row r="1162" customFormat="false" ht="15" hidden="false" customHeight="false" outlineLevel="0" collapsed="false">
      <c r="A1162" s="7" t="s">
        <v>931</v>
      </c>
      <c r="B1162" s="7" t="s">
        <v>219</v>
      </c>
      <c r="C1162" s="7" t="s">
        <v>520</v>
      </c>
      <c r="D1162" s="10" t="n">
        <v>0</v>
      </c>
      <c r="E1162" s="10" t="n">
        <v>0</v>
      </c>
      <c r="F1162" s="10" t="n">
        <v>64</v>
      </c>
      <c r="G1162" s="10" t="n">
        <v>0</v>
      </c>
      <c r="H1162" s="10" t="n">
        <v>0</v>
      </c>
      <c r="I1162" s="10" t="n">
        <v>28</v>
      </c>
      <c r="J1162" s="10" t="n">
        <v>0</v>
      </c>
      <c r="K1162" s="10" t="n">
        <v>0</v>
      </c>
      <c r="L1162" s="10" t="n">
        <v>0</v>
      </c>
      <c r="M1162" s="10" t="n">
        <v>0</v>
      </c>
      <c r="N1162" s="10" t="n">
        <v>0</v>
      </c>
      <c r="O1162" s="10" t="n">
        <v>0</v>
      </c>
      <c r="P1162" s="10" t="n">
        <v>0</v>
      </c>
      <c r="Q1162" s="10" t="n">
        <v>28</v>
      </c>
      <c r="R1162" s="10" t="n">
        <v>0</v>
      </c>
      <c r="S1162" s="10" t="n">
        <v>0</v>
      </c>
      <c r="T1162" s="10" t="n">
        <v>0</v>
      </c>
      <c r="U1162" s="10" t="n">
        <v>0</v>
      </c>
    </row>
    <row r="1163" customFormat="false" ht="15" hidden="false" customHeight="false" outlineLevel="0" collapsed="false">
      <c r="A1163" s="7" t="s">
        <v>931</v>
      </c>
      <c r="B1163" s="7" t="s">
        <v>122</v>
      </c>
      <c r="C1163" s="7" t="s">
        <v>916</v>
      </c>
      <c r="D1163" s="10" t="n">
        <v>0</v>
      </c>
      <c r="E1163" s="10" t="n">
        <v>0</v>
      </c>
      <c r="F1163" s="10" t="n">
        <v>79</v>
      </c>
      <c r="G1163" s="10" t="n">
        <v>0</v>
      </c>
      <c r="H1163" s="10" t="n">
        <v>0</v>
      </c>
      <c r="I1163" s="10" t="n">
        <v>922</v>
      </c>
      <c r="J1163" s="10" t="n">
        <v>0</v>
      </c>
      <c r="K1163" s="10" t="n">
        <v>0</v>
      </c>
      <c r="L1163" s="10" t="n">
        <v>0</v>
      </c>
      <c r="M1163" s="10" t="n">
        <v>0</v>
      </c>
      <c r="N1163" s="10" t="n">
        <v>0</v>
      </c>
      <c r="O1163" s="10" t="n">
        <v>0</v>
      </c>
      <c r="P1163" s="10" t="n">
        <v>0</v>
      </c>
      <c r="Q1163" s="10" t="n">
        <v>922</v>
      </c>
      <c r="R1163" s="10" t="n">
        <v>0</v>
      </c>
      <c r="S1163" s="10" t="n">
        <v>0</v>
      </c>
      <c r="T1163" s="10" t="n">
        <v>0</v>
      </c>
      <c r="U1163" s="10" t="n">
        <v>0</v>
      </c>
    </row>
    <row r="1164" customFormat="false" ht="15" hidden="false" customHeight="false" outlineLevel="0" collapsed="false">
      <c r="A1164" s="7" t="s">
        <v>931</v>
      </c>
      <c r="B1164" s="7" t="s">
        <v>38</v>
      </c>
      <c r="C1164" s="7" t="s">
        <v>917</v>
      </c>
      <c r="D1164" s="10" t="n">
        <v>0</v>
      </c>
      <c r="E1164" s="10" t="n">
        <v>0</v>
      </c>
      <c r="F1164" s="10" t="n">
        <v>7</v>
      </c>
      <c r="G1164" s="10" t="n">
        <v>0</v>
      </c>
      <c r="H1164" s="10" t="n">
        <v>0</v>
      </c>
      <c r="I1164" s="10" t="n">
        <v>869</v>
      </c>
      <c r="J1164" s="10" t="n">
        <v>0</v>
      </c>
      <c r="K1164" s="10" t="n">
        <v>0</v>
      </c>
      <c r="L1164" s="10" t="n">
        <v>0</v>
      </c>
      <c r="M1164" s="10" t="n">
        <v>0</v>
      </c>
      <c r="N1164" s="10" t="n">
        <v>0</v>
      </c>
      <c r="O1164" s="10" t="n">
        <v>0</v>
      </c>
      <c r="P1164" s="10" t="n">
        <v>0</v>
      </c>
      <c r="Q1164" s="10" t="n">
        <v>869</v>
      </c>
      <c r="R1164" s="10" t="n">
        <v>0</v>
      </c>
      <c r="S1164" s="10" t="n">
        <v>0</v>
      </c>
      <c r="T1164" s="10" t="n">
        <v>0</v>
      </c>
      <c r="U1164" s="10" t="n">
        <v>0</v>
      </c>
    </row>
    <row r="1165" customFormat="false" ht="15" hidden="false" customHeight="false" outlineLevel="0" collapsed="false">
      <c r="A1165" s="7" t="s">
        <v>931</v>
      </c>
      <c r="B1165" s="7" t="s">
        <v>38</v>
      </c>
      <c r="C1165" s="7" t="s">
        <v>918</v>
      </c>
      <c r="D1165" s="10" t="n">
        <v>0</v>
      </c>
      <c r="E1165" s="10" t="n">
        <v>0</v>
      </c>
      <c r="F1165" s="10" t="n">
        <v>21</v>
      </c>
      <c r="G1165" s="10" t="n">
        <v>0</v>
      </c>
      <c r="H1165" s="10" t="n">
        <v>0</v>
      </c>
      <c r="I1165" s="10" t="n">
        <v>941</v>
      </c>
      <c r="J1165" s="10" t="n">
        <v>0</v>
      </c>
      <c r="K1165" s="10" t="n">
        <v>0</v>
      </c>
      <c r="L1165" s="10" t="n">
        <v>0</v>
      </c>
      <c r="M1165" s="10" t="n">
        <v>0</v>
      </c>
      <c r="N1165" s="10" t="n">
        <v>0</v>
      </c>
      <c r="O1165" s="10" t="n">
        <v>0</v>
      </c>
      <c r="P1165" s="10" t="n">
        <v>0</v>
      </c>
      <c r="Q1165" s="10" t="n">
        <v>941</v>
      </c>
      <c r="R1165" s="10" t="n">
        <v>0</v>
      </c>
      <c r="S1165" s="10" t="n">
        <v>0</v>
      </c>
      <c r="T1165" s="10" t="n">
        <v>0</v>
      </c>
      <c r="U1165" s="10" t="n">
        <v>0</v>
      </c>
    </row>
    <row r="1166" customFormat="false" ht="15" hidden="false" customHeight="false" outlineLevel="0" collapsed="false">
      <c r="A1166" s="7" t="s">
        <v>931</v>
      </c>
      <c r="B1166" s="7" t="s">
        <v>38</v>
      </c>
      <c r="C1166" s="7" t="s">
        <v>919</v>
      </c>
      <c r="D1166" s="10" t="n">
        <v>0</v>
      </c>
      <c r="E1166" s="10" t="n">
        <v>0</v>
      </c>
      <c r="F1166" s="10" t="n">
        <v>27</v>
      </c>
      <c r="G1166" s="10" t="n">
        <v>0</v>
      </c>
      <c r="H1166" s="10" t="n">
        <v>0</v>
      </c>
      <c r="I1166" s="10" t="n">
        <v>1045</v>
      </c>
      <c r="J1166" s="10" t="n">
        <v>0</v>
      </c>
      <c r="K1166" s="10" t="n">
        <v>0</v>
      </c>
      <c r="L1166" s="10" t="n">
        <v>0</v>
      </c>
      <c r="M1166" s="10" t="n">
        <v>0</v>
      </c>
      <c r="N1166" s="10" t="n">
        <v>0</v>
      </c>
      <c r="O1166" s="10" t="n">
        <v>0</v>
      </c>
      <c r="P1166" s="10" t="n">
        <v>0</v>
      </c>
      <c r="Q1166" s="10" t="n">
        <v>1045</v>
      </c>
      <c r="R1166" s="10" t="n">
        <v>0</v>
      </c>
      <c r="S1166" s="10" t="n">
        <v>0</v>
      </c>
      <c r="T1166" s="10" t="n">
        <v>0</v>
      </c>
      <c r="U1166" s="10" t="n">
        <v>0</v>
      </c>
    </row>
    <row r="1167" customFormat="false" ht="15" hidden="false" customHeight="false" outlineLevel="0" collapsed="false">
      <c r="A1167" s="7" t="s">
        <v>931</v>
      </c>
      <c r="B1167" s="7" t="s">
        <v>39</v>
      </c>
      <c r="C1167" s="7" t="s">
        <v>920</v>
      </c>
      <c r="D1167" s="10" t="n">
        <v>0</v>
      </c>
      <c r="E1167" s="10" t="n">
        <v>0</v>
      </c>
      <c r="F1167" s="10" t="n">
        <v>7</v>
      </c>
      <c r="G1167" s="10" t="n">
        <v>0</v>
      </c>
      <c r="H1167" s="10" t="n">
        <v>0</v>
      </c>
      <c r="I1167" s="10" t="n">
        <v>890</v>
      </c>
      <c r="J1167" s="10" t="n">
        <v>0</v>
      </c>
      <c r="K1167" s="10" t="n">
        <v>0</v>
      </c>
      <c r="L1167" s="10" t="n">
        <v>0</v>
      </c>
      <c r="M1167" s="10" t="n">
        <v>0</v>
      </c>
      <c r="N1167" s="10" t="n">
        <v>0</v>
      </c>
      <c r="O1167" s="10" t="n">
        <v>0</v>
      </c>
      <c r="P1167" s="10" t="n">
        <v>0</v>
      </c>
      <c r="Q1167" s="10" t="n">
        <v>890</v>
      </c>
      <c r="R1167" s="10" t="n">
        <v>0</v>
      </c>
      <c r="S1167" s="10" t="n">
        <v>0</v>
      </c>
      <c r="T1167" s="10" t="n">
        <v>0</v>
      </c>
      <c r="U1167" s="10" t="n">
        <v>0</v>
      </c>
    </row>
    <row r="1168" customFormat="false" ht="15" hidden="false" customHeight="false" outlineLevel="0" collapsed="false">
      <c r="A1168" s="7" t="s">
        <v>931</v>
      </c>
      <c r="B1168" s="7" t="s">
        <v>40</v>
      </c>
      <c r="C1168" s="7" t="s">
        <v>920</v>
      </c>
      <c r="D1168" s="10" t="n">
        <v>0</v>
      </c>
      <c r="E1168" s="10" t="n">
        <v>0</v>
      </c>
      <c r="F1168" s="10" t="n">
        <v>23</v>
      </c>
      <c r="G1168" s="10" t="n">
        <v>0</v>
      </c>
      <c r="H1168" s="10" t="n">
        <v>0</v>
      </c>
      <c r="I1168" s="10" t="n">
        <v>969</v>
      </c>
      <c r="J1168" s="10" t="n">
        <v>0</v>
      </c>
      <c r="K1168" s="10" t="n">
        <v>0</v>
      </c>
      <c r="L1168" s="10" t="n">
        <v>0</v>
      </c>
      <c r="M1168" s="10" t="n">
        <v>0</v>
      </c>
      <c r="N1168" s="10" t="n">
        <v>0</v>
      </c>
      <c r="O1168" s="10" t="n">
        <v>0</v>
      </c>
      <c r="P1168" s="10" t="n">
        <v>0</v>
      </c>
      <c r="Q1168" s="10" t="n">
        <v>969</v>
      </c>
      <c r="R1168" s="10" t="n">
        <v>0</v>
      </c>
      <c r="S1168" s="10" t="n">
        <v>0</v>
      </c>
      <c r="T1168" s="10" t="n">
        <v>0</v>
      </c>
      <c r="U1168" s="10" t="n">
        <v>0</v>
      </c>
    </row>
    <row r="1169" customFormat="false" ht="15" hidden="false" customHeight="false" outlineLevel="0" collapsed="false">
      <c r="A1169" s="7" t="s">
        <v>931</v>
      </c>
      <c r="B1169" s="7" t="s">
        <v>41</v>
      </c>
      <c r="C1169" s="7" t="s">
        <v>920</v>
      </c>
      <c r="D1169" s="10" t="n">
        <v>0</v>
      </c>
      <c r="E1169" s="10" t="n">
        <v>0</v>
      </c>
      <c r="F1169" s="10" t="n">
        <v>20</v>
      </c>
      <c r="G1169" s="10" t="n">
        <v>0</v>
      </c>
      <c r="H1169" s="10" t="n">
        <v>0</v>
      </c>
      <c r="I1169" s="10" t="n">
        <v>990</v>
      </c>
      <c r="J1169" s="10" t="n">
        <v>0</v>
      </c>
      <c r="K1169" s="10" t="n">
        <v>0</v>
      </c>
      <c r="L1169" s="10" t="n">
        <v>0</v>
      </c>
      <c r="M1169" s="10" t="n">
        <v>0</v>
      </c>
      <c r="N1169" s="10" t="n">
        <v>0</v>
      </c>
      <c r="O1169" s="10" t="n">
        <v>0</v>
      </c>
      <c r="P1169" s="10" t="n">
        <v>0</v>
      </c>
      <c r="Q1169" s="10" t="n">
        <v>990</v>
      </c>
      <c r="R1169" s="10" t="n">
        <v>0</v>
      </c>
      <c r="S1169" s="10" t="n">
        <v>0</v>
      </c>
      <c r="T1169" s="10" t="n">
        <v>0</v>
      </c>
      <c r="U1169" s="10" t="n">
        <v>0</v>
      </c>
    </row>
    <row r="1170" customFormat="false" ht="15" hidden="false" customHeight="false" outlineLevel="0" collapsed="false">
      <c r="A1170" s="7" t="s">
        <v>931</v>
      </c>
      <c r="B1170" s="7" t="s">
        <v>39</v>
      </c>
      <c r="C1170" s="7" t="s">
        <v>921</v>
      </c>
      <c r="D1170" s="10" t="n">
        <v>0</v>
      </c>
      <c r="E1170" s="10" t="n">
        <v>0</v>
      </c>
      <c r="F1170" s="10" t="n">
        <v>10</v>
      </c>
      <c r="G1170" s="10" t="n">
        <v>0</v>
      </c>
      <c r="H1170" s="10" t="n">
        <v>0</v>
      </c>
      <c r="I1170" s="10" t="n">
        <v>886</v>
      </c>
      <c r="J1170" s="10" t="n">
        <v>0</v>
      </c>
      <c r="K1170" s="10" t="n">
        <v>0</v>
      </c>
      <c r="L1170" s="10" t="n">
        <v>0</v>
      </c>
      <c r="M1170" s="10" t="n">
        <v>0</v>
      </c>
      <c r="N1170" s="10" t="n">
        <v>0</v>
      </c>
      <c r="O1170" s="10" t="n">
        <v>0</v>
      </c>
      <c r="P1170" s="10" t="n">
        <v>0</v>
      </c>
      <c r="Q1170" s="10" t="n">
        <v>886</v>
      </c>
      <c r="R1170" s="10" t="n">
        <v>0</v>
      </c>
      <c r="S1170" s="10" t="n">
        <v>0</v>
      </c>
      <c r="T1170" s="10" t="n">
        <v>0</v>
      </c>
      <c r="U1170" s="10" t="n">
        <v>0</v>
      </c>
    </row>
    <row r="1171" customFormat="false" ht="15" hidden="false" customHeight="false" outlineLevel="0" collapsed="false">
      <c r="A1171" s="7" t="s">
        <v>931</v>
      </c>
      <c r="B1171" s="7" t="s">
        <v>40</v>
      </c>
      <c r="C1171" s="7" t="s">
        <v>921</v>
      </c>
      <c r="D1171" s="10" t="n">
        <v>0</v>
      </c>
      <c r="E1171" s="10" t="n">
        <v>0</v>
      </c>
      <c r="F1171" s="10" t="n">
        <v>23</v>
      </c>
      <c r="G1171" s="10" t="n">
        <v>0</v>
      </c>
      <c r="H1171" s="10" t="n">
        <v>0</v>
      </c>
      <c r="I1171" s="10" t="n">
        <v>1056</v>
      </c>
      <c r="J1171" s="10" t="n">
        <v>0</v>
      </c>
      <c r="K1171" s="10" t="n">
        <v>0</v>
      </c>
      <c r="L1171" s="10" t="n">
        <v>0</v>
      </c>
      <c r="M1171" s="10" t="n">
        <v>0</v>
      </c>
      <c r="N1171" s="10" t="n">
        <v>0</v>
      </c>
      <c r="O1171" s="10" t="n">
        <v>0</v>
      </c>
      <c r="P1171" s="10" t="n">
        <v>0</v>
      </c>
      <c r="Q1171" s="10" t="n">
        <v>1056</v>
      </c>
      <c r="R1171" s="10" t="n">
        <v>0</v>
      </c>
      <c r="S1171" s="10" t="n">
        <v>0</v>
      </c>
      <c r="T1171" s="10" t="n">
        <v>0</v>
      </c>
      <c r="U1171" s="10" t="n">
        <v>0</v>
      </c>
    </row>
    <row r="1172" customFormat="false" ht="15" hidden="false" customHeight="false" outlineLevel="0" collapsed="false">
      <c r="A1172" s="7" t="s">
        <v>931</v>
      </c>
      <c r="B1172" s="7" t="s">
        <v>41</v>
      </c>
      <c r="C1172" s="7" t="s">
        <v>921</v>
      </c>
      <c r="D1172" s="10" t="n">
        <v>0</v>
      </c>
      <c r="E1172" s="10" t="n">
        <v>0</v>
      </c>
      <c r="F1172" s="10" t="n">
        <v>22</v>
      </c>
      <c r="G1172" s="10" t="n">
        <v>0</v>
      </c>
      <c r="H1172" s="10" t="n">
        <v>0</v>
      </c>
      <c r="I1172" s="10" t="n">
        <v>1132</v>
      </c>
      <c r="J1172" s="10" t="n">
        <v>0</v>
      </c>
      <c r="K1172" s="10" t="n">
        <v>0</v>
      </c>
      <c r="L1172" s="10" t="n">
        <v>0</v>
      </c>
      <c r="M1172" s="10" t="n">
        <v>0</v>
      </c>
      <c r="N1172" s="10" t="n">
        <v>0</v>
      </c>
      <c r="O1172" s="10" t="n">
        <v>0</v>
      </c>
      <c r="P1172" s="10" t="n">
        <v>0</v>
      </c>
      <c r="Q1172" s="10" t="n">
        <v>1132</v>
      </c>
      <c r="R1172" s="10" t="n">
        <v>0</v>
      </c>
      <c r="S1172" s="10" t="n">
        <v>0</v>
      </c>
      <c r="T1172" s="10" t="n">
        <v>0</v>
      </c>
      <c r="U1172" s="10" t="n">
        <v>0</v>
      </c>
    </row>
    <row r="1173" customFormat="false" ht="15" hidden="false" customHeight="false" outlineLevel="0" collapsed="false">
      <c r="A1173" s="7" t="s">
        <v>931</v>
      </c>
      <c r="B1173" s="7" t="s">
        <v>43</v>
      </c>
      <c r="C1173" s="7" t="s">
        <v>922</v>
      </c>
      <c r="D1173" s="10" t="n">
        <v>0</v>
      </c>
      <c r="E1173" s="10" t="n">
        <v>0</v>
      </c>
      <c r="F1173" s="10" t="n">
        <v>1</v>
      </c>
      <c r="G1173" s="10" t="n">
        <v>0</v>
      </c>
      <c r="H1173" s="10" t="n">
        <v>0</v>
      </c>
      <c r="I1173" s="10" t="n">
        <v>0</v>
      </c>
      <c r="J1173" s="10" t="n">
        <v>0</v>
      </c>
      <c r="K1173" s="10" t="n">
        <v>0</v>
      </c>
      <c r="L1173" s="10" t="n">
        <v>0</v>
      </c>
      <c r="M1173" s="10" t="n">
        <v>0</v>
      </c>
      <c r="N1173" s="10" t="n">
        <v>0</v>
      </c>
      <c r="O1173" s="10" t="n">
        <v>0</v>
      </c>
      <c r="P1173" s="10" t="n">
        <v>0</v>
      </c>
      <c r="Q1173" s="10" t="n">
        <v>0</v>
      </c>
      <c r="R1173" s="10" t="n">
        <v>0</v>
      </c>
      <c r="S1173" s="10" t="n">
        <v>0</v>
      </c>
      <c r="T1173" s="10" t="n">
        <v>0</v>
      </c>
      <c r="U1173" s="10" t="n">
        <v>0</v>
      </c>
    </row>
    <row r="1174" customFormat="false" ht="15" hidden="false" customHeight="false" outlineLevel="0" collapsed="false">
      <c r="A1174" s="7" t="s">
        <v>931</v>
      </c>
      <c r="B1174" s="7" t="s">
        <v>132</v>
      </c>
      <c r="C1174" s="7" t="s">
        <v>923</v>
      </c>
      <c r="D1174" s="10" t="n">
        <v>0</v>
      </c>
      <c r="E1174" s="10" t="n">
        <v>0</v>
      </c>
      <c r="F1174" s="10" t="n">
        <v>43</v>
      </c>
      <c r="G1174" s="10" t="n">
        <v>0</v>
      </c>
      <c r="H1174" s="10" t="n">
        <v>0</v>
      </c>
      <c r="I1174" s="10" t="n">
        <v>40</v>
      </c>
      <c r="J1174" s="10" t="n">
        <v>0</v>
      </c>
      <c r="K1174" s="10" t="n">
        <v>0</v>
      </c>
      <c r="L1174" s="10" t="n">
        <v>0</v>
      </c>
      <c r="M1174" s="10" t="n">
        <v>0</v>
      </c>
      <c r="N1174" s="10" t="n">
        <v>0</v>
      </c>
      <c r="O1174" s="10" t="n">
        <v>0</v>
      </c>
      <c r="P1174" s="10" t="n">
        <v>0</v>
      </c>
      <c r="Q1174" s="10" t="n">
        <v>40</v>
      </c>
      <c r="R1174" s="10" t="n">
        <v>0</v>
      </c>
      <c r="S1174" s="10" t="n">
        <v>0</v>
      </c>
      <c r="T1174" s="10" t="n">
        <v>0</v>
      </c>
      <c r="U1174" s="10" t="n">
        <v>0</v>
      </c>
    </row>
    <row r="1175" customFormat="false" ht="15" hidden="false" customHeight="false" outlineLevel="0" collapsed="false">
      <c r="A1175" s="7" t="s">
        <v>931</v>
      </c>
      <c r="B1175" s="7" t="s">
        <v>132</v>
      </c>
      <c r="C1175" s="7" t="s">
        <v>924</v>
      </c>
      <c r="D1175" s="10" t="n">
        <v>0</v>
      </c>
      <c r="E1175" s="10" t="n">
        <v>0</v>
      </c>
      <c r="F1175" s="10" t="n">
        <v>55</v>
      </c>
      <c r="G1175" s="10" t="n">
        <v>0</v>
      </c>
      <c r="H1175" s="10" t="n">
        <v>4</v>
      </c>
      <c r="I1175" s="10" t="n">
        <v>47</v>
      </c>
      <c r="J1175" s="10" t="n">
        <v>0</v>
      </c>
      <c r="K1175" s="10" t="n">
        <v>0</v>
      </c>
      <c r="L1175" s="10" t="n">
        <v>0</v>
      </c>
      <c r="M1175" s="10" t="n">
        <v>0</v>
      </c>
      <c r="N1175" s="10" t="n">
        <v>0</v>
      </c>
      <c r="O1175" s="10" t="n">
        <v>0</v>
      </c>
      <c r="P1175" s="10" t="n">
        <v>0</v>
      </c>
      <c r="Q1175" s="10" t="n">
        <v>47</v>
      </c>
      <c r="R1175" s="10" t="n">
        <v>0</v>
      </c>
      <c r="S1175" s="10" t="n">
        <v>0</v>
      </c>
      <c r="T1175" s="10" t="n">
        <v>0</v>
      </c>
      <c r="U1175" s="10" t="n">
        <v>0</v>
      </c>
    </row>
    <row r="1176" customFormat="false" ht="15" hidden="false" customHeight="false" outlineLevel="0" collapsed="false">
      <c r="A1176" s="7" t="s">
        <v>931</v>
      </c>
      <c r="B1176" s="7" t="s">
        <v>144</v>
      </c>
      <c r="C1176" s="7" t="s">
        <v>925</v>
      </c>
      <c r="D1176" s="10" t="n">
        <v>0</v>
      </c>
      <c r="E1176" s="10" t="n">
        <v>0</v>
      </c>
      <c r="F1176" s="10" t="n">
        <v>1000</v>
      </c>
      <c r="G1176" s="10" t="n">
        <v>0</v>
      </c>
      <c r="H1176" s="10" t="n">
        <v>0</v>
      </c>
      <c r="I1176" s="10" t="n">
        <v>583</v>
      </c>
      <c r="J1176" s="10" t="n">
        <v>0</v>
      </c>
      <c r="K1176" s="10" t="n">
        <v>0</v>
      </c>
      <c r="L1176" s="10" t="n">
        <v>0</v>
      </c>
      <c r="M1176" s="10" t="n">
        <v>0</v>
      </c>
      <c r="N1176" s="10" t="n">
        <v>0</v>
      </c>
      <c r="O1176" s="10" t="n">
        <v>0</v>
      </c>
      <c r="P1176" s="10" t="n">
        <v>0</v>
      </c>
      <c r="Q1176" s="10" t="n">
        <v>583</v>
      </c>
      <c r="R1176" s="10" t="n">
        <v>0</v>
      </c>
      <c r="S1176" s="10" t="n">
        <v>0</v>
      </c>
      <c r="T1176" s="10" t="n">
        <v>0</v>
      </c>
      <c r="U1176" s="10" t="n">
        <v>0</v>
      </c>
    </row>
    <row r="1177" customFormat="false" ht="15" hidden="false" customHeight="false" outlineLevel="0" collapsed="false">
      <c r="A1177" s="7" t="s">
        <v>931</v>
      </c>
      <c r="B1177" s="7" t="s">
        <v>64</v>
      </c>
      <c r="C1177" s="7" t="s">
        <v>926</v>
      </c>
      <c r="D1177" s="10" t="n">
        <v>0</v>
      </c>
      <c r="E1177" s="10" t="n">
        <v>0</v>
      </c>
      <c r="F1177" s="10" t="n">
        <v>1</v>
      </c>
      <c r="G1177" s="10" t="n">
        <v>0</v>
      </c>
      <c r="H1177" s="10" t="n">
        <v>0</v>
      </c>
      <c r="I1177" s="10" t="n">
        <v>0</v>
      </c>
      <c r="J1177" s="10" t="n">
        <v>0</v>
      </c>
      <c r="K1177" s="10" t="n">
        <v>0</v>
      </c>
      <c r="L1177" s="10" t="n">
        <v>0</v>
      </c>
      <c r="M1177" s="10" t="n">
        <v>0</v>
      </c>
      <c r="N1177" s="10" t="n">
        <v>0</v>
      </c>
      <c r="O1177" s="10" t="n">
        <v>0</v>
      </c>
      <c r="P1177" s="10" t="n">
        <v>0</v>
      </c>
      <c r="Q1177" s="10" t="n">
        <v>0</v>
      </c>
      <c r="R1177" s="10" t="n">
        <v>0</v>
      </c>
      <c r="S1177" s="10" t="n">
        <v>0</v>
      </c>
      <c r="T1177" s="10" t="n">
        <v>0</v>
      </c>
      <c r="U1177" s="10" t="n">
        <v>0</v>
      </c>
    </row>
    <row r="1178" customFormat="false" ht="15" hidden="false" customHeight="false" outlineLevel="0" collapsed="false">
      <c r="A1178" s="7" t="s">
        <v>931</v>
      </c>
      <c r="B1178" s="7" t="s">
        <v>64</v>
      </c>
      <c r="C1178" s="7" t="s">
        <v>927</v>
      </c>
      <c r="D1178" s="10" t="n">
        <v>0</v>
      </c>
      <c r="E1178" s="10" t="n">
        <v>0</v>
      </c>
      <c r="F1178" s="10" t="n">
        <v>3</v>
      </c>
      <c r="G1178" s="10" t="n">
        <v>0</v>
      </c>
      <c r="H1178" s="10" t="n">
        <v>0</v>
      </c>
      <c r="I1178" s="10" t="n">
        <v>0</v>
      </c>
      <c r="J1178" s="10" t="n">
        <v>0</v>
      </c>
      <c r="K1178" s="10" t="n">
        <v>0</v>
      </c>
      <c r="L1178" s="10" t="n">
        <v>0</v>
      </c>
      <c r="M1178" s="10" t="n">
        <v>0</v>
      </c>
      <c r="N1178" s="10" t="n">
        <v>0</v>
      </c>
      <c r="O1178" s="10" t="n">
        <v>0</v>
      </c>
      <c r="P1178" s="10" t="n">
        <v>0</v>
      </c>
      <c r="Q1178" s="10" t="n">
        <v>0</v>
      </c>
      <c r="R1178" s="10" t="n">
        <v>0</v>
      </c>
      <c r="S1178" s="10" t="n">
        <v>0</v>
      </c>
      <c r="T1178" s="10" t="n">
        <v>0</v>
      </c>
      <c r="U1178" s="10" t="n">
        <v>0</v>
      </c>
    </row>
    <row r="1179" customFormat="false" ht="15" hidden="false" customHeight="false" outlineLevel="0" collapsed="false">
      <c r="A1179" s="7" t="s">
        <v>931</v>
      </c>
      <c r="B1179" s="7" t="s">
        <v>64</v>
      </c>
      <c r="C1179" s="7" t="s">
        <v>928</v>
      </c>
      <c r="D1179" s="10" t="n">
        <v>0</v>
      </c>
      <c r="E1179" s="10" t="n">
        <v>0</v>
      </c>
      <c r="F1179" s="10" t="n">
        <v>3</v>
      </c>
      <c r="G1179" s="10" t="n">
        <v>0</v>
      </c>
      <c r="H1179" s="10" t="n">
        <v>0</v>
      </c>
      <c r="I1179" s="10" t="n">
        <v>0</v>
      </c>
      <c r="J1179" s="10" t="n">
        <v>0</v>
      </c>
      <c r="K1179" s="10" t="n">
        <v>0</v>
      </c>
      <c r="L1179" s="10" t="n">
        <v>0</v>
      </c>
      <c r="M1179" s="10" t="n">
        <v>0</v>
      </c>
      <c r="N1179" s="10" t="n">
        <v>0</v>
      </c>
      <c r="O1179" s="10" t="n">
        <v>0</v>
      </c>
      <c r="P1179" s="10" t="n">
        <v>0</v>
      </c>
      <c r="Q1179" s="10" t="n">
        <v>0</v>
      </c>
      <c r="R1179" s="10" t="n">
        <v>0</v>
      </c>
      <c r="S1179" s="10" t="n">
        <v>0</v>
      </c>
      <c r="T1179" s="10" t="n">
        <v>0</v>
      </c>
      <c r="U1179" s="10" t="n">
        <v>0</v>
      </c>
    </row>
    <row r="1180" customFormat="false" ht="15" hidden="false" customHeight="false" outlineLevel="0" collapsed="false">
      <c r="A1180" s="7" t="s">
        <v>931</v>
      </c>
      <c r="B1180" s="7" t="s">
        <v>64</v>
      </c>
      <c r="C1180" s="7" t="s">
        <v>929</v>
      </c>
      <c r="D1180" s="10" t="n">
        <v>0</v>
      </c>
      <c r="E1180" s="10" t="n">
        <v>0</v>
      </c>
      <c r="F1180" s="10" t="n">
        <v>6</v>
      </c>
      <c r="G1180" s="10" t="n">
        <v>0</v>
      </c>
      <c r="H1180" s="10" t="n">
        <v>0</v>
      </c>
      <c r="I1180" s="10" t="n">
        <v>0</v>
      </c>
      <c r="J1180" s="10" t="n">
        <v>0</v>
      </c>
      <c r="K1180" s="10" t="n">
        <v>0</v>
      </c>
      <c r="L1180" s="10" t="n">
        <v>0</v>
      </c>
      <c r="M1180" s="10" t="n">
        <v>0</v>
      </c>
      <c r="N1180" s="10" t="n">
        <v>0</v>
      </c>
      <c r="O1180" s="10" t="n">
        <v>0</v>
      </c>
      <c r="P1180" s="10" t="n">
        <v>0</v>
      </c>
      <c r="Q1180" s="10" t="n">
        <v>0</v>
      </c>
      <c r="R1180" s="10" t="n">
        <v>0</v>
      </c>
      <c r="S1180" s="10" t="n">
        <v>0</v>
      </c>
      <c r="T1180" s="10" t="n">
        <v>0</v>
      </c>
      <c r="U1180" s="10" t="n">
        <v>0</v>
      </c>
    </row>
    <row r="1181" customFormat="false" ht="15" hidden="false" customHeight="false" outlineLevel="0" collapsed="false">
      <c r="A1181" s="7" t="s">
        <v>931</v>
      </c>
      <c r="B1181" s="7" t="s">
        <v>64</v>
      </c>
      <c r="C1181" s="7" t="s">
        <v>930</v>
      </c>
      <c r="D1181" s="10" t="n">
        <v>0</v>
      </c>
      <c r="E1181" s="10" t="n">
        <v>0</v>
      </c>
      <c r="F1181" s="10" t="n">
        <v>6</v>
      </c>
      <c r="G1181" s="10" t="n">
        <v>0</v>
      </c>
      <c r="H1181" s="10" t="n">
        <v>0</v>
      </c>
      <c r="I1181" s="10" t="n">
        <v>0</v>
      </c>
      <c r="J1181" s="10" t="n">
        <v>0</v>
      </c>
      <c r="K1181" s="10" t="n">
        <v>0</v>
      </c>
      <c r="L1181" s="10" t="n">
        <v>0</v>
      </c>
      <c r="M1181" s="10" t="n">
        <v>0</v>
      </c>
      <c r="N1181" s="10" t="n">
        <v>0</v>
      </c>
      <c r="O1181" s="10" t="n">
        <v>0</v>
      </c>
      <c r="P1181" s="10" t="n">
        <v>0</v>
      </c>
      <c r="Q1181" s="10" t="n">
        <v>0</v>
      </c>
      <c r="R1181" s="10" t="n">
        <v>0</v>
      </c>
      <c r="S1181" s="10" t="n">
        <v>0</v>
      </c>
      <c r="T1181" s="10" t="n">
        <v>0</v>
      </c>
      <c r="U1181" s="10" t="n"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21" min="4" style="0" width="13"/>
  </cols>
  <sheetData>
    <row r="1" customFormat="false" ht="14.15" hidden="false" customHeight="false" outlineLevel="0" collapsed="false">
      <c r="A1" s="17" t="s">
        <v>933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customFormat="false" ht="26.85" hidden="false" customHeight="false" outlineLevel="0" collapsed="false">
      <c r="A2" s="18" t="s">
        <v>391</v>
      </c>
      <c r="B2" s="18" t="s">
        <v>392</v>
      </c>
      <c r="C2" s="18" t="s">
        <v>393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  <c r="O2" s="18" t="s">
        <v>23</v>
      </c>
      <c r="P2" s="18" t="s">
        <v>24</v>
      </c>
      <c r="Q2" s="18" t="s">
        <v>25</v>
      </c>
      <c r="R2" s="18" t="s">
        <v>27</v>
      </c>
      <c r="S2" s="18" t="s">
        <v>28</v>
      </c>
      <c r="T2" s="18" t="s">
        <v>29</v>
      </c>
      <c r="U2" s="18" t="s">
        <v>30</v>
      </c>
    </row>
    <row r="3" customFormat="false" ht="15" hidden="false" customHeight="false" outlineLevel="0" collapsed="false">
      <c r="A3" s="7" t="s">
        <v>394</v>
      </c>
      <c r="B3" s="7" t="s">
        <v>82</v>
      </c>
      <c r="C3" s="7" t="s">
        <v>395</v>
      </c>
      <c r="D3" s="10" t="n">
        <v>0</v>
      </c>
      <c r="E3" s="10" t="n">
        <v>0</v>
      </c>
      <c r="F3" s="10" t="n">
        <v>5489.3</v>
      </c>
      <c r="G3" s="10" t="n">
        <v>0</v>
      </c>
      <c r="H3" s="10" t="n">
        <v>20.7</v>
      </c>
      <c r="I3" s="10" t="n">
        <v>18346.8</v>
      </c>
      <c r="J3" s="10" t="n">
        <v>0</v>
      </c>
      <c r="K3" s="10" t="n">
        <v>162.6</v>
      </c>
      <c r="L3" s="10" t="n">
        <v>0</v>
      </c>
      <c r="M3" s="10" t="n">
        <v>0</v>
      </c>
      <c r="N3" s="10" t="n">
        <v>143.1</v>
      </c>
      <c r="O3" s="10" t="n">
        <v>0</v>
      </c>
      <c r="P3" s="10" t="n">
        <v>-20.3</v>
      </c>
      <c r="Q3" s="10" t="n">
        <v>16354.5</v>
      </c>
      <c r="R3" s="10" t="n">
        <v>1706.9</v>
      </c>
      <c r="S3" s="10" t="n">
        <v>0</v>
      </c>
      <c r="T3" s="10" t="n">
        <v>870.8</v>
      </c>
      <c r="U3" s="10" t="n">
        <v>0</v>
      </c>
    </row>
    <row r="4" customFormat="false" ht="15" hidden="false" customHeight="false" outlineLevel="0" collapsed="false">
      <c r="A4" s="7" t="s">
        <v>394</v>
      </c>
      <c r="B4" s="7" t="s">
        <v>82</v>
      </c>
      <c r="C4" s="7" t="s">
        <v>396</v>
      </c>
      <c r="D4" s="10" t="n">
        <v>0</v>
      </c>
      <c r="E4" s="10" t="n">
        <v>0</v>
      </c>
      <c r="F4" s="10" t="n">
        <v>6889.9</v>
      </c>
      <c r="G4" s="10" t="n">
        <v>0</v>
      </c>
      <c r="H4" s="10" t="n">
        <v>0</v>
      </c>
      <c r="I4" s="10" t="n">
        <v>20591.7</v>
      </c>
      <c r="J4" s="10" t="n">
        <v>0</v>
      </c>
      <c r="K4" s="10" t="n">
        <v>327.5</v>
      </c>
      <c r="L4" s="10" t="n">
        <v>0</v>
      </c>
      <c r="M4" s="10" t="n">
        <v>0</v>
      </c>
      <c r="N4" s="10" t="n">
        <v>288.2</v>
      </c>
      <c r="O4" s="10" t="n">
        <v>0</v>
      </c>
      <c r="P4" s="10" t="n">
        <v>-43.7</v>
      </c>
      <c r="Q4" s="10" t="n">
        <v>18338.8</v>
      </c>
      <c r="R4" s="10" t="n">
        <v>1680.9</v>
      </c>
      <c r="S4" s="10" t="n">
        <v>0</v>
      </c>
      <c r="T4" s="10" t="n">
        <v>1492.4</v>
      </c>
      <c r="U4" s="10" t="n">
        <v>0</v>
      </c>
    </row>
    <row r="5" customFormat="false" ht="15" hidden="false" customHeight="false" outlineLevel="0" collapsed="false">
      <c r="A5" s="7" t="s">
        <v>394</v>
      </c>
      <c r="B5" s="7" t="s">
        <v>293</v>
      </c>
      <c r="C5" s="7" t="s">
        <v>397</v>
      </c>
      <c r="D5" s="10" t="n">
        <v>0</v>
      </c>
      <c r="E5" s="10" t="n">
        <v>0</v>
      </c>
      <c r="F5" s="10" t="n">
        <v>1552</v>
      </c>
      <c r="G5" s="10" t="n">
        <v>0</v>
      </c>
      <c r="H5" s="10" t="n">
        <v>0</v>
      </c>
      <c r="I5" s="10" t="n">
        <v>1181.8</v>
      </c>
      <c r="J5" s="10" t="n">
        <v>0</v>
      </c>
      <c r="K5" s="10" t="n">
        <v>36.1</v>
      </c>
      <c r="L5" s="10" t="n">
        <v>0</v>
      </c>
      <c r="M5" s="10" t="n">
        <v>0</v>
      </c>
      <c r="N5" s="10" t="n">
        <v>26.6</v>
      </c>
      <c r="O5" s="10" t="n">
        <v>43.3</v>
      </c>
      <c r="P5" s="10" t="n">
        <v>-14.4</v>
      </c>
      <c r="Q5" s="10" t="n">
        <v>0</v>
      </c>
      <c r="R5" s="10" t="n">
        <v>1090.2</v>
      </c>
      <c r="S5" s="10" t="n">
        <v>0</v>
      </c>
      <c r="T5" s="10" t="n">
        <v>771.2</v>
      </c>
      <c r="U5" s="10" t="n">
        <v>0</v>
      </c>
    </row>
    <row r="6" customFormat="false" ht="15" hidden="false" customHeight="false" outlineLevel="0" collapsed="false">
      <c r="A6" s="7" t="s">
        <v>394</v>
      </c>
      <c r="B6" s="7" t="s">
        <v>308</v>
      </c>
      <c r="C6" s="7" t="s">
        <v>398</v>
      </c>
      <c r="D6" s="10" t="n">
        <v>0</v>
      </c>
      <c r="E6" s="10" t="n">
        <v>0</v>
      </c>
      <c r="F6" s="10" t="n">
        <v>788.6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</row>
    <row r="7" customFormat="false" ht="15" hidden="false" customHeight="false" outlineLevel="0" collapsed="false">
      <c r="A7" s="7" t="s">
        <v>394</v>
      </c>
      <c r="B7" s="7" t="s">
        <v>337</v>
      </c>
      <c r="C7" s="7" t="s">
        <v>399</v>
      </c>
      <c r="D7" s="10" t="n">
        <v>0</v>
      </c>
      <c r="E7" s="10" t="n">
        <v>0</v>
      </c>
      <c r="F7" s="10" t="n">
        <v>358.6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</row>
    <row r="8" customFormat="false" ht="15" hidden="false" customHeight="false" outlineLevel="0" collapsed="false">
      <c r="A8" s="7" t="s">
        <v>394</v>
      </c>
      <c r="B8" s="7" t="s">
        <v>341</v>
      </c>
      <c r="C8" s="7" t="s">
        <v>400</v>
      </c>
      <c r="D8" s="10" t="n">
        <v>0</v>
      </c>
      <c r="E8" s="10" t="n">
        <v>0</v>
      </c>
      <c r="F8" s="10" t="n">
        <v>319.4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</row>
    <row r="9" customFormat="false" ht="15" hidden="false" customHeight="false" outlineLevel="0" collapsed="false">
      <c r="A9" s="7" t="s">
        <v>394</v>
      </c>
      <c r="B9" s="7" t="s">
        <v>336</v>
      </c>
      <c r="C9" s="7" t="s">
        <v>401</v>
      </c>
      <c r="D9" s="10" t="n">
        <v>0</v>
      </c>
      <c r="E9" s="10" t="n">
        <v>0</v>
      </c>
      <c r="F9" s="10" t="n">
        <v>665.2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</row>
    <row r="10" customFormat="false" ht="15" hidden="false" customHeight="false" outlineLevel="0" collapsed="false">
      <c r="A10" s="7" t="s">
        <v>394</v>
      </c>
      <c r="B10" s="7" t="s">
        <v>143</v>
      </c>
      <c r="C10" s="7" t="s">
        <v>402</v>
      </c>
      <c r="D10" s="10" t="n">
        <v>0</v>
      </c>
      <c r="E10" s="10" t="n">
        <v>0</v>
      </c>
      <c r="F10" s="10" t="n">
        <v>2749.1</v>
      </c>
      <c r="G10" s="10" t="n">
        <v>0</v>
      </c>
      <c r="H10" s="10" t="n">
        <v>0</v>
      </c>
      <c r="I10" s="10" t="n">
        <v>2790.2</v>
      </c>
      <c r="J10" s="10" t="n">
        <v>0</v>
      </c>
      <c r="K10" s="10" t="n">
        <v>47.2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-47.2</v>
      </c>
      <c r="Q10" s="10" t="n">
        <v>2224.3</v>
      </c>
      <c r="R10" s="10" t="n">
        <v>565.9</v>
      </c>
      <c r="S10" s="10" t="n">
        <v>0</v>
      </c>
      <c r="T10" s="10" t="n">
        <v>668</v>
      </c>
      <c r="U10" s="10" t="n">
        <v>0</v>
      </c>
    </row>
    <row r="11" customFormat="false" ht="15" hidden="false" customHeight="false" outlineLevel="0" collapsed="false">
      <c r="A11" s="7" t="s">
        <v>394</v>
      </c>
      <c r="B11" s="7" t="s">
        <v>91</v>
      </c>
      <c r="C11" s="7" t="s">
        <v>403</v>
      </c>
      <c r="D11" s="10" t="n">
        <v>0</v>
      </c>
      <c r="E11" s="10" t="n">
        <v>0</v>
      </c>
      <c r="F11" s="10" t="n">
        <v>3827.3</v>
      </c>
      <c r="G11" s="10" t="n">
        <v>0</v>
      </c>
      <c r="H11" s="10" t="n">
        <v>51.1</v>
      </c>
      <c r="I11" s="10" t="n">
        <v>24943.6</v>
      </c>
      <c r="J11" s="10" t="n">
        <v>0</v>
      </c>
      <c r="K11" s="10" t="n">
        <v>191.7</v>
      </c>
      <c r="L11" s="10" t="n">
        <v>0</v>
      </c>
      <c r="M11" s="10" t="n">
        <v>157.1</v>
      </c>
      <c r="N11" s="10" t="n">
        <v>117.8</v>
      </c>
      <c r="O11" s="10" t="n">
        <v>0</v>
      </c>
      <c r="P11" s="10" t="n">
        <v>-57.5</v>
      </c>
      <c r="Q11" s="10" t="n">
        <v>23901.8</v>
      </c>
      <c r="R11" s="10" t="n">
        <v>632.6</v>
      </c>
      <c r="S11" s="10" t="n">
        <v>0</v>
      </c>
      <c r="T11" s="10" t="n">
        <v>939.1</v>
      </c>
      <c r="U11" s="10" t="n">
        <v>-78.6</v>
      </c>
    </row>
    <row r="12" customFormat="false" ht="15" hidden="false" customHeight="false" outlineLevel="0" collapsed="false">
      <c r="A12" s="7" t="s">
        <v>394</v>
      </c>
      <c r="B12" s="7" t="s">
        <v>377</v>
      </c>
      <c r="C12" s="7" t="s">
        <v>934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2875.6</v>
      </c>
      <c r="U12" s="10" t="n">
        <v>0</v>
      </c>
    </row>
    <row r="13" customFormat="false" ht="15" hidden="false" customHeight="false" outlineLevel="0" collapsed="false">
      <c r="A13" s="7" t="s">
        <v>394</v>
      </c>
      <c r="B13" s="7" t="s">
        <v>119</v>
      </c>
      <c r="C13" s="7" t="s">
        <v>404</v>
      </c>
      <c r="D13" s="10" t="n">
        <v>0</v>
      </c>
      <c r="E13" s="10" t="n">
        <v>0</v>
      </c>
      <c r="F13" s="10" t="n">
        <v>360.4</v>
      </c>
      <c r="G13" s="10" t="n">
        <v>0</v>
      </c>
      <c r="H13" s="10" t="n">
        <v>0</v>
      </c>
      <c r="I13" s="10" t="n">
        <v>337.1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-31.5</v>
      </c>
      <c r="Q13" s="10" t="n">
        <v>211.3</v>
      </c>
      <c r="R13" s="10" t="n">
        <v>157.3</v>
      </c>
      <c r="S13" s="10" t="n">
        <v>0</v>
      </c>
      <c r="T13" s="10" t="n">
        <v>41.3</v>
      </c>
      <c r="U13" s="10" t="n">
        <v>0</v>
      </c>
    </row>
    <row r="14" customFormat="false" ht="15" hidden="false" customHeight="false" outlineLevel="0" collapsed="false">
      <c r="A14" s="7" t="s">
        <v>394</v>
      </c>
      <c r="B14" s="7" t="s">
        <v>119</v>
      </c>
      <c r="C14" s="7" t="s">
        <v>405</v>
      </c>
      <c r="D14" s="10" t="n">
        <v>0</v>
      </c>
      <c r="E14" s="10" t="n">
        <v>0</v>
      </c>
      <c r="F14" s="10" t="n">
        <v>507.9</v>
      </c>
      <c r="G14" s="10" t="n">
        <v>0</v>
      </c>
      <c r="H14" s="10" t="n">
        <v>0</v>
      </c>
      <c r="I14" s="10" t="n">
        <v>891.5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-62.9</v>
      </c>
      <c r="Q14" s="10" t="n">
        <v>828.6</v>
      </c>
      <c r="R14" s="10" t="n">
        <v>125.8</v>
      </c>
      <c r="S14" s="10" t="n">
        <v>0</v>
      </c>
      <c r="T14" s="10" t="n">
        <v>112.1</v>
      </c>
      <c r="U14" s="10" t="n">
        <v>0</v>
      </c>
    </row>
    <row r="15" customFormat="false" ht="15" hidden="false" customHeight="false" outlineLevel="0" collapsed="false">
      <c r="A15" s="7" t="s">
        <v>394</v>
      </c>
      <c r="B15" s="7" t="s">
        <v>119</v>
      </c>
      <c r="C15" s="7" t="s">
        <v>406</v>
      </c>
      <c r="D15" s="10" t="n">
        <v>0</v>
      </c>
      <c r="E15" s="10" t="n">
        <v>0</v>
      </c>
      <c r="F15" s="10" t="n">
        <v>763</v>
      </c>
      <c r="G15" s="10" t="n">
        <v>0</v>
      </c>
      <c r="H15" s="10" t="n">
        <v>0</v>
      </c>
      <c r="I15" s="10" t="n">
        <v>941.7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-31.5</v>
      </c>
      <c r="Q15" s="10" t="n">
        <v>878.7</v>
      </c>
      <c r="R15" s="10" t="n">
        <v>94.4</v>
      </c>
      <c r="S15" s="10" t="n">
        <v>0</v>
      </c>
      <c r="T15" s="10" t="n">
        <v>424.8</v>
      </c>
      <c r="U15" s="10" t="n">
        <v>0</v>
      </c>
    </row>
    <row r="16" customFormat="false" ht="15" hidden="false" customHeight="false" outlineLevel="0" collapsed="false">
      <c r="A16" s="7" t="s">
        <v>394</v>
      </c>
      <c r="B16" s="7" t="s">
        <v>141</v>
      </c>
      <c r="C16" s="7" t="s">
        <v>407</v>
      </c>
      <c r="D16" s="10" t="n">
        <v>0</v>
      </c>
      <c r="E16" s="10" t="n">
        <v>0</v>
      </c>
      <c r="F16" s="10" t="n">
        <v>376.8</v>
      </c>
      <c r="G16" s="10" t="n">
        <v>0</v>
      </c>
      <c r="H16" s="10" t="n">
        <v>0</v>
      </c>
      <c r="I16" s="10" t="n">
        <v>229.3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229.3</v>
      </c>
      <c r="R16" s="10" t="n">
        <v>0</v>
      </c>
      <c r="S16" s="10" t="n">
        <v>0</v>
      </c>
      <c r="T16" s="10" t="n">
        <v>118</v>
      </c>
      <c r="U16" s="10" t="n">
        <v>0</v>
      </c>
    </row>
    <row r="17" customFormat="false" ht="15" hidden="false" customHeight="false" outlineLevel="0" collapsed="false">
      <c r="A17" s="7" t="s">
        <v>394</v>
      </c>
      <c r="B17" s="7" t="s">
        <v>141</v>
      </c>
      <c r="C17" s="7" t="s">
        <v>408</v>
      </c>
      <c r="D17" s="10" t="n">
        <v>0</v>
      </c>
      <c r="E17" s="10" t="n">
        <v>0</v>
      </c>
      <c r="F17" s="10" t="n">
        <v>140.4</v>
      </c>
      <c r="G17" s="10" t="n">
        <v>0</v>
      </c>
      <c r="H17" s="10" t="n">
        <v>0</v>
      </c>
      <c r="I17" s="10" t="n">
        <v>-194.3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-194.3</v>
      </c>
      <c r="R17" s="10" t="n">
        <v>0</v>
      </c>
      <c r="S17" s="10" t="n">
        <v>0</v>
      </c>
      <c r="T17" s="10" t="n">
        <v>0</v>
      </c>
      <c r="U17" s="10" t="n">
        <v>0</v>
      </c>
    </row>
    <row r="18" customFormat="false" ht="15" hidden="false" customHeight="false" outlineLevel="0" collapsed="false">
      <c r="A18" s="7" t="s">
        <v>394</v>
      </c>
      <c r="B18" s="7" t="s">
        <v>183</v>
      </c>
      <c r="C18" s="7" t="s">
        <v>409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530.1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530.1</v>
      </c>
      <c r="R18" s="10" t="n">
        <v>0</v>
      </c>
      <c r="S18" s="10" t="n">
        <v>0</v>
      </c>
      <c r="T18" s="10" t="n">
        <v>53.1</v>
      </c>
      <c r="U18" s="10" t="n">
        <v>0</v>
      </c>
    </row>
    <row r="19" customFormat="false" ht="15" hidden="false" customHeight="false" outlineLevel="0" collapsed="false">
      <c r="A19" s="7" t="s">
        <v>394</v>
      </c>
      <c r="B19" s="7" t="s">
        <v>168</v>
      </c>
      <c r="C19" s="7" t="s">
        <v>410</v>
      </c>
      <c r="D19" s="10" t="n">
        <v>0</v>
      </c>
      <c r="E19" s="10" t="n">
        <v>0</v>
      </c>
      <c r="F19" s="10" t="n">
        <v>421.3</v>
      </c>
      <c r="G19" s="10" t="n">
        <v>0</v>
      </c>
      <c r="H19" s="10" t="n">
        <v>0</v>
      </c>
      <c r="I19" s="10" t="n">
        <v>482.5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262.3</v>
      </c>
      <c r="R19" s="10" t="n">
        <v>220.2</v>
      </c>
      <c r="S19" s="10" t="n">
        <v>0</v>
      </c>
      <c r="T19" s="10" t="n">
        <v>0</v>
      </c>
      <c r="U19" s="10" t="n">
        <v>0</v>
      </c>
    </row>
    <row r="20" customFormat="false" ht="15" hidden="false" customHeight="false" outlineLevel="0" collapsed="false">
      <c r="A20" s="7" t="s">
        <v>394</v>
      </c>
      <c r="B20" s="7" t="s">
        <v>168</v>
      </c>
      <c r="C20" s="7" t="s">
        <v>411</v>
      </c>
      <c r="D20" s="10" t="n">
        <v>0</v>
      </c>
      <c r="E20" s="10" t="n">
        <v>0</v>
      </c>
      <c r="F20" s="10" t="n">
        <v>433</v>
      </c>
      <c r="G20" s="10" t="n">
        <v>0</v>
      </c>
      <c r="H20" s="10" t="n">
        <v>0</v>
      </c>
      <c r="I20" s="10" t="n">
        <v>687.1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-62.9</v>
      </c>
      <c r="Q20" s="10" t="n">
        <v>498.4</v>
      </c>
      <c r="R20" s="10" t="n">
        <v>251.7</v>
      </c>
      <c r="S20" s="10" t="n">
        <v>0</v>
      </c>
      <c r="T20" s="10" t="n">
        <v>0</v>
      </c>
      <c r="U20" s="10" t="n">
        <v>0</v>
      </c>
    </row>
    <row r="21" customFormat="false" ht="15" hidden="false" customHeight="false" outlineLevel="0" collapsed="false">
      <c r="A21" s="7" t="s">
        <v>394</v>
      </c>
      <c r="B21" s="7" t="s">
        <v>168</v>
      </c>
      <c r="C21" s="7" t="s">
        <v>412</v>
      </c>
      <c r="D21" s="10" t="n">
        <v>0</v>
      </c>
      <c r="E21" s="10" t="n">
        <v>0</v>
      </c>
      <c r="F21" s="10" t="n">
        <v>456.4</v>
      </c>
      <c r="G21" s="10" t="n">
        <v>0</v>
      </c>
      <c r="H21" s="10" t="n">
        <v>0</v>
      </c>
      <c r="I21" s="10" t="n">
        <v>814.5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814.5</v>
      </c>
      <c r="R21" s="10" t="n">
        <v>0</v>
      </c>
      <c r="S21" s="10" t="n">
        <v>0</v>
      </c>
      <c r="T21" s="10" t="n">
        <v>0</v>
      </c>
      <c r="U21" s="10" t="n">
        <v>0</v>
      </c>
    </row>
    <row r="22" customFormat="false" ht="15" hidden="false" customHeight="false" outlineLevel="0" collapsed="false">
      <c r="A22" s="7" t="s">
        <v>394</v>
      </c>
      <c r="B22" s="7" t="s">
        <v>248</v>
      </c>
      <c r="C22" s="7" t="s">
        <v>413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-31.9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-31.9</v>
      </c>
      <c r="R22" s="10" t="n">
        <v>0</v>
      </c>
      <c r="S22" s="10" t="n">
        <v>0</v>
      </c>
      <c r="T22" s="10" t="n">
        <v>0</v>
      </c>
      <c r="U22" s="10" t="n">
        <v>0</v>
      </c>
    </row>
    <row r="23" customFormat="false" ht="15" hidden="false" customHeight="false" outlineLevel="0" collapsed="false">
      <c r="A23" s="7" t="s">
        <v>394</v>
      </c>
      <c r="B23" s="7" t="s">
        <v>109</v>
      </c>
      <c r="C23" s="7" t="s">
        <v>404</v>
      </c>
      <c r="D23" s="10" t="n">
        <v>0</v>
      </c>
      <c r="E23" s="10" t="n">
        <v>0</v>
      </c>
      <c r="F23" s="10" t="n">
        <v>741.3</v>
      </c>
      <c r="G23" s="10" t="n">
        <v>0</v>
      </c>
      <c r="H23" s="10" t="n">
        <v>0</v>
      </c>
      <c r="I23" s="10" t="n">
        <v>769.7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-74.9</v>
      </c>
      <c r="Q23" s="10" t="n">
        <v>844.6</v>
      </c>
      <c r="R23" s="10" t="n">
        <v>0</v>
      </c>
      <c r="S23" s="10" t="n">
        <v>0</v>
      </c>
      <c r="T23" s="10" t="n">
        <v>128.8</v>
      </c>
      <c r="U23" s="10" t="n">
        <v>0</v>
      </c>
    </row>
    <row r="24" customFormat="false" ht="15" hidden="false" customHeight="false" outlineLevel="0" collapsed="false">
      <c r="A24" s="7" t="s">
        <v>394</v>
      </c>
      <c r="B24" s="7" t="s">
        <v>109</v>
      </c>
      <c r="C24" s="7" t="s">
        <v>414</v>
      </c>
      <c r="D24" s="10" t="n">
        <v>0</v>
      </c>
      <c r="E24" s="10" t="n">
        <v>0</v>
      </c>
      <c r="F24" s="10" t="n">
        <v>823.7</v>
      </c>
      <c r="G24" s="10" t="n">
        <v>0</v>
      </c>
      <c r="H24" s="10" t="n">
        <v>754.4</v>
      </c>
      <c r="I24" s="10" t="n">
        <v>1355.9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-72.1</v>
      </c>
      <c r="Q24" s="10" t="n">
        <v>1259.8</v>
      </c>
      <c r="R24" s="10" t="n">
        <v>168.1</v>
      </c>
      <c r="S24" s="10" t="n">
        <v>0</v>
      </c>
      <c r="T24" s="10" t="n">
        <v>0</v>
      </c>
      <c r="U24" s="10" t="n">
        <v>0</v>
      </c>
    </row>
    <row r="25" customFormat="false" ht="15" hidden="false" customHeight="false" outlineLevel="0" collapsed="false">
      <c r="A25" s="7" t="s">
        <v>394</v>
      </c>
      <c r="B25" s="7" t="s">
        <v>109</v>
      </c>
      <c r="C25" s="7" t="s">
        <v>415</v>
      </c>
      <c r="D25" s="10" t="n">
        <v>0</v>
      </c>
      <c r="E25" s="10" t="n">
        <v>0</v>
      </c>
      <c r="F25" s="10" t="n">
        <v>1293.5</v>
      </c>
      <c r="G25" s="10" t="n">
        <v>0</v>
      </c>
      <c r="H25" s="10" t="n">
        <v>438</v>
      </c>
      <c r="I25" s="10" t="n">
        <v>1815.3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1815.3</v>
      </c>
      <c r="R25" s="10" t="n">
        <v>0</v>
      </c>
      <c r="S25" s="10" t="n">
        <v>0</v>
      </c>
      <c r="T25" s="10" t="n">
        <v>331.2</v>
      </c>
      <c r="U25" s="10" t="n">
        <v>0</v>
      </c>
    </row>
    <row r="26" customFormat="false" ht="15" hidden="false" customHeight="false" outlineLevel="0" collapsed="false">
      <c r="A26" s="7" t="s">
        <v>394</v>
      </c>
      <c r="B26" s="7" t="s">
        <v>120</v>
      </c>
      <c r="C26" s="7" t="s">
        <v>416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-107.1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-107.1</v>
      </c>
      <c r="R26" s="10" t="n">
        <v>0</v>
      </c>
      <c r="S26" s="10" t="n">
        <v>0</v>
      </c>
      <c r="T26" s="10" t="n">
        <v>0</v>
      </c>
      <c r="U26" s="10" t="n">
        <v>0</v>
      </c>
    </row>
    <row r="27" customFormat="false" ht="15" hidden="false" customHeight="false" outlineLevel="0" collapsed="false">
      <c r="A27" s="7" t="s">
        <v>394</v>
      </c>
      <c r="B27" s="7" t="s">
        <v>120</v>
      </c>
      <c r="C27" s="7" t="s">
        <v>417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-197.1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-112.3</v>
      </c>
      <c r="Q27" s="10" t="n">
        <v>-84.8</v>
      </c>
      <c r="R27" s="10" t="n">
        <v>0</v>
      </c>
      <c r="S27" s="10" t="n">
        <v>0</v>
      </c>
      <c r="T27" s="10" t="n">
        <v>0</v>
      </c>
      <c r="U27" s="10" t="n">
        <v>0</v>
      </c>
    </row>
    <row r="28" customFormat="false" ht="15" hidden="false" customHeight="false" outlineLevel="0" collapsed="false">
      <c r="A28" s="7" t="s">
        <v>394</v>
      </c>
      <c r="B28" s="7" t="s">
        <v>120</v>
      </c>
      <c r="C28" s="7" t="s">
        <v>418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-24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-24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</row>
    <row r="29" customFormat="false" ht="15" hidden="false" customHeight="false" outlineLevel="0" collapsed="false">
      <c r="A29" s="7" t="s">
        <v>394</v>
      </c>
      <c r="B29" s="7" t="s">
        <v>177</v>
      </c>
      <c r="C29" s="7" t="s">
        <v>419</v>
      </c>
      <c r="D29" s="10" t="n">
        <v>0</v>
      </c>
      <c r="E29" s="10" t="n">
        <v>0</v>
      </c>
      <c r="F29" s="10" t="n">
        <v>585.9</v>
      </c>
      <c r="G29" s="10" t="n">
        <v>0</v>
      </c>
      <c r="H29" s="10" t="n">
        <v>0</v>
      </c>
      <c r="I29" s="10" t="n">
        <v>620.5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452.4</v>
      </c>
      <c r="R29" s="10" t="n">
        <v>168.1</v>
      </c>
      <c r="S29" s="10" t="n">
        <v>0</v>
      </c>
      <c r="T29" s="10" t="n">
        <v>128.8</v>
      </c>
      <c r="U29" s="10" t="n">
        <v>0</v>
      </c>
    </row>
    <row r="30" customFormat="false" ht="15" hidden="false" customHeight="false" outlineLevel="0" collapsed="false">
      <c r="A30" s="7" t="s">
        <v>394</v>
      </c>
      <c r="B30" s="7" t="s">
        <v>177</v>
      </c>
      <c r="C30" s="7" t="s">
        <v>420</v>
      </c>
      <c r="D30" s="10" t="n">
        <v>0</v>
      </c>
      <c r="E30" s="10" t="n">
        <v>0</v>
      </c>
      <c r="F30" s="10" t="n">
        <v>1170.1</v>
      </c>
      <c r="G30" s="10" t="n">
        <v>0</v>
      </c>
      <c r="H30" s="10" t="n">
        <v>0</v>
      </c>
      <c r="I30" s="10" t="n">
        <v>1602.7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-85.5</v>
      </c>
      <c r="Q30" s="10" t="n">
        <v>1447.9</v>
      </c>
      <c r="R30" s="10" t="n">
        <v>240.2</v>
      </c>
      <c r="S30" s="10" t="n">
        <v>0</v>
      </c>
      <c r="T30" s="10" t="n">
        <v>276</v>
      </c>
      <c r="U30" s="10" t="n">
        <v>0</v>
      </c>
    </row>
    <row r="31" customFormat="false" ht="15" hidden="false" customHeight="false" outlineLevel="0" collapsed="false">
      <c r="A31" s="7" t="s">
        <v>394</v>
      </c>
      <c r="B31" s="7" t="s">
        <v>177</v>
      </c>
      <c r="C31" s="7" t="s">
        <v>421</v>
      </c>
      <c r="D31" s="10" t="n">
        <v>0</v>
      </c>
      <c r="E31" s="10" t="n">
        <v>0</v>
      </c>
      <c r="F31" s="10" t="n">
        <v>937.9</v>
      </c>
      <c r="G31" s="10" t="n">
        <v>0</v>
      </c>
      <c r="H31" s="10" t="n">
        <v>267.7</v>
      </c>
      <c r="I31" s="10" t="n">
        <v>1714.6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1546.5</v>
      </c>
      <c r="R31" s="10" t="n">
        <v>168.1</v>
      </c>
      <c r="S31" s="10" t="n">
        <v>0</v>
      </c>
      <c r="T31" s="10" t="n">
        <v>349.6</v>
      </c>
      <c r="U31" s="10" t="n">
        <v>0</v>
      </c>
    </row>
    <row r="32" customFormat="false" ht="15" hidden="false" customHeight="false" outlineLevel="0" collapsed="false">
      <c r="A32" s="7" t="s">
        <v>394</v>
      </c>
      <c r="B32" s="7" t="s">
        <v>173</v>
      </c>
      <c r="C32" s="7" t="s">
        <v>427</v>
      </c>
      <c r="D32" s="10" t="n">
        <v>0</v>
      </c>
      <c r="E32" s="10" t="n">
        <v>0</v>
      </c>
      <c r="F32" s="10" t="n">
        <v>7.2</v>
      </c>
      <c r="G32" s="10" t="n">
        <v>0</v>
      </c>
      <c r="H32" s="10" t="n">
        <v>0</v>
      </c>
      <c r="I32" s="10" t="n">
        <v>-737.5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-198.5</v>
      </c>
      <c r="Q32" s="10" t="n">
        <v>-539</v>
      </c>
      <c r="R32" s="10" t="n">
        <v>0</v>
      </c>
      <c r="S32" s="10" t="n">
        <v>0</v>
      </c>
      <c r="T32" s="10" t="n">
        <v>0</v>
      </c>
      <c r="U32" s="10" t="n">
        <v>0</v>
      </c>
    </row>
    <row r="33" customFormat="false" ht="15" hidden="false" customHeight="false" outlineLevel="0" collapsed="false">
      <c r="A33" s="7" t="s">
        <v>394</v>
      </c>
      <c r="B33" s="7" t="s">
        <v>173</v>
      </c>
      <c r="C33" s="7" t="s">
        <v>428</v>
      </c>
      <c r="D33" s="10" t="n">
        <v>0</v>
      </c>
      <c r="E33" s="10" t="n">
        <v>0</v>
      </c>
      <c r="F33" s="10" t="n">
        <v>101.5</v>
      </c>
      <c r="G33" s="10" t="n">
        <v>0</v>
      </c>
      <c r="H33" s="10" t="n">
        <v>0</v>
      </c>
      <c r="I33" s="10" t="n">
        <v>-375.7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-99.2</v>
      </c>
      <c r="Q33" s="10" t="n">
        <v>-276.4</v>
      </c>
      <c r="R33" s="10" t="n">
        <v>0</v>
      </c>
      <c r="S33" s="10" t="n">
        <v>0</v>
      </c>
      <c r="T33" s="10" t="n">
        <v>0</v>
      </c>
      <c r="U33" s="10" t="n">
        <v>0</v>
      </c>
    </row>
    <row r="34" customFormat="false" ht="15" hidden="false" customHeight="false" outlineLevel="0" collapsed="false">
      <c r="A34" s="7" t="s">
        <v>394</v>
      </c>
      <c r="B34" s="7" t="s">
        <v>173</v>
      </c>
      <c r="C34" s="7" t="s">
        <v>429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-272.5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-99.2</v>
      </c>
      <c r="Q34" s="10" t="n">
        <v>-173.2</v>
      </c>
      <c r="R34" s="10" t="n">
        <v>0</v>
      </c>
      <c r="S34" s="10" t="n">
        <v>0</v>
      </c>
      <c r="T34" s="10" t="n">
        <v>0</v>
      </c>
      <c r="U34" s="10" t="n">
        <v>0</v>
      </c>
    </row>
    <row r="35" customFormat="false" ht="15" hidden="false" customHeight="false" outlineLevel="0" collapsed="false">
      <c r="A35" s="7" t="s">
        <v>394</v>
      </c>
      <c r="B35" s="7" t="s">
        <v>173</v>
      </c>
      <c r="C35" s="7" t="s">
        <v>430</v>
      </c>
      <c r="D35" s="10" t="n">
        <v>0</v>
      </c>
      <c r="E35" s="10" t="n">
        <v>0</v>
      </c>
      <c r="F35" s="10" t="n">
        <v>108.7</v>
      </c>
      <c r="G35" s="10" t="n">
        <v>0</v>
      </c>
      <c r="H35" s="10" t="n">
        <v>0</v>
      </c>
      <c r="I35" s="10" t="n">
        <v>-270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-270</v>
      </c>
      <c r="R35" s="10" t="n">
        <v>0</v>
      </c>
      <c r="S35" s="10" t="n">
        <v>0</v>
      </c>
      <c r="T35" s="10" t="n">
        <v>0</v>
      </c>
      <c r="U35" s="10" t="n">
        <v>0</v>
      </c>
    </row>
    <row r="36" customFormat="false" ht="15" hidden="false" customHeight="false" outlineLevel="0" collapsed="false">
      <c r="A36" s="7" t="s">
        <v>394</v>
      </c>
      <c r="B36" s="7" t="s">
        <v>249</v>
      </c>
      <c r="C36" s="7" t="s">
        <v>432</v>
      </c>
      <c r="D36" s="10" t="n">
        <v>0</v>
      </c>
      <c r="E36" s="10" t="n">
        <v>0</v>
      </c>
      <c r="F36" s="10" t="n">
        <v>262.4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</row>
    <row r="37" customFormat="false" ht="15" hidden="false" customHeight="false" outlineLevel="0" collapsed="false">
      <c r="A37" s="7" t="s">
        <v>394</v>
      </c>
      <c r="B37" s="7" t="s">
        <v>249</v>
      </c>
      <c r="C37" s="7" t="s">
        <v>433</v>
      </c>
      <c r="D37" s="10" t="n">
        <v>0</v>
      </c>
      <c r="E37" s="10" t="n">
        <v>0</v>
      </c>
      <c r="F37" s="10" t="n">
        <v>-710.5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1096.9</v>
      </c>
      <c r="U37" s="10" t="n">
        <v>0</v>
      </c>
    </row>
    <row r="38" customFormat="false" ht="15" hidden="false" customHeight="false" outlineLevel="0" collapsed="false">
      <c r="A38" s="7" t="s">
        <v>394</v>
      </c>
      <c r="B38" s="7" t="s">
        <v>249</v>
      </c>
      <c r="C38" s="7" t="s">
        <v>434</v>
      </c>
      <c r="D38" s="10" t="n">
        <v>0</v>
      </c>
      <c r="E38" s="10" t="n">
        <v>0</v>
      </c>
      <c r="F38" s="10" t="n">
        <v>-485.2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351</v>
      </c>
      <c r="U38" s="10" t="n">
        <v>0</v>
      </c>
    </row>
    <row r="39" customFormat="false" ht="15" hidden="false" customHeight="false" outlineLevel="0" collapsed="false">
      <c r="A39" s="7" t="s">
        <v>394</v>
      </c>
      <c r="B39" s="7" t="s">
        <v>249</v>
      </c>
      <c r="C39" s="7" t="s">
        <v>435</v>
      </c>
      <c r="D39" s="10" t="n">
        <v>0</v>
      </c>
      <c r="E39" s="10" t="n">
        <v>0</v>
      </c>
      <c r="F39" s="10" t="n">
        <v>454.9</v>
      </c>
      <c r="G39" s="10" t="n">
        <v>0</v>
      </c>
      <c r="H39" s="10" t="n">
        <v>0</v>
      </c>
      <c r="I39" s="10" t="n">
        <v>-215.4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-215.4</v>
      </c>
      <c r="R39" s="10" t="n">
        <v>0</v>
      </c>
      <c r="S39" s="10" t="n">
        <v>0</v>
      </c>
      <c r="T39" s="10" t="n">
        <v>745.9</v>
      </c>
      <c r="U39" s="10" t="n">
        <v>0</v>
      </c>
    </row>
    <row r="40" customFormat="false" ht="15" hidden="false" customHeight="false" outlineLevel="0" collapsed="false">
      <c r="A40" s="7" t="s">
        <v>394</v>
      </c>
      <c r="B40" s="7" t="s">
        <v>249</v>
      </c>
      <c r="C40" s="7" t="s">
        <v>436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1009.1</v>
      </c>
      <c r="U40" s="10" t="n">
        <v>0</v>
      </c>
    </row>
    <row r="41" customFormat="false" ht="15" hidden="false" customHeight="false" outlineLevel="0" collapsed="false">
      <c r="A41" s="7" t="s">
        <v>394</v>
      </c>
      <c r="B41" s="7" t="s">
        <v>79</v>
      </c>
      <c r="C41" s="7" t="s">
        <v>438</v>
      </c>
      <c r="D41" s="10" t="n">
        <v>0</v>
      </c>
      <c r="E41" s="10" t="n">
        <v>0</v>
      </c>
      <c r="F41" s="10" t="n">
        <v>13.7</v>
      </c>
      <c r="G41" s="10" t="n">
        <v>0</v>
      </c>
      <c r="H41" s="10" t="n">
        <v>0</v>
      </c>
      <c r="I41" s="10" t="n">
        <v>-524.2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-524.2</v>
      </c>
      <c r="R41" s="10" t="n">
        <v>0</v>
      </c>
      <c r="S41" s="10" t="n">
        <v>0</v>
      </c>
      <c r="T41" s="10" t="n">
        <v>0</v>
      </c>
      <c r="U41" s="10" t="n">
        <v>0</v>
      </c>
    </row>
    <row r="42" customFormat="false" ht="15" hidden="false" customHeight="false" outlineLevel="0" collapsed="false">
      <c r="A42" s="7" t="s">
        <v>394</v>
      </c>
      <c r="B42" s="7" t="s">
        <v>79</v>
      </c>
      <c r="C42" s="7" t="s">
        <v>439</v>
      </c>
      <c r="D42" s="10" t="n">
        <v>0</v>
      </c>
      <c r="E42" s="10" t="n">
        <v>0</v>
      </c>
      <c r="F42" s="10" t="n">
        <v>2395.7</v>
      </c>
      <c r="G42" s="10" t="n">
        <v>0</v>
      </c>
      <c r="H42" s="10" t="n">
        <v>134</v>
      </c>
      <c r="I42" s="10" t="n">
        <v>2300.7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1877.2</v>
      </c>
      <c r="R42" s="10" t="n">
        <v>423.5</v>
      </c>
      <c r="S42" s="10" t="n">
        <v>0</v>
      </c>
      <c r="T42" s="10" t="n">
        <v>0</v>
      </c>
      <c r="U42" s="10" t="n">
        <v>0</v>
      </c>
    </row>
    <row r="43" customFormat="false" ht="15" hidden="false" customHeight="false" outlineLevel="0" collapsed="false">
      <c r="A43" s="7" t="s">
        <v>394</v>
      </c>
      <c r="B43" s="7" t="s">
        <v>79</v>
      </c>
      <c r="C43" s="7" t="s">
        <v>440</v>
      </c>
      <c r="D43" s="10" t="n">
        <v>0</v>
      </c>
      <c r="E43" s="10" t="n">
        <v>0</v>
      </c>
      <c r="F43" s="10" t="n">
        <v>1024</v>
      </c>
      <c r="G43" s="10" t="n">
        <v>0</v>
      </c>
      <c r="H43" s="10" t="n">
        <v>134</v>
      </c>
      <c r="I43" s="10" t="n">
        <v>1517.2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-141.2</v>
      </c>
      <c r="Q43" s="10" t="n">
        <v>1093.8</v>
      </c>
      <c r="R43" s="10" t="n">
        <v>564.6</v>
      </c>
      <c r="S43" s="10" t="n">
        <v>0</v>
      </c>
      <c r="T43" s="10" t="n">
        <v>0</v>
      </c>
      <c r="U43" s="10" t="n">
        <v>0</v>
      </c>
    </row>
    <row r="44" customFormat="false" ht="15" hidden="false" customHeight="false" outlineLevel="0" collapsed="false">
      <c r="A44" s="7" t="s">
        <v>394</v>
      </c>
      <c r="B44" s="7" t="s">
        <v>79</v>
      </c>
      <c r="C44" s="7" t="s">
        <v>441</v>
      </c>
      <c r="D44" s="10" t="n">
        <v>0</v>
      </c>
      <c r="E44" s="10" t="n">
        <v>0</v>
      </c>
      <c r="F44" s="10" t="n">
        <v>1762.8</v>
      </c>
      <c r="G44" s="10" t="n">
        <v>0</v>
      </c>
      <c r="H44" s="10" t="n">
        <v>134</v>
      </c>
      <c r="I44" s="10" t="n">
        <v>4431.8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3584.9</v>
      </c>
      <c r="R44" s="10" t="n">
        <v>846.9</v>
      </c>
      <c r="S44" s="10" t="n">
        <v>0</v>
      </c>
      <c r="T44" s="10" t="n">
        <v>0</v>
      </c>
      <c r="U44" s="10" t="n">
        <v>0</v>
      </c>
    </row>
    <row r="45" customFormat="false" ht="15" hidden="false" customHeight="false" outlineLevel="0" collapsed="false">
      <c r="A45" s="7" t="s">
        <v>394</v>
      </c>
      <c r="B45" s="7" t="s">
        <v>79</v>
      </c>
      <c r="C45" s="7" t="s">
        <v>442</v>
      </c>
      <c r="D45" s="10" t="n">
        <v>0</v>
      </c>
      <c r="E45" s="10" t="n">
        <v>0</v>
      </c>
      <c r="F45" s="10" t="n">
        <v>148.4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</row>
    <row r="46" customFormat="false" ht="15" hidden="false" customHeight="false" outlineLevel="0" collapsed="false">
      <c r="A46" s="7" t="s">
        <v>394</v>
      </c>
      <c r="B46" s="7" t="s">
        <v>57</v>
      </c>
      <c r="C46" s="7" t="s">
        <v>443</v>
      </c>
      <c r="D46" s="10" t="n">
        <v>0</v>
      </c>
      <c r="E46" s="10" t="n">
        <v>0</v>
      </c>
      <c r="F46" s="10" t="n">
        <v>534.5</v>
      </c>
      <c r="G46" s="10" t="n">
        <v>0</v>
      </c>
      <c r="H46" s="10" t="n">
        <v>0</v>
      </c>
      <c r="I46" s="10" t="n">
        <v>10355.1</v>
      </c>
      <c r="J46" s="10" t="n">
        <v>0</v>
      </c>
      <c r="K46" s="10" t="n">
        <v>194.1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-194.1</v>
      </c>
      <c r="Q46" s="10" t="n">
        <v>8511.5</v>
      </c>
      <c r="R46" s="10" t="n">
        <v>1843.6</v>
      </c>
      <c r="S46" s="10" t="n">
        <v>0</v>
      </c>
      <c r="T46" s="10" t="n">
        <v>144.7</v>
      </c>
      <c r="U46" s="10" t="n">
        <v>0</v>
      </c>
    </row>
    <row r="47" customFormat="false" ht="15" hidden="false" customHeight="false" outlineLevel="0" collapsed="false">
      <c r="A47" s="7" t="s">
        <v>394</v>
      </c>
      <c r="B47" s="7" t="s">
        <v>57</v>
      </c>
      <c r="C47" s="7" t="s">
        <v>444</v>
      </c>
      <c r="D47" s="10" t="n">
        <v>0</v>
      </c>
      <c r="E47" s="10" t="n">
        <v>0</v>
      </c>
      <c r="F47" s="10" t="n">
        <v>2773</v>
      </c>
      <c r="G47" s="10" t="n">
        <v>0</v>
      </c>
      <c r="H47" s="10" t="n">
        <v>0</v>
      </c>
      <c r="I47" s="10" t="n">
        <v>27323.8</v>
      </c>
      <c r="J47" s="10" t="n">
        <v>0</v>
      </c>
      <c r="K47" s="10" t="n">
        <v>194.1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-582.2</v>
      </c>
      <c r="Q47" s="10" t="n">
        <v>22569.3</v>
      </c>
      <c r="R47" s="10" t="n">
        <v>5142.6</v>
      </c>
      <c r="S47" s="10" t="n">
        <v>0</v>
      </c>
      <c r="T47" s="10" t="n">
        <v>2043.6</v>
      </c>
      <c r="U47" s="10" t="n">
        <v>-143.7</v>
      </c>
    </row>
    <row r="48" customFormat="false" ht="15" hidden="false" customHeight="false" outlineLevel="0" collapsed="false">
      <c r="A48" s="7" t="s">
        <v>394</v>
      </c>
      <c r="B48" s="7" t="s">
        <v>57</v>
      </c>
      <c r="C48" s="7" t="s">
        <v>445</v>
      </c>
      <c r="D48" s="10" t="n">
        <v>0</v>
      </c>
      <c r="E48" s="10" t="n">
        <v>0</v>
      </c>
      <c r="F48" s="10" t="n">
        <v>2754.3</v>
      </c>
      <c r="G48" s="10" t="n">
        <v>0</v>
      </c>
      <c r="H48" s="10" t="n">
        <v>0</v>
      </c>
      <c r="I48" s="10" t="n">
        <v>19218.5</v>
      </c>
      <c r="J48" s="10" t="n">
        <v>0</v>
      </c>
      <c r="K48" s="10" t="n">
        <v>194.1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-388.1</v>
      </c>
      <c r="Q48" s="10" t="n">
        <v>16016.5</v>
      </c>
      <c r="R48" s="10" t="n">
        <v>3396.1</v>
      </c>
      <c r="S48" s="10" t="n">
        <v>0</v>
      </c>
      <c r="T48" s="10" t="n">
        <v>1446.8</v>
      </c>
      <c r="U48" s="10" t="n">
        <v>-287.4</v>
      </c>
    </row>
    <row r="49" customFormat="false" ht="15" hidden="false" customHeight="false" outlineLevel="0" collapsed="false">
      <c r="A49" s="7" t="s">
        <v>394</v>
      </c>
      <c r="B49" s="7" t="s">
        <v>57</v>
      </c>
      <c r="C49" s="7" t="s">
        <v>446</v>
      </c>
      <c r="D49" s="10" t="n">
        <v>0</v>
      </c>
      <c r="E49" s="10" t="n">
        <v>0</v>
      </c>
      <c r="F49" s="10" t="n">
        <v>2646.6</v>
      </c>
      <c r="G49" s="10" t="n">
        <v>0</v>
      </c>
      <c r="H49" s="10" t="n">
        <v>0</v>
      </c>
      <c r="I49" s="10" t="n">
        <v>27252.8</v>
      </c>
      <c r="J49" s="10" t="n">
        <v>0</v>
      </c>
      <c r="K49" s="10" t="n">
        <v>97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-485.2</v>
      </c>
      <c r="Q49" s="10" t="n">
        <v>21722.1</v>
      </c>
      <c r="R49" s="10" t="n">
        <v>5918.8</v>
      </c>
      <c r="S49" s="10" t="n">
        <v>0</v>
      </c>
      <c r="T49" s="10" t="n">
        <v>2531.9</v>
      </c>
      <c r="U49" s="10" t="n">
        <v>-143.7</v>
      </c>
    </row>
    <row r="50" customFormat="false" ht="15" hidden="false" customHeight="false" outlineLevel="0" collapsed="false">
      <c r="A50" s="7" t="s">
        <v>394</v>
      </c>
      <c r="B50" s="7" t="s">
        <v>57</v>
      </c>
      <c r="C50" s="7" t="s">
        <v>447</v>
      </c>
      <c r="D50" s="10" t="n">
        <v>0</v>
      </c>
      <c r="E50" s="10" t="n">
        <v>0</v>
      </c>
      <c r="F50" s="10" t="n">
        <v>1077.6</v>
      </c>
      <c r="G50" s="10" t="n">
        <v>0</v>
      </c>
      <c r="H50" s="10" t="n">
        <v>0</v>
      </c>
      <c r="I50" s="10" t="n">
        <v>7727.8</v>
      </c>
      <c r="J50" s="10" t="n">
        <v>0</v>
      </c>
      <c r="K50" s="10" t="n">
        <v>97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-291.1</v>
      </c>
      <c r="Q50" s="10" t="n">
        <v>4137.7</v>
      </c>
      <c r="R50" s="10" t="n">
        <v>3784.2</v>
      </c>
      <c r="S50" s="10" t="n">
        <v>0</v>
      </c>
      <c r="T50" s="10" t="n">
        <v>1410.6</v>
      </c>
      <c r="U50" s="10" t="n">
        <v>0</v>
      </c>
    </row>
    <row r="51" customFormat="false" ht="15" hidden="false" customHeight="false" outlineLevel="0" collapsed="false">
      <c r="A51" s="7" t="s">
        <v>394</v>
      </c>
      <c r="B51" s="7" t="s">
        <v>256</v>
      </c>
      <c r="C51" s="7" t="s">
        <v>935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-178.6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-178.6</v>
      </c>
      <c r="R51" s="10" t="n">
        <v>0</v>
      </c>
      <c r="S51" s="10" t="n">
        <v>0</v>
      </c>
      <c r="T51" s="10" t="n">
        <v>0</v>
      </c>
      <c r="U51" s="10" t="n">
        <v>0</v>
      </c>
    </row>
    <row r="52" customFormat="false" ht="15" hidden="false" customHeight="false" outlineLevel="0" collapsed="false">
      <c r="A52" s="7" t="s">
        <v>394</v>
      </c>
      <c r="B52" s="7" t="s">
        <v>202</v>
      </c>
      <c r="C52" s="7" t="s">
        <v>936</v>
      </c>
      <c r="D52" s="10" t="n">
        <v>0</v>
      </c>
      <c r="E52" s="10" t="n">
        <v>0</v>
      </c>
      <c r="F52" s="10" t="n">
        <v>-247.5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</row>
    <row r="53" customFormat="false" ht="15" hidden="false" customHeight="false" outlineLevel="0" collapsed="false">
      <c r="A53" s="7" t="s">
        <v>394</v>
      </c>
      <c r="B53" s="7" t="s">
        <v>202</v>
      </c>
      <c r="C53" s="7" t="s">
        <v>449</v>
      </c>
      <c r="D53" s="10" t="n">
        <v>0</v>
      </c>
      <c r="E53" s="10" t="n">
        <v>0</v>
      </c>
      <c r="F53" s="10" t="n">
        <v>-247.5</v>
      </c>
      <c r="G53" s="10" t="n">
        <v>0</v>
      </c>
      <c r="H53" s="10" t="n">
        <v>0</v>
      </c>
      <c r="I53" s="10" t="n">
        <v>-266.2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-266.2</v>
      </c>
      <c r="R53" s="10" t="n">
        <v>0</v>
      </c>
      <c r="S53" s="10" t="n">
        <v>0</v>
      </c>
      <c r="T53" s="10" t="n">
        <v>0</v>
      </c>
      <c r="U53" s="10" t="n">
        <v>0</v>
      </c>
    </row>
    <row r="54" customFormat="false" ht="15" hidden="false" customHeight="false" outlineLevel="0" collapsed="false">
      <c r="A54" s="7" t="s">
        <v>394</v>
      </c>
      <c r="B54" s="7" t="s">
        <v>202</v>
      </c>
      <c r="C54" s="7" t="s">
        <v>937</v>
      </c>
      <c r="D54" s="10" t="n">
        <v>0</v>
      </c>
      <c r="E54" s="10" t="n">
        <v>0</v>
      </c>
      <c r="F54" s="10" t="n">
        <v>-247.5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</row>
    <row r="55" customFormat="false" ht="15" hidden="false" customHeight="false" outlineLevel="0" collapsed="false">
      <c r="A55" s="7" t="s">
        <v>394</v>
      </c>
      <c r="B55" s="7" t="s">
        <v>202</v>
      </c>
      <c r="C55" s="7" t="s">
        <v>450</v>
      </c>
      <c r="D55" s="10" t="n">
        <v>0</v>
      </c>
      <c r="E55" s="10" t="n">
        <v>0</v>
      </c>
      <c r="F55" s="10" t="n">
        <v>-247.5</v>
      </c>
      <c r="G55" s="10" t="n">
        <v>0</v>
      </c>
      <c r="H55" s="10" t="n">
        <v>0</v>
      </c>
      <c r="I55" s="10" t="n">
        <v>-286.8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-286.8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</row>
    <row r="56" customFormat="false" ht="15" hidden="false" customHeight="false" outlineLevel="0" collapsed="false">
      <c r="A56" s="7" t="s">
        <v>394</v>
      </c>
      <c r="B56" s="7" t="s">
        <v>100</v>
      </c>
      <c r="C56" s="7" t="s">
        <v>451</v>
      </c>
      <c r="D56" s="10" t="n">
        <v>0</v>
      </c>
      <c r="E56" s="10" t="n">
        <v>0</v>
      </c>
      <c r="F56" s="10" t="n">
        <v>3046.1</v>
      </c>
      <c r="G56" s="10" t="n">
        <v>0</v>
      </c>
      <c r="H56" s="10" t="n">
        <v>0</v>
      </c>
      <c r="I56" s="10" t="n">
        <v>5501.5</v>
      </c>
      <c r="J56" s="10" t="n">
        <v>0</v>
      </c>
      <c r="K56" s="10" t="n">
        <v>81.4</v>
      </c>
      <c r="L56" s="10" t="n">
        <v>0</v>
      </c>
      <c r="M56" s="10" t="n">
        <v>66.5</v>
      </c>
      <c r="N56" s="10" t="n">
        <v>0</v>
      </c>
      <c r="O56" s="10" t="n">
        <v>58.1</v>
      </c>
      <c r="P56" s="10" t="n">
        <v>-54.3</v>
      </c>
      <c r="Q56" s="10" t="n">
        <v>3204.5</v>
      </c>
      <c r="R56" s="10" t="n">
        <v>2145.2</v>
      </c>
      <c r="S56" s="10" t="n">
        <v>0</v>
      </c>
      <c r="T56" s="10" t="n">
        <v>0</v>
      </c>
      <c r="U56" s="10" t="n">
        <v>-44.3</v>
      </c>
    </row>
    <row r="57" customFormat="false" ht="15" hidden="false" customHeight="false" outlineLevel="0" collapsed="false">
      <c r="A57" s="7" t="s">
        <v>394</v>
      </c>
      <c r="B57" s="7" t="s">
        <v>100</v>
      </c>
      <c r="C57" s="7" t="s">
        <v>452</v>
      </c>
      <c r="D57" s="10" t="n">
        <v>0</v>
      </c>
      <c r="E57" s="10" t="n">
        <v>0</v>
      </c>
      <c r="F57" s="10" t="n">
        <v>3374.4</v>
      </c>
      <c r="G57" s="10" t="n">
        <v>0</v>
      </c>
      <c r="H57" s="10" t="n">
        <v>0</v>
      </c>
      <c r="I57" s="10" t="n">
        <v>6310.7</v>
      </c>
      <c r="J57" s="10" t="n">
        <v>0</v>
      </c>
      <c r="K57" s="10" t="n">
        <v>135.7</v>
      </c>
      <c r="L57" s="10" t="n">
        <v>0</v>
      </c>
      <c r="M57" s="10" t="n">
        <v>0</v>
      </c>
      <c r="N57" s="10" t="n">
        <v>66.5</v>
      </c>
      <c r="O57" s="10" t="n">
        <v>29.1</v>
      </c>
      <c r="P57" s="10" t="n">
        <v>-162.8</v>
      </c>
      <c r="Q57" s="10" t="n">
        <v>3527.4</v>
      </c>
      <c r="R57" s="10" t="n">
        <v>2714.9</v>
      </c>
      <c r="S57" s="10" t="n">
        <v>0</v>
      </c>
      <c r="T57" s="10" t="n">
        <v>0</v>
      </c>
      <c r="U57" s="10" t="n">
        <v>-88.6</v>
      </c>
    </row>
    <row r="58" customFormat="false" ht="15" hidden="false" customHeight="false" outlineLevel="0" collapsed="false">
      <c r="A58" s="7" t="s">
        <v>394</v>
      </c>
      <c r="B58" s="7" t="s">
        <v>100</v>
      </c>
      <c r="C58" s="7" t="s">
        <v>453</v>
      </c>
      <c r="D58" s="10" t="n">
        <v>0</v>
      </c>
      <c r="E58" s="10" t="n">
        <v>0</v>
      </c>
      <c r="F58" s="10" t="n">
        <v>1693.8</v>
      </c>
      <c r="G58" s="10" t="n">
        <v>0</v>
      </c>
      <c r="H58" s="10" t="n">
        <v>0</v>
      </c>
      <c r="I58" s="10" t="n">
        <v>4489.2</v>
      </c>
      <c r="J58" s="10" t="n">
        <v>0</v>
      </c>
      <c r="K58" s="10" t="n">
        <v>54.3</v>
      </c>
      <c r="L58" s="10" t="n">
        <v>0</v>
      </c>
      <c r="M58" s="10" t="n">
        <v>66.5</v>
      </c>
      <c r="N58" s="10" t="n">
        <v>99.7</v>
      </c>
      <c r="O58" s="10" t="n">
        <v>29.1</v>
      </c>
      <c r="P58" s="10" t="n">
        <v>-81.4</v>
      </c>
      <c r="Q58" s="10" t="n">
        <v>2639.1</v>
      </c>
      <c r="R58" s="10" t="n">
        <v>1682.1</v>
      </c>
      <c r="S58" s="10" t="n">
        <v>0</v>
      </c>
      <c r="T58" s="10" t="n">
        <v>0</v>
      </c>
      <c r="U58" s="10" t="n">
        <v>0</v>
      </c>
    </row>
    <row r="59" customFormat="false" ht="15" hidden="false" customHeight="false" outlineLevel="0" collapsed="false">
      <c r="A59" s="7" t="s">
        <v>394</v>
      </c>
      <c r="B59" s="7" t="s">
        <v>100</v>
      </c>
      <c r="C59" s="7" t="s">
        <v>454</v>
      </c>
      <c r="D59" s="10" t="n">
        <v>0</v>
      </c>
      <c r="E59" s="10" t="n">
        <v>0</v>
      </c>
      <c r="F59" s="10" t="n">
        <v>838.3</v>
      </c>
      <c r="G59" s="10" t="n">
        <v>0</v>
      </c>
      <c r="H59" s="10" t="n">
        <v>0</v>
      </c>
      <c r="I59" s="10" t="n">
        <v>1969.1</v>
      </c>
      <c r="J59" s="10" t="n">
        <v>0</v>
      </c>
      <c r="K59" s="10" t="n">
        <v>27.1</v>
      </c>
      <c r="L59" s="10" t="n">
        <v>0</v>
      </c>
      <c r="M59" s="10" t="n">
        <v>66.5</v>
      </c>
      <c r="N59" s="10" t="n">
        <v>66.5</v>
      </c>
      <c r="O59" s="10" t="n">
        <v>29.1</v>
      </c>
      <c r="P59" s="10" t="n">
        <v>-27.1</v>
      </c>
      <c r="Q59" s="10" t="n">
        <v>938.9</v>
      </c>
      <c r="R59" s="10" t="n">
        <v>868.2</v>
      </c>
      <c r="S59" s="10" t="n">
        <v>0</v>
      </c>
      <c r="T59" s="10" t="n">
        <v>0</v>
      </c>
      <c r="U59" s="10" t="n">
        <v>0</v>
      </c>
    </row>
    <row r="60" customFormat="false" ht="15" hidden="false" customHeight="false" outlineLevel="0" collapsed="false">
      <c r="A60" s="7" t="s">
        <v>394</v>
      </c>
      <c r="B60" s="7" t="s">
        <v>100</v>
      </c>
      <c r="C60" s="7" t="s">
        <v>455</v>
      </c>
      <c r="D60" s="10" t="n">
        <v>0</v>
      </c>
      <c r="E60" s="10" t="n">
        <v>0</v>
      </c>
      <c r="F60" s="10" t="n">
        <v>66.5</v>
      </c>
      <c r="G60" s="10" t="n">
        <v>0</v>
      </c>
      <c r="H60" s="10" t="n">
        <v>0</v>
      </c>
      <c r="I60" s="10" t="n">
        <v>-47.9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-47.9</v>
      </c>
      <c r="R60" s="10" t="n">
        <v>0</v>
      </c>
      <c r="S60" s="10" t="n">
        <v>0</v>
      </c>
      <c r="T60" s="10" t="n">
        <v>0</v>
      </c>
      <c r="U60" s="10" t="n">
        <v>0</v>
      </c>
    </row>
    <row r="61" customFormat="false" ht="15" hidden="false" customHeight="false" outlineLevel="0" collapsed="false">
      <c r="A61" s="7" t="s">
        <v>394</v>
      </c>
      <c r="B61" s="7" t="s">
        <v>44</v>
      </c>
      <c r="C61" s="7" t="s">
        <v>456</v>
      </c>
      <c r="D61" s="10" t="n">
        <v>0</v>
      </c>
      <c r="E61" s="10" t="n">
        <v>0</v>
      </c>
      <c r="F61" s="10" t="n">
        <v>6289.8</v>
      </c>
      <c r="G61" s="10" t="n">
        <v>0</v>
      </c>
      <c r="H61" s="10" t="n">
        <v>0</v>
      </c>
      <c r="I61" s="10" t="n">
        <v>52960.5</v>
      </c>
      <c r="J61" s="10" t="n">
        <v>0</v>
      </c>
      <c r="K61" s="10" t="n">
        <v>352.5</v>
      </c>
      <c r="L61" s="10" t="n">
        <v>0</v>
      </c>
      <c r="M61" s="10" t="n">
        <v>0</v>
      </c>
      <c r="N61" s="10" t="n">
        <v>119.4</v>
      </c>
      <c r="O61" s="10" t="n">
        <v>75.5</v>
      </c>
      <c r="P61" s="10" t="n">
        <v>-176.3</v>
      </c>
      <c r="Q61" s="10" t="n">
        <v>48676.6</v>
      </c>
      <c r="R61" s="10" t="n">
        <v>3912.8</v>
      </c>
      <c r="S61" s="10" t="n">
        <v>0</v>
      </c>
      <c r="T61" s="10" t="n">
        <v>1447.5</v>
      </c>
      <c r="U61" s="10" t="n">
        <v>-53.1</v>
      </c>
    </row>
    <row r="62" customFormat="false" ht="15" hidden="false" customHeight="false" outlineLevel="0" collapsed="false">
      <c r="A62" s="7" t="s">
        <v>394</v>
      </c>
      <c r="B62" s="7" t="s">
        <v>44</v>
      </c>
      <c r="C62" s="7" t="s">
        <v>457</v>
      </c>
      <c r="D62" s="10" t="n">
        <v>0</v>
      </c>
      <c r="E62" s="10" t="n">
        <v>0</v>
      </c>
      <c r="F62" s="10" t="n">
        <v>11298.4</v>
      </c>
      <c r="G62" s="10" t="n">
        <v>0</v>
      </c>
      <c r="H62" s="10" t="n">
        <v>0</v>
      </c>
      <c r="I62" s="10" t="n">
        <v>51425</v>
      </c>
      <c r="J62" s="10" t="n">
        <v>0</v>
      </c>
      <c r="K62" s="10" t="n">
        <v>317.3</v>
      </c>
      <c r="L62" s="10" t="n">
        <v>0</v>
      </c>
      <c r="M62" s="10" t="n">
        <v>0</v>
      </c>
      <c r="N62" s="10" t="n">
        <v>119.4</v>
      </c>
      <c r="O62" s="10" t="n">
        <v>37.8</v>
      </c>
      <c r="P62" s="10" t="n">
        <v>-35.3</v>
      </c>
      <c r="Q62" s="10" t="n">
        <v>47355.1</v>
      </c>
      <c r="R62" s="10" t="n">
        <v>3630.8</v>
      </c>
      <c r="S62" s="10" t="n">
        <v>0</v>
      </c>
      <c r="T62" s="10" t="n">
        <v>2766.6</v>
      </c>
      <c r="U62" s="10" t="n">
        <v>-106.1</v>
      </c>
    </row>
    <row r="63" customFormat="false" ht="15" hidden="false" customHeight="false" outlineLevel="0" collapsed="false">
      <c r="A63" s="7" t="s">
        <v>394</v>
      </c>
      <c r="B63" s="7" t="s">
        <v>44</v>
      </c>
      <c r="C63" s="7" t="s">
        <v>458</v>
      </c>
      <c r="D63" s="10" t="n">
        <v>0</v>
      </c>
      <c r="E63" s="10" t="n">
        <v>0</v>
      </c>
      <c r="F63" s="10" t="n">
        <v>14787</v>
      </c>
      <c r="G63" s="10" t="n">
        <v>0</v>
      </c>
      <c r="H63" s="10" t="n">
        <v>0</v>
      </c>
      <c r="I63" s="10" t="n">
        <v>72643.2</v>
      </c>
      <c r="J63" s="10" t="n">
        <v>0</v>
      </c>
      <c r="K63" s="10" t="n">
        <v>176.3</v>
      </c>
      <c r="L63" s="10" t="n">
        <v>0</v>
      </c>
      <c r="M63" s="10" t="n">
        <v>0</v>
      </c>
      <c r="N63" s="10" t="n">
        <v>119.4</v>
      </c>
      <c r="O63" s="10" t="n">
        <v>37.8</v>
      </c>
      <c r="P63" s="10" t="n">
        <v>-211.5</v>
      </c>
      <c r="Q63" s="10" t="n">
        <v>64731</v>
      </c>
      <c r="R63" s="10" t="n">
        <v>7790.3</v>
      </c>
      <c r="S63" s="10" t="n">
        <v>0</v>
      </c>
      <c r="T63" s="10" t="n">
        <v>3505.6</v>
      </c>
      <c r="U63" s="10" t="n">
        <v>-53.1</v>
      </c>
    </row>
    <row r="64" customFormat="false" ht="15" hidden="false" customHeight="false" outlineLevel="0" collapsed="false">
      <c r="A64" s="7" t="s">
        <v>394</v>
      </c>
      <c r="B64" s="7" t="s">
        <v>44</v>
      </c>
      <c r="C64" s="7" t="s">
        <v>459</v>
      </c>
      <c r="D64" s="10" t="n">
        <v>0</v>
      </c>
      <c r="E64" s="10" t="n">
        <v>0</v>
      </c>
      <c r="F64" s="10" t="n">
        <v>4467.3</v>
      </c>
      <c r="G64" s="10" t="n">
        <v>0</v>
      </c>
      <c r="H64" s="10" t="n">
        <v>0</v>
      </c>
      <c r="I64" s="10" t="n">
        <v>22161.4</v>
      </c>
      <c r="J64" s="10" t="n">
        <v>0</v>
      </c>
      <c r="K64" s="10" t="n">
        <v>387.8</v>
      </c>
      <c r="L64" s="10" t="n">
        <v>0</v>
      </c>
      <c r="M64" s="10" t="n">
        <v>0</v>
      </c>
      <c r="N64" s="10" t="n">
        <v>119.4</v>
      </c>
      <c r="O64" s="10" t="n">
        <v>75.5</v>
      </c>
      <c r="P64" s="10" t="n">
        <v>-141</v>
      </c>
      <c r="Q64" s="10" t="n">
        <v>19076</v>
      </c>
      <c r="R64" s="10" t="n">
        <v>2643.8</v>
      </c>
      <c r="S64" s="10" t="n">
        <v>0</v>
      </c>
      <c r="T64" s="10" t="n">
        <v>1093.2</v>
      </c>
      <c r="U64" s="10" t="n">
        <v>-265.3</v>
      </c>
    </row>
    <row r="65" customFormat="false" ht="15" hidden="false" customHeight="false" outlineLevel="0" collapsed="false">
      <c r="A65" s="7" t="s">
        <v>394</v>
      </c>
      <c r="B65" s="7" t="s">
        <v>187</v>
      </c>
      <c r="C65" s="7" t="s">
        <v>461</v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-63.6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-63.6</v>
      </c>
      <c r="R65" s="10" t="n">
        <v>0</v>
      </c>
      <c r="S65" s="10" t="n">
        <v>0</v>
      </c>
      <c r="T65" s="10" t="n">
        <v>0</v>
      </c>
      <c r="U65" s="10" t="n">
        <v>0</v>
      </c>
    </row>
    <row r="66" customFormat="false" ht="15" hidden="false" customHeight="false" outlineLevel="0" collapsed="false">
      <c r="A66" s="7" t="s">
        <v>394</v>
      </c>
      <c r="B66" s="7" t="s">
        <v>187</v>
      </c>
      <c r="C66" s="7" t="s">
        <v>463</v>
      </c>
      <c r="D66" s="10" t="n">
        <v>0</v>
      </c>
      <c r="E66" s="10" t="n">
        <v>0</v>
      </c>
      <c r="F66" s="10" t="n">
        <v>-53.2</v>
      </c>
      <c r="G66" s="10" t="n">
        <v>0</v>
      </c>
      <c r="H66" s="10" t="n">
        <v>0</v>
      </c>
      <c r="I66" s="10" t="n">
        <v>-129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-68.5</v>
      </c>
      <c r="Q66" s="10" t="n">
        <v>-60.4</v>
      </c>
      <c r="R66" s="10" t="n">
        <v>0</v>
      </c>
      <c r="S66" s="10" t="n">
        <v>0</v>
      </c>
      <c r="T66" s="10" t="n">
        <v>0</v>
      </c>
      <c r="U66" s="10" t="n">
        <v>0</v>
      </c>
    </row>
    <row r="67" customFormat="false" ht="15" hidden="false" customHeight="false" outlineLevel="0" collapsed="false">
      <c r="A67" s="7" t="s">
        <v>394</v>
      </c>
      <c r="B67" s="7" t="s">
        <v>215</v>
      </c>
      <c r="C67" s="7" t="s">
        <v>464</v>
      </c>
      <c r="D67" s="10" t="n">
        <v>0</v>
      </c>
      <c r="E67" s="10" t="n">
        <v>0</v>
      </c>
      <c r="F67" s="10" t="n">
        <v>178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</row>
    <row r="68" customFormat="false" ht="15" hidden="false" customHeight="false" outlineLevel="0" collapsed="false">
      <c r="A68" s="7" t="s">
        <v>394</v>
      </c>
      <c r="B68" s="7" t="s">
        <v>303</v>
      </c>
      <c r="C68" s="7" t="s">
        <v>465</v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1810.3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1810.3</v>
      </c>
      <c r="S68" s="10" t="n">
        <v>0</v>
      </c>
      <c r="T68" s="10" t="n">
        <v>0</v>
      </c>
      <c r="U68" s="10" t="n">
        <v>0</v>
      </c>
    </row>
    <row r="69" customFormat="false" ht="15" hidden="false" customHeight="false" outlineLevel="0" collapsed="false">
      <c r="A69" s="7" t="s">
        <v>394</v>
      </c>
      <c r="B69" s="7" t="s">
        <v>303</v>
      </c>
      <c r="C69" s="7" t="s">
        <v>466</v>
      </c>
      <c r="D69" s="10" t="n">
        <v>0</v>
      </c>
      <c r="E69" s="10" t="n">
        <v>0</v>
      </c>
      <c r="F69" s="10" t="n">
        <v>879.2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342.5</v>
      </c>
      <c r="U69" s="10" t="n">
        <v>0</v>
      </c>
    </row>
    <row r="70" customFormat="false" ht="15" hidden="false" customHeight="false" outlineLevel="0" collapsed="false">
      <c r="A70" s="7" t="s">
        <v>394</v>
      </c>
      <c r="B70" s="7" t="s">
        <v>303</v>
      </c>
      <c r="C70" s="7" t="s">
        <v>467</v>
      </c>
      <c r="D70" s="10" t="n">
        <v>0</v>
      </c>
      <c r="E70" s="10" t="n">
        <v>0</v>
      </c>
      <c r="F70" s="10" t="n">
        <v>314</v>
      </c>
      <c r="G70" s="10" t="n">
        <v>0</v>
      </c>
      <c r="H70" s="10" t="n">
        <v>0</v>
      </c>
      <c r="I70" s="10" t="n">
        <v>603.4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603.4</v>
      </c>
      <c r="S70" s="10" t="n">
        <v>0</v>
      </c>
      <c r="T70" s="10" t="n">
        <v>587.2</v>
      </c>
      <c r="U70" s="10" t="n">
        <v>0</v>
      </c>
    </row>
    <row r="71" customFormat="false" ht="15" hidden="false" customHeight="false" outlineLevel="0" collapsed="false">
      <c r="A71" s="7" t="s">
        <v>394</v>
      </c>
      <c r="B71" s="7" t="s">
        <v>303</v>
      </c>
      <c r="C71" s="7" t="s">
        <v>468</v>
      </c>
      <c r="D71" s="10" t="n">
        <v>0</v>
      </c>
      <c r="E71" s="10" t="n">
        <v>0</v>
      </c>
      <c r="F71" s="10" t="n">
        <v>316.1</v>
      </c>
      <c r="G71" s="10" t="n">
        <v>0</v>
      </c>
      <c r="H71" s="10" t="n">
        <v>0</v>
      </c>
      <c r="I71" s="10" t="n">
        <v>301.7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301.7</v>
      </c>
      <c r="S71" s="10" t="n">
        <v>0</v>
      </c>
      <c r="T71" s="10" t="n">
        <v>342.5</v>
      </c>
      <c r="U71" s="10" t="n">
        <v>0</v>
      </c>
    </row>
    <row r="72" customFormat="false" ht="15" hidden="false" customHeight="false" outlineLevel="0" collapsed="false">
      <c r="A72" s="7" t="s">
        <v>394</v>
      </c>
      <c r="B72" s="7" t="s">
        <v>201</v>
      </c>
      <c r="C72" s="7" t="s">
        <v>938</v>
      </c>
      <c r="D72" s="10" t="n">
        <v>0</v>
      </c>
      <c r="E72" s="10" t="n">
        <v>0</v>
      </c>
      <c r="F72" s="10" t="n">
        <v>187.4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253.1</v>
      </c>
      <c r="U72" s="10" t="n">
        <v>0</v>
      </c>
    </row>
    <row r="73" customFormat="false" ht="15" hidden="false" customHeight="false" outlineLevel="0" collapsed="false">
      <c r="A73" s="7" t="s">
        <v>394</v>
      </c>
      <c r="B73" s="7" t="s">
        <v>201</v>
      </c>
      <c r="C73" s="7" t="s">
        <v>469</v>
      </c>
      <c r="D73" s="10" t="n">
        <v>0</v>
      </c>
      <c r="E73" s="10" t="n">
        <v>0</v>
      </c>
      <c r="F73" s="10" t="n">
        <v>537.3</v>
      </c>
      <c r="G73" s="10" t="n">
        <v>0</v>
      </c>
      <c r="H73" s="10" t="n">
        <v>0</v>
      </c>
      <c r="I73" s="10" t="n">
        <v>162.5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162.5</v>
      </c>
      <c r="R73" s="10" t="n">
        <v>0</v>
      </c>
      <c r="S73" s="10" t="n">
        <v>0</v>
      </c>
      <c r="T73" s="10" t="n">
        <v>822.7</v>
      </c>
      <c r="U73" s="10" t="n">
        <v>0</v>
      </c>
    </row>
    <row r="74" customFormat="false" ht="15" hidden="false" customHeight="false" outlineLevel="0" collapsed="false">
      <c r="A74" s="7" t="s">
        <v>394</v>
      </c>
      <c r="B74" s="7" t="s">
        <v>201</v>
      </c>
      <c r="C74" s="7" t="s">
        <v>470</v>
      </c>
      <c r="D74" s="10" t="n">
        <v>0</v>
      </c>
      <c r="E74" s="10" t="n">
        <v>0</v>
      </c>
      <c r="F74" s="10" t="n">
        <v>374.9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126.6</v>
      </c>
      <c r="U74" s="10" t="n">
        <v>0</v>
      </c>
    </row>
    <row r="75" customFormat="false" ht="15" hidden="false" customHeight="false" outlineLevel="0" collapsed="false">
      <c r="A75" s="7" t="s">
        <v>394</v>
      </c>
      <c r="B75" s="7" t="s">
        <v>201</v>
      </c>
      <c r="C75" s="7" t="s">
        <v>939</v>
      </c>
      <c r="D75" s="10" t="n">
        <v>0</v>
      </c>
      <c r="E75" s="10" t="n">
        <v>0</v>
      </c>
      <c r="F75" s="10" t="n">
        <v>187.4</v>
      </c>
      <c r="G75" s="10" t="n">
        <v>0</v>
      </c>
      <c r="H75" s="10" t="n">
        <v>0</v>
      </c>
      <c r="I75" s="10" t="n">
        <v>172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172</v>
      </c>
      <c r="S75" s="10" t="n">
        <v>0</v>
      </c>
      <c r="T75" s="10" t="n">
        <v>0</v>
      </c>
      <c r="U75" s="10" t="n">
        <v>0</v>
      </c>
    </row>
    <row r="76" customFormat="false" ht="15" hidden="false" customHeight="false" outlineLevel="0" collapsed="false">
      <c r="A76" s="7" t="s">
        <v>394</v>
      </c>
      <c r="B76" s="7" t="s">
        <v>200</v>
      </c>
      <c r="C76" s="7" t="s">
        <v>471</v>
      </c>
      <c r="D76" s="10" t="n">
        <v>0</v>
      </c>
      <c r="E76" s="10" t="n">
        <v>0</v>
      </c>
      <c r="F76" s="10" t="n">
        <v>-22.4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</row>
    <row r="77" customFormat="false" ht="15" hidden="false" customHeight="false" outlineLevel="0" collapsed="false">
      <c r="A77" s="7" t="s">
        <v>394</v>
      </c>
      <c r="B77" s="7" t="s">
        <v>200</v>
      </c>
      <c r="C77" s="7" t="s">
        <v>472</v>
      </c>
      <c r="D77" s="10" t="n">
        <v>0</v>
      </c>
      <c r="E77" s="10" t="n">
        <v>0</v>
      </c>
      <c r="F77" s="10" t="n">
        <v>762.3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348.1</v>
      </c>
      <c r="U77" s="10" t="n">
        <v>0</v>
      </c>
    </row>
    <row r="78" customFormat="false" ht="15" hidden="false" customHeight="false" outlineLevel="0" collapsed="false">
      <c r="A78" s="7" t="s">
        <v>394</v>
      </c>
      <c r="B78" s="7" t="s">
        <v>200</v>
      </c>
      <c r="C78" s="7" t="s">
        <v>473</v>
      </c>
      <c r="D78" s="10" t="n">
        <v>0</v>
      </c>
      <c r="E78" s="10" t="n">
        <v>0</v>
      </c>
      <c r="F78" s="10" t="n">
        <v>1087.2</v>
      </c>
      <c r="G78" s="10" t="n">
        <v>0</v>
      </c>
      <c r="H78" s="10" t="n">
        <v>0</v>
      </c>
      <c r="I78" s="10" t="n">
        <v>178.9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178.9</v>
      </c>
      <c r="S78" s="10" t="n">
        <v>0</v>
      </c>
      <c r="T78" s="10" t="n">
        <v>1139.1</v>
      </c>
      <c r="U78" s="10" t="n">
        <v>0</v>
      </c>
    </row>
    <row r="79" customFormat="false" ht="15" hidden="false" customHeight="false" outlineLevel="0" collapsed="false">
      <c r="A79" s="7" t="s">
        <v>394</v>
      </c>
      <c r="B79" s="7" t="s">
        <v>200</v>
      </c>
      <c r="C79" s="7" t="s">
        <v>474</v>
      </c>
      <c r="D79" s="10" t="n">
        <v>0</v>
      </c>
      <c r="E79" s="10" t="n">
        <v>0</v>
      </c>
      <c r="F79" s="10" t="n">
        <v>374.9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</row>
    <row r="80" customFormat="false" ht="15" hidden="false" customHeight="false" outlineLevel="0" collapsed="false">
      <c r="A80" s="7" t="s">
        <v>394</v>
      </c>
      <c r="B80" s="7" t="s">
        <v>319</v>
      </c>
      <c r="C80" s="7" t="s">
        <v>475</v>
      </c>
      <c r="D80" s="10" t="n">
        <v>0</v>
      </c>
      <c r="E80" s="10" t="n">
        <v>0</v>
      </c>
      <c r="F80" s="10" t="n">
        <v>283.9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</row>
    <row r="81" customFormat="false" ht="15" hidden="false" customHeight="false" outlineLevel="0" collapsed="false">
      <c r="A81" s="7" t="s">
        <v>394</v>
      </c>
      <c r="B81" s="7" t="s">
        <v>320</v>
      </c>
      <c r="C81" s="7" t="s">
        <v>475</v>
      </c>
      <c r="D81" s="10" t="n">
        <v>0</v>
      </c>
      <c r="E81" s="10" t="n">
        <v>0</v>
      </c>
      <c r="F81" s="10" t="n">
        <v>142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</row>
    <row r="82" customFormat="false" ht="15" hidden="false" customHeight="false" outlineLevel="0" collapsed="false">
      <c r="A82" s="7" t="s">
        <v>394</v>
      </c>
      <c r="B82" s="7" t="s">
        <v>75</v>
      </c>
      <c r="C82" s="7" t="s">
        <v>477</v>
      </c>
      <c r="D82" s="10" t="n">
        <v>0</v>
      </c>
      <c r="E82" s="10" t="n">
        <v>0</v>
      </c>
      <c r="F82" s="10" t="n">
        <v>859.4</v>
      </c>
      <c r="G82" s="10" t="n">
        <v>0</v>
      </c>
      <c r="H82" s="10" t="n">
        <v>0</v>
      </c>
      <c r="I82" s="10" t="n">
        <v>-2165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-449.8</v>
      </c>
      <c r="Q82" s="10" t="n">
        <v>-1715.2</v>
      </c>
      <c r="R82" s="10" t="n">
        <v>0</v>
      </c>
      <c r="S82" s="10" t="n">
        <v>0</v>
      </c>
      <c r="T82" s="10" t="n">
        <v>0</v>
      </c>
      <c r="U82" s="10" t="n">
        <v>0</v>
      </c>
    </row>
    <row r="83" customFormat="false" ht="15" hidden="false" customHeight="false" outlineLevel="0" collapsed="false">
      <c r="A83" s="7" t="s">
        <v>394</v>
      </c>
      <c r="B83" s="7" t="s">
        <v>152</v>
      </c>
      <c r="C83" s="7" t="s">
        <v>478</v>
      </c>
      <c r="D83" s="10" t="n">
        <v>0</v>
      </c>
      <c r="E83" s="10" t="n">
        <v>0</v>
      </c>
      <c r="F83" s="10" t="n">
        <v>107.4</v>
      </c>
      <c r="G83" s="10" t="n">
        <v>0</v>
      </c>
      <c r="H83" s="10" t="n">
        <v>0</v>
      </c>
      <c r="I83" s="10" t="n">
        <v>6.3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-81.9</v>
      </c>
      <c r="R83" s="10" t="n">
        <v>88.2</v>
      </c>
      <c r="S83" s="10" t="n">
        <v>0</v>
      </c>
      <c r="T83" s="10" t="n">
        <v>0</v>
      </c>
      <c r="U83" s="10" t="n">
        <v>0</v>
      </c>
    </row>
    <row r="84" customFormat="false" ht="15" hidden="false" customHeight="false" outlineLevel="0" collapsed="false">
      <c r="A84" s="7" t="s">
        <v>394</v>
      </c>
      <c r="B84" s="7" t="s">
        <v>152</v>
      </c>
      <c r="C84" s="7" t="s">
        <v>479</v>
      </c>
      <c r="D84" s="10" t="n">
        <v>0</v>
      </c>
      <c r="E84" s="10" t="n">
        <v>0</v>
      </c>
      <c r="F84" s="10" t="n">
        <v>365.9</v>
      </c>
      <c r="G84" s="10" t="n">
        <v>0</v>
      </c>
      <c r="H84" s="10" t="n">
        <v>0</v>
      </c>
      <c r="I84" s="10" t="n">
        <v>336.2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159.8</v>
      </c>
      <c r="R84" s="10" t="n">
        <v>176.4</v>
      </c>
      <c r="S84" s="10" t="n">
        <v>0</v>
      </c>
      <c r="T84" s="10" t="n">
        <v>0</v>
      </c>
      <c r="U84" s="10" t="n">
        <v>0</v>
      </c>
    </row>
    <row r="85" customFormat="false" ht="15" hidden="false" customHeight="false" outlineLevel="0" collapsed="false">
      <c r="A85" s="7" t="s">
        <v>394</v>
      </c>
      <c r="B85" s="7" t="s">
        <v>152</v>
      </c>
      <c r="C85" s="7" t="s">
        <v>480</v>
      </c>
      <c r="D85" s="10" t="n">
        <v>0</v>
      </c>
      <c r="E85" s="10" t="n">
        <v>0</v>
      </c>
      <c r="F85" s="10" t="n">
        <v>189.3</v>
      </c>
      <c r="G85" s="10" t="n">
        <v>0</v>
      </c>
      <c r="H85" s="10" t="n">
        <v>0</v>
      </c>
      <c r="I85" s="10" t="n">
        <v>577.7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401.3</v>
      </c>
      <c r="R85" s="10" t="n">
        <v>176.4</v>
      </c>
      <c r="S85" s="10" t="n">
        <v>0</v>
      </c>
      <c r="T85" s="10" t="n">
        <v>0</v>
      </c>
      <c r="U85" s="10" t="n">
        <v>0</v>
      </c>
    </row>
    <row r="86" customFormat="false" ht="15" hidden="false" customHeight="false" outlineLevel="0" collapsed="false">
      <c r="A86" s="7" t="s">
        <v>394</v>
      </c>
      <c r="B86" s="7" t="s">
        <v>152</v>
      </c>
      <c r="C86" s="7" t="s">
        <v>481</v>
      </c>
      <c r="D86" s="10" t="n">
        <v>0</v>
      </c>
      <c r="E86" s="10" t="n">
        <v>0</v>
      </c>
      <c r="F86" s="10" t="n">
        <v>473.3</v>
      </c>
      <c r="G86" s="10" t="n">
        <v>0</v>
      </c>
      <c r="H86" s="10" t="n">
        <v>164</v>
      </c>
      <c r="I86" s="10" t="n">
        <v>426.2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249.8</v>
      </c>
      <c r="R86" s="10" t="n">
        <v>176.4</v>
      </c>
      <c r="S86" s="10" t="n">
        <v>0</v>
      </c>
      <c r="T86" s="10" t="n">
        <v>0</v>
      </c>
      <c r="U86" s="10" t="n">
        <v>0</v>
      </c>
    </row>
    <row r="87" customFormat="false" ht="15" hidden="false" customHeight="false" outlineLevel="0" collapsed="false">
      <c r="A87" s="7" t="s">
        <v>394</v>
      </c>
      <c r="B87" s="7" t="s">
        <v>152</v>
      </c>
      <c r="C87" s="7" t="s">
        <v>482</v>
      </c>
      <c r="D87" s="10" t="n">
        <v>0</v>
      </c>
      <c r="E87" s="10" t="n">
        <v>0</v>
      </c>
      <c r="F87" s="10" t="n">
        <v>378.5</v>
      </c>
      <c r="G87" s="10" t="n">
        <v>0</v>
      </c>
      <c r="H87" s="10" t="n">
        <v>82</v>
      </c>
      <c r="I87" s="10" t="n">
        <v>6.3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-88.2</v>
      </c>
      <c r="Q87" s="10" t="n">
        <v>-81.9</v>
      </c>
      <c r="R87" s="10" t="n">
        <v>176.4</v>
      </c>
      <c r="S87" s="10" t="n">
        <v>0</v>
      </c>
      <c r="T87" s="10" t="n">
        <v>0</v>
      </c>
      <c r="U87" s="10" t="n">
        <v>0</v>
      </c>
    </row>
    <row r="88" customFormat="false" ht="15" hidden="false" customHeight="false" outlineLevel="0" collapsed="false">
      <c r="A88" s="7" t="s">
        <v>394</v>
      </c>
      <c r="B88" s="7" t="s">
        <v>118</v>
      </c>
      <c r="C88" s="7" t="s">
        <v>483</v>
      </c>
      <c r="D88" s="10" t="n">
        <v>0</v>
      </c>
      <c r="E88" s="10" t="n">
        <v>0</v>
      </c>
      <c r="F88" s="10" t="n">
        <v>2098.8</v>
      </c>
      <c r="G88" s="10" t="n">
        <v>0</v>
      </c>
      <c r="H88" s="10" t="n">
        <v>0</v>
      </c>
      <c r="I88" s="10" t="n">
        <v>4362.8</v>
      </c>
      <c r="J88" s="10" t="n">
        <v>0</v>
      </c>
      <c r="K88" s="10" t="n">
        <v>343.7</v>
      </c>
      <c r="L88" s="10" t="n">
        <v>0</v>
      </c>
      <c r="M88" s="10" t="n">
        <v>0</v>
      </c>
      <c r="N88" s="10" t="n">
        <v>35.6</v>
      </c>
      <c r="O88" s="10" t="n">
        <v>0</v>
      </c>
      <c r="P88" s="10" t="n">
        <v>-34.4</v>
      </c>
      <c r="Q88" s="10" t="n">
        <v>3399.2</v>
      </c>
      <c r="R88" s="10" t="n">
        <v>618.7</v>
      </c>
      <c r="S88" s="10" t="n">
        <v>0</v>
      </c>
      <c r="T88" s="10" t="n">
        <v>0</v>
      </c>
      <c r="U88" s="10" t="n">
        <v>0</v>
      </c>
    </row>
    <row r="89" customFormat="false" ht="15" hidden="false" customHeight="false" outlineLevel="0" collapsed="false">
      <c r="A89" s="7" t="s">
        <v>394</v>
      </c>
      <c r="B89" s="7" t="s">
        <v>118</v>
      </c>
      <c r="C89" s="7" t="s">
        <v>484</v>
      </c>
      <c r="D89" s="10" t="n">
        <v>0</v>
      </c>
      <c r="E89" s="10" t="n">
        <v>0</v>
      </c>
      <c r="F89" s="10" t="n">
        <v>2100.8</v>
      </c>
      <c r="G89" s="10" t="n">
        <v>0</v>
      </c>
      <c r="H89" s="10" t="n">
        <v>0</v>
      </c>
      <c r="I89" s="10" t="n">
        <v>3169.3</v>
      </c>
      <c r="J89" s="10" t="n">
        <v>0</v>
      </c>
      <c r="K89" s="10" t="n">
        <v>68.7</v>
      </c>
      <c r="L89" s="10" t="n">
        <v>0</v>
      </c>
      <c r="M89" s="10" t="n">
        <v>0</v>
      </c>
      <c r="N89" s="10" t="n">
        <v>35.6</v>
      </c>
      <c r="O89" s="10" t="n">
        <v>36.8</v>
      </c>
      <c r="P89" s="10" t="n">
        <v>-34.4</v>
      </c>
      <c r="Q89" s="10" t="n">
        <v>2409.5</v>
      </c>
      <c r="R89" s="10" t="n">
        <v>653</v>
      </c>
      <c r="S89" s="10" t="n">
        <v>0</v>
      </c>
      <c r="T89" s="10" t="n">
        <v>0</v>
      </c>
      <c r="U89" s="10" t="n">
        <v>0</v>
      </c>
    </row>
    <row r="90" customFormat="false" ht="15" hidden="false" customHeight="false" outlineLevel="0" collapsed="false">
      <c r="A90" s="7" t="s">
        <v>394</v>
      </c>
      <c r="B90" s="7" t="s">
        <v>124</v>
      </c>
      <c r="C90" s="7" t="s">
        <v>485</v>
      </c>
      <c r="D90" s="10" t="n">
        <v>0</v>
      </c>
      <c r="E90" s="10" t="n">
        <v>0</v>
      </c>
      <c r="F90" s="10" t="n">
        <v>1802.7</v>
      </c>
      <c r="G90" s="10" t="n">
        <v>0</v>
      </c>
      <c r="H90" s="10" t="n">
        <v>0</v>
      </c>
      <c r="I90" s="10" t="n">
        <v>1829.6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1829.6</v>
      </c>
      <c r="R90" s="10" t="n">
        <v>0</v>
      </c>
      <c r="S90" s="10" t="n">
        <v>0</v>
      </c>
      <c r="T90" s="10" t="n">
        <v>0</v>
      </c>
      <c r="U90" s="10" t="n">
        <v>-948.6</v>
      </c>
    </row>
    <row r="91" customFormat="false" ht="15" hidden="false" customHeight="false" outlineLevel="0" collapsed="false">
      <c r="A91" s="7" t="s">
        <v>394</v>
      </c>
      <c r="B91" s="7" t="s">
        <v>124</v>
      </c>
      <c r="C91" s="7" t="s">
        <v>486</v>
      </c>
      <c r="D91" s="10" t="n">
        <v>0</v>
      </c>
      <c r="E91" s="10" t="n">
        <v>0</v>
      </c>
      <c r="F91" s="10" t="n">
        <v>1290.3</v>
      </c>
      <c r="G91" s="10" t="n">
        <v>0</v>
      </c>
      <c r="H91" s="10" t="n">
        <v>0</v>
      </c>
      <c r="I91" s="10" t="n">
        <v>1877.7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1877.7</v>
      </c>
      <c r="R91" s="10" t="n">
        <v>0</v>
      </c>
      <c r="S91" s="10" t="n">
        <v>0</v>
      </c>
      <c r="T91" s="10" t="n">
        <v>0</v>
      </c>
      <c r="U91" s="10" t="n">
        <v>0</v>
      </c>
    </row>
    <row r="92" customFormat="false" ht="15" hidden="false" customHeight="false" outlineLevel="0" collapsed="false">
      <c r="A92" s="7" t="s">
        <v>394</v>
      </c>
      <c r="B92" s="7" t="s">
        <v>60</v>
      </c>
      <c r="C92" s="7" t="s">
        <v>487</v>
      </c>
      <c r="D92" s="10" t="n">
        <v>0</v>
      </c>
      <c r="E92" s="10" t="n">
        <v>0</v>
      </c>
      <c r="F92" s="10" t="n">
        <v>13506.1</v>
      </c>
      <c r="G92" s="10" t="n">
        <v>0</v>
      </c>
      <c r="H92" s="10" t="n">
        <v>0</v>
      </c>
      <c r="I92" s="10" t="n">
        <v>134216.9</v>
      </c>
      <c r="J92" s="10" t="n">
        <v>0</v>
      </c>
      <c r="K92" s="10" t="n">
        <v>515.6</v>
      </c>
      <c r="L92" s="10" t="n">
        <v>0</v>
      </c>
      <c r="M92" s="10" t="n">
        <v>140.5</v>
      </c>
      <c r="N92" s="10" t="n">
        <v>93.6</v>
      </c>
      <c r="O92" s="10" t="n">
        <v>255</v>
      </c>
      <c r="P92" s="10" t="n">
        <v>-198.3</v>
      </c>
      <c r="Q92" s="10" t="n">
        <v>123767.5</v>
      </c>
      <c r="R92" s="10" t="n">
        <v>9643.1</v>
      </c>
      <c r="S92" s="10" t="n">
        <v>0</v>
      </c>
      <c r="T92" s="10" t="n">
        <v>0</v>
      </c>
      <c r="U92" s="10" t="n">
        <v>-62.4</v>
      </c>
    </row>
    <row r="93" customFormat="false" ht="15" hidden="false" customHeight="false" outlineLevel="0" collapsed="false">
      <c r="A93" s="7" t="s">
        <v>394</v>
      </c>
      <c r="B93" s="7" t="s">
        <v>59</v>
      </c>
      <c r="C93" s="7" t="s">
        <v>487</v>
      </c>
      <c r="D93" s="10" t="n">
        <v>0</v>
      </c>
      <c r="E93" s="10" t="n">
        <v>0</v>
      </c>
      <c r="F93" s="10" t="n">
        <v>15231.4</v>
      </c>
      <c r="G93" s="10" t="n">
        <v>0</v>
      </c>
      <c r="H93" s="10" t="n">
        <v>0</v>
      </c>
      <c r="I93" s="10" t="n">
        <v>164101.8</v>
      </c>
      <c r="J93" s="10" t="n">
        <v>0</v>
      </c>
      <c r="K93" s="10" t="n">
        <v>872.5</v>
      </c>
      <c r="L93" s="10" t="n">
        <v>0</v>
      </c>
      <c r="M93" s="10" t="n">
        <v>234.1</v>
      </c>
      <c r="N93" s="10" t="n">
        <v>140.5</v>
      </c>
      <c r="O93" s="10" t="n">
        <v>255</v>
      </c>
      <c r="P93" s="10" t="n">
        <v>-119</v>
      </c>
      <c r="Q93" s="10" t="n">
        <v>152480.8</v>
      </c>
      <c r="R93" s="10" t="n">
        <v>10238</v>
      </c>
      <c r="S93" s="10" t="n">
        <v>131.1</v>
      </c>
      <c r="T93" s="10" t="n">
        <v>0</v>
      </c>
      <c r="U93" s="10" t="n">
        <v>-124.9</v>
      </c>
    </row>
    <row r="94" customFormat="false" ht="15" hidden="false" customHeight="false" outlineLevel="0" collapsed="false">
      <c r="A94" s="7" t="s">
        <v>394</v>
      </c>
      <c r="B94" s="7" t="s">
        <v>207</v>
      </c>
      <c r="C94" s="7" t="s">
        <v>940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-430.4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-223.2</v>
      </c>
      <c r="Q94" s="10" t="n">
        <v>-207.2</v>
      </c>
      <c r="R94" s="10" t="n">
        <v>0</v>
      </c>
      <c r="S94" s="10" t="n">
        <v>0</v>
      </c>
      <c r="T94" s="10" t="n">
        <v>0</v>
      </c>
      <c r="U94" s="10" t="n">
        <v>0</v>
      </c>
    </row>
    <row r="95" customFormat="false" ht="15" hidden="false" customHeight="false" outlineLevel="0" collapsed="false">
      <c r="A95" s="7" t="s">
        <v>394</v>
      </c>
      <c r="B95" s="7" t="s">
        <v>197</v>
      </c>
      <c r="C95" s="7" t="s">
        <v>490</v>
      </c>
      <c r="D95" s="10" t="n">
        <v>0</v>
      </c>
      <c r="E95" s="10" t="n">
        <v>0</v>
      </c>
      <c r="F95" s="10" t="n">
        <v>102.8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</row>
    <row r="96" customFormat="false" ht="15" hidden="false" customHeight="false" outlineLevel="0" collapsed="false">
      <c r="A96" s="7" t="s">
        <v>394</v>
      </c>
      <c r="B96" s="7" t="s">
        <v>197</v>
      </c>
      <c r="C96" s="7" t="s">
        <v>491</v>
      </c>
      <c r="D96" s="10" t="n">
        <v>0</v>
      </c>
      <c r="E96" s="10" t="n">
        <v>0</v>
      </c>
      <c r="F96" s="10" t="n">
        <v>660.6</v>
      </c>
      <c r="G96" s="10" t="n">
        <v>0</v>
      </c>
      <c r="H96" s="10" t="n">
        <v>0</v>
      </c>
      <c r="I96" s="10" t="n">
        <v>1249.8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1249.8</v>
      </c>
      <c r="R96" s="10" t="n">
        <v>0</v>
      </c>
      <c r="S96" s="10" t="n">
        <v>0</v>
      </c>
      <c r="T96" s="10" t="n">
        <v>0</v>
      </c>
      <c r="U96" s="10" t="n">
        <v>0</v>
      </c>
    </row>
    <row r="97" customFormat="false" ht="15" hidden="false" customHeight="false" outlineLevel="0" collapsed="false">
      <c r="A97" s="7" t="s">
        <v>394</v>
      </c>
      <c r="B97" s="7" t="s">
        <v>197</v>
      </c>
      <c r="C97" s="7" t="s">
        <v>492</v>
      </c>
      <c r="D97" s="10" t="n">
        <v>0</v>
      </c>
      <c r="E97" s="10" t="n">
        <v>0</v>
      </c>
      <c r="F97" s="10" t="n">
        <v>1108.4</v>
      </c>
      <c r="G97" s="10" t="n">
        <v>0</v>
      </c>
      <c r="H97" s="10" t="n">
        <v>0</v>
      </c>
      <c r="I97" s="10" t="n">
        <v>2328.7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-97</v>
      </c>
      <c r="Q97" s="10" t="n">
        <v>0</v>
      </c>
      <c r="R97" s="10" t="n">
        <v>2425.8</v>
      </c>
      <c r="S97" s="10" t="n">
        <v>0</v>
      </c>
      <c r="T97" s="10" t="n">
        <v>0</v>
      </c>
      <c r="U97" s="10" t="n">
        <v>0</v>
      </c>
    </row>
    <row r="98" customFormat="false" ht="15" hidden="false" customHeight="false" outlineLevel="0" collapsed="false">
      <c r="A98" s="7" t="s">
        <v>394</v>
      </c>
      <c r="B98" s="7" t="s">
        <v>197</v>
      </c>
      <c r="C98" s="7" t="s">
        <v>493</v>
      </c>
      <c r="D98" s="10" t="n">
        <v>0</v>
      </c>
      <c r="E98" s="10" t="n">
        <v>0</v>
      </c>
      <c r="F98" s="10" t="n">
        <v>990.9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</row>
    <row r="99" customFormat="false" ht="15" hidden="false" customHeight="false" outlineLevel="0" collapsed="false">
      <c r="A99" s="7" t="s">
        <v>394</v>
      </c>
      <c r="B99" s="7" t="s">
        <v>307</v>
      </c>
      <c r="C99" s="7" t="s">
        <v>494</v>
      </c>
      <c r="D99" s="10" t="n">
        <v>0</v>
      </c>
      <c r="E99" s="10" t="n">
        <v>0</v>
      </c>
      <c r="F99" s="10" t="n">
        <v>140.6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</row>
    <row r="100" customFormat="false" ht="15" hidden="false" customHeight="false" outlineLevel="0" collapsed="false">
      <c r="A100" s="7" t="s">
        <v>394</v>
      </c>
      <c r="B100" s="7" t="s">
        <v>307</v>
      </c>
      <c r="C100" s="7" t="s">
        <v>495</v>
      </c>
      <c r="D100" s="10" t="n">
        <v>0</v>
      </c>
      <c r="E100" s="10" t="n">
        <v>0</v>
      </c>
      <c r="F100" s="10" t="n">
        <v>112.5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</row>
    <row r="101" customFormat="false" ht="15" hidden="false" customHeight="false" outlineLevel="0" collapsed="false">
      <c r="A101" s="7" t="s">
        <v>394</v>
      </c>
      <c r="B101" s="7" t="s">
        <v>321</v>
      </c>
      <c r="C101" s="7" t="s">
        <v>941</v>
      </c>
      <c r="D101" s="10" t="n">
        <v>0</v>
      </c>
      <c r="E101" s="10" t="n">
        <v>0</v>
      </c>
      <c r="F101" s="10" t="n">
        <v>-140.6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</row>
    <row r="102" customFormat="false" ht="15" hidden="false" customHeight="false" outlineLevel="0" collapsed="false">
      <c r="A102" s="7" t="s">
        <v>394</v>
      </c>
      <c r="B102" s="7" t="s">
        <v>321</v>
      </c>
      <c r="C102" s="7" t="s">
        <v>942</v>
      </c>
      <c r="D102" s="10" t="n">
        <v>0</v>
      </c>
      <c r="E102" s="10" t="n">
        <v>0</v>
      </c>
      <c r="F102" s="10" t="n">
        <v>140.6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</row>
    <row r="103" customFormat="false" ht="15" hidden="false" customHeight="false" outlineLevel="0" collapsed="false">
      <c r="A103" s="7" t="s">
        <v>394</v>
      </c>
      <c r="B103" s="7" t="s">
        <v>197</v>
      </c>
      <c r="C103" s="7" t="s">
        <v>499</v>
      </c>
      <c r="D103" s="10" t="n">
        <v>0</v>
      </c>
      <c r="E103" s="10" t="n">
        <v>0</v>
      </c>
      <c r="F103" s="10" t="n">
        <v>1981.8</v>
      </c>
      <c r="G103" s="10" t="n">
        <v>0</v>
      </c>
      <c r="H103" s="10" t="n">
        <v>0</v>
      </c>
      <c r="I103" s="10" t="n">
        <v>6240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-192</v>
      </c>
      <c r="Q103" s="10" t="n">
        <v>0</v>
      </c>
      <c r="R103" s="10" t="n">
        <v>6432</v>
      </c>
      <c r="S103" s="10" t="n">
        <v>0</v>
      </c>
      <c r="T103" s="10" t="n">
        <v>0</v>
      </c>
      <c r="U103" s="10" t="n">
        <v>0</v>
      </c>
    </row>
    <row r="104" customFormat="false" ht="15" hidden="false" customHeight="false" outlineLevel="0" collapsed="false">
      <c r="A104" s="7" t="s">
        <v>394</v>
      </c>
      <c r="B104" s="7" t="s">
        <v>280</v>
      </c>
      <c r="C104" s="7" t="s">
        <v>500</v>
      </c>
      <c r="D104" s="10" t="n">
        <v>0</v>
      </c>
      <c r="E104" s="10" t="n">
        <v>0</v>
      </c>
      <c r="F104" s="10" t="n">
        <v>1093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</row>
    <row r="105" customFormat="false" ht="15" hidden="false" customHeight="false" outlineLevel="0" collapsed="false">
      <c r="A105" s="7" t="s">
        <v>394</v>
      </c>
      <c r="B105" s="7" t="s">
        <v>280</v>
      </c>
      <c r="C105" s="7" t="s">
        <v>501</v>
      </c>
      <c r="D105" s="10" t="n">
        <v>0</v>
      </c>
      <c r="E105" s="10" t="n">
        <v>0</v>
      </c>
      <c r="F105" s="10" t="n">
        <v>1113.6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</row>
    <row r="106" customFormat="false" ht="15" hidden="false" customHeight="false" outlineLevel="0" collapsed="false">
      <c r="A106" s="7" t="s">
        <v>394</v>
      </c>
      <c r="B106" s="7" t="s">
        <v>188</v>
      </c>
      <c r="C106" s="7" t="s">
        <v>505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104.7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104.7</v>
      </c>
      <c r="R106" s="10" t="n">
        <v>0</v>
      </c>
      <c r="S106" s="10" t="n">
        <v>0</v>
      </c>
      <c r="T106" s="10" t="n">
        <v>0</v>
      </c>
      <c r="U106" s="10" t="n">
        <v>0</v>
      </c>
    </row>
    <row r="107" customFormat="false" ht="15" hidden="false" customHeight="false" outlineLevel="0" collapsed="false">
      <c r="A107" s="7" t="s">
        <v>394</v>
      </c>
      <c r="B107" s="7" t="s">
        <v>188</v>
      </c>
      <c r="C107" s="7" t="s">
        <v>507</v>
      </c>
      <c r="D107" s="10" t="n">
        <v>0</v>
      </c>
      <c r="E107" s="10" t="n">
        <v>0</v>
      </c>
      <c r="F107" s="10" t="n">
        <v>135.9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</row>
    <row r="108" customFormat="false" ht="15" hidden="false" customHeight="false" outlineLevel="0" collapsed="false">
      <c r="A108" s="7" t="s">
        <v>394</v>
      </c>
      <c r="B108" s="7" t="s">
        <v>188</v>
      </c>
      <c r="C108" s="7" t="s">
        <v>508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-5.5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-5.5</v>
      </c>
      <c r="R108" s="10" t="n">
        <v>0</v>
      </c>
      <c r="S108" s="10" t="n">
        <v>0</v>
      </c>
      <c r="T108" s="10" t="n">
        <v>0</v>
      </c>
      <c r="U108" s="10" t="n">
        <v>0</v>
      </c>
    </row>
    <row r="109" customFormat="false" ht="15" hidden="false" customHeight="false" outlineLevel="0" collapsed="false">
      <c r="A109" s="7" t="s">
        <v>394</v>
      </c>
      <c r="B109" s="7" t="s">
        <v>188</v>
      </c>
      <c r="C109" s="7" t="s">
        <v>509</v>
      </c>
      <c r="D109" s="10" t="n">
        <v>0</v>
      </c>
      <c r="E109" s="10" t="n">
        <v>0</v>
      </c>
      <c r="F109" s="10" t="n">
        <v>135.9</v>
      </c>
      <c r="G109" s="10" t="n">
        <v>0</v>
      </c>
      <c r="H109" s="10" t="n">
        <v>0</v>
      </c>
      <c r="I109" s="10" t="n">
        <v>355.9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355.9</v>
      </c>
      <c r="S109" s="10" t="n">
        <v>0</v>
      </c>
      <c r="T109" s="10" t="n">
        <v>0</v>
      </c>
      <c r="U109" s="10" t="n">
        <v>0</v>
      </c>
    </row>
    <row r="110" customFormat="false" ht="15" hidden="false" customHeight="false" outlineLevel="0" collapsed="false">
      <c r="A110" s="7" t="s">
        <v>394</v>
      </c>
      <c r="B110" s="7" t="s">
        <v>116</v>
      </c>
      <c r="C110" s="7" t="s">
        <v>510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1618.3</v>
      </c>
      <c r="J110" s="10" t="n">
        <v>0</v>
      </c>
      <c r="K110" s="10" t="n">
        <v>145.6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-291.1</v>
      </c>
      <c r="Q110" s="10" t="n">
        <v>-128.4</v>
      </c>
      <c r="R110" s="10" t="n">
        <v>1892.3</v>
      </c>
      <c r="S110" s="10" t="n">
        <v>0</v>
      </c>
      <c r="T110" s="10" t="n">
        <v>0</v>
      </c>
      <c r="U110" s="10" t="n">
        <v>0</v>
      </c>
    </row>
    <row r="111" customFormat="false" ht="15" hidden="false" customHeight="false" outlineLevel="0" collapsed="false">
      <c r="A111" s="7" t="s">
        <v>394</v>
      </c>
      <c r="B111" s="7" t="s">
        <v>116</v>
      </c>
      <c r="C111" s="7" t="s">
        <v>511</v>
      </c>
      <c r="D111" s="10" t="n">
        <v>0</v>
      </c>
      <c r="E111" s="10" t="n">
        <v>0</v>
      </c>
      <c r="F111" s="10" t="n">
        <v>31.4</v>
      </c>
      <c r="G111" s="10" t="n">
        <v>0</v>
      </c>
      <c r="H111" s="10" t="n">
        <v>0</v>
      </c>
      <c r="I111" s="10" t="n">
        <v>5115.4</v>
      </c>
      <c r="J111" s="10" t="n">
        <v>0</v>
      </c>
      <c r="K111" s="10" t="n">
        <v>145.6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-291.1</v>
      </c>
      <c r="Q111" s="10" t="n">
        <v>1185.2</v>
      </c>
      <c r="R111" s="10" t="n">
        <v>4075.7</v>
      </c>
      <c r="S111" s="10" t="n">
        <v>0</v>
      </c>
      <c r="T111" s="10" t="n">
        <v>107.1</v>
      </c>
      <c r="U111" s="10" t="n">
        <v>0</v>
      </c>
    </row>
    <row r="112" customFormat="false" ht="15" hidden="false" customHeight="false" outlineLevel="0" collapsed="false">
      <c r="A112" s="7" t="s">
        <v>394</v>
      </c>
      <c r="B112" s="7" t="s">
        <v>116</v>
      </c>
      <c r="C112" s="7" t="s">
        <v>512</v>
      </c>
      <c r="D112" s="10" t="n">
        <v>0</v>
      </c>
      <c r="E112" s="10" t="n">
        <v>0</v>
      </c>
      <c r="F112" s="10" t="n">
        <v>920.9</v>
      </c>
      <c r="G112" s="10" t="n">
        <v>0</v>
      </c>
      <c r="H112" s="10" t="n">
        <v>0</v>
      </c>
      <c r="I112" s="10" t="n">
        <v>10193.3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-291.1</v>
      </c>
      <c r="Q112" s="10" t="n">
        <v>3060.8</v>
      </c>
      <c r="R112" s="10" t="n">
        <v>7423.6</v>
      </c>
      <c r="S112" s="10" t="n">
        <v>0</v>
      </c>
      <c r="T112" s="10" t="n">
        <v>1017.3</v>
      </c>
      <c r="U112" s="10" t="n">
        <v>0</v>
      </c>
    </row>
    <row r="113" customFormat="false" ht="15" hidden="false" customHeight="false" outlineLevel="0" collapsed="false">
      <c r="A113" s="7" t="s">
        <v>394</v>
      </c>
      <c r="B113" s="7" t="s">
        <v>116</v>
      </c>
      <c r="C113" s="7" t="s">
        <v>513</v>
      </c>
      <c r="D113" s="10" t="n">
        <v>0</v>
      </c>
      <c r="E113" s="10" t="n">
        <v>0</v>
      </c>
      <c r="F113" s="10" t="n">
        <v>1726.7</v>
      </c>
      <c r="G113" s="10" t="n">
        <v>0</v>
      </c>
      <c r="H113" s="10" t="n">
        <v>0</v>
      </c>
      <c r="I113" s="10" t="n">
        <v>11510.1</v>
      </c>
      <c r="J113" s="10" t="n">
        <v>0</v>
      </c>
      <c r="K113" s="10" t="n">
        <v>582.2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-436.7</v>
      </c>
      <c r="Q113" s="10" t="n">
        <v>2922</v>
      </c>
      <c r="R113" s="10" t="n">
        <v>8442.5</v>
      </c>
      <c r="S113" s="10" t="n">
        <v>0</v>
      </c>
      <c r="T113" s="10" t="n">
        <v>401.6</v>
      </c>
      <c r="U113" s="10" t="n">
        <v>0</v>
      </c>
    </row>
    <row r="114" customFormat="false" ht="15" hidden="false" customHeight="false" outlineLevel="0" collapsed="false">
      <c r="A114" s="7" t="s">
        <v>394</v>
      </c>
      <c r="B114" s="7" t="s">
        <v>116</v>
      </c>
      <c r="C114" s="7" t="s">
        <v>514</v>
      </c>
      <c r="D114" s="10" t="n">
        <v>0</v>
      </c>
      <c r="E114" s="10" t="n">
        <v>0</v>
      </c>
      <c r="F114" s="10" t="n">
        <v>763.9</v>
      </c>
      <c r="G114" s="10" t="n">
        <v>0</v>
      </c>
      <c r="H114" s="10" t="n">
        <v>0</v>
      </c>
      <c r="I114" s="10" t="n">
        <v>17550.7</v>
      </c>
      <c r="J114" s="10" t="n">
        <v>0</v>
      </c>
      <c r="K114" s="10" t="n">
        <v>145.6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-727.8</v>
      </c>
      <c r="Q114" s="10" t="n">
        <v>5469.3</v>
      </c>
      <c r="R114" s="10" t="n">
        <v>12663.7</v>
      </c>
      <c r="S114" s="10" t="n">
        <v>0</v>
      </c>
      <c r="T114" s="10" t="n">
        <v>642.5</v>
      </c>
      <c r="U114" s="10" t="n">
        <v>0</v>
      </c>
    </row>
    <row r="115" customFormat="false" ht="15" hidden="false" customHeight="false" outlineLevel="0" collapsed="false">
      <c r="A115" s="7" t="s">
        <v>394</v>
      </c>
      <c r="B115" s="7" t="s">
        <v>251</v>
      </c>
      <c r="C115" s="7" t="s">
        <v>517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-135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-135</v>
      </c>
      <c r="R115" s="10" t="n">
        <v>0</v>
      </c>
      <c r="S115" s="10" t="n">
        <v>0</v>
      </c>
      <c r="T115" s="10" t="n">
        <v>0</v>
      </c>
      <c r="U115" s="10" t="n">
        <v>0</v>
      </c>
    </row>
    <row r="116" customFormat="false" ht="15" hidden="false" customHeight="false" outlineLevel="0" collapsed="false">
      <c r="A116" s="7" t="s">
        <v>394</v>
      </c>
      <c r="B116" s="7" t="s">
        <v>251</v>
      </c>
      <c r="C116" s="7" t="s">
        <v>518</v>
      </c>
      <c r="D116" s="10" t="n">
        <v>0</v>
      </c>
      <c r="E116" s="10" t="n">
        <v>0</v>
      </c>
      <c r="F116" s="10" t="n">
        <v>157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</row>
    <row r="117" customFormat="false" ht="15" hidden="false" customHeight="false" outlineLevel="0" collapsed="false">
      <c r="A117" s="7" t="s">
        <v>394</v>
      </c>
      <c r="B117" s="7" t="s">
        <v>251</v>
      </c>
      <c r="C117" s="7" t="s">
        <v>519</v>
      </c>
      <c r="D117" s="10" t="n">
        <v>0</v>
      </c>
      <c r="E117" s="10" t="n">
        <v>0</v>
      </c>
      <c r="F117" s="10" t="n">
        <v>157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</row>
    <row r="118" customFormat="false" ht="15" hidden="false" customHeight="false" outlineLevel="0" collapsed="false">
      <c r="A118" s="7" t="s">
        <v>394</v>
      </c>
      <c r="B118" s="7" t="s">
        <v>133</v>
      </c>
      <c r="C118" s="7" t="s">
        <v>520</v>
      </c>
      <c r="D118" s="10" t="n">
        <v>0</v>
      </c>
      <c r="E118" s="10" t="n">
        <v>0</v>
      </c>
      <c r="F118" s="10" t="n">
        <v>3634.2</v>
      </c>
      <c r="G118" s="10" t="n">
        <v>0</v>
      </c>
      <c r="H118" s="10" t="n">
        <v>101.5</v>
      </c>
      <c r="I118" s="10" t="n">
        <v>3644.6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3644.6</v>
      </c>
      <c r="R118" s="10" t="n">
        <v>0</v>
      </c>
      <c r="S118" s="10" t="n">
        <v>0</v>
      </c>
      <c r="T118" s="10" t="n">
        <v>2193.8</v>
      </c>
      <c r="U118" s="10" t="n">
        <v>0</v>
      </c>
    </row>
    <row r="119" customFormat="false" ht="15" hidden="false" customHeight="false" outlineLevel="0" collapsed="false">
      <c r="A119" s="7" t="s">
        <v>394</v>
      </c>
      <c r="B119" s="7" t="s">
        <v>103</v>
      </c>
      <c r="C119" s="7" t="s">
        <v>521</v>
      </c>
      <c r="D119" s="10" t="n">
        <v>0</v>
      </c>
      <c r="E119" s="10" t="n">
        <v>0</v>
      </c>
      <c r="F119" s="10" t="n">
        <v>6254.8</v>
      </c>
      <c r="G119" s="10" t="n">
        <v>0</v>
      </c>
      <c r="H119" s="10" t="n">
        <v>0</v>
      </c>
      <c r="I119" s="10" t="n">
        <v>8230.7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8230.7</v>
      </c>
      <c r="R119" s="10" t="n">
        <v>0</v>
      </c>
      <c r="S119" s="10" t="n">
        <v>0</v>
      </c>
      <c r="T119" s="10" t="n">
        <v>4241.3</v>
      </c>
      <c r="U119" s="10" t="n">
        <v>0</v>
      </c>
    </row>
    <row r="120" customFormat="false" ht="15" hidden="false" customHeight="false" outlineLevel="0" collapsed="false">
      <c r="A120" s="7" t="s">
        <v>394</v>
      </c>
      <c r="B120" s="7" t="s">
        <v>155</v>
      </c>
      <c r="C120" s="7" t="s">
        <v>522</v>
      </c>
      <c r="D120" s="10" t="n">
        <v>0</v>
      </c>
      <c r="E120" s="10" t="n">
        <v>0</v>
      </c>
      <c r="F120" s="10" t="n">
        <v>774.8</v>
      </c>
      <c r="G120" s="10" t="n">
        <v>0</v>
      </c>
      <c r="H120" s="10" t="n">
        <v>0</v>
      </c>
      <c r="I120" s="10" t="n">
        <v>2399.3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1896.4</v>
      </c>
      <c r="R120" s="10" t="n">
        <v>502.9</v>
      </c>
      <c r="S120" s="10" t="n">
        <v>0</v>
      </c>
      <c r="T120" s="10" t="n">
        <v>480</v>
      </c>
      <c r="U120" s="10" t="n">
        <v>0</v>
      </c>
    </row>
    <row r="121" customFormat="false" ht="15" hidden="false" customHeight="false" outlineLevel="0" collapsed="false">
      <c r="A121" s="7" t="s">
        <v>394</v>
      </c>
      <c r="B121" s="7" t="s">
        <v>266</v>
      </c>
      <c r="C121" s="7" t="s">
        <v>523</v>
      </c>
      <c r="D121" s="10" t="n">
        <v>0</v>
      </c>
      <c r="E121" s="10" t="n">
        <v>0</v>
      </c>
      <c r="F121" s="10" t="n">
        <v>68622.4</v>
      </c>
      <c r="G121" s="10" t="n">
        <v>0</v>
      </c>
      <c r="H121" s="10" t="n">
        <v>0</v>
      </c>
      <c r="I121" s="10" t="n">
        <v>2408.6</v>
      </c>
      <c r="J121" s="10" t="n">
        <v>0</v>
      </c>
      <c r="K121" s="10" t="n">
        <v>348.2</v>
      </c>
      <c r="L121" s="10" t="n">
        <v>0</v>
      </c>
      <c r="M121" s="10" t="n">
        <v>468.5</v>
      </c>
      <c r="N121" s="10" t="n">
        <v>0</v>
      </c>
      <c r="O121" s="10" t="n">
        <v>373.1</v>
      </c>
      <c r="P121" s="10" t="n">
        <v>0</v>
      </c>
      <c r="Q121" s="10" t="n">
        <v>0</v>
      </c>
      <c r="R121" s="10" t="n">
        <v>1218.8</v>
      </c>
      <c r="S121" s="10" t="n">
        <v>0</v>
      </c>
      <c r="T121" s="10" t="n">
        <v>0</v>
      </c>
      <c r="U121" s="10" t="n">
        <v>0</v>
      </c>
    </row>
    <row r="122" customFormat="false" ht="15" hidden="false" customHeight="false" outlineLevel="0" collapsed="false">
      <c r="A122" s="7" t="s">
        <v>394</v>
      </c>
      <c r="B122" s="7" t="s">
        <v>275</v>
      </c>
      <c r="C122" s="7" t="s">
        <v>524</v>
      </c>
      <c r="D122" s="10" t="n">
        <v>0</v>
      </c>
      <c r="E122" s="10" t="n">
        <v>0</v>
      </c>
      <c r="F122" s="10" t="n">
        <v>10810.9</v>
      </c>
      <c r="G122" s="10" t="n">
        <v>0</v>
      </c>
      <c r="H122" s="10" t="n">
        <v>0</v>
      </c>
      <c r="I122" s="10" t="n">
        <v>150.5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150.5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</row>
    <row r="123" customFormat="false" ht="15" hidden="false" customHeight="false" outlineLevel="0" collapsed="false">
      <c r="A123" s="7" t="s">
        <v>394</v>
      </c>
      <c r="B123" s="7" t="s">
        <v>270</v>
      </c>
      <c r="C123" s="7" t="s">
        <v>525</v>
      </c>
      <c r="D123" s="10" t="n">
        <v>0</v>
      </c>
      <c r="E123" s="10" t="n">
        <v>0</v>
      </c>
      <c r="F123" s="10" t="n">
        <v>26554.8</v>
      </c>
      <c r="G123" s="10" t="n">
        <v>0</v>
      </c>
      <c r="H123" s="10" t="n">
        <v>0</v>
      </c>
      <c r="I123" s="10" t="n">
        <v>1458.9</v>
      </c>
      <c r="J123" s="10" t="n">
        <v>0</v>
      </c>
      <c r="K123" s="10" t="n">
        <v>0</v>
      </c>
      <c r="L123" s="10" t="n">
        <v>0</v>
      </c>
      <c r="M123" s="10" t="n">
        <v>262.2</v>
      </c>
      <c r="N123" s="10" t="n">
        <v>74.9</v>
      </c>
      <c r="O123" s="10" t="n">
        <v>0</v>
      </c>
      <c r="P123" s="10" t="n">
        <v>0</v>
      </c>
      <c r="Q123" s="10" t="n">
        <v>0</v>
      </c>
      <c r="R123" s="10" t="n">
        <v>1121.9</v>
      </c>
      <c r="S123" s="10" t="n">
        <v>0</v>
      </c>
      <c r="T123" s="10" t="n">
        <v>0</v>
      </c>
      <c r="U123" s="10" t="n">
        <v>0</v>
      </c>
    </row>
    <row r="124" customFormat="false" ht="15" hidden="false" customHeight="false" outlineLevel="0" collapsed="false">
      <c r="A124" s="7" t="s">
        <v>394</v>
      </c>
      <c r="B124" s="7" t="s">
        <v>110</v>
      </c>
      <c r="C124" s="7" t="s">
        <v>526</v>
      </c>
      <c r="D124" s="10" t="n">
        <v>0</v>
      </c>
      <c r="E124" s="10" t="n">
        <v>0</v>
      </c>
      <c r="F124" s="10" t="n">
        <v>11905.6</v>
      </c>
      <c r="G124" s="10" t="n">
        <v>0</v>
      </c>
      <c r="H124" s="10" t="n">
        <v>0</v>
      </c>
      <c r="I124" s="10" t="n">
        <v>19060.4</v>
      </c>
      <c r="J124" s="10" t="n">
        <v>0</v>
      </c>
      <c r="K124" s="10" t="n">
        <v>547.8</v>
      </c>
      <c r="L124" s="10" t="n">
        <v>0</v>
      </c>
      <c r="M124" s="10" t="n">
        <v>0</v>
      </c>
      <c r="N124" s="10" t="n">
        <v>0</v>
      </c>
      <c r="O124" s="10" t="n">
        <v>101.1</v>
      </c>
      <c r="P124" s="10" t="n">
        <v>0</v>
      </c>
      <c r="Q124" s="10" t="n">
        <v>15737.5</v>
      </c>
      <c r="R124" s="10" t="n">
        <v>2674.1</v>
      </c>
      <c r="S124" s="10" t="n">
        <v>0</v>
      </c>
      <c r="T124" s="10" t="n">
        <v>0</v>
      </c>
      <c r="U124" s="10" t="n">
        <v>-106.1</v>
      </c>
    </row>
    <row r="125" customFormat="false" ht="15" hidden="false" customHeight="false" outlineLevel="0" collapsed="false">
      <c r="A125" s="7" t="s">
        <v>394</v>
      </c>
      <c r="B125" s="7" t="s">
        <v>179</v>
      </c>
      <c r="C125" s="7" t="s">
        <v>520</v>
      </c>
      <c r="D125" s="10" t="n">
        <v>0</v>
      </c>
      <c r="E125" s="10" t="n">
        <v>0</v>
      </c>
      <c r="F125" s="10" t="n">
        <v>858.9</v>
      </c>
      <c r="G125" s="10" t="n">
        <v>0</v>
      </c>
      <c r="H125" s="10" t="n">
        <v>0</v>
      </c>
      <c r="I125" s="10" t="n">
        <v>314.7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314.7</v>
      </c>
      <c r="R125" s="10" t="n">
        <v>0</v>
      </c>
      <c r="S125" s="10" t="n">
        <v>0</v>
      </c>
      <c r="T125" s="10" t="n">
        <v>260</v>
      </c>
      <c r="U125" s="10" t="n">
        <v>0</v>
      </c>
    </row>
    <row r="126" customFormat="false" ht="15" hidden="false" customHeight="false" outlineLevel="0" collapsed="false">
      <c r="A126" s="7" t="s">
        <v>394</v>
      </c>
      <c r="B126" s="7" t="s">
        <v>99</v>
      </c>
      <c r="C126" s="7" t="s">
        <v>520</v>
      </c>
      <c r="D126" s="10" t="n">
        <v>0</v>
      </c>
      <c r="E126" s="10" t="n">
        <v>0</v>
      </c>
      <c r="F126" s="10" t="n">
        <v>5965.9</v>
      </c>
      <c r="G126" s="10" t="n">
        <v>0</v>
      </c>
      <c r="H126" s="10" t="n">
        <v>0</v>
      </c>
      <c r="I126" s="10" t="n">
        <v>4263.8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4263.8</v>
      </c>
      <c r="R126" s="10" t="n">
        <v>0</v>
      </c>
      <c r="S126" s="10" t="n">
        <v>0</v>
      </c>
      <c r="T126" s="10" t="n">
        <v>3510</v>
      </c>
      <c r="U126" s="10" t="n">
        <v>0</v>
      </c>
    </row>
    <row r="127" customFormat="false" ht="15" hidden="false" customHeight="false" outlineLevel="0" collapsed="false">
      <c r="A127" s="7" t="s">
        <v>394</v>
      </c>
      <c r="B127" s="7" t="s">
        <v>169</v>
      </c>
      <c r="C127" s="7" t="s">
        <v>527</v>
      </c>
      <c r="D127" s="10" t="n">
        <v>0</v>
      </c>
      <c r="E127" s="10" t="n">
        <v>0</v>
      </c>
      <c r="F127" s="10" t="n">
        <v>4398.9</v>
      </c>
      <c r="G127" s="10" t="n">
        <v>0</v>
      </c>
      <c r="H127" s="10" t="n">
        <v>0</v>
      </c>
      <c r="I127" s="10" t="n">
        <v>1479</v>
      </c>
      <c r="J127" s="10" t="n">
        <v>0</v>
      </c>
      <c r="K127" s="10" t="n">
        <v>248.5</v>
      </c>
      <c r="L127" s="10" t="n">
        <v>0</v>
      </c>
      <c r="M127" s="10" t="n">
        <v>0</v>
      </c>
      <c r="N127" s="10" t="n">
        <v>173.8</v>
      </c>
      <c r="O127" s="10" t="n">
        <v>46.4</v>
      </c>
      <c r="P127" s="10" t="n">
        <v>-13.1</v>
      </c>
      <c r="Q127" s="10" t="n">
        <v>-23.1</v>
      </c>
      <c r="R127" s="10" t="n">
        <v>1046.4</v>
      </c>
      <c r="S127" s="10" t="n">
        <v>0</v>
      </c>
      <c r="T127" s="10" t="n">
        <v>1250.1</v>
      </c>
      <c r="U127" s="10" t="n">
        <v>0</v>
      </c>
    </row>
    <row r="128" customFormat="false" ht="15" hidden="false" customHeight="false" outlineLevel="0" collapsed="false">
      <c r="A128" s="7" t="s">
        <v>394</v>
      </c>
      <c r="B128" s="7" t="s">
        <v>169</v>
      </c>
      <c r="C128" s="7" t="s">
        <v>528</v>
      </c>
      <c r="D128" s="10" t="n">
        <v>0</v>
      </c>
      <c r="E128" s="10" t="n">
        <v>0</v>
      </c>
      <c r="F128" s="10" t="n">
        <v>1728.6</v>
      </c>
      <c r="G128" s="10" t="n">
        <v>0</v>
      </c>
      <c r="H128" s="10" t="n">
        <v>0</v>
      </c>
      <c r="I128" s="10" t="n">
        <v>2367.2</v>
      </c>
      <c r="J128" s="10" t="n">
        <v>0</v>
      </c>
      <c r="K128" s="10" t="n">
        <v>100.8</v>
      </c>
      <c r="L128" s="10" t="n">
        <v>0</v>
      </c>
      <c r="M128" s="10" t="n">
        <v>0</v>
      </c>
      <c r="N128" s="10" t="n">
        <v>126.2</v>
      </c>
      <c r="O128" s="10" t="n">
        <v>22.4</v>
      </c>
      <c r="P128" s="10" t="n">
        <v>0</v>
      </c>
      <c r="Q128" s="10" t="n">
        <v>1401.1</v>
      </c>
      <c r="R128" s="10" t="n">
        <v>716.8</v>
      </c>
      <c r="S128" s="10" t="n">
        <v>0</v>
      </c>
      <c r="T128" s="10" t="n">
        <v>200</v>
      </c>
      <c r="U128" s="10" t="n">
        <v>-56.1</v>
      </c>
    </row>
    <row r="129" customFormat="false" ht="15" hidden="false" customHeight="false" outlineLevel="0" collapsed="false">
      <c r="A129" s="7" t="s">
        <v>394</v>
      </c>
      <c r="B129" s="7" t="s">
        <v>211</v>
      </c>
      <c r="C129" s="7" t="s">
        <v>529</v>
      </c>
      <c r="D129" s="10" t="n">
        <v>0</v>
      </c>
      <c r="E129" s="10" t="n">
        <v>0</v>
      </c>
      <c r="F129" s="10" t="n">
        <v>-113.3</v>
      </c>
      <c r="G129" s="10" t="n">
        <v>0</v>
      </c>
      <c r="H129" s="10" t="n">
        <v>0</v>
      </c>
      <c r="I129" s="10" t="n">
        <v>-249.4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-191.6</v>
      </c>
      <c r="Q129" s="10" t="n">
        <v>-57.8</v>
      </c>
      <c r="R129" s="10" t="n">
        <v>0</v>
      </c>
      <c r="S129" s="10" t="n">
        <v>0</v>
      </c>
      <c r="T129" s="10" t="n">
        <v>0</v>
      </c>
      <c r="U129" s="10" t="n">
        <v>0</v>
      </c>
    </row>
    <row r="130" customFormat="false" ht="15" hidden="false" customHeight="false" outlineLevel="0" collapsed="false">
      <c r="A130" s="7" t="s">
        <v>394</v>
      </c>
      <c r="B130" s="7" t="s">
        <v>87</v>
      </c>
      <c r="C130" s="7" t="s">
        <v>531</v>
      </c>
      <c r="D130" s="10" t="n">
        <v>0</v>
      </c>
      <c r="E130" s="10" t="n">
        <v>0</v>
      </c>
      <c r="F130" s="10" t="n">
        <v>6005.5</v>
      </c>
      <c r="G130" s="10" t="n">
        <v>0</v>
      </c>
      <c r="H130" s="10" t="n">
        <v>223</v>
      </c>
      <c r="I130" s="10" t="n">
        <v>22114.5</v>
      </c>
      <c r="J130" s="10" t="n">
        <v>0</v>
      </c>
      <c r="K130" s="10" t="n">
        <v>1382.5</v>
      </c>
      <c r="L130" s="10" t="n">
        <v>0</v>
      </c>
      <c r="M130" s="10" t="n">
        <v>70.2</v>
      </c>
      <c r="N130" s="10" t="n">
        <v>70.2</v>
      </c>
      <c r="O130" s="10" t="n">
        <v>502.6</v>
      </c>
      <c r="P130" s="10" t="n">
        <v>-467.9</v>
      </c>
      <c r="Q130" s="10" t="n">
        <v>9322</v>
      </c>
      <c r="R130" s="10" t="n">
        <v>11235</v>
      </c>
      <c r="S130" s="10" t="n">
        <v>0</v>
      </c>
      <c r="T130" s="10" t="n">
        <v>3534.3</v>
      </c>
      <c r="U130" s="10" t="n">
        <v>0</v>
      </c>
    </row>
    <row r="131" customFormat="false" ht="15" hidden="false" customHeight="false" outlineLevel="0" collapsed="false">
      <c r="A131" s="7" t="s">
        <v>394</v>
      </c>
      <c r="B131" s="7" t="s">
        <v>90</v>
      </c>
      <c r="C131" s="7" t="s">
        <v>532</v>
      </c>
      <c r="D131" s="10" t="n">
        <v>0</v>
      </c>
      <c r="E131" s="10" t="n">
        <v>0</v>
      </c>
      <c r="F131" s="10" t="n">
        <v>4670.1</v>
      </c>
      <c r="G131" s="10" t="n">
        <v>0</v>
      </c>
      <c r="H131" s="10" t="n">
        <v>0</v>
      </c>
      <c r="I131" s="10" t="n">
        <v>43701.2</v>
      </c>
      <c r="J131" s="10" t="n">
        <v>0</v>
      </c>
      <c r="K131" s="10" t="n">
        <v>400.5</v>
      </c>
      <c r="L131" s="10" t="n">
        <v>0</v>
      </c>
      <c r="M131" s="10" t="n">
        <v>0</v>
      </c>
      <c r="N131" s="10" t="n">
        <v>0</v>
      </c>
      <c r="O131" s="10" t="n">
        <v>50.2</v>
      </c>
      <c r="P131" s="10" t="n">
        <v>0</v>
      </c>
      <c r="Q131" s="10" t="n">
        <v>41072.9</v>
      </c>
      <c r="R131" s="10" t="n">
        <v>2177.6</v>
      </c>
      <c r="S131" s="10" t="n">
        <v>0</v>
      </c>
      <c r="T131" s="10" t="n">
        <v>1300.7</v>
      </c>
      <c r="U131" s="10" t="n">
        <v>0</v>
      </c>
    </row>
    <row r="132" customFormat="false" ht="15" hidden="false" customHeight="false" outlineLevel="0" collapsed="false">
      <c r="A132" s="7" t="s">
        <v>394</v>
      </c>
      <c r="B132" s="7" t="s">
        <v>156</v>
      </c>
      <c r="C132" s="7" t="s">
        <v>533</v>
      </c>
      <c r="D132" s="10" t="n">
        <v>0</v>
      </c>
      <c r="E132" s="10" t="n">
        <v>0</v>
      </c>
      <c r="F132" s="10" t="n">
        <v>3553.3</v>
      </c>
      <c r="G132" s="10" t="n">
        <v>0</v>
      </c>
      <c r="H132" s="10" t="n">
        <v>0</v>
      </c>
      <c r="I132" s="10" t="n">
        <v>6510.6</v>
      </c>
      <c r="J132" s="10" t="n">
        <v>0</v>
      </c>
      <c r="K132" s="10" t="n">
        <v>524.2</v>
      </c>
      <c r="L132" s="10" t="n">
        <v>0</v>
      </c>
      <c r="M132" s="10" t="n">
        <v>57.1</v>
      </c>
      <c r="N132" s="10" t="n">
        <v>28.5</v>
      </c>
      <c r="O132" s="10" t="n">
        <v>57.6</v>
      </c>
      <c r="P132" s="10" t="n">
        <v>-52.4</v>
      </c>
      <c r="Q132" s="10" t="n">
        <v>4296.7</v>
      </c>
      <c r="R132" s="10" t="n">
        <v>1598.8</v>
      </c>
      <c r="S132" s="10" t="n">
        <v>0</v>
      </c>
      <c r="T132" s="10" t="n">
        <v>1095.6</v>
      </c>
      <c r="U132" s="10" t="n">
        <v>0</v>
      </c>
    </row>
    <row r="133" customFormat="false" ht="15" hidden="false" customHeight="false" outlineLevel="0" collapsed="false">
      <c r="A133" s="7" t="s">
        <v>394</v>
      </c>
      <c r="B133" s="7" t="s">
        <v>148</v>
      </c>
      <c r="C133" s="7" t="s">
        <v>535</v>
      </c>
      <c r="D133" s="10" t="n">
        <v>0</v>
      </c>
      <c r="E133" s="10" t="n">
        <v>0</v>
      </c>
      <c r="F133" s="10" t="n">
        <v>1677.4</v>
      </c>
      <c r="G133" s="10" t="n">
        <v>0</v>
      </c>
      <c r="H133" s="10" t="n">
        <v>0</v>
      </c>
      <c r="I133" s="10" t="n">
        <v>2616.2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2616.2</v>
      </c>
      <c r="R133" s="10" t="n">
        <v>0</v>
      </c>
      <c r="S133" s="10" t="n">
        <v>0</v>
      </c>
      <c r="T133" s="10" t="n">
        <v>583.7</v>
      </c>
      <c r="U133" s="10" t="n">
        <v>0</v>
      </c>
    </row>
    <row r="134" customFormat="false" ht="15" hidden="false" customHeight="false" outlineLevel="0" collapsed="false">
      <c r="A134" s="7" t="s">
        <v>394</v>
      </c>
      <c r="B134" s="7" t="s">
        <v>101</v>
      </c>
      <c r="C134" s="7" t="s">
        <v>536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-620.8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-185.2</v>
      </c>
      <c r="Q134" s="10" t="n">
        <v>-435.6</v>
      </c>
      <c r="R134" s="10" t="n">
        <v>0</v>
      </c>
      <c r="S134" s="10" t="n">
        <v>0</v>
      </c>
      <c r="T134" s="10" t="n">
        <v>0</v>
      </c>
      <c r="U134" s="10" t="n">
        <v>0</v>
      </c>
    </row>
    <row r="135" customFormat="false" ht="15" hidden="false" customHeight="false" outlineLevel="0" collapsed="false">
      <c r="A135" s="7" t="s">
        <v>394</v>
      </c>
      <c r="B135" s="7" t="s">
        <v>101</v>
      </c>
      <c r="C135" s="7" t="s">
        <v>537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-516.1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-123.5</v>
      </c>
      <c r="Q135" s="10" t="n">
        <v>-392.6</v>
      </c>
      <c r="R135" s="10" t="n">
        <v>0</v>
      </c>
      <c r="S135" s="10" t="n">
        <v>0</v>
      </c>
      <c r="T135" s="10" t="n">
        <v>0</v>
      </c>
      <c r="U135" s="10" t="n">
        <v>0</v>
      </c>
    </row>
    <row r="136" customFormat="false" ht="15" hidden="false" customHeight="false" outlineLevel="0" collapsed="false">
      <c r="A136" s="7" t="s">
        <v>394</v>
      </c>
      <c r="B136" s="7" t="s">
        <v>101</v>
      </c>
      <c r="C136" s="7" t="s">
        <v>538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-607.3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-123.5</v>
      </c>
      <c r="Q136" s="10" t="n">
        <v>-483.8</v>
      </c>
      <c r="R136" s="10" t="n">
        <v>0</v>
      </c>
      <c r="S136" s="10" t="n">
        <v>0</v>
      </c>
      <c r="T136" s="10" t="n">
        <v>0</v>
      </c>
      <c r="U136" s="10" t="n">
        <v>0</v>
      </c>
    </row>
    <row r="137" customFormat="false" ht="15" hidden="false" customHeight="false" outlineLevel="0" collapsed="false">
      <c r="A137" s="7" t="s">
        <v>394</v>
      </c>
      <c r="B137" s="7" t="s">
        <v>101</v>
      </c>
      <c r="C137" s="7" t="s">
        <v>539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-677.9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-61.7</v>
      </c>
      <c r="Q137" s="10" t="n">
        <v>-616.2</v>
      </c>
      <c r="R137" s="10" t="n">
        <v>0</v>
      </c>
      <c r="S137" s="10" t="n">
        <v>0</v>
      </c>
      <c r="T137" s="10" t="n">
        <v>0</v>
      </c>
      <c r="U137" s="10" t="n">
        <v>0</v>
      </c>
    </row>
    <row r="138" customFormat="false" ht="15" hidden="false" customHeight="false" outlineLevel="0" collapsed="false">
      <c r="A138" s="7" t="s">
        <v>394</v>
      </c>
      <c r="B138" s="7" t="s">
        <v>101</v>
      </c>
      <c r="C138" s="7" t="s">
        <v>540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-116.2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-61.7</v>
      </c>
      <c r="Q138" s="10" t="n">
        <v>-54.5</v>
      </c>
      <c r="R138" s="10" t="n">
        <v>0</v>
      </c>
      <c r="S138" s="10" t="n">
        <v>0</v>
      </c>
      <c r="T138" s="10" t="n">
        <v>0</v>
      </c>
      <c r="U138" s="10" t="n">
        <v>0</v>
      </c>
    </row>
    <row r="139" customFormat="false" ht="15" hidden="false" customHeight="false" outlineLevel="0" collapsed="false">
      <c r="A139" s="7" t="s">
        <v>394</v>
      </c>
      <c r="B139" s="7" t="s">
        <v>353</v>
      </c>
      <c r="C139" s="7" t="s">
        <v>541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-96.7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-96.7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</row>
    <row r="140" customFormat="false" ht="15" hidden="false" customHeight="false" outlineLevel="0" collapsed="false">
      <c r="A140" s="7" t="s">
        <v>394</v>
      </c>
      <c r="B140" s="7" t="s">
        <v>184</v>
      </c>
      <c r="C140" s="7" t="s">
        <v>543</v>
      </c>
      <c r="D140" s="10" t="n">
        <v>0</v>
      </c>
      <c r="E140" s="10" t="n">
        <v>0</v>
      </c>
      <c r="F140" s="10" t="n">
        <v>355.6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</row>
    <row r="141" customFormat="false" ht="15" hidden="false" customHeight="false" outlineLevel="0" collapsed="false">
      <c r="A141" s="7" t="s">
        <v>394</v>
      </c>
      <c r="B141" s="7" t="s">
        <v>184</v>
      </c>
      <c r="C141" s="7" t="s">
        <v>544</v>
      </c>
      <c r="D141" s="10" t="n">
        <v>0</v>
      </c>
      <c r="E141" s="10" t="n">
        <v>0</v>
      </c>
      <c r="F141" s="10" t="n">
        <v>-71.1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</row>
    <row r="142" customFormat="false" ht="15" hidden="false" customHeight="false" outlineLevel="0" collapsed="false">
      <c r="A142" s="7" t="s">
        <v>394</v>
      </c>
      <c r="B142" s="7" t="s">
        <v>184</v>
      </c>
      <c r="C142" s="7" t="s">
        <v>545</v>
      </c>
      <c r="D142" s="10" t="n">
        <v>0</v>
      </c>
      <c r="E142" s="10" t="n">
        <v>0</v>
      </c>
      <c r="F142" s="10" t="n">
        <v>23.7</v>
      </c>
      <c r="G142" s="10" t="n">
        <v>0</v>
      </c>
      <c r="H142" s="10" t="n">
        <v>0</v>
      </c>
      <c r="I142" s="10" t="n">
        <v>110.5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110.5</v>
      </c>
      <c r="S142" s="10" t="n">
        <v>0</v>
      </c>
      <c r="T142" s="10" t="n">
        <v>0</v>
      </c>
      <c r="U142" s="10" t="n">
        <v>0</v>
      </c>
    </row>
    <row r="143" customFormat="false" ht="15" hidden="false" customHeight="false" outlineLevel="0" collapsed="false">
      <c r="A143" s="7" t="s">
        <v>394</v>
      </c>
      <c r="B143" s="7" t="s">
        <v>184</v>
      </c>
      <c r="C143" s="7" t="s">
        <v>546</v>
      </c>
      <c r="D143" s="10" t="n">
        <v>0</v>
      </c>
      <c r="E143" s="10" t="n">
        <v>0</v>
      </c>
      <c r="F143" s="10" t="n">
        <v>-94.8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0</v>
      </c>
      <c r="U143" s="10" t="n">
        <v>0</v>
      </c>
    </row>
    <row r="144" customFormat="false" ht="15" hidden="false" customHeight="false" outlineLevel="0" collapsed="false">
      <c r="A144" s="7" t="s">
        <v>394</v>
      </c>
      <c r="B144" s="7" t="s">
        <v>184</v>
      </c>
      <c r="C144" s="7" t="s">
        <v>547</v>
      </c>
      <c r="D144" s="10" t="n">
        <v>0</v>
      </c>
      <c r="E144" s="10" t="n">
        <v>0</v>
      </c>
      <c r="F144" s="10" t="n">
        <v>237.1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</row>
    <row r="145" customFormat="false" ht="15" hidden="false" customHeight="false" outlineLevel="0" collapsed="false">
      <c r="A145" s="7" t="s">
        <v>394</v>
      </c>
      <c r="B145" s="7" t="s">
        <v>88</v>
      </c>
      <c r="C145" s="7" t="s">
        <v>548</v>
      </c>
      <c r="D145" s="10" t="n">
        <v>0</v>
      </c>
      <c r="E145" s="10" t="n">
        <v>0</v>
      </c>
      <c r="F145" s="10" t="n">
        <v>7594.1</v>
      </c>
      <c r="G145" s="10" t="n">
        <v>0</v>
      </c>
      <c r="H145" s="10" t="n">
        <v>0</v>
      </c>
      <c r="I145" s="10" t="n">
        <v>44217.4</v>
      </c>
      <c r="J145" s="10" t="n">
        <v>0</v>
      </c>
      <c r="K145" s="10" t="n">
        <v>240.1</v>
      </c>
      <c r="L145" s="10" t="n">
        <v>0</v>
      </c>
      <c r="M145" s="10" t="n">
        <v>93.5</v>
      </c>
      <c r="N145" s="10" t="n">
        <v>93.5</v>
      </c>
      <c r="O145" s="10" t="n">
        <v>40</v>
      </c>
      <c r="P145" s="10" t="n">
        <v>-40</v>
      </c>
      <c r="Q145" s="10" t="n">
        <v>39121.1</v>
      </c>
      <c r="R145" s="10" t="n">
        <v>4669.1</v>
      </c>
      <c r="S145" s="10" t="n">
        <v>0</v>
      </c>
      <c r="T145" s="10" t="n">
        <v>837.1</v>
      </c>
      <c r="U145" s="10" t="n">
        <v>0</v>
      </c>
    </row>
    <row r="146" customFormat="false" ht="15" hidden="false" customHeight="false" outlineLevel="0" collapsed="false">
      <c r="A146" s="7" t="s">
        <v>394</v>
      </c>
      <c r="B146" s="7" t="s">
        <v>142</v>
      </c>
      <c r="C146" s="7" t="s">
        <v>549</v>
      </c>
      <c r="D146" s="10" t="n">
        <v>0</v>
      </c>
      <c r="E146" s="10" t="n">
        <v>0</v>
      </c>
      <c r="F146" s="10" t="n">
        <v>1140.9</v>
      </c>
      <c r="G146" s="10" t="n">
        <v>0</v>
      </c>
      <c r="H146" s="10" t="n">
        <v>0</v>
      </c>
      <c r="I146" s="10" t="n">
        <v>2862.2</v>
      </c>
      <c r="J146" s="10" t="n">
        <v>0</v>
      </c>
      <c r="K146" s="10" t="n">
        <v>21.3</v>
      </c>
      <c r="L146" s="10" t="n">
        <v>0</v>
      </c>
      <c r="M146" s="10" t="n">
        <v>0</v>
      </c>
      <c r="N146" s="10" t="n">
        <v>65.9</v>
      </c>
      <c r="O146" s="10" t="n">
        <v>64</v>
      </c>
      <c r="P146" s="10" t="n">
        <v>-58.6</v>
      </c>
      <c r="Q146" s="10" t="n">
        <v>2001.2</v>
      </c>
      <c r="R146" s="10" t="n">
        <v>768.3</v>
      </c>
      <c r="S146" s="10" t="n">
        <v>0</v>
      </c>
      <c r="T146" s="10" t="n">
        <v>556.9</v>
      </c>
      <c r="U146" s="10" t="n">
        <v>0</v>
      </c>
    </row>
    <row r="147" customFormat="false" ht="15" hidden="false" customHeight="false" outlineLevel="0" collapsed="false">
      <c r="A147" s="7" t="s">
        <v>394</v>
      </c>
      <c r="B147" s="7" t="s">
        <v>47</v>
      </c>
      <c r="C147" s="7" t="s">
        <v>550</v>
      </c>
      <c r="D147" s="10" t="n">
        <v>0</v>
      </c>
      <c r="E147" s="10" t="n">
        <v>0</v>
      </c>
      <c r="F147" s="10" t="n">
        <v>4284.9</v>
      </c>
      <c r="G147" s="10" t="n">
        <v>0</v>
      </c>
      <c r="H147" s="10" t="n">
        <v>0</v>
      </c>
      <c r="I147" s="10" t="n">
        <v>53125.6</v>
      </c>
      <c r="J147" s="10" t="n">
        <v>0</v>
      </c>
      <c r="K147" s="10" t="n">
        <v>81</v>
      </c>
      <c r="L147" s="10" t="n">
        <v>0</v>
      </c>
      <c r="M147" s="10" t="n">
        <v>0</v>
      </c>
      <c r="N147" s="10" t="n">
        <v>46.8</v>
      </c>
      <c r="O147" s="10" t="n">
        <v>0</v>
      </c>
      <c r="P147" s="10" t="n">
        <v>-121.5</v>
      </c>
      <c r="Q147" s="10" t="n">
        <v>48785.8</v>
      </c>
      <c r="R147" s="10" t="n">
        <v>4333.5</v>
      </c>
      <c r="S147" s="10" t="n">
        <v>0</v>
      </c>
      <c r="T147" s="10" t="n">
        <v>3457.1</v>
      </c>
      <c r="U147" s="10" t="n">
        <v>-124.9</v>
      </c>
    </row>
    <row r="148" customFormat="false" ht="15" hidden="false" customHeight="false" outlineLevel="0" collapsed="false">
      <c r="A148" s="7" t="s">
        <v>394</v>
      </c>
      <c r="B148" s="7" t="s">
        <v>47</v>
      </c>
      <c r="C148" s="7" t="s">
        <v>551</v>
      </c>
      <c r="D148" s="10" t="n">
        <v>0</v>
      </c>
      <c r="E148" s="10" t="n">
        <v>0</v>
      </c>
      <c r="F148" s="10" t="n">
        <v>2066.3</v>
      </c>
      <c r="G148" s="10" t="n">
        <v>0</v>
      </c>
      <c r="H148" s="10" t="n">
        <v>0</v>
      </c>
      <c r="I148" s="10" t="n">
        <v>34080.3</v>
      </c>
      <c r="J148" s="10" t="n">
        <v>0</v>
      </c>
      <c r="K148" s="10" t="n">
        <v>324</v>
      </c>
      <c r="L148" s="10" t="n">
        <v>0</v>
      </c>
      <c r="M148" s="10" t="n">
        <v>0</v>
      </c>
      <c r="N148" s="10" t="n">
        <v>187.3</v>
      </c>
      <c r="O148" s="10" t="n">
        <v>0</v>
      </c>
      <c r="P148" s="10" t="n">
        <v>-202.5</v>
      </c>
      <c r="Q148" s="10" t="n">
        <v>31014.7</v>
      </c>
      <c r="R148" s="10" t="n">
        <v>2756.9</v>
      </c>
      <c r="S148" s="10" t="n">
        <v>0</v>
      </c>
      <c r="T148" s="10" t="n">
        <v>1309.1</v>
      </c>
      <c r="U148" s="10" t="n">
        <v>0</v>
      </c>
    </row>
    <row r="149" customFormat="false" ht="15" hidden="false" customHeight="false" outlineLevel="0" collapsed="false">
      <c r="A149" s="7" t="s">
        <v>394</v>
      </c>
      <c r="B149" s="7" t="s">
        <v>47</v>
      </c>
      <c r="C149" s="7" t="s">
        <v>552</v>
      </c>
      <c r="D149" s="10" t="n">
        <v>0</v>
      </c>
      <c r="E149" s="10" t="n">
        <v>0</v>
      </c>
      <c r="F149" s="10" t="n">
        <v>5295</v>
      </c>
      <c r="G149" s="10" t="n">
        <v>0</v>
      </c>
      <c r="H149" s="10" t="n">
        <v>0</v>
      </c>
      <c r="I149" s="10" t="n">
        <v>52484.7</v>
      </c>
      <c r="J149" s="10" t="n">
        <v>0</v>
      </c>
      <c r="K149" s="10" t="n">
        <v>364.5</v>
      </c>
      <c r="L149" s="10" t="n">
        <v>0</v>
      </c>
      <c r="M149" s="10" t="n">
        <v>0</v>
      </c>
      <c r="N149" s="10" t="n">
        <v>46.8</v>
      </c>
      <c r="O149" s="10" t="n">
        <v>216.9</v>
      </c>
      <c r="P149" s="10" t="n">
        <v>-162</v>
      </c>
      <c r="Q149" s="10" t="n">
        <v>47682.1</v>
      </c>
      <c r="R149" s="10" t="n">
        <v>4336.4</v>
      </c>
      <c r="S149" s="10" t="n">
        <v>0</v>
      </c>
      <c r="T149" s="10" t="n">
        <v>2958.1</v>
      </c>
      <c r="U149" s="10" t="n">
        <v>0</v>
      </c>
    </row>
    <row r="150" customFormat="false" ht="15" hidden="false" customHeight="false" outlineLevel="0" collapsed="false">
      <c r="A150" s="7" t="s">
        <v>394</v>
      </c>
      <c r="B150" s="7" t="s">
        <v>47</v>
      </c>
      <c r="C150" s="7" t="s">
        <v>553</v>
      </c>
      <c r="D150" s="10" t="n">
        <v>0</v>
      </c>
      <c r="E150" s="10" t="n">
        <v>0</v>
      </c>
      <c r="F150" s="10" t="n">
        <v>3245.5</v>
      </c>
      <c r="G150" s="10" t="n">
        <v>0</v>
      </c>
      <c r="H150" s="10" t="n">
        <v>0</v>
      </c>
      <c r="I150" s="10" t="n">
        <v>33518.6</v>
      </c>
      <c r="J150" s="10" t="n">
        <v>0</v>
      </c>
      <c r="K150" s="10" t="n">
        <v>162</v>
      </c>
      <c r="L150" s="10" t="n">
        <v>0</v>
      </c>
      <c r="M150" s="10" t="n">
        <v>0</v>
      </c>
      <c r="N150" s="10" t="n">
        <v>0</v>
      </c>
      <c r="O150" s="10" t="n">
        <v>173.5</v>
      </c>
      <c r="P150" s="10" t="n">
        <v>-162</v>
      </c>
      <c r="Q150" s="10" t="n">
        <v>30955.6</v>
      </c>
      <c r="R150" s="10" t="n">
        <v>2389.5</v>
      </c>
      <c r="S150" s="10" t="n">
        <v>0</v>
      </c>
      <c r="T150" s="10" t="n">
        <v>2401.1</v>
      </c>
      <c r="U150" s="10" t="n">
        <v>-62.4</v>
      </c>
    </row>
    <row r="151" customFormat="false" ht="15" hidden="false" customHeight="false" outlineLevel="0" collapsed="false">
      <c r="A151" s="7" t="s">
        <v>394</v>
      </c>
      <c r="B151" s="7" t="s">
        <v>47</v>
      </c>
      <c r="C151" s="7" t="s">
        <v>555</v>
      </c>
      <c r="D151" s="10" t="n">
        <v>0</v>
      </c>
      <c r="E151" s="10" t="n">
        <v>0</v>
      </c>
      <c r="F151" s="10" t="n">
        <v>785.9</v>
      </c>
      <c r="G151" s="10" t="n">
        <v>0</v>
      </c>
      <c r="H151" s="10" t="n">
        <v>0</v>
      </c>
      <c r="I151" s="10" t="n">
        <v>3235.6</v>
      </c>
      <c r="J151" s="10" t="n">
        <v>0</v>
      </c>
      <c r="K151" s="10" t="n">
        <v>243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-283.5</v>
      </c>
      <c r="Q151" s="10" t="n">
        <v>1372.6</v>
      </c>
      <c r="R151" s="10" t="n">
        <v>1903.5</v>
      </c>
      <c r="S151" s="10" t="n">
        <v>0</v>
      </c>
      <c r="T151" s="10" t="n">
        <v>759.4</v>
      </c>
      <c r="U151" s="10" t="n">
        <v>0</v>
      </c>
    </row>
    <row r="152" customFormat="false" ht="15" hidden="false" customHeight="false" outlineLevel="0" collapsed="false">
      <c r="A152" s="7" t="s">
        <v>394</v>
      </c>
      <c r="B152" s="7" t="s">
        <v>56</v>
      </c>
      <c r="C152" s="7" t="s">
        <v>556</v>
      </c>
      <c r="D152" s="10" t="n">
        <v>0</v>
      </c>
      <c r="E152" s="10" t="n">
        <v>0</v>
      </c>
      <c r="F152" s="10" t="n">
        <v>1463.7</v>
      </c>
      <c r="G152" s="10" t="n">
        <v>0</v>
      </c>
      <c r="H152" s="10" t="n">
        <v>0</v>
      </c>
      <c r="I152" s="10" t="n">
        <v>23528</v>
      </c>
      <c r="J152" s="10" t="n">
        <v>0</v>
      </c>
      <c r="K152" s="10" t="n">
        <v>222.1</v>
      </c>
      <c r="L152" s="10" t="n">
        <v>0</v>
      </c>
      <c r="M152" s="10" t="n">
        <v>0</v>
      </c>
      <c r="N152" s="10" t="n">
        <v>92.7</v>
      </c>
      <c r="O152" s="10" t="n">
        <v>59.5</v>
      </c>
      <c r="P152" s="10" t="n">
        <v>-388.6</v>
      </c>
      <c r="Q152" s="10" t="n">
        <v>20905.3</v>
      </c>
      <c r="R152" s="10" t="n">
        <v>2637.2</v>
      </c>
      <c r="S152" s="10" t="n">
        <v>0</v>
      </c>
      <c r="T152" s="10" t="n">
        <v>578</v>
      </c>
      <c r="U152" s="10" t="n">
        <v>-41.2</v>
      </c>
    </row>
    <row r="153" customFormat="false" ht="15" hidden="false" customHeight="false" outlineLevel="0" collapsed="false">
      <c r="A153" s="7" t="s">
        <v>394</v>
      </c>
      <c r="B153" s="7" t="s">
        <v>56</v>
      </c>
      <c r="C153" s="7" t="s">
        <v>557</v>
      </c>
      <c r="D153" s="10" t="n">
        <v>0</v>
      </c>
      <c r="E153" s="10" t="n">
        <v>0</v>
      </c>
      <c r="F153" s="10" t="n">
        <v>3953.1</v>
      </c>
      <c r="G153" s="10" t="n">
        <v>0</v>
      </c>
      <c r="H153" s="10" t="n">
        <v>0</v>
      </c>
      <c r="I153" s="10" t="n">
        <v>33885.4</v>
      </c>
      <c r="J153" s="10" t="n">
        <v>0</v>
      </c>
      <c r="K153" s="10" t="n">
        <v>111</v>
      </c>
      <c r="L153" s="10" t="n">
        <v>0</v>
      </c>
      <c r="M153" s="10" t="n">
        <v>0</v>
      </c>
      <c r="N153" s="10" t="n">
        <v>92.7</v>
      </c>
      <c r="O153" s="10" t="n">
        <v>29.7</v>
      </c>
      <c r="P153" s="10" t="n">
        <v>-166.6</v>
      </c>
      <c r="Q153" s="10" t="n">
        <v>29265.8</v>
      </c>
      <c r="R153" s="10" t="n">
        <v>4552.6</v>
      </c>
      <c r="S153" s="10" t="n">
        <v>0</v>
      </c>
      <c r="T153" s="10" t="n">
        <v>1445</v>
      </c>
      <c r="U153" s="10" t="n">
        <v>-82.4</v>
      </c>
    </row>
    <row r="154" customFormat="false" ht="15" hidden="false" customHeight="false" outlineLevel="0" collapsed="false">
      <c r="A154" s="7" t="s">
        <v>394</v>
      </c>
      <c r="B154" s="7" t="s">
        <v>56</v>
      </c>
      <c r="C154" s="7" t="s">
        <v>558</v>
      </c>
      <c r="D154" s="10" t="n">
        <v>0</v>
      </c>
      <c r="E154" s="10" t="n">
        <v>0</v>
      </c>
      <c r="F154" s="10" t="n">
        <v>3907.6</v>
      </c>
      <c r="G154" s="10" t="n">
        <v>0</v>
      </c>
      <c r="H154" s="10" t="n">
        <v>0</v>
      </c>
      <c r="I154" s="10" t="n">
        <v>33379.3</v>
      </c>
      <c r="J154" s="10" t="n">
        <v>0</v>
      </c>
      <c r="K154" s="10" t="n">
        <v>333.1</v>
      </c>
      <c r="L154" s="10" t="n">
        <v>0</v>
      </c>
      <c r="M154" s="10" t="n">
        <v>0</v>
      </c>
      <c r="N154" s="10" t="n">
        <v>92.7</v>
      </c>
      <c r="O154" s="10" t="n">
        <v>89.2</v>
      </c>
      <c r="P154" s="10" t="n">
        <v>-138.8</v>
      </c>
      <c r="Q154" s="10" t="n">
        <v>29255.5</v>
      </c>
      <c r="R154" s="10" t="n">
        <v>3747.6</v>
      </c>
      <c r="S154" s="10" t="n">
        <v>0</v>
      </c>
      <c r="T154" s="10" t="n">
        <v>1500.3</v>
      </c>
      <c r="U154" s="10" t="n">
        <v>-41.2</v>
      </c>
    </row>
    <row r="155" customFormat="false" ht="15" hidden="false" customHeight="false" outlineLevel="0" collapsed="false">
      <c r="A155" s="7" t="s">
        <v>394</v>
      </c>
      <c r="B155" s="7" t="s">
        <v>56</v>
      </c>
      <c r="C155" s="7" t="s">
        <v>559</v>
      </c>
      <c r="D155" s="10" t="n">
        <v>0</v>
      </c>
      <c r="E155" s="10" t="n">
        <v>0</v>
      </c>
      <c r="F155" s="10" t="n">
        <v>2671.8</v>
      </c>
      <c r="G155" s="10" t="n">
        <v>0</v>
      </c>
      <c r="H155" s="10" t="n">
        <v>0</v>
      </c>
      <c r="I155" s="10" t="n">
        <v>23351.1</v>
      </c>
      <c r="J155" s="10" t="n">
        <v>0</v>
      </c>
      <c r="K155" s="10" t="n">
        <v>138.8</v>
      </c>
      <c r="L155" s="10" t="n">
        <v>0</v>
      </c>
      <c r="M155" s="10" t="n">
        <v>0</v>
      </c>
      <c r="N155" s="10" t="n">
        <v>92.7</v>
      </c>
      <c r="O155" s="10" t="n">
        <v>29.7</v>
      </c>
      <c r="P155" s="10" t="n">
        <v>-55.5</v>
      </c>
      <c r="Q155" s="10" t="n">
        <v>19980.8</v>
      </c>
      <c r="R155" s="10" t="n">
        <v>3164.6</v>
      </c>
      <c r="S155" s="10" t="n">
        <v>0</v>
      </c>
      <c r="T155" s="10" t="n">
        <v>1500.3</v>
      </c>
      <c r="U155" s="10" t="n">
        <v>0</v>
      </c>
    </row>
    <row r="156" customFormat="false" ht="15" hidden="false" customHeight="false" outlineLevel="0" collapsed="false">
      <c r="A156" s="7" t="s">
        <v>394</v>
      </c>
      <c r="B156" s="7" t="s">
        <v>56</v>
      </c>
      <c r="C156" s="7" t="s">
        <v>560</v>
      </c>
      <c r="D156" s="10" t="n">
        <v>0</v>
      </c>
      <c r="E156" s="10" t="n">
        <v>0</v>
      </c>
      <c r="F156" s="10" t="n">
        <v>1061.4</v>
      </c>
      <c r="G156" s="10" t="n">
        <v>0</v>
      </c>
      <c r="H156" s="10" t="n">
        <v>26.8</v>
      </c>
      <c r="I156" s="10" t="n">
        <v>4094.8</v>
      </c>
      <c r="J156" s="10" t="n">
        <v>0</v>
      </c>
      <c r="K156" s="10" t="n">
        <v>138.8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-27.8</v>
      </c>
      <c r="Q156" s="10" t="n">
        <v>1929.6</v>
      </c>
      <c r="R156" s="10" t="n">
        <v>2054.2</v>
      </c>
      <c r="S156" s="10" t="n">
        <v>0</v>
      </c>
      <c r="T156" s="10" t="n">
        <v>178.5</v>
      </c>
      <c r="U156" s="10" t="n">
        <v>0</v>
      </c>
    </row>
    <row r="157" customFormat="false" ht="15" hidden="false" customHeight="false" outlineLevel="0" collapsed="false">
      <c r="A157" s="7" t="s">
        <v>394</v>
      </c>
      <c r="B157" s="7" t="s">
        <v>43</v>
      </c>
      <c r="C157" s="7" t="s">
        <v>561</v>
      </c>
      <c r="D157" s="10" t="n">
        <v>0</v>
      </c>
      <c r="E157" s="10" t="n">
        <v>0</v>
      </c>
      <c r="F157" s="10" t="n">
        <v>3742.6</v>
      </c>
      <c r="G157" s="10" t="n">
        <v>0</v>
      </c>
      <c r="H157" s="10" t="n">
        <v>0</v>
      </c>
      <c r="I157" s="10" t="n">
        <v>38940.7</v>
      </c>
      <c r="J157" s="10" t="n">
        <v>0</v>
      </c>
      <c r="K157" s="10" t="n">
        <v>111</v>
      </c>
      <c r="L157" s="10" t="n">
        <v>0</v>
      </c>
      <c r="M157" s="10" t="n">
        <v>30.9</v>
      </c>
      <c r="N157" s="10" t="n">
        <v>30.9</v>
      </c>
      <c r="O157" s="10" t="n">
        <v>59.5</v>
      </c>
      <c r="P157" s="10" t="n">
        <v>-138.8</v>
      </c>
      <c r="Q157" s="10" t="n">
        <v>35627</v>
      </c>
      <c r="R157" s="10" t="n">
        <v>3220.2</v>
      </c>
      <c r="S157" s="10" t="n">
        <v>0</v>
      </c>
      <c r="T157" s="10" t="n">
        <v>0</v>
      </c>
      <c r="U157" s="10" t="n">
        <v>-41.2</v>
      </c>
    </row>
    <row r="158" customFormat="false" ht="15" hidden="false" customHeight="false" outlineLevel="0" collapsed="false">
      <c r="A158" s="7" t="s">
        <v>394</v>
      </c>
      <c r="B158" s="7" t="s">
        <v>43</v>
      </c>
      <c r="C158" s="7" t="s">
        <v>562</v>
      </c>
      <c r="D158" s="10" t="n">
        <v>0</v>
      </c>
      <c r="E158" s="10" t="n">
        <v>0</v>
      </c>
      <c r="F158" s="10" t="n">
        <v>8832.8</v>
      </c>
      <c r="G158" s="10" t="n">
        <v>0</v>
      </c>
      <c r="H158" s="10" t="n">
        <v>0</v>
      </c>
      <c r="I158" s="10" t="n">
        <v>57718.6</v>
      </c>
      <c r="J158" s="10" t="n">
        <v>0</v>
      </c>
      <c r="K158" s="10" t="n">
        <v>416.4</v>
      </c>
      <c r="L158" s="10" t="n">
        <v>0</v>
      </c>
      <c r="M158" s="10" t="n">
        <v>30.9</v>
      </c>
      <c r="N158" s="10" t="n">
        <v>30.9</v>
      </c>
      <c r="O158" s="10" t="n">
        <v>178.4</v>
      </c>
      <c r="P158" s="10" t="n">
        <v>-83.3</v>
      </c>
      <c r="Q158" s="10" t="n">
        <v>51924.5</v>
      </c>
      <c r="R158" s="10" t="n">
        <v>5220.9</v>
      </c>
      <c r="S158" s="10" t="n">
        <v>0</v>
      </c>
      <c r="T158" s="10" t="n">
        <v>0</v>
      </c>
      <c r="U158" s="10" t="n">
        <v>-82.4</v>
      </c>
    </row>
    <row r="159" customFormat="false" ht="15" hidden="false" customHeight="false" outlineLevel="0" collapsed="false">
      <c r="A159" s="7" t="s">
        <v>394</v>
      </c>
      <c r="B159" s="7" t="s">
        <v>43</v>
      </c>
      <c r="C159" s="7" t="s">
        <v>563</v>
      </c>
      <c r="D159" s="10" t="n">
        <v>0</v>
      </c>
      <c r="E159" s="10" t="n">
        <v>0</v>
      </c>
      <c r="F159" s="10" t="n">
        <v>8813.5</v>
      </c>
      <c r="G159" s="10" t="n">
        <v>0</v>
      </c>
      <c r="H159" s="10" t="n">
        <v>0</v>
      </c>
      <c r="I159" s="10" t="n">
        <v>69475.7</v>
      </c>
      <c r="J159" s="10" t="n">
        <v>0</v>
      </c>
      <c r="K159" s="10" t="n">
        <v>333.1</v>
      </c>
      <c r="L159" s="10" t="n">
        <v>0</v>
      </c>
      <c r="M159" s="10" t="n">
        <v>30.9</v>
      </c>
      <c r="N159" s="10" t="n">
        <v>30.9</v>
      </c>
      <c r="O159" s="10" t="n">
        <v>118.9</v>
      </c>
      <c r="P159" s="10" t="n">
        <v>-83.3</v>
      </c>
      <c r="Q159" s="10" t="n">
        <v>62436.3</v>
      </c>
      <c r="R159" s="10" t="n">
        <v>6608.9</v>
      </c>
      <c r="S159" s="10" t="n">
        <v>0</v>
      </c>
      <c r="T159" s="10" t="n">
        <v>0</v>
      </c>
      <c r="U159" s="10" t="n">
        <v>-82.4</v>
      </c>
    </row>
    <row r="160" customFormat="false" ht="15" hidden="false" customHeight="false" outlineLevel="0" collapsed="false">
      <c r="A160" s="7" t="s">
        <v>394</v>
      </c>
      <c r="B160" s="7" t="s">
        <v>43</v>
      </c>
      <c r="C160" s="7" t="s">
        <v>564</v>
      </c>
      <c r="D160" s="10" t="n">
        <v>0</v>
      </c>
      <c r="E160" s="10" t="n">
        <v>0</v>
      </c>
      <c r="F160" s="10" t="n">
        <v>4828.9</v>
      </c>
      <c r="G160" s="10" t="n">
        <v>0</v>
      </c>
      <c r="H160" s="10" t="n">
        <v>0</v>
      </c>
      <c r="I160" s="10" t="n">
        <v>37618.2</v>
      </c>
      <c r="J160" s="10" t="n">
        <v>0</v>
      </c>
      <c r="K160" s="10" t="n">
        <v>83.3</v>
      </c>
      <c r="L160" s="10" t="n">
        <v>0</v>
      </c>
      <c r="M160" s="10" t="n">
        <v>30.9</v>
      </c>
      <c r="N160" s="10" t="n">
        <v>30.9</v>
      </c>
      <c r="O160" s="10" t="n">
        <v>59.5</v>
      </c>
      <c r="P160" s="10" t="n">
        <v>-83.3</v>
      </c>
      <c r="Q160" s="10" t="n">
        <v>33192.2</v>
      </c>
      <c r="R160" s="10" t="n">
        <v>4304.8</v>
      </c>
      <c r="S160" s="10" t="n">
        <v>0</v>
      </c>
      <c r="T160" s="10" t="n">
        <v>0</v>
      </c>
      <c r="U160" s="10" t="n">
        <v>-123.6</v>
      </c>
    </row>
    <row r="161" customFormat="false" ht="15" hidden="false" customHeight="false" outlineLevel="0" collapsed="false">
      <c r="A161" s="7" t="s">
        <v>394</v>
      </c>
      <c r="B161" s="7" t="s">
        <v>181</v>
      </c>
      <c r="C161" s="7" t="s">
        <v>565</v>
      </c>
      <c r="D161" s="10" t="n">
        <v>0</v>
      </c>
      <c r="E161" s="10" t="n">
        <v>0</v>
      </c>
      <c r="F161" s="10" t="n">
        <v>788.8</v>
      </c>
      <c r="G161" s="10" t="n">
        <v>0</v>
      </c>
      <c r="H161" s="10" t="n">
        <v>0</v>
      </c>
      <c r="I161" s="10" t="n">
        <v>790.3</v>
      </c>
      <c r="J161" s="10" t="n">
        <v>0</v>
      </c>
      <c r="K161" s="10" t="n">
        <v>109.2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-21.8</v>
      </c>
      <c r="Q161" s="10" t="n">
        <v>266.4</v>
      </c>
      <c r="R161" s="10" t="n">
        <v>436.6</v>
      </c>
      <c r="S161" s="10" t="n">
        <v>0</v>
      </c>
      <c r="T161" s="10" t="n">
        <v>275.4</v>
      </c>
      <c r="U161" s="10" t="n">
        <v>0</v>
      </c>
    </row>
    <row r="162" customFormat="false" ht="15" hidden="false" customHeight="false" outlineLevel="0" collapsed="false">
      <c r="A162" s="7" t="s">
        <v>394</v>
      </c>
      <c r="B162" s="7" t="s">
        <v>114</v>
      </c>
      <c r="C162" s="7" t="s">
        <v>566</v>
      </c>
      <c r="D162" s="10" t="n">
        <v>0</v>
      </c>
      <c r="E162" s="10" t="n">
        <v>0</v>
      </c>
      <c r="F162" s="10" t="n">
        <v>2397.1</v>
      </c>
      <c r="G162" s="10" t="n">
        <v>0</v>
      </c>
      <c r="H162" s="10" t="n">
        <v>0</v>
      </c>
      <c r="I162" s="10" t="n">
        <v>12492.2</v>
      </c>
      <c r="J162" s="10" t="n">
        <v>0</v>
      </c>
      <c r="K162" s="10" t="n">
        <v>202.1</v>
      </c>
      <c r="L162" s="10" t="n">
        <v>0</v>
      </c>
      <c r="M162" s="10" t="n">
        <v>0</v>
      </c>
      <c r="N162" s="10" t="n">
        <v>98.3</v>
      </c>
      <c r="O162" s="10" t="n">
        <v>0</v>
      </c>
      <c r="P162" s="10" t="n">
        <v>-57.7</v>
      </c>
      <c r="Q162" s="10" t="n">
        <v>11036.9</v>
      </c>
      <c r="R162" s="10" t="n">
        <v>1212.7</v>
      </c>
      <c r="S162" s="10" t="n">
        <v>0</v>
      </c>
      <c r="T162" s="10" t="n">
        <v>795.6</v>
      </c>
      <c r="U162" s="10" t="n">
        <v>0</v>
      </c>
    </row>
    <row r="163" customFormat="false" ht="15" hidden="false" customHeight="false" outlineLevel="0" collapsed="false">
      <c r="A163" s="7" t="s">
        <v>394</v>
      </c>
      <c r="B163" s="7" t="s">
        <v>242</v>
      </c>
      <c r="C163" s="7" t="s">
        <v>567</v>
      </c>
      <c r="D163" s="10" t="n">
        <v>0</v>
      </c>
      <c r="E163" s="10" t="n">
        <v>0</v>
      </c>
      <c r="F163" s="10" t="n">
        <v>8539.8</v>
      </c>
      <c r="G163" s="10" t="n">
        <v>0</v>
      </c>
      <c r="H163" s="10" t="n">
        <v>225.9</v>
      </c>
      <c r="I163" s="10" t="n">
        <v>7409.3</v>
      </c>
      <c r="J163" s="10" t="n">
        <v>0</v>
      </c>
      <c r="K163" s="10" t="n">
        <v>486.7</v>
      </c>
      <c r="L163" s="10" t="n">
        <v>0</v>
      </c>
      <c r="M163" s="10" t="n">
        <v>43.4</v>
      </c>
      <c r="N163" s="10" t="n">
        <v>275.1</v>
      </c>
      <c r="O163" s="10" t="n">
        <v>209.1</v>
      </c>
      <c r="P163" s="10" t="n">
        <v>-54.1</v>
      </c>
      <c r="Q163" s="10" t="n">
        <v>0</v>
      </c>
      <c r="R163" s="10" t="n">
        <v>6449</v>
      </c>
      <c r="S163" s="10" t="n">
        <v>0</v>
      </c>
      <c r="T163" s="10" t="n">
        <v>1582.1</v>
      </c>
      <c r="U163" s="10" t="n">
        <v>0</v>
      </c>
    </row>
    <row r="164" customFormat="false" ht="15" hidden="false" customHeight="false" outlineLevel="0" collapsed="false">
      <c r="A164" s="7" t="s">
        <v>394</v>
      </c>
      <c r="B164" s="7" t="s">
        <v>245</v>
      </c>
      <c r="C164" s="7" t="s">
        <v>568</v>
      </c>
      <c r="D164" s="10" t="n">
        <v>0</v>
      </c>
      <c r="E164" s="10" t="n">
        <v>0</v>
      </c>
      <c r="F164" s="10" t="n">
        <v>5901.2</v>
      </c>
      <c r="G164" s="10" t="n">
        <v>0</v>
      </c>
      <c r="H164" s="10" t="n">
        <v>0</v>
      </c>
      <c r="I164" s="10" t="n">
        <v>3005.5</v>
      </c>
      <c r="J164" s="10" t="n">
        <v>0</v>
      </c>
      <c r="K164" s="10" t="n">
        <v>67.6</v>
      </c>
      <c r="L164" s="10" t="n">
        <v>0</v>
      </c>
      <c r="M164" s="10" t="n">
        <v>0</v>
      </c>
      <c r="N164" s="10" t="n">
        <v>86.9</v>
      </c>
      <c r="O164" s="10" t="n">
        <v>104.5</v>
      </c>
      <c r="P164" s="10" t="n">
        <v>-81.1</v>
      </c>
      <c r="Q164" s="10" t="n">
        <v>-25.1</v>
      </c>
      <c r="R164" s="10" t="n">
        <v>2852.7</v>
      </c>
      <c r="S164" s="10" t="n">
        <v>0</v>
      </c>
      <c r="T164" s="10" t="n">
        <v>1201.7</v>
      </c>
      <c r="U164" s="10" t="n">
        <v>0</v>
      </c>
    </row>
    <row r="165" customFormat="false" ht="15" hidden="false" customHeight="false" outlineLevel="0" collapsed="false">
      <c r="A165" s="7" t="s">
        <v>394</v>
      </c>
      <c r="B165" s="7" t="s">
        <v>279</v>
      </c>
      <c r="C165" s="7" t="s">
        <v>569</v>
      </c>
      <c r="D165" s="10" t="n">
        <v>0</v>
      </c>
      <c r="E165" s="10" t="n">
        <v>0</v>
      </c>
      <c r="F165" s="10" t="n">
        <v>913.3</v>
      </c>
      <c r="G165" s="10" t="n">
        <v>0</v>
      </c>
      <c r="H165" s="10" t="n">
        <v>0</v>
      </c>
      <c r="I165" s="10" t="n">
        <v>493.6</v>
      </c>
      <c r="J165" s="10" t="n">
        <v>0</v>
      </c>
      <c r="K165" s="10" t="n">
        <v>98.7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394.9</v>
      </c>
      <c r="S165" s="10" t="n">
        <v>0</v>
      </c>
      <c r="T165" s="10" t="n">
        <v>0</v>
      </c>
      <c r="U165" s="10" t="n">
        <v>0</v>
      </c>
    </row>
    <row r="166" customFormat="false" ht="15" hidden="false" customHeight="false" outlineLevel="0" collapsed="false">
      <c r="A166" s="7" t="s">
        <v>394</v>
      </c>
      <c r="B166" s="7" t="s">
        <v>284</v>
      </c>
      <c r="C166" s="7" t="s">
        <v>570</v>
      </c>
      <c r="D166" s="10" t="n">
        <v>0</v>
      </c>
      <c r="E166" s="10" t="n">
        <v>0</v>
      </c>
      <c r="F166" s="10" t="n">
        <v>2729.8</v>
      </c>
      <c r="G166" s="10" t="n">
        <v>0</v>
      </c>
      <c r="H166" s="10" t="n">
        <v>58.3</v>
      </c>
      <c r="I166" s="10" t="n">
        <v>992.1</v>
      </c>
      <c r="J166" s="10" t="n">
        <v>0</v>
      </c>
      <c r="K166" s="10" t="n">
        <v>91.6</v>
      </c>
      <c r="L166" s="10" t="n">
        <v>0</v>
      </c>
      <c r="M166" s="10" t="n">
        <v>0</v>
      </c>
      <c r="N166" s="10" t="n">
        <v>100.9</v>
      </c>
      <c r="O166" s="10" t="n">
        <v>119.5</v>
      </c>
      <c r="P166" s="10" t="n">
        <v>0</v>
      </c>
      <c r="Q166" s="10" t="n">
        <v>0</v>
      </c>
      <c r="R166" s="10" t="n">
        <v>680.2</v>
      </c>
      <c r="S166" s="10" t="n">
        <v>0</v>
      </c>
      <c r="T166" s="10" t="n">
        <v>801.6</v>
      </c>
      <c r="U166" s="10" t="n">
        <v>-67.3</v>
      </c>
    </row>
    <row r="167" customFormat="false" ht="15" hidden="false" customHeight="false" outlineLevel="0" collapsed="false">
      <c r="A167" s="7" t="s">
        <v>394</v>
      </c>
      <c r="B167" s="7" t="s">
        <v>283</v>
      </c>
      <c r="C167" s="7" t="s">
        <v>571</v>
      </c>
      <c r="D167" s="10" t="n">
        <v>0</v>
      </c>
      <c r="E167" s="10" t="n">
        <v>0</v>
      </c>
      <c r="F167" s="10" t="n">
        <v>1199.1</v>
      </c>
      <c r="G167" s="10" t="n">
        <v>0</v>
      </c>
      <c r="H167" s="10" t="n">
        <v>89.1</v>
      </c>
      <c r="I167" s="10" t="n">
        <v>524.8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61.7</v>
      </c>
      <c r="O167" s="10" t="n">
        <v>0</v>
      </c>
      <c r="P167" s="10" t="n">
        <v>-101.1</v>
      </c>
      <c r="Q167" s="10" t="n">
        <v>0</v>
      </c>
      <c r="R167" s="10" t="n">
        <v>564.1</v>
      </c>
      <c r="S167" s="10" t="n">
        <v>0</v>
      </c>
      <c r="T167" s="10" t="n">
        <v>404.8</v>
      </c>
      <c r="U167" s="10" t="n">
        <v>0</v>
      </c>
    </row>
    <row r="168" customFormat="false" ht="15" hidden="false" customHeight="false" outlineLevel="0" collapsed="false">
      <c r="A168" s="7" t="s">
        <v>394</v>
      </c>
      <c r="B168" s="7" t="s">
        <v>171</v>
      </c>
      <c r="C168" s="7" t="s">
        <v>572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-192.5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-192.5</v>
      </c>
      <c r="R168" s="10" t="n">
        <v>0</v>
      </c>
      <c r="S168" s="10" t="n">
        <v>0</v>
      </c>
      <c r="T168" s="10" t="n">
        <v>0</v>
      </c>
      <c r="U168" s="10" t="n">
        <v>0</v>
      </c>
    </row>
    <row r="169" customFormat="false" ht="15" hidden="false" customHeight="false" outlineLevel="0" collapsed="false">
      <c r="A169" s="7" t="s">
        <v>394</v>
      </c>
      <c r="B169" s="7" t="s">
        <v>189</v>
      </c>
      <c r="C169" s="7" t="s">
        <v>572</v>
      </c>
      <c r="D169" s="10" t="n">
        <v>0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v>-256.6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-256.6</v>
      </c>
      <c r="R169" s="10" t="n">
        <v>0</v>
      </c>
      <c r="S169" s="10" t="n">
        <v>0</v>
      </c>
      <c r="T169" s="10" t="n">
        <v>0</v>
      </c>
      <c r="U169" s="10" t="n">
        <v>0</v>
      </c>
    </row>
    <row r="170" customFormat="false" ht="15" hidden="false" customHeight="false" outlineLevel="0" collapsed="false">
      <c r="A170" s="7" t="s">
        <v>394</v>
      </c>
      <c r="B170" s="7" t="s">
        <v>193</v>
      </c>
      <c r="C170" s="7" t="s">
        <v>573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458.7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458.7</v>
      </c>
      <c r="S170" s="10" t="n">
        <v>0</v>
      </c>
      <c r="T170" s="10" t="n">
        <v>309</v>
      </c>
      <c r="U170" s="10" t="n">
        <v>0</v>
      </c>
    </row>
    <row r="171" customFormat="false" ht="15" hidden="false" customHeight="false" outlineLevel="0" collapsed="false">
      <c r="A171" s="7" t="s">
        <v>394</v>
      </c>
      <c r="B171" s="7" t="s">
        <v>193</v>
      </c>
      <c r="C171" s="7" t="s">
        <v>574</v>
      </c>
      <c r="D171" s="10" t="n">
        <v>0</v>
      </c>
      <c r="E171" s="10" t="n">
        <v>0</v>
      </c>
      <c r="F171" s="10" t="n">
        <v>834.9</v>
      </c>
      <c r="G171" s="10" t="n">
        <v>0</v>
      </c>
      <c r="H171" s="10" t="n">
        <v>0</v>
      </c>
      <c r="I171" s="10" t="n">
        <v>330.8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216.1</v>
      </c>
      <c r="R171" s="10" t="n">
        <v>114.7</v>
      </c>
      <c r="S171" s="10" t="n">
        <v>0</v>
      </c>
      <c r="T171" s="10" t="n">
        <v>0</v>
      </c>
      <c r="U171" s="10" t="n">
        <v>0</v>
      </c>
    </row>
    <row r="172" customFormat="false" ht="15" hidden="false" customHeight="false" outlineLevel="0" collapsed="false">
      <c r="A172" s="7" t="s">
        <v>394</v>
      </c>
      <c r="B172" s="7" t="s">
        <v>193</v>
      </c>
      <c r="C172" s="7" t="s">
        <v>575</v>
      </c>
      <c r="D172" s="10" t="n">
        <v>0</v>
      </c>
      <c r="E172" s="10" t="n">
        <v>0</v>
      </c>
      <c r="F172" s="10" t="n">
        <v>742.2</v>
      </c>
      <c r="G172" s="10" t="n">
        <v>0</v>
      </c>
      <c r="H172" s="10" t="n">
        <v>0</v>
      </c>
      <c r="I172" s="10" t="n">
        <v>104.9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-337.4</v>
      </c>
      <c r="Q172" s="10" t="n">
        <v>213</v>
      </c>
      <c r="R172" s="10" t="n">
        <v>229.3</v>
      </c>
      <c r="S172" s="10" t="n">
        <v>0</v>
      </c>
      <c r="T172" s="10" t="n">
        <v>0</v>
      </c>
      <c r="U172" s="10" t="n">
        <v>0</v>
      </c>
    </row>
    <row r="173" customFormat="false" ht="15" hidden="false" customHeight="false" outlineLevel="0" collapsed="false">
      <c r="A173" s="7" t="s">
        <v>394</v>
      </c>
      <c r="B173" s="7" t="s">
        <v>193</v>
      </c>
      <c r="C173" s="7" t="s">
        <v>576</v>
      </c>
      <c r="D173" s="10" t="n">
        <v>0</v>
      </c>
      <c r="E173" s="10" t="n">
        <v>0</v>
      </c>
      <c r="F173" s="10" t="n">
        <v>649.4</v>
      </c>
      <c r="G173" s="10" t="n">
        <v>0</v>
      </c>
      <c r="H173" s="10" t="n">
        <v>0</v>
      </c>
      <c r="I173" s="10" t="n">
        <v>122.9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-114.7</v>
      </c>
      <c r="Q173" s="10" t="n">
        <v>-106.5</v>
      </c>
      <c r="R173" s="10" t="n">
        <v>344</v>
      </c>
      <c r="S173" s="10" t="n">
        <v>0</v>
      </c>
      <c r="T173" s="10" t="n">
        <v>0</v>
      </c>
      <c r="U173" s="10" t="n">
        <v>0</v>
      </c>
    </row>
    <row r="174" customFormat="false" ht="15" hidden="false" customHeight="false" outlineLevel="0" collapsed="false">
      <c r="A174" s="7" t="s">
        <v>394</v>
      </c>
      <c r="B174" s="7" t="s">
        <v>223</v>
      </c>
      <c r="C174" s="7" t="s">
        <v>577</v>
      </c>
      <c r="D174" s="10" t="n">
        <v>0</v>
      </c>
      <c r="E174" s="10" t="n">
        <v>0</v>
      </c>
      <c r="F174" s="10" t="n">
        <v>398.6</v>
      </c>
      <c r="G174" s="10" t="n">
        <v>0</v>
      </c>
      <c r="H174" s="10" t="n">
        <v>0</v>
      </c>
      <c r="I174" s="10" t="n">
        <v>-181.2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-181.2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</row>
    <row r="175" customFormat="false" ht="15" hidden="false" customHeight="false" outlineLevel="0" collapsed="false">
      <c r="A175" s="7" t="s">
        <v>394</v>
      </c>
      <c r="B175" s="7" t="s">
        <v>223</v>
      </c>
      <c r="C175" s="7" t="s">
        <v>943</v>
      </c>
      <c r="D175" s="10" t="n">
        <v>0</v>
      </c>
      <c r="E175" s="10" t="n">
        <v>0</v>
      </c>
      <c r="F175" s="10" t="n">
        <v>135.9</v>
      </c>
      <c r="G175" s="10" t="n">
        <v>0</v>
      </c>
      <c r="H175" s="10" t="n">
        <v>0</v>
      </c>
      <c r="I175" s="10" t="n">
        <v>-255.9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0</v>
      </c>
      <c r="P175" s="10" t="n">
        <v>-255.9</v>
      </c>
      <c r="Q175" s="10" t="n">
        <v>0</v>
      </c>
      <c r="R175" s="10" t="n">
        <v>0</v>
      </c>
      <c r="S175" s="10" t="n">
        <v>0</v>
      </c>
      <c r="T175" s="10" t="n">
        <v>0</v>
      </c>
      <c r="U175" s="10" t="n">
        <v>0</v>
      </c>
    </row>
    <row r="176" customFormat="false" ht="15" hidden="false" customHeight="false" outlineLevel="0" collapsed="false">
      <c r="A176" s="7" t="s">
        <v>394</v>
      </c>
      <c r="B176" s="7" t="s">
        <v>223</v>
      </c>
      <c r="C176" s="7" t="s">
        <v>578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-116.7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-116.7</v>
      </c>
      <c r="R176" s="10" t="n">
        <v>0</v>
      </c>
      <c r="S176" s="10" t="n">
        <v>0</v>
      </c>
      <c r="T176" s="10" t="n">
        <v>0</v>
      </c>
      <c r="U176" s="10" t="n">
        <v>0</v>
      </c>
    </row>
    <row r="177" customFormat="false" ht="15" hidden="false" customHeight="false" outlineLevel="0" collapsed="false">
      <c r="A177" s="7" t="s">
        <v>394</v>
      </c>
      <c r="B177" s="7" t="s">
        <v>223</v>
      </c>
      <c r="C177" s="7" t="s">
        <v>579</v>
      </c>
      <c r="D177" s="10" t="n">
        <v>0</v>
      </c>
      <c r="E177" s="10" t="n">
        <v>0</v>
      </c>
      <c r="F177" s="10" t="n">
        <v>262.7</v>
      </c>
      <c r="G177" s="10" t="n">
        <v>0</v>
      </c>
      <c r="H177" s="10" t="n">
        <v>0</v>
      </c>
      <c r="I177" s="10" t="n">
        <v>-116.7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-116.7</v>
      </c>
      <c r="R177" s="10" t="n">
        <v>0</v>
      </c>
      <c r="S177" s="10" t="n">
        <v>0</v>
      </c>
      <c r="T177" s="10" t="n">
        <v>0</v>
      </c>
      <c r="U177" s="10" t="n">
        <v>0</v>
      </c>
    </row>
    <row r="178" customFormat="false" ht="15" hidden="false" customHeight="false" outlineLevel="0" collapsed="false">
      <c r="A178" s="7" t="s">
        <v>394</v>
      </c>
      <c r="B178" s="7" t="s">
        <v>172</v>
      </c>
      <c r="C178" s="7" t="s">
        <v>580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-295.5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-295.5</v>
      </c>
      <c r="R178" s="10" t="n">
        <v>0</v>
      </c>
      <c r="S178" s="10" t="n">
        <v>0</v>
      </c>
      <c r="T178" s="10" t="n">
        <v>0</v>
      </c>
      <c r="U178" s="10" t="n">
        <v>0</v>
      </c>
    </row>
    <row r="179" customFormat="false" ht="15" hidden="false" customHeight="false" outlineLevel="0" collapsed="false">
      <c r="A179" s="7" t="s">
        <v>394</v>
      </c>
      <c r="B179" s="7" t="s">
        <v>172</v>
      </c>
      <c r="C179" s="7" t="s">
        <v>581</v>
      </c>
      <c r="D179" s="10" t="n">
        <v>0</v>
      </c>
      <c r="E179" s="10" t="n">
        <v>0</v>
      </c>
      <c r="F179" s="10" t="n">
        <v>0</v>
      </c>
      <c r="G179" s="10" t="n">
        <v>0</v>
      </c>
      <c r="H179" s="10" t="n">
        <v>0</v>
      </c>
      <c r="I179" s="10" t="n">
        <v>-439.5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-439.5</v>
      </c>
      <c r="R179" s="10" t="n">
        <v>0</v>
      </c>
      <c r="S179" s="10" t="n">
        <v>0</v>
      </c>
      <c r="T179" s="10" t="n">
        <v>0</v>
      </c>
      <c r="U179" s="10" t="n">
        <v>0</v>
      </c>
    </row>
    <row r="180" customFormat="false" ht="15" hidden="false" customHeight="false" outlineLevel="0" collapsed="false">
      <c r="A180" s="7" t="s">
        <v>394</v>
      </c>
      <c r="B180" s="7" t="s">
        <v>172</v>
      </c>
      <c r="C180" s="7" t="s">
        <v>582</v>
      </c>
      <c r="D180" s="10" t="n">
        <v>0</v>
      </c>
      <c r="E180" s="10" t="n">
        <v>0</v>
      </c>
      <c r="F180" s="10" t="n">
        <v>349.9</v>
      </c>
      <c r="G180" s="10" t="n">
        <v>0</v>
      </c>
      <c r="H180" s="10" t="n">
        <v>0</v>
      </c>
      <c r="I180" s="10" t="n">
        <v>-177.3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-177.3</v>
      </c>
      <c r="R180" s="10" t="n">
        <v>0</v>
      </c>
      <c r="S180" s="10" t="n">
        <v>0</v>
      </c>
      <c r="T180" s="10" t="n">
        <v>0</v>
      </c>
      <c r="U180" s="10" t="n">
        <v>0</v>
      </c>
    </row>
    <row r="181" customFormat="false" ht="15" hidden="false" customHeight="false" outlineLevel="0" collapsed="false">
      <c r="A181" s="7" t="s">
        <v>394</v>
      </c>
      <c r="B181" s="7" t="s">
        <v>172</v>
      </c>
      <c r="C181" s="7" t="s">
        <v>583</v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-151.6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-151.6</v>
      </c>
      <c r="R181" s="10" t="n">
        <v>0</v>
      </c>
      <c r="S181" s="10" t="n">
        <v>0</v>
      </c>
      <c r="T181" s="10" t="n">
        <v>0</v>
      </c>
      <c r="U181" s="10" t="n">
        <v>0</v>
      </c>
    </row>
    <row r="182" customFormat="false" ht="15" hidden="false" customHeight="false" outlineLevel="0" collapsed="false">
      <c r="A182" s="7" t="s">
        <v>394</v>
      </c>
      <c r="B182" s="7" t="s">
        <v>172</v>
      </c>
      <c r="C182" s="7" t="s">
        <v>584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-144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-144</v>
      </c>
      <c r="R182" s="10" t="n">
        <v>0</v>
      </c>
      <c r="S182" s="10" t="n">
        <v>0</v>
      </c>
      <c r="T182" s="10" t="n">
        <v>0</v>
      </c>
      <c r="U182" s="10" t="n">
        <v>0</v>
      </c>
    </row>
    <row r="183" customFormat="false" ht="15" hidden="false" customHeight="false" outlineLevel="0" collapsed="false">
      <c r="A183" s="7" t="s">
        <v>394</v>
      </c>
      <c r="B183" s="7" t="s">
        <v>58</v>
      </c>
      <c r="C183" s="7" t="s">
        <v>585</v>
      </c>
      <c r="D183" s="10" t="n">
        <v>0</v>
      </c>
      <c r="E183" s="10" t="n">
        <v>0</v>
      </c>
      <c r="F183" s="10" t="n">
        <v>7077.5</v>
      </c>
      <c r="G183" s="10" t="n">
        <v>0</v>
      </c>
      <c r="H183" s="10" t="n">
        <v>0</v>
      </c>
      <c r="I183" s="10" t="n">
        <v>31282</v>
      </c>
      <c r="J183" s="10" t="n">
        <v>0</v>
      </c>
      <c r="K183" s="10" t="n">
        <v>249.8</v>
      </c>
      <c r="L183" s="10" t="n">
        <v>0</v>
      </c>
      <c r="M183" s="10" t="n">
        <v>0</v>
      </c>
      <c r="N183" s="10" t="n">
        <v>92.7</v>
      </c>
      <c r="O183" s="10" t="n">
        <v>29.7</v>
      </c>
      <c r="P183" s="10" t="n">
        <v>-111</v>
      </c>
      <c r="Q183" s="10" t="n">
        <v>27235.5</v>
      </c>
      <c r="R183" s="10" t="n">
        <v>3785.2</v>
      </c>
      <c r="S183" s="10" t="n">
        <v>0</v>
      </c>
      <c r="T183" s="10" t="n">
        <v>3498</v>
      </c>
      <c r="U183" s="10" t="n">
        <v>0</v>
      </c>
    </row>
    <row r="184" customFormat="false" ht="15" hidden="false" customHeight="false" outlineLevel="0" collapsed="false">
      <c r="A184" s="7" t="s">
        <v>394</v>
      </c>
      <c r="B184" s="7" t="s">
        <v>58</v>
      </c>
      <c r="C184" s="7" t="s">
        <v>586</v>
      </c>
      <c r="D184" s="10" t="n">
        <v>0</v>
      </c>
      <c r="E184" s="10" t="n">
        <v>0</v>
      </c>
      <c r="F184" s="10" t="n">
        <v>5420.4</v>
      </c>
      <c r="G184" s="10" t="n">
        <v>0</v>
      </c>
      <c r="H184" s="10" t="n">
        <v>0</v>
      </c>
      <c r="I184" s="10" t="n">
        <v>31016.5</v>
      </c>
      <c r="J184" s="10" t="n">
        <v>0</v>
      </c>
      <c r="K184" s="10" t="n">
        <v>360.9</v>
      </c>
      <c r="L184" s="10" t="n">
        <v>0</v>
      </c>
      <c r="M184" s="10" t="n">
        <v>0</v>
      </c>
      <c r="N184" s="10" t="n">
        <v>92.7</v>
      </c>
      <c r="O184" s="10" t="n">
        <v>29.7</v>
      </c>
      <c r="P184" s="10" t="n">
        <v>-55.5</v>
      </c>
      <c r="Q184" s="10" t="n">
        <v>26730.1</v>
      </c>
      <c r="R184" s="10" t="n">
        <v>3858.6</v>
      </c>
      <c r="S184" s="10" t="n">
        <v>0</v>
      </c>
      <c r="T184" s="10" t="n">
        <v>2970</v>
      </c>
      <c r="U184" s="10" t="n">
        <v>0</v>
      </c>
    </row>
    <row r="185" customFormat="false" ht="15" hidden="false" customHeight="false" outlineLevel="0" collapsed="false">
      <c r="A185" s="7" t="s">
        <v>394</v>
      </c>
      <c r="B185" s="7" t="s">
        <v>58</v>
      </c>
      <c r="C185" s="7" t="s">
        <v>587</v>
      </c>
      <c r="D185" s="10" t="n">
        <v>0</v>
      </c>
      <c r="E185" s="10" t="n">
        <v>0</v>
      </c>
      <c r="F185" s="10" t="n">
        <v>2061.4</v>
      </c>
      <c r="G185" s="10" t="n">
        <v>0</v>
      </c>
      <c r="H185" s="10" t="n">
        <v>0</v>
      </c>
      <c r="I185" s="10" t="n">
        <v>17042.8</v>
      </c>
      <c r="J185" s="10" t="n">
        <v>0</v>
      </c>
      <c r="K185" s="10" t="n">
        <v>83.3</v>
      </c>
      <c r="L185" s="10" t="n">
        <v>0</v>
      </c>
      <c r="M185" s="10" t="n">
        <v>0</v>
      </c>
      <c r="N185" s="10" t="n">
        <v>92.7</v>
      </c>
      <c r="O185" s="10" t="n">
        <v>29.7</v>
      </c>
      <c r="P185" s="10" t="n">
        <v>-134.6</v>
      </c>
      <c r="Q185" s="10" t="n">
        <v>15278.4</v>
      </c>
      <c r="R185" s="10" t="n">
        <v>1693.4</v>
      </c>
      <c r="S185" s="10" t="n">
        <v>0</v>
      </c>
      <c r="T185" s="10" t="n">
        <v>775.5</v>
      </c>
      <c r="U185" s="10" t="n">
        <v>0</v>
      </c>
    </row>
    <row r="186" customFormat="false" ht="15" hidden="false" customHeight="false" outlineLevel="0" collapsed="false">
      <c r="A186" s="7" t="s">
        <v>394</v>
      </c>
      <c r="B186" s="7" t="s">
        <v>58</v>
      </c>
      <c r="C186" s="7" t="s">
        <v>588</v>
      </c>
      <c r="D186" s="10" t="n">
        <v>0</v>
      </c>
      <c r="E186" s="10" t="n">
        <v>0</v>
      </c>
      <c r="F186" s="10" t="n">
        <v>5044.9</v>
      </c>
      <c r="G186" s="10" t="n">
        <v>0</v>
      </c>
      <c r="H186" s="10" t="n">
        <v>26.8</v>
      </c>
      <c r="I186" s="10" t="n">
        <v>19111.5</v>
      </c>
      <c r="J186" s="10" t="n">
        <v>0</v>
      </c>
      <c r="K186" s="10" t="n">
        <v>138.8</v>
      </c>
      <c r="L186" s="10" t="n">
        <v>0</v>
      </c>
      <c r="M186" s="10" t="n">
        <v>0</v>
      </c>
      <c r="N186" s="10" t="n">
        <v>92.7</v>
      </c>
      <c r="O186" s="10" t="n">
        <v>29.7</v>
      </c>
      <c r="P186" s="10" t="n">
        <v>-111</v>
      </c>
      <c r="Q186" s="10" t="n">
        <v>16625.5</v>
      </c>
      <c r="R186" s="10" t="n">
        <v>2335.8</v>
      </c>
      <c r="S186" s="10" t="n">
        <v>0</v>
      </c>
      <c r="T186" s="10" t="n">
        <v>2033.6</v>
      </c>
      <c r="U186" s="10" t="n">
        <v>0</v>
      </c>
    </row>
    <row r="187" customFormat="false" ht="15" hidden="false" customHeight="false" outlineLevel="0" collapsed="false">
      <c r="A187" s="7" t="s">
        <v>394</v>
      </c>
      <c r="B187" s="7" t="s">
        <v>58</v>
      </c>
      <c r="C187" s="7" t="s">
        <v>589</v>
      </c>
      <c r="D187" s="10" t="n">
        <v>0</v>
      </c>
      <c r="E187" s="10" t="n">
        <v>0</v>
      </c>
      <c r="F187" s="10" t="n">
        <v>2415.6</v>
      </c>
      <c r="G187" s="10" t="n">
        <v>0</v>
      </c>
      <c r="H187" s="10" t="n">
        <v>0</v>
      </c>
      <c r="I187" s="10" t="n">
        <v>6899.5</v>
      </c>
      <c r="J187" s="10" t="n">
        <v>0</v>
      </c>
      <c r="K187" s="10" t="n">
        <v>138.8</v>
      </c>
      <c r="L187" s="10" t="n">
        <v>0</v>
      </c>
      <c r="M187" s="10" t="n">
        <v>0</v>
      </c>
      <c r="N187" s="10" t="n">
        <v>0</v>
      </c>
      <c r="O187" s="10" t="n">
        <v>29.7</v>
      </c>
      <c r="P187" s="10" t="n">
        <v>-55.5</v>
      </c>
      <c r="Q187" s="10" t="n">
        <v>4674.8</v>
      </c>
      <c r="R187" s="10" t="n">
        <v>2111.7</v>
      </c>
      <c r="S187" s="10" t="n">
        <v>0</v>
      </c>
      <c r="T187" s="10" t="n">
        <v>730.1</v>
      </c>
      <c r="U187" s="10" t="n">
        <v>0</v>
      </c>
    </row>
    <row r="188" customFormat="false" ht="15" hidden="false" customHeight="false" outlineLevel="0" collapsed="false">
      <c r="A188" s="7" t="s">
        <v>394</v>
      </c>
      <c r="B188" s="7" t="s">
        <v>49</v>
      </c>
      <c r="C188" s="7" t="s">
        <v>590</v>
      </c>
      <c r="D188" s="10" t="n">
        <v>0</v>
      </c>
      <c r="E188" s="10" t="n">
        <v>0</v>
      </c>
      <c r="F188" s="10" t="n">
        <v>3056.8</v>
      </c>
      <c r="G188" s="10" t="n">
        <v>0</v>
      </c>
      <c r="H188" s="10" t="n">
        <v>0</v>
      </c>
      <c r="I188" s="10" t="n">
        <v>35730.8</v>
      </c>
      <c r="J188" s="10" t="n">
        <v>0</v>
      </c>
      <c r="K188" s="10" t="n">
        <v>277.6</v>
      </c>
      <c r="L188" s="10" t="n">
        <v>0</v>
      </c>
      <c r="M188" s="10" t="n">
        <v>30.9</v>
      </c>
      <c r="N188" s="10" t="n">
        <v>30.9</v>
      </c>
      <c r="O188" s="10" t="n">
        <v>59.5</v>
      </c>
      <c r="P188" s="10" t="n">
        <v>-83.3</v>
      </c>
      <c r="Q188" s="10" t="n">
        <v>33027.9</v>
      </c>
      <c r="R188" s="10" t="n">
        <v>2387.4</v>
      </c>
      <c r="S188" s="10" t="n">
        <v>0</v>
      </c>
      <c r="T188" s="10" t="n">
        <v>0</v>
      </c>
      <c r="U188" s="10" t="n">
        <v>0</v>
      </c>
    </row>
    <row r="189" customFormat="false" ht="15" hidden="false" customHeight="false" outlineLevel="0" collapsed="false">
      <c r="A189" s="7" t="s">
        <v>394</v>
      </c>
      <c r="B189" s="7" t="s">
        <v>49</v>
      </c>
      <c r="C189" s="7" t="s">
        <v>591</v>
      </c>
      <c r="D189" s="10" t="n">
        <v>0</v>
      </c>
      <c r="E189" s="10" t="n">
        <v>0</v>
      </c>
      <c r="F189" s="10" t="n">
        <v>8420.2</v>
      </c>
      <c r="G189" s="10" t="n">
        <v>0</v>
      </c>
      <c r="H189" s="10" t="n">
        <v>107.1</v>
      </c>
      <c r="I189" s="10" t="n">
        <v>57538.9</v>
      </c>
      <c r="J189" s="10" t="n">
        <v>0</v>
      </c>
      <c r="K189" s="10" t="n">
        <v>610.7</v>
      </c>
      <c r="L189" s="10" t="n">
        <v>0</v>
      </c>
      <c r="M189" s="10" t="n">
        <v>0</v>
      </c>
      <c r="N189" s="10" t="n">
        <v>30.9</v>
      </c>
      <c r="O189" s="10" t="n">
        <v>89.2</v>
      </c>
      <c r="P189" s="10" t="n">
        <v>-83.3</v>
      </c>
      <c r="Q189" s="10" t="n">
        <v>51837</v>
      </c>
      <c r="R189" s="10" t="n">
        <v>5054.3</v>
      </c>
      <c r="S189" s="10" t="n">
        <v>0</v>
      </c>
      <c r="T189" s="10" t="n">
        <v>0</v>
      </c>
      <c r="U189" s="10" t="n">
        <v>0</v>
      </c>
    </row>
    <row r="190" customFormat="false" ht="15" hidden="false" customHeight="false" outlineLevel="0" collapsed="false">
      <c r="A190" s="7" t="s">
        <v>394</v>
      </c>
      <c r="B190" s="7" t="s">
        <v>49</v>
      </c>
      <c r="C190" s="7" t="s">
        <v>592</v>
      </c>
      <c r="D190" s="10" t="n">
        <v>0</v>
      </c>
      <c r="E190" s="10" t="n">
        <v>0</v>
      </c>
      <c r="F190" s="10" t="n">
        <v>7247.2</v>
      </c>
      <c r="G190" s="10" t="n">
        <v>0</v>
      </c>
      <c r="H190" s="10" t="n">
        <v>0</v>
      </c>
      <c r="I190" s="10" t="n">
        <v>68993.9</v>
      </c>
      <c r="J190" s="10" t="n">
        <v>0</v>
      </c>
      <c r="K190" s="10" t="n">
        <v>694</v>
      </c>
      <c r="L190" s="10" t="n">
        <v>0</v>
      </c>
      <c r="M190" s="10" t="n">
        <v>30.9</v>
      </c>
      <c r="N190" s="10" t="n">
        <v>30.9</v>
      </c>
      <c r="O190" s="10" t="n">
        <v>89.2</v>
      </c>
      <c r="P190" s="10" t="n">
        <v>-194.3</v>
      </c>
      <c r="Q190" s="10" t="n">
        <v>62928.1</v>
      </c>
      <c r="R190" s="10" t="n">
        <v>5415.2</v>
      </c>
      <c r="S190" s="10" t="n">
        <v>0</v>
      </c>
      <c r="T190" s="10" t="n">
        <v>0</v>
      </c>
      <c r="U190" s="10" t="n">
        <v>-41.2</v>
      </c>
    </row>
    <row r="191" customFormat="false" ht="15" hidden="false" customHeight="false" outlineLevel="0" collapsed="false">
      <c r="A191" s="7" t="s">
        <v>394</v>
      </c>
      <c r="B191" s="7" t="s">
        <v>49</v>
      </c>
      <c r="C191" s="7" t="s">
        <v>593</v>
      </c>
      <c r="D191" s="10" t="n">
        <v>0</v>
      </c>
      <c r="E191" s="10" t="n">
        <v>0</v>
      </c>
      <c r="F191" s="10" t="n">
        <v>7752.6</v>
      </c>
      <c r="G191" s="10" t="n">
        <v>0</v>
      </c>
      <c r="H191" s="10" t="n">
        <v>53.5</v>
      </c>
      <c r="I191" s="10" t="n">
        <v>47482</v>
      </c>
      <c r="J191" s="10" t="n">
        <v>0</v>
      </c>
      <c r="K191" s="10" t="n">
        <v>277.6</v>
      </c>
      <c r="L191" s="10" t="n">
        <v>0</v>
      </c>
      <c r="M191" s="10" t="n">
        <v>30.9</v>
      </c>
      <c r="N191" s="10" t="n">
        <v>30.9</v>
      </c>
      <c r="O191" s="10" t="n">
        <v>29.7</v>
      </c>
      <c r="P191" s="10" t="n">
        <v>-111</v>
      </c>
      <c r="Q191" s="10" t="n">
        <v>42974.7</v>
      </c>
      <c r="R191" s="10" t="n">
        <v>4249.3</v>
      </c>
      <c r="S191" s="10" t="n">
        <v>0</v>
      </c>
      <c r="T191" s="10" t="n">
        <v>0</v>
      </c>
      <c r="U191" s="10" t="n">
        <v>0</v>
      </c>
    </row>
    <row r="192" customFormat="false" ht="15" hidden="false" customHeight="false" outlineLevel="0" collapsed="false">
      <c r="A192" s="7" t="s">
        <v>394</v>
      </c>
      <c r="B192" s="7" t="s">
        <v>51</v>
      </c>
      <c r="C192" s="7" t="s">
        <v>594</v>
      </c>
      <c r="D192" s="10" t="n">
        <v>0</v>
      </c>
      <c r="E192" s="10" t="n">
        <v>0</v>
      </c>
      <c r="F192" s="10" t="n">
        <v>1058.6</v>
      </c>
      <c r="G192" s="10" t="n">
        <v>0</v>
      </c>
      <c r="H192" s="10" t="n">
        <v>0</v>
      </c>
      <c r="I192" s="10" t="n">
        <v>11509</v>
      </c>
      <c r="J192" s="10" t="n">
        <v>0</v>
      </c>
      <c r="K192" s="10" t="n">
        <v>134</v>
      </c>
      <c r="L192" s="10" t="n">
        <v>0</v>
      </c>
      <c r="M192" s="10" t="n">
        <v>0</v>
      </c>
      <c r="N192" s="10" t="n">
        <v>0</v>
      </c>
      <c r="O192" s="10" t="n">
        <v>35.9</v>
      </c>
      <c r="P192" s="10" t="n">
        <v>-100.5</v>
      </c>
      <c r="Q192" s="10" t="n">
        <v>9530.7</v>
      </c>
      <c r="R192" s="10" t="n">
        <v>1908.9</v>
      </c>
      <c r="S192" s="10" t="n">
        <v>0</v>
      </c>
      <c r="T192" s="10" t="n">
        <v>768.8</v>
      </c>
      <c r="U192" s="10" t="n">
        <v>-49.9</v>
      </c>
    </row>
    <row r="193" customFormat="false" ht="15" hidden="false" customHeight="false" outlineLevel="0" collapsed="false">
      <c r="A193" s="7" t="s">
        <v>394</v>
      </c>
      <c r="B193" s="7" t="s">
        <v>51</v>
      </c>
      <c r="C193" s="7" t="s">
        <v>595</v>
      </c>
      <c r="D193" s="10" t="n">
        <v>0</v>
      </c>
      <c r="E193" s="10" t="n">
        <v>0</v>
      </c>
      <c r="F193" s="10" t="n">
        <v>3130.5</v>
      </c>
      <c r="G193" s="10" t="n">
        <v>0</v>
      </c>
      <c r="H193" s="10" t="n">
        <v>162.3</v>
      </c>
      <c r="I193" s="10" t="n">
        <v>31865.9</v>
      </c>
      <c r="J193" s="10" t="n">
        <v>0</v>
      </c>
      <c r="K193" s="10" t="n">
        <v>468.9</v>
      </c>
      <c r="L193" s="10" t="n">
        <v>0</v>
      </c>
      <c r="M193" s="10" t="n">
        <v>0</v>
      </c>
      <c r="N193" s="10" t="n">
        <v>0</v>
      </c>
      <c r="O193" s="10" t="n">
        <v>71.8</v>
      </c>
      <c r="P193" s="10" t="n">
        <v>-100.5</v>
      </c>
      <c r="Q193" s="10" t="n">
        <v>24557.9</v>
      </c>
      <c r="R193" s="10" t="n">
        <v>6867.8</v>
      </c>
      <c r="S193" s="10" t="n">
        <v>0</v>
      </c>
      <c r="T193" s="10" t="n">
        <v>2029.5</v>
      </c>
      <c r="U193" s="10" t="n">
        <v>-49.9</v>
      </c>
    </row>
    <row r="194" customFormat="false" ht="15" hidden="false" customHeight="false" outlineLevel="0" collapsed="false">
      <c r="A194" s="7" t="s">
        <v>394</v>
      </c>
      <c r="B194" s="7" t="s">
        <v>51</v>
      </c>
      <c r="C194" s="7" t="s">
        <v>596</v>
      </c>
      <c r="D194" s="10" t="n">
        <v>0</v>
      </c>
      <c r="E194" s="10" t="n">
        <v>0</v>
      </c>
      <c r="F194" s="10" t="n">
        <v>2222.1</v>
      </c>
      <c r="G194" s="10" t="n">
        <v>0</v>
      </c>
      <c r="H194" s="10" t="n">
        <v>162.3</v>
      </c>
      <c r="I194" s="10" t="n">
        <v>31538.3</v>
      </c>
      <c r="J194" s="10" t="n">
        <v>0</v>
      </c>
      <c r="K194" s="10" t="n">
        <v>334.9</v>
      </c>
      <c r="L194" s="10" t="n">
        <v>0</v>
      </c>
      <c r="M194" s="10" t="n">
        <v>0</v>
      </c>
      <c r="N194" s="10" t="n">
        <v>0</v>
      </c>
      <c r="O194" s="10" t="n">
        <v>35.9</v>
      </c>
      <c r="P194" s="10" t="n">
        <v>-67</v>
      </c>
      <c r="Q194" s="10" t="n">
        <v>26344.9</v>
      </c>
      <c r="R194" s="10" t="n">
        <v>4889.5</v>
      </c>
      <c r="S194" s="10" t="n">
        <v>35</v>
      </c>
      <c r="T194" s="10" t="n">
        <v>2777.7</v>
      </c>
      <c r="U194" s="10" t="n">
        <v>-49.9</v>
      </c>
    </row>
    <row r="195" customFormat="false" ht="15" hidden="false" customHeight="false" outlineLevel="0" collapsed="false">
      <c r="A195" s="7" t="s">
        <v>394</v>
      </c>
      <c r="B195" s="7" t="s">
        <v>51</v>
      </c>
      <c r="C195" s="7" t="s">
        <v>597</v>
      </c>
      <c r="D195" s="10" t="n">
        <v>0</v>
      </c>
      <c r="E195" s="10" t="n">
        <v>0</v>
      </c>
      <c r="F195" s="10" t="n">
        <v>2438.9</v>
      </c>
      <c r="G195" s="10" t="n">
        <v>0</v>
      </c>
      <c r="H195" s="10" t="n">
        <v>0</v>
      </c>
      <c r="I195" s="10" t="n">
        <v>24782.5</v>
      </c>
      <c r="J195" s="10" t="n">
        <v>0</v>
      </c>
      <c r="K195" s="10" t="n">
        <v>234.4</v>
      </c>
      <c r="L195" s="10" t="n">
        <v>0</v>
      </c>
      <c r="M195" s="10" t="n">
        <v>0</v>
      </c>
      <c r="N195" s="10" t="n">
        <v>0</v>
      </c>
      <c r="O195" s="10" t="n">
        <v>143.5</v>
      </c>
      <c r="P195" s="10" t="n">
        <v>-167.5</v>
      </c>
      <c r="Q195" s="10" t="n">
        <v>19981.4</v>
      </c>
      <c r="R195" s="10" t="n">
        <v>4590.5</v>
      </c>
      <c r="S195" s="10" t="n">
        <v>0</v>
      </c>
      <c r="T195" s="10" t="n">
        <v>2326.7</v>
      </c>
      <c r="U195" s="10" t="n">
        <v>0</v>
      </c>
    </row>
    <row r="196" customFormat="false" ht="15" hidden="false" customHeight="false" outlineLevel="0" collapsed="false">
      <c r="A196" s="7" t="s">
        <v>394</v>
      </c>
      <c r="B196" s="7" t="s">
        <v>51</v>
      </c>
      <c r="C196" s="7" t="s">
        <v>598</v>
      </c>
      <c r="D196" s="10" t="n">
        <v>0</v>
      </c>
      <c r="E196" s="10" t="n">
        <v>0</v>
      </c>
      <c r="F196" s="10" t="n">
        <v>1131.1</v>
      </c>
      <c r="G196" s="10" t="n">
        <v>0</v>
      </c>
      <c r="H196" s="10" t="n">
        <v>0</v>
      </c>
      <c r="I196" s="10" t="n">
        <v>5538.5</v>
      </c>
      <c r="J196" s="10" t="n">
        <v>0</v>
      </c>
      <c r="K196" s="10" t="n">
        <v>134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-468.9</v>
      </c>
      <c r="Q196" s="10" t="n">
        <v>3060.3</v>
      </c>
      <c r="R196" s="10" t="n">
        <v>2813.2</v>
      </c>
      <c r="S196" s="10" t="n">
        <v>0</v>
      </c>
      <c r="T196" s="10" t="n">
        <v>825.1</v>
      </c>
      <c r="U196" s="10" t="n">
        <v>0</v>
      </c>
    </row>
    <row r="197" customFormat="false" ht="15" hidden="false" customHeight="false" outlineLevel="0" collapsed="false">
      <c r="A197" s="7" t="s">
        <v>394</v>
      </c>
      <c r="B197" s="7" t="s">
        <v>167</v>
      </c>
      <c r="C197" s="7" t="s">
        <v>599</v>
      </c>
      <c r="D197" s="10" t="n">
        <v>0</v>
      </c>
      <c r="E197" s="10" t="n">
        <v>0</v>
      </c>
      <c r="F197" s="10" t="n">
        <v>56.7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</row>
    <row r="198" customFormat="false" ht="15" hidden="false" customHeight="false" outlineLevel="0" collapsed="false">
      <c r="A198" s="7" t="s">
        <v>394</v>
      </c>
      <c r="B198" s="7" t="s">
        <v>167</v>
      </c>
      <c r="C198" s="7" t="s">
        <v>600</v>
      </c>
      <c r="D198" s="10" t="n">
        <v>0</v>
      </c>
      <c r="E198" s="10" t="n">
        <v>0</v>
      </c>
      <c r="F198" s="10" t="n">
        <v>170</v>
      </c>
      <c r="G198" s="10" t="n">
        <v>0</v>
      </c>
      <c r="H198" s="10" t="n">
        <v>0</v>
      </c>
      <c r="I198" s="10" t="n">
        <v>243.1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243.1</v>
      </c>
      <c r="R198" s="10" t="n">
        <v>0</v>
      </c>
      <c r="S198" s="10" t="n">
        <v>0</v>
      </c>
      <c r="T198" s="10" t="n">
        <v>0</v>
      </c>
      <c r="U198" s="10" t="n">
        <v>0</v>
      </c>
    </row>
    <row r="199" customFormat="false" ht="15" hidden="false" customHeight="false" outlineLevel="0" collapsed="false">
      <c r="A199" s="7" t="s">
        <v>394</v>
      </c>
      <c r="B199" s="7" t="s">
        <v>167</v>
      </c>
      <c r="C199" s="7" t="s">
        <v>601</v>
      </c>
      <c r="D199" s="10" t="n">
        <v>0</v>
      </c>
      <c r="E199" s="10" t="n">
        <v>0</v>
      </c>
      <c r="F199" s="10" t="n">
        <v>113.3</v>
      </c>
      <c r="G199" s="10" t="n">
        <v>0</v>
      </c>
      <c r="H199" s="10" t="n">
        <v>0</v>
      </c>
      <c r="I199" s="10" t="n">
        <v>152.7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152.7</v>
      </c>
      <c r="R199" s="10" t="n">
        <v>0</v>
      </c>
      <c r="S199" s="10" t="n">
        <v>0</v>
      </c>
      <c r="T199" s="10" t="n">
        <v>0</v>
      </c>
      <c r="U199" s="10" t="n">
        <v>0</v>
      </c>
    </row>
    <row r="200" customFormat="false" ht="15" hidden="false" customHeight="false" outlineLevel="0" collapsed="false">
      <c r="A200" s="7" t="s">
        <v>394</v>
      </c>
      <c r="B200" s="7" t="s">
        <v>167</v>
      </c>
      <c r="C200" s="7" t="s">
        <v>602</v>
      </c>
      <c r="D200" s="10" t="n">
        <v>0</v>
      </c>
      <c r="E200" s="10" t="n">
        <v>0</v>
      </c>
      <c r="F200" s="10" t="n">
        <v>56.7</v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</row>
    <row r="201" customFormat="false" ht="15" hidden="false" customHeight="false" outlineLevel="0" collapsed="false">
      <c r="A201" s="7" t="s">
        <v>394</v>
      </c>
      <c r="B201" s="7" t="s">
        <v>125</v>
      </c>
      <c r="C201" s="7" t="s">
        <v>604</v>
      </c>
      <c r="D201" s="10" t="n">
        <v>0</v>
      </c>
      <c r="E201" s="10" t="n">
        <v>0</v>
      </c>
      <c r="F201" s="10" t="n">
        <v>194.6</v>
      </c>
      <c r="G201" s="10" t="n">
        <v>0</v>
      </c>
      <c r="H201" s="10" t="n">
        <v>0</v>
      </c>
      <c r="I201" s="10" t="n">
        <v>354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354</v>
      </c>
      <c r="R201" s="10" t="n">
        <v>0</v>
      </c>
      <c r="S201" s="10" t="n">
        <v>0</v>
      </c>
      <c r="T201" s="10" t="n">
        <v>21</v>
      </c>
      <c r="U201" s="10" t="n">
        <v>0</v>
      </c>
    </row>
    <row r="202" customFormat="false" ht="15" hidden="false" customHeight="false" outlineLevel="0" collapsed="false">
      <c r="A202" s="7" t="s">
        <v>394</v>
      </c>
      <c r="B202" s="7" t="s">
        <v>125</v>
      </c>
      <c r="C202" s="7" t="s">
        <v>605</v>
      </c>
      <c r="D202" s="10" t="n">
        <v>0</v>
      </c>
      <c r="E202" s="10" t="n">
        <v>0</v>
      </c>
      <c r="F202" s="10" t="n">
        <v>798</v>
      </c>
      <c r="G202" s="10" t="n">
        <v>0</v>
      </c>
      <c r="H202" s="10" t="n">
        <v>0</v>
      </c>
      <c r="I202" s="10" t="n">
        <v>1271.4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-140.4</v>
      </c>
      <c r="Q202" s="10" t="n">
        <v>832.4</v>
      </c>
      <c r="R202" s="10" t="n">
        <v>579.5</v>
      </c>
      <c r="S202" s="10" t="n">
        <v>0</v>
      </c>
      <c r="T202" s="10" t="n">
        <v>162.8</v>
      </c>
      <c r="U202" s="10" t="n">
        <v>0</v>
      </c>
    </row>
    <row r="203" customFormat="false" ht="15" hidden="false" customHeight="false" outlineLevel="0" collapsed="false">
      <c r="A203" s="7" t="s">
        <v>394</v>
      </c>
      <c r="B203" s="7" t="s">
        <v>125</v>
      </c>
      <c r="C203" s="7" t="s">
        <v>606</v>
      </c>
      <c r="D203" s="10" t="n">
        <v>0</v>
      </c>
      <c r="E203" s="10" t="n">
        <v>0</v>
      </c>
      <c r="F203" s="10" t="n">
        <v>242.6</v>
      </c>
      <c r="G203" s="10" t="n">
        <v>0</v>
      </c>
      <c r="H203" s="10" t="n">
        <v>0</v>
      </c>
      <c r="I203" s="10" t="n">
        <v>1037.6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671.6</v>
      </c>
      <c r="R203" s="10" t="n">
        <v>366</v>
      </c>
      <c r="S203" s="10" t="n">
        <v>0</v>
      </c>
      <c r="T203" s="10" t="n">
        <v>0</v>
      </c>
      <c r="U203" s="10" t="n">
        <v>0</v>
      </c>
    </row>
    <row r="204" customFormat="false" ht="15" hidden="false" customHeight="false" outlineLevel="0" collapsed="false">
      <c r="A204" s="7" t="s">
        <v>394</v>
      </c>
      <c r="B204" s="7" t="s">
        <v>125</v>
      </c>
      <c r="C204" s="7" t="s">
        <v>607</v>
      </c>
      <c r="D204" s="10" t="n">
        <v>0</v>
      </c>
      <c r="E204" s="10" t="n">
        <v>0</v>
      </c>
      <c r="F204" s="10" t="n">
        <v>416.9</v>
      </c>
      <c r="G204" s="10" t="n">
        <v>0</v>
      </c>
      <c r="H204" s="10" t="n">
        <v>0</v>
      </c>
      <c r="I204" s="10" t="n">
        <v>1438.6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-30.5</v>
      </c>
      <c r="Q204" s="10" t="n">
        <v>1072.6</v>
      </c>
      <c r="R204" s="10" t="n">
        <v>396.5</v>
      </c>
      <c r="S204" s="10" t="n">
        <v>0</v>
      </c>
      <c r="T204" s="10" t="n">
        <v>204.8</v>
      </c>
      <c r="U204" s="10" t="n">
        <v>0</v>
      </c>
    </row>
    <row r="205" customFormat="false" ht="15" hidden="false" customHeight="false" outlineLevel="0" collapsed="false">
      <c r="A205" s="7" t="s">
        <v>394</v>
      </c>
      <c r="B205" s="7" t="s">
        <v>125</v>
      </c>
      <c r="C205" s="7" t="s">
        <v>608</v>
      </c>
      <c r="D205" s="10" t="n">
        <v>0</v>
      </c>
      <c r="E205" s="10" t="n">
        <v>0</v>
      </c>
      <c r="F205" s="10" t="n">
        <v>175.5</v>
      </c>
      <c r="G205" s="10" t="n">
        <v>0</v>
      </c>
      <c r="H205" s="10" t="n">
        <v>0</v>
      </c>
      <c r="I205" s="10" t="n">
        <v>73.3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73.3</v>
      </c>
      <c r="R205" s="10" t="n">
        <v>0</v>
      </c>
      <c r="S205" s="10" t="n">
        <v>0</v>
      </c>
      <c r="T205" s="10" t="n">
        <v>0</v>
      </c>
      <c r="U205" s="10" t="n">
        <v>0</v>
      </c>
    </row>
    <row r="206" customFormat="false" ht="15" hidden="false" customHeight="false" outlineLevel="0" collapsed="false">
      <c r="A206" s="7" t="s">
        <v>394</v>
      </c>
      <c r="B206" s="7" t="s">
        <v>209</v>
      </c>
      <c r="C206" s="7" t="s">
        <v>944</v>
      </c>
      <c r="D206" s="10" t="n">
        <v>0</v>
      </c>
      <c r="E206" s="10" t="n">
        <v>0</v>
      </c>
      <c r="F206" s="10" t="n">
        <v>-88.8</v>
      </c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</row>
    <row r="207" customFormat="false" ht="15" hidden="false" customHeight="false" outlineLevel="0" collapsed="false">
      <c r="A207" s="7" t="s">
        <v>394</v>
      </c>
      <c r="B207" s="7" t="s">
        <v>209</v>
      </c>
      <c r="C207" s="7" t="s">
        <v>609</v>
      </c>
      <c r="D207" s="10" t="n">
        <v>0</v>
      </c>
      <c r="E207" s="10" t="n">
        <v>0</v>
      </c>
      <c r="F207" s="10" t="n">
        <v>444.1</v>
      </c>
      <c r="G207" s="10" t="n">
        <v>0</v>
      </c>
      <c r="H207" s="10" t="n">
        <v>0</v>
      </c>
      <c r="I207" s="10" t="n">
        <v>-201</v>
      </c>
      <c r="J207" s="10" t="n">
        <v>0</v>
      </c>
      <c r="K207" s="10" t="n">
        <v>0</v>
      </c>
      <c r="L207" s="10" t="n">
        <v>-104.2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-96.8</v>
      </c>
      <c r="R207" s="10" t="n">
        <v>0</v>
      </c>
      <c r="S207" s="10" t="n">
        <v>0</v>
      </c>
      <c r="T207" s="10" t="n">
        <v>0</v>
      </c>
      <c r="U207" s="10" t="n">
        <v>0</v>
      </c>
    </row>
    <row r="208" customFormat="false" ht="15" hidden="false" customHeight="false" outlineLevel="0" collapsed="false">
      <c r="A208" s="7" t="s">
        <v>394</v>
      </c>
      <c r="B208" s="7" t="s">
        <v>209</v>
      </c>
      <c r="C208" s="7" t="s">
        <v>610</v>
      </c>
      <c r="D208" s="10" t="n">
        <v>0</v>
      </c>
      <c r="E208" s="10" t="n">
        <v>0</v>
      </c>
      <c r="F208" s="10" t="n">
        <v>111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</row>
    <row r="209" customFormat="false" ht="15" hidden="false" customHeight="false" outlineLevel="0" collapsed="false">
      <c r="A209" s="7" t="s">
        <v>394</v>
      </c>
      <c r="B209" s="7" t="s">
        <v>209</v>
      </c>
      <c r="C209" s="7" t="s">
        <v>611</v>
      </c>
      <c r="D209" s="10" t="n">
        <v>0</v>
      </c>
      <c r="E209" s="10" t="n">
        <v>0</v>
      </c>
      <c r="F209" s="10" t="n">
        <v>111</v>
      </c>
      <c r="G209" s="10" t="n">
        <v>0</v>
      </c>
      <c r="H209" s="10" t="n">
        <v>0</v>
      </c>
      <c r="I209" s="10" t="n">
        <v>-96.8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-96.8</v>
      </c>
      <c r="R209" s="10" t="n">
        <v>0</v>
      </c>
      <c r="S209" s="10" t="n">
        <v>0</v>
      </c>
      <c r="T209" s="10" t="n">
        <v>0</v>
      </c>
      <c r="U209" s="10" t="n">
        <v>0</v>
      </c>
    </row>
    <row r="210" customFormat="false" ht="15" hidden="false" customHeight="false" outlineLevel="0" collapsed="false">
      <c r="A210" s="7" t="s">
        <v>394</v>
      </c>
      <c r="B210" s="7" t="s">
        <v>237</v>
      </c>
      <c r="C210" s="7" t="s">
        <v>613</v>
      </c>
      <c r="D210" s="10" t="n">
        <v>0</v>
      </c>
      <c r="E210" s="10" t="n">
        <v>0</v>
      </c>
      <c r="F210" s="10" t="n">
        <v>241.7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</row>
    <row r="211" customFormat="false" ht="15" hidden="false" customHeight="false" outlineLevel="0" collapsed="false">
      <c r="A211" s="7" t="s">
        <v>394</v>
      </c>
      <c r="B211" s="7" t="s">
        <v>237</v>
      </c>
      <c r="C211" s="7" t="s">
        <v>614</v>
      </c>
      <c r="D211" s="10" t="n">
        <v>0</v>
      </c>
      <c r="E211" s="10" t="n">
        <v>0</v>
      </c>
      <c r="F211" s="10" t="n">
        <v>-80.3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0</v>
      </c>
    </row>
    <row r="212" customFormat="false" ht="15" hidden="false" customHeight="false" outlineLevel="0" collapsed="false">
      <c r="A212" s="7" t="s">
        <v>394</v>
      </c>
      <c r="B212" s="7" t="s">
        <v>237</v>
      </c>
      <c r="C212" s="7" t="s">
        <v>945</v>
      </c>
      <c r="D212" s="10" t="n">
        <v>0</v>
      </c>
      <c r="E212" s="10" t="n">
        <v>0</v>
      </c>
      <c r="F212" s="10" t="n">
        <v>84.3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</row>
    <row r="213" customFormat="false" ht="15" hidden="false" customHeight="false" outlineLevel="0" collapsed="false">
      <c r="A213" s="7" t="s">
        <v>394</v>
      </c>
      <c r="B213" s="7" t="s">
        <v>84</v>
      </c>
      <c r="C213" s="7" t="s">
        <v>615</v>
      </c>
      <c r="D213" s="10" t="n">
        <v>0</v>
      </c>
      <c r="E213" s="10" t="n">
        <v>0</v>
      </c>
      <c r="F213" s="10" t="n">
        <v>820.1</v>
      </c>
      <c r="G213" s="10" t="n">
        <v>0</v>
      </c>
      <c r="H213" s="10" t="n">
        <v>0</v>
      </c>
      <c r="I213" s="10" t="n">
        <v>3619.2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-642.1</v>
      </c>
      <c r="Q213" s="10" t="n">
        <v>2567.5</v>
      </c>
      <c r="R213" s="10" t="n">
        <v>1693.8</v>
      </c>
      <c r="S213" s="10" t="n">
        <v>0</v>
      </c>
      <c r="T213" s="10" t="n">
        <v>0</v>
      </c>
      <c r="U213" s="10" t="n">
        <v>0</v>
      </c>
    </row>
    <row r="214" customFormat="false" ht="15" hidden="false" customHeight="false" outlineLevel="0" collapsed="false">
      <c r="A214" s="7" t="s">
        <v>394</v>
      </c>
      <c r="B214" s="7" t="s">
        <v>84</v>
      </c>
      <c r="C214" s="7" t="s">
        <v>616</v>
      </c>
      <c r="D214" s="10" t="n">
        <v>0</v>
      </c>
      <c r="E214" s="10" t="n">
        <v>0</v>
      </c>
      <c r="F214" s="10" t="n">
        <v>2547.6</v>
      </c>
      <c r="G214" s="10" t="n">
        <v>0</v>
      </c>
      <c r="H214" s="10" t="n">
        <v>0</v>
      </c>
      <c r="I214" s="10" t="n">
        <v>7995.6</v>
      </c>
      <c r="J214" s="10" t="n">
        <v>0</v>
      </c>
      <c r="K214" s="10" t="n">
        <v>282.3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-282.3</v>
      </c>
      <c r="Q214" s="10" t="n">
        <v>2067.3</v>
      </c>
      <c r="R214" s="10" t="n">
        <v>5928.3</v>
      </c>
      <c r="S214" s="10" t="n">
        <v>0</v>
      </c>
      <c r="T214" s="10" t="n">
        <v>0</v>
      </c>
      <c r="U214" s="10" t="n">
        <v>0</v>
      </c>
    </row>
    <row r="215" customFormat="false" ht="15" hidden="false" customHeight="false" outlineLevel="0" collapsed="false">
      <c r="A215" s="7" t="s">
        <v>394</v>
      </c>
      <c r="B215" s="7" t="s">
        <v>84</v>
      </c>
      <c r="C215" s="7" t="s">
        <v>617</v>
      </c>
      <c r="D215" s="10" t="n">
        <v>0</v>
      </c>
      <c r="E215" s="10" t="n">
        <v>0</v>
      </c>
      <c r="F215" s="10" t="n">
        <v>1137.1</v>
      </c>
      <c r="G215" s="10" t="n">
        <v>0</v>
      </c>
      <c r="H215" s="10" t="n">
        <v>142.1</v>
      </c>
      <c r="I215" s="10" t="n">
        <v>8697.6</v>
      </c>
      <c r="J215" s="10" t="n">
        <v>0</v>
      </c>
      <c r="K215" s="10" t="n">
        <v>141.2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-564.6</v>
      </c>
      <c r="Q215" s="10" t="n">
        <v>3475.1</v>
      </c>
      <c r="R215" s="10" t="n">
        <v>5646</v>
      </c>
      <c r="S215" s="10" t="n">
        <v>0</v>
      </c>
      <c r="T215" s="10" t="n">
        <v>0</v>
      </c>
      <c r="U215" s="10" t="n">
        <v>-218.7</v>
      </c>
    </row>
    <row r="216" customFormat="false" ht="15" hidden="false" customHeight="false" outlineLevel="0" collapsed="false">
      <c r="A216" s="7" t="s">
        <v>394</v>
      </c>
      <c r="B216" s="7" t="s">
        <v>84</v>
      </c>
      <c r="C216" s="7" t="s">
        <v>618</v>
      </c>
      <c r="D216" s="10" t="n">
        <v>0</v>
      </c>
      <c r="E216" s="10" t="n">
        <v>0</v>
      </c>
      <c r="F216" s="10" t="n">
        <v>320.8</v>
      </c>
      <c r="G216" s="10" t="n">
        <v>0</v>
      </c>
      <c r="H216" s="10" t="n">
        <v>0</v>
      </c>
      <c r="I216" s="10" t="n">
        <v>2049.7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-846.9</v>
      </c>
      <c r="Q216" s="10" t="n">
        <v>-67.6</v>
      </c>
      <c r="R216" s="10" t="n">
        <v>2964.2</v>
      </c>
      <c r="S216" s="10" t="n">
        <v>0</v>
      </c>
      <c r="T216" s="10" t="n">
        <v>0</v>
      </c>
      <c r="U216" s="10" t="n">
        <v>0</v>
      </c>
    </row>
    <row r="217" customFormat="false" ht="15" hidden="false" customHeight="false" outlineLevel="0" collapsed="false">
      <c r="A217" s="7" t="s">
        <v>394</v>
      </c>
      <c r="B217" s="7" t="s">
        <v>84</v>
      </c>
      <c r="C217" s="7" t="s">
        <v>619</v>
      </c>
      <c r="D217" s="10" t="n">
        <v>0</v>
      </c>
      <c r="E217" s="10" t="n">
        <v>0</v>
      </c>
      <c r="F217" s="10" t="n">
        <v>371.8</v>
      </c>
      <c r="G217" s="10" t="n">
        <v>0</v>
      </c>
      <c r="H217" s="10" t="n">
        <v>0</v>
      </c>
      <c r="I217" s="10" t="n">
        <v>2268.5</v>
      </c>
      <c r="J217" s="10" t="n">
        <v>0</v>
      </c>
      <c r="K217" s="10" t="n">
        <v>282.3</v>
      </c>
      <c r="L217" s="10" t="n">
        <v>-282.3</v>
      </c>
      <c r="M217" s="10" t="n">
        <v>0</v>
      </c>
      <c r="N217" s="10" t="n">
        <v>0</v>
      </c>
      <c r="O217" s="10" t="n">
        <v>0</v>
      </c>
      <c r="P217" s="10" t="n">
        <v>-423.5</v>
      </c>
      <c r="Q217" s="10" t="n">
        <v>-131.1</v>
      </c>
      <c r="R217" s="10" t="n">
        <v>2823</v>
      </c>
      <c r="S217" s="10" t="n">
        <v>0</v>
      </c>
      <c r="T217" s="10" t="n">
        <v>0</v>
      </c>
      <c r="U217" s="10" t="n">
        <v>0</v>
      </c>
    </row>
    <row r="218" customFormat="false" ht="15" hidden="false" customHeight="false" outlineLevel="0" collapsed="false">
      <c r="A218" s="7" t="s">
        <v>394</v>
      </c>
      <c r="B218" s="7" t="s">
        <v>164</v>
      </c>
      <c r="C218" s="7" t="s">
        <v>620</v>
      </c>
      <c r="D218" s="10" t="n">
        <v>0</v>
      </c>
      <c r="E218" s="10" t="n">
        <v>0</v>
      </c>
      <c r="F218" s="10" t="n">
        <v>1869.7</v>
      </c>
      <c r="G218" s="10" t="n">
        <v>0</v>
      </c>
      <c r="H218" s="10" t="n">
        <v>0</v>
      </c>
      <c r="I218" s="10" t="n">
        <v>163.8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163.8</v>
      </c>
      <c r="R218" s="10" t="n">
        <v>0</v>
      </c>
      <c r="S218" s="10" t="n">
        <v>0</v>
      </c>
      <c r="T218" s="10" t="n">
        <v>545.2</v>
      </c>
      <c r="U218" s="10" t="n">
        <v>0</v>
      </c>
    </row>
    <row r="219" customFormat="false" ht="15" hidden="false" customHeight="false" outlineLevel="0" collapsed="false">
      <c r="A219" s="7" t="s">
        <v>394</v>
      </c>
      <c r="B219" s="7" t="s">
        <v>164</v>
      </c>
      <c r="C219" s="7" t="s">
        <v>621</v>
      </c>
      <c r="D219" s="10" t="n">
        <v>0</v>
      </c>
      <c r="E219" s="10" t="n">
        <v>0</v>
      </c>
      <c r="F219" s="10" t="n">
        <v>4146.3</v>
      </c>
      <c r="G219" s="10" t="n">
        <v>0</v>
      </c>
      <c r="H219" s="10" t="n">
        <v>0</v>
      </c>
      <c r="I219" s="10" t="n">
        <v>1444.7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829</v>
      </c>
      <c r="R219" s="10" t="n">
        <v>615.7</v>
      </c>
      <c r="S219" s="10" t="n">
        <v>0</v>
      </c>
      <c r="T219" s="10" t="n">
        <v>272.6</v>
      </c>
      <c r="U219" s="10" t="n">
        <v>0</v>
      </c>
    </row>
    <row r="220" customFormat="false" ht="15" hidden="false" customHeight="false" outlineLevel="0" collapsed="false">
      <c r="A220" s="7" t="s">
        <v>394</v>
      </c>
      <c r="B220" s="7" t="s">
        <v>164</v>
      </c>
      <c r="C220" s="7" t="s">
        <v>622</v>
      </c>
      <c r="D220" s="10" t="n">
        <v>0</v>
      </c>
      <c r="E220" s="10" t="n">
        <v>0</v>
      </c>
      <c r="F220" s="10" t="n">
        <v>3514.6</v>
      </c>
      <c r="G220" s="10" t="n">
        <v>0</v>
      </c>
      <c r="H220" s="10" t="n">
        <v>0</v>
      </c>
      <c r="I220" s="10" t="n">
        <v>2413.6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2060.7</v>
      </c>
      <c r="R220" s="10" t="n">
        <v>352.9</v>
      </c>
      <c r="S220" s="10" t="n">
        <v>0</v>
      </c>
      <c r="T220" s="10" t="n">
        <v>817.8</v>
      </c>
      <c r="U220" s="10" t="n">
        <v>0</v>
      </c>
    </row>
    <row r="221" customFormat="false" ht="15" hidden="false" customHeight="false" outlineLevel="0" collapsed="false">
      <c r="A221" s="7" t="s">
        <v>394</v>
      </c>
      <c r="B221" s="7" t="s">
        <v>164</v>
      </c>
      <c r="C221" s="7" t="s">
        <v>623</v>
      </c>
      <c r="D221" s="10" t="n">
        <v>0</v>
      </c>
      <c r="E221" s="10" t="n">
        <v>0</v>
      </c>
      <c r="F221" s="10" t="n">
        <v>2910</v>
      </c>
      <c r="G221" s="10" t="n">
        <v>0</v>
      </c>
      <c r="H221" s="10" t="n">
        <v>0</v>
      </c>
      <c r="I221" s="10" t="n">
        <v>1622.9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1622.9</v>
      </c>
      <c r="R221" s="10" t="n">
        <v>0</v>
      </c>
      <c r="S221" s="10" t="n">
        <v>0</v>
      </c>
      <c r="T221" s="10" t="n">
        <v>954.1</v>
      </c>
      <c r="U221" s="10" t="n">
        <v>0</v>
      </c>
    </row>
    <row r="222" customFormat="false" ht="15" hidden="false" customHeight="false" outlineLevel="0" collapsed="false">
      <c r="A222" s="7" t="s">
        <v>394</v>
      </c>
      <c r="B222" s="7" t="s">
        <v>62</v>
      </c>
      <c r="C222" s="7" t="s">
        <v>624</v>
      </c>
      <c r="D222" s="10" t="n">
        <v>0</v>
      </c>
      <c r="E222" s="10" t="n">
        <v>0</v>
      </c>
      <c r="F222" s="10" t="n">
        <v>7495.4</v>
      </c>
      <c r="G222" s="10" t="n">
        <v>0</v>
      </c>
      <c r="H222" s="10" t="n">
        <v>49.1</v>
      </c>
      <c r="I222" s="10" t="n">
        <v>33462</v>
      </c>
      <c r="J222" s="10" t="n">
        <v>0</v>
      </c>
      <c r="K222" s="10" t="n">
        <v>104.9</v>
      </c>
      <c r="L222" s="10" t="n">
        <v>0</v>
      </c>
      <c r="M222" s="10" t="n">
        <v>0</v>
      </c>
      <c r="N222" s="10" t="n">
        <v>0</v>
      </c>
      <c r="O222" s="10" t="n">
        <v>65.5</v>
      </c>
      <c r="P222" s="10" t="n">
        <v>-577</v>
      </c>
      <c r="Q222" s="10" t="n">
        <v>22591.8</v>
      </c>
      <c r="R222" s="10" t="n">
        <v>11276.8</v>
      </c>
      <c r="S222" s="10" t="n">
        <v>0</v>
      </c>
      <c r="T222" s="10" t="n">
        <v>4208.8</v>
      </c>
      <c r="U222" s="10" t="n">
        <v>-75.6</v>
      </c>
    </row>
    <row r="223" customFormat="false" ht="15" hidden="false" customHeight="false" outlineLevel="0" collapsed="false">
      <c r="A223" s="7" t="s">
        <v>394</v>
      </c>
      <c r="B223" s="7" t="s">
        <v>62</v>
      </c>
      <c r="C223" s="7" t="s">
        <v>625</v>
      </c>
      <c r="D223" s="10" t="n">
        <v>0</v>
      </c>
      <c r="E223" s="10" t="n">
        <v>0</v>
      </c>
      <c r="F223" s="10" t="n">
        <v>5753.8</v>
      </c>
      <c r="G223" s="10" t="n">
        <v>0</v>
      </c>
      <c r="H223" s="10" t="n">
        <v>0</v>
      </c>
      <c r="I223" s="10" t="n">
        <v>28191.6</v>
      </c>
      <c r="J223" s="10" t="n">
        <v>0</v>
      </c>
      <c r="K223" s="10" t="n">
        <v>262.3</v>
      </c>
      <c r="L223" s="10" t="n">
        <v>0</v>
      </c>
      <c r="M223" s="10" t="n">
        <v>0</v>
      </c>
      <c r="N223" s="10" t="n">
        <v>0</v>
      </c>
      <c r="O223" s="10" t="n">
        <v>65.5</v>
      </c>
      <c r="P223" s="10" t="n">
        <v>-104.9</v>
      </c>
      <c r="Q223" s="10" t="n">
        <v>21661.6</v>
      </c>
      <c r="R223" s="10" t="n">
        <v>6307.1</v>
      </c>
      <c r="S223" s="10" t="n">
        <v>0</v>
      </c>
      <c r="T223" s="10" t="n">
        <v>2983.8</v>
      </c>
      <c r="U223" s="10" t="n">
        <v>-75.6</v>
      </c>
    </row>
    <row r="224" customFormat="false" ht="15" hidden="false" customHeight="false" outlineLevel="0" collapsed="false">
      <c r="A224" s="7" t="s">
        <v>394</v>
      </c>
      <c r="B224" s="7" t="s">
        <v>62</v>
      </c>
      <c r="C224" s="7" t="s">
        <v>626</v>
      </c>
      <c r="D224" s="10" t="n">
        <v>0</v>
      </c>
      <c r="E224" s="10" t="n">
        <v>0</v>
      </c>
      <c r="F224" s="10" t="n">
        <v>2090.6</v>
      </c>
      <c r="G224" s="10" t="n">
        <v>0</v>
      </c>
      <c r="H224" s="10" t="n">
        <v>0</v>
      </c>
      <c r="I224" s="10" t="n">
        <v>14222</v>
      </c>
      <c r="J224" s="10" t="n">
        <v>0</v>
      </c>
      <c r="K224" s="10" t="n">
        <v>262.3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-102.3</v>
      </c>
      <c r="Q224" s="10" t="n">
        <v>10075.8</v>
      </c>
      <c r="R224" s="10" t="n">
        <v>3986.2</v>
      </c>
      <c r="S224" s="10" t="n">
        <v>0</v>
      </c>
      <c r="T224" s="10" t="n">
        <v>1872.5</v>
      </c>
      <c r="U224" s="10" t="n">
        <v>-151.1</v>
      </c>
    </row>
    <row r="225" customFormat="false" ht="15" hidden="false" customHeight="false" outlineLevel="0" collapsed="false">
      <c r="A225" s="7" t="s">
        <v>394</v>
      </c>
      <c r="B225" s="7" t="s">
        <v>62</v>
      </c>
      <c r="C225" s="7" t="s">
        <v>627</v>
      </c>
      <c r="D225" s="10" t="n">
        <v>0</v>
      </c>
      <c r="E225" s="10" t="n">
        <v>0</v>
      </c>
      <c r="F225" s="10" t="n">
        <v>3566.4</v>
      </c>
      <c r="G225" s="10" t="n">
        <v>0</v>
      </c>
      <c r="H225" s="10" t="n">
        <v>49.1</v>
      </c>
      <c r="I225" s="10" t="n">
        <v>18155.8</v>
      </c>
      <c r="J225" s="10" t="n">
        <v>0</v>
      </c>
      <c r="K225" s="10" t="n">
        <v>52.5</v>
      </c>
      <c r="L225" s="10" t="n">
        <v>0</v>
      </c>
      <c r="M225" s="10" t="n">
        <v>0</v>
      </c>
      <c r="N225" s="10" t="n">
        <v>0</v>
      </c>
      <c r="O225" s="10" t="n">
        <v>65.5</v>
      </c>
      <c r="P225" s="10" t="n">
        <v>-209.8</v>
      </c>
      <c r="Q225" s="10" t="n">
        <v>12792.9</v>
      </c>
      <c r="R225" s="10" t="n">
        <v>5454.8</v>
      </c>
      <c r="S225" s="10" t="n">
        <v>0</v>
      </c>
      <c r="T225" s="10" t="n">
        <v>1741.3</v>
      </c>
      <c r="U225" s="10" t="n">
        <v>0</v>
      </c>
    </row>
    <row r="226" customFormat="false" ht="15" hidden="false" customHeight="false" outlineLevel="0" collapsed="false">
      <c r="A226" s="7" t="s">
        <v>394</v>
      </c>
      <c r="B226" s="7" t="s">
        <v>74</v>
      </c>
      <c r="C226" s="7" t="s">
        <v>628</v>
      </c>
      <c r="D226" s="10" t="n">
        <v>0</v>
      </c>
      <c r="E226" s="10" t="n">
        <v>0</v>
      </c>
      <c r="F226" s="10" t="n">
        <v>2759.5</v>
      </c>
      <c r="G226" s="10" t="n">
        <v>0</v>
      </c>
      <c r="H226" s="10" t="n">
        <v>26.8</v>
      </c>
      <c r="I226" s="10" t="n">
        <v>7927.6</v>
      </c>
      <c r="J226" s="10" t="n">
        <v>0</v>
      </c>
      <c r="K226" s="10" t="n">
        <v>305.4</v>
      </c>
      <c r="L226" s="10" t="n">
        <v>0</v>
      </c>
      <c r="M226" s="10" t="n">
        <v>0</v>
      </c>
      <c r="N226" s="10" t="n">
        <v>123.6</v>
      </c>
      <c r="O226" s="10" t="n">
        <v>29.7</v>
      </c>
      <c r="P226" s="10" t="n">
        <v>-111</v>
      </c>
      <c r="Q226" s="10" t="n">
        <v>5553.6</v>
      </c>
      <c r="R226" s="10" t="n">
        <v>2026.5</v>
      </c>
      <c r="S226" s="10" t="n">
        <v>0</v>
      </c>
      <c r="T226" s="10" t="n">
        <v>956.3</v>
      </c>
      <c r="U226" s="10" t="n">
        <v>0</v>
      </c>
    </row>
    <row r="227" customFormat="false" ht="15" hidden="false" customHeight="false" outlineLevel="0" collapsed="false">
      <c r="A227" s="7" t="s">
        <v>394</v>
      </c>
      <c r="B227" s="7" t="s">
        <v>74</v>
      </c>
      <c r="C227" s="7" t="s">
        <v>629</v>
      </c>
      <c r="D227" s="10" t="n">
        <v>0</v>
      </c>
      <c r="E227" s="10" t="n">
        <v>0</v>
      </c>
      <c r="F227" s="10" t="n">
        <v>3151.6</v>
      </c>
      <c r="G227" s="10" t="n">
        <v>0</v>
      </c>
      <c r="H227" s="10" t="n">
        <v>0</v>
      </c>
      <c r="I227" s="10" t="n">
        <v>10791.4</v>
      </c>
      <c r="J227" s="10" t="n">
        <v>0</v>
      </c>
      <c r="K227" s="10" t="n">
        <v>111</v>
      </c>
      <c r="L227" s="10" t="n">
        <v>0</v>
      </c>
      <c r="M227" s="10" t="n">
        <v>0</v>
      </c>
      <c r="N227" s="10" t="n">
        <v>123.6</v>
      </c>
      <c r="O227" s="10" t="n">
        <v>0</v>
      </c>
      <c r="P227" s="10" t="n">
        <v>-138.8</v>
      </c>
      <c r="Q227" s="10" t="n">
        <v>8613.6</v>
      </c>
      <c r="R227" s="10" t="n">
        <v>2082</v>
      </c>
      <c r="S227" s="10" t="n">
        <v>0</v>
      </c>
      <c r="T227" s="10" t="n">
        <v>1330.3</v>
      </c>
      <c r="U227" s="10" t="n">
        <v>-41.2</v>
      </c>
    </row>
    <row r="228" customFormat="false" ht="15" hidden="false" customHeight="false" outlineLevel="0" collapsed="false">
      <c r="A228" s="7" t="s">
        <v>394</v>
      </c>
      <c r="B228" s="7" t="s">
        <v>74</v>
      </c>
      <c r="C228" s="7" t="s">
        <v>630</v>
      </c>
      <c r="D228" s="10" t="n">
        <v>0</v>
      </c>
      <c r="E228" s="10" t="n">
        <v>0</v>
      </c>
      <c r="F228" s="10" t="n">
        <v>2432.9</v>
      </c>
      <c r="G228" s="10" t="n">
        <v>0</v>
      </c>
      <c r="H228" s="10" t="n">
        <v>0</v>
      </c>
      <c r="I228" s="10" t="n">
        <v>7816.3</v>
      </c>
      <c r="J228" s="10" t="n">
        <v>0</v>
      </c>
      <c r="K228" s="10" t="n">
        <v>194.3</v>
      </c>
      <c r="L228" s="10" t="n">
        <v>0</v>
      </c>
      <c r="M228" s="10" t="n">
        <v>0</v>
      </c>
      <c r="N228" s="10" t="n">
        <v>92.7</v>
      </c>
      <c r="O228" s="10" t="n">
        <v>29.7</v>
      </c>
      <c r="P228" s="10" t="n">
        <v>-138.8</v>
      </c>
      <c r="Q228" s="10" t="n">
        <v>5945</v>
      </c>
      <c r="R228" s="10" t="n">
        <v>1693.4</v>
      </c>
      <c r="S228" s="10" t="n">
        <v>0</v>
      </c>
      <c r="T228" s="10" t="n">
        <v>1593.8</v>
      </c>
      <c r="U228" s="10" t="n">
        <v>-823.8</v>
      </c>
    </row>
    <row r="229" customFormat="false" ht="15" hidden="false" customHeight="false" outlineLevel="0" collapsed="false">
      <c r="A229" s="7" t="s">
        <v>394</v>
      </c>
      <c r="B229" s="7" t="s">
        <v>74</v>
      </c>
      <c r="C229" s="7" t="s">
        <v>631</v>
      </c>
      <c r="D229" s="10" t="n">
        <v>0</v>
      </c>
      <c r="E229" s="10" t="n">
        <v>0</v>
      </c>
      <c r="F229" s="10" t="n">
        <v>912.3</v>
      </c>
      <c r="G229" s="10" t="n">
        <v>0</v>
      </c>
      <c r="H229" s="10" t="n">
        <v>0</v>
      </c>
      <c r="I229" s="10" t="n">
        <v>4055.5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123.6</v>
      </c>
      <c r="O229" s="10" t="n">
        <v>59.5</v>
      </c>
      <c r="P229" s="10" t="n">
        <v>-194.3</v>
      </c>
      <c r="Q229" s="10" t="n">
        <v>2595.5</v>
      </c>
      <c r="R229" s="10" t="n">
        <v>1471.3</v>
      </c>
      <c r="S229" s="10" t="n">
        <v>0</v>
      </c>
      <c r="T229" s="10" t="n">
        <v>497.3</v>
      </c>
      <c r="U229" s="10" t="n">
        <v>-82.4</v>
      </c>
    </row>
    <row r="230" customFormat="false" ht="15" hidden="false" customHeight="false" outlineLevel="0" collapsed="false">
      <c r="A230" s="7" t="s">
        <v>394</v>
      </c>
      <c r="B230" s="7" t="s">
        <v>74</v>
      </c>
      <c r="C230" s="7" t="s">
        <v>632</v>
      </c>
      <c r="D230" s="10" t="n">
        <v>0</v>
      </c>
      <c r="E230" s="10" t="n">
        <v>0</v>
      </c>
      <c r="F230" s="10" t="n">
        <v>691.9</v>
      </c>
      <c r="G230" s="10" t="n">
        <v>0</v>
      </c>
      <c r="H230" s="10" t="n">
        <v>0</v>
      </c>
      <c r="I230" s="10" t="n">
        <v>832.7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832.7</v>
      </c>
      <c r="R230" s="10" t="n">
        <v>0</v>
      </c>
      <c r="S230" s="10" t="n">
        <v>0</v>
      </c>
      <c r="T230" s="10" t="n">
        <v>68</v>
      </c>
      <c r="U230" s="10" t="n">
        <v>0</v>
      </c>
    </row>
    <row r="231" customFormat="false" ht="15" hidden="false" customHeight="false" outlineLevel="0" collapsed="false">
      <c r="A231" s="7" t="s">
        <v>394</v>
      </c>
      <c r="B231" s="7" t="s">
        <v>74</v>
      </c>
      <c r="C231" s="7" t="s">
        <v>633</v>
      </c>
      <c r="D231" s="10" t="n">
        <v>0</v>
      </c>
      <c r="E231" s="10" t="n">
        <v>0</v>
      </c>
      <c r="F231" s="10" t="n">
        <v>146.2</v>
      </c>
      <c r="G231" s="10" t="n">
        <v>0</v>
      </c>
      <c r="H231" s="10" t="n">
        <v>0</v>
      </c>
      <c r="I231" s="10" t="n">
        <v>136.7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136.7</v>
      </c>
      <c r="R231" s="10" t="n">
        <v>0</v>
      </c>
      <c r="S231" s="10" t="n">
        <v>0</v>
      </c>
      <c r="T231" s="10" t="n">
        <v>17</v>
      </c>
      <c r="U231" s="10" t="n">
        <v>0</v>
      </c>
    </row>
    <row r="232" customFormat="false" ht="15" hidden="false" customHeight="false" outlineLevel="0" collapsed="false">
      <c r="A232" s="7" t="s">
        <v>394</v>
      </c>
      <c r="B232" s="7" t="s">
        <v>112</v>
      </c>
      <c r="C232" s="7" t="s">
        <v>634</v>
      </c>
      <c r="D232" s="10" t="n">
        <v>0</v>
      </c>
      <c r="E232" s="10" t="n">
        <v>0</v>
      </c>
      <c r="F232" s="10" t="n">
        <v>1292.3</v>
      </c>
      <c r="G232" s="10" t="n">
        <v>0</v>
      </c>
      <c r="H232" s="10" t="n">
        <v>0</v>
      </c>
      <c r="I232" s="10" t="n">
        <v>4958.1</v>
      </c>
      <c r="J232" s="10" t="n">
        <v>0</v>
      </c>
      <c r="K232" s="10" t="n">
        <v>10.9</v>
      </c>
      <c r="L232" s="10" t="n">
        <v>0</v>
      </c>
      <c r="M232" s="10" t="n">
        <v>0</v>
      </c>
      <c r="N232" s="10" t="n">
        <v>0</v>
      </c>
      <c r="O232" s="10" t="n">
        <v>43.8</v>
      </c>
      <c r="P232" s="10" t="n">
        <v>0</v>
      </c>
      <c r="Q232" s="10" t="n">
        <v>3240.5</v>
      </c>
      <c r="R232" s="10" t="n">
        <v>1662.9</v>
      </c>
      <c r="S232" s="10" t="n">
        <v>0</v>
      </c>
      <c r="T232" s="10" t="n">
        <v>270.6</v>
      </c>
      <c r="U232" s="10" t="n">
        <v>0</v>
      </c>
    </row>
    <row r="233" customFormat="false" ht="15" hidden="false" customHeight="false" outlineLevel="0" collapsed="false">
      <c r="A233" s="7" t="s">
        <v>394</v>
      </c>
      <c r="B233" s="7" t="s">
        <v>192</v>
      </c>
      <c r="C233" s="7" t="s">
        <v>635</v>
      </c>
      <c r="D233" s="10" t="n">
        <v>0</v>
      </c>
      <c r="E233" s="10" t="n">
        <v>0</v>
      </c>
      <c r="F233" s="10" t="n">
        <v>2097.1</v>
      </c>
      <c r="G233" s="10" t="n">
        <v>0</v>
      </c>
      <c r="H233" s="10" t="n">
        <v>0</v>
      </c>
      <c r="I233" s="10" t="n">
        <v>2465</v>
      </c>
      <c r="J233" s="10" t="n">
        <v>0</v>
      </c>
      <c r="K233" s="10" t="n">
        <v>133.4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-80</v>
      </c>
      <c r="Q233" s="10" t="n">
        <v>1237.6</v>
      </c>
      <c r="R233" s="10" t="n">
        <v>1174</v>
      </c>
      <c r="S233" s="10" t="n">
        <v>0</v>
      </c>
      <c r="T233" s="10" t="n">
        <v>1004.4</v>
      </c>
      <c r="U233" s="10" t="n">
        <v>0</v>
      </c>
    </row>
    <row r="234" customFormat="false" ht="15" hidden="false" customHeight="false" outlineLevel="0" collapsed="false">
      <c r="A234" s="7" t="s">
        <v>394</v>
      </c>
      <c r="B234" s="7" t="s">
        <v>89</v>
      </c>
      <c r="C234" s="7" t="s">
        <v>636</v>
      </c>
      <c r="D234" s="10" t="n">
        <v>0</v>
      </c>
      <c r="E234" s="10" t="n">
        <v>0</v>
      </c>
      <c r="F234" s="10" t="n">
        <v>-184.3</v>
      </c>
      <c r="G234" s="10" t="n">
        <v>0</v>
      </c>
      <c r="H234" s="10" t="n">
        <v>0</v>
      </c>
      <c r="I234" s="10" t="n">
        <v>-713.9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-124.9</v>
      </c>
      <c r="Q234" s="10" t="n">
        <v>-798.9</v>
      </c>
      <c r="R234" s="10" t="n">
        <v>209.9</v>
      </c>
      <c r="S234" s="10" t="n">
        <v>0</v>
      </c>
      <c r="T234" s="10" t="n">
        <v>0</v>
      </c>
      <c r="U234" s="10" t="n">
        <v>0</v>
      </c>
    </row>
    <row r="235" customFormat="false" ht="15" hidden="false" customHeight="false" outlineLevel="0" collapsed="false">
      <c r="A235" s="7" t="s">
        <v>394</v>
      </c>
      <c r="B235" s="7" t="s">
        <v>89</v>
      </c>
      <c r="C235" s="7" t="s">
        <v>637</v>
      </c>
      <c r="D235" s="10" t="n">
        <v>0</v>
      </c>
      <c r="E235" s="10" t="n">
        <v>0</v>
      </c>
      <c r="F235" s="10" t="n">
        <v>281.1</v>
      </c>
      <c r="G235" s="10" t="n">
        <v>0</v>
      </c>
      <c r="H235" s="10" t="n">
        <v>0</v>
      </c>
      <c r="I235" s="10" t="n">
        <v>1333.8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0" t="n">
        <v>0</v>
      </c>
      <c r="P235" s="10" t="n">
        <v>0</v>
      </c>
      <c r="Q235" s="10" t="n">
        <v>984</v>
      </c>
      <c r="R235" s="10" t="n">
        <v>349.8</v>
      </c>
      <c r="S235" s="10" t="n">
        <v>0</v>
      </c>
      <c r="T235" s="10" t="n">
        <v>0</v>
      </c>
      <c r="U235" s="10" t="n">
        <v>0</v>
      </c>
    </row>
    <row r="236" customFormat="false" ht="15" hidden="false" customHeight="false" outlineLevel="0" collapsed="false">
      <c r="A236" s="7" t="s">
        <v>394</v>
      </c>
      <c r="B236" s="7" t="s">
        <v>89</v>
      </c>
      <c r="C236" s="7" t="s">
        <v>638</v>
      </c>
      <c r="D236" s="10" t="n">
        <v>0</v>
      </c>
      <c r="E236" s="10" t="n">
        <v>0</v>
      </c>
      <c r="F236" s="10" t="n">
        <v>187.4</v>
      </c>
      <c r="G236" s="10" t="n">
        <v>0</v>
      </c>
      <c r="H236" s="10" t="n">
        <v>0</v>
      </c>
      <c r="I236" s="10" t="n">
        <v>1757.5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1267.9</v>
      </c>
      <c r="R236" s="10" t="n">
        <v>489.7</v>
      </c>
      <c r="S236" s="10" t="n">
        <v>0</v>
      </c>
      <c r="T236" s="10" t="n">
        <v>0</v>
      </c>
      <c r="U236" s="10" t="n">
        <v>0</v>
      </c>
    </row>
    <row r="237" customFormat="false" ht="15" hidden="false" customHeight="false" outlineLevel="0" collapsed="false">
      <c r="A237" s="7" t="s">
        <v>394</v>
      </c>
      <c r="B237" s="7" t="s">
        <v>89</v>
      </c>
      <c r="C237" s="7" t="s">
        <v>639</v>
      </c>
      <c r="D237" s="10" t="n">
        <v>0</v>
      </c>
      <c r="E237" s="10" t="n">
        <v>0</v>
      </c>
      <c r="F237" s="10" t="n">
        <v>1554</v>
      </c>
      <c r="G237" s="10" t="n">
        <v>0</v>
      </c>
      <c r="H237" s="10" t="n">
        <v>0</v>
      </c>
      <c r="I237" s="10" t="n">
        <v>6709.5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0" t="n">
        <v>0</v>
      </c>
      <c r="P237" s="10" t="n">
        <v>-139.9</v>
      </c>
      <c r="Q237" s="10" t="n">
        <v>6289.8</v>
      </c>
      <c r="R237" s="10" t="n">
        <v>559.6</v>
      </c>
      <c r="S237" s="10" t="n">
        <v>0</v>
      </c>
      <c r="T237" s="10" t="n">
        <v>0</v>
      </c>
      <c r="U237" s="10" t="n">
        <v>0</v>
      </c>
    </row>
    <row r="238" customFormat="false" ht="15" hidden="false" customHeight="false" outlineLevel="0" collapsed="false">
      <c r="A238" s="7" t="s">
        <v>394</v>
      </c>
      <c r="B238" s="7" t="s">
        <v>89</v>
      </c>
      <c r="C238" s="7" t="s">
        <v>640</v>
      </c>
      <c r="D238" s="10" t="n">
        <v>0</v>
      </c>
      <c r="E238" s="10" t="n">
        <v>0</v>
      </c>
      <c r="F238" s="10" t="n">
        <v>1770</v>
      </c>
      <c r="G238" s="10" t="n">
        <v>0</v>
      </c>
      <c r="H238" s="10" t="n">
        <v>0</v>
      </c>
      <c r="I238" s="10" t="n">
        <v>7366.4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0" t="n">
        <v>0</v>
      </c>
      <c r="P238" s="10" t="n">
        <v>0</v>
      </c>
      <c r="Q238" s="10" t="n">
        <v>6806.8</v>
      </c>
      <c r="R238" s="10" t="n">
        <v>559.6</v>
      </c>
      <c r="S238" s="10" t="n">
        <v>0</v>
      </c>
      <c r="T238" s="10" t="n">
        <v>0</v>
      </c>
      <c r="U238" s="10" t="n">
        <v>0</v>
      </c>
    </row>
    <row r="239" customFormat="false" ht="15" hidden="false" customHeight="false" outlineLevel="0" collapsed="false">
      <c r="A239" s="7" t="s">
        <v>394</v>
      </c>
      <c r="B239" s="7" t="s">
        <v>89</v>
      </c>
      <c r="C239" s="7" t="s">
        <v>641</v>
      </c>
      <c r="D239" s="10" t="n">
        <v>0</v>
      </c>
      <c r="E239" s="10" t="n">
        <v>0</v>
      </c>
      <c r="F239" s="10" t="n">
        <v>1761.4</v>
      </c>
      <c r="G239" s="10" t="n">
        <v>0</v>
      </c>
      <c r="H239" s="10" t="n">
        <v>0</v>
      </c>
      <c r="I239" s="10" t="n">
        <v>8883.5</v>
      </c>
      <c r="J239" s="10" t="n">
        <v>0</v>
      </c>
      <c r="K239" s="10" t="n">
        <v>209.9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-70</v>
      </c>
      <c r="Q239" s="10" t="n">
        <v>8044.1</v>
      </c>
      <c r="R239" s="10" t="n">
        <v>699.5</v>
      </c>
      <c r="S239" s="10" t="n">
        <v>0</v>
      </c>
      <c r="T239" s="10" t="n">
        <v>0</v>
      </c>
      <c r="U239" s="10" t="n">
        <v>0</v>
      </c>
    </row>
    <row r="240" customFormat="false" ht="15" hidden="false" customHeight="false" outlineLevel="0" collapsed="false">
      <c r="A240" s="7" t="s">
        <v>394</v>
      </c>
      <c r="B240" s="7" t="s">
        <v>113</v>
      </c>
      <c r="C240" s="7" t="s">
        <v>642</v>
      </c>
      <c r="D240" s="10" t="n">
        <v>0</v>
      </c>
      <c r="E240" s="10" t="n">
        <v>0</v>
      </c>
      <c r="F240" s="10" t="n">
        <v>796.2</v>
      </c>
      <c r="G240" s="10" t="n">
        <v>0</v>
      </c>
      <c r="H240" s="10" t="n">
        <v>0</v>
      </c>
      <c r="I240" s="10" t="n">
        <v>2051.7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2051.7</v>
      </c>
      <c r="R240" s="10" t="n">
        <v>0</v>
      </c>
      <c r="S240" s="10" t="n">
        <v>0</v>
      </c>
      <c r="T240" s="10" t="n">
        <v>875</v>
      </c>
      <c r="U240" s="10" t="n">
        <v>0</v>
      </c>
    </row>
    <row r="241" customFormat="false" ht="15" hidden="false" customHeight="false" outlineLevel="0" collapsed="false">
      <c r="A241" s="7" t="s">
        <v>394</v>
      </c>
      <c r="B241" s="7" t="s">
        <v>113</v>
      </c>
      <c r="C241" s="7" t="s">
        <v>643</v>
      </c>
      <c r="D241" s="10" t="n">
        <v>0</v>
      </c>
      <c r="E241" s="10" t="n">
        <v>0</v>
      </c>
      <c r="F241" s="10" t="n">
        <v>1897</v>
      </c>
      <c r="G241" s="10" t="n">
        <v>0</v>
      </c>
      <c r="H241" s="10" t="n">
        <v>0</v>
      </c>
      <c r="I241" s="10" t="n">
        <v>12647.6</v>
      </c>
      <c r="J241" s="10" t="n">
        <v>0</v>
      </c>
      <c r="K241" s="10" t="n">
        <v>630.4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-57.3</v>
      </c>
      <c r="Q241" s="10" t="n">
        <v>4452.2</v>
      </c>
      <c r="R241" s="10" t="n">
        <v>7622.2</v>
      </c>
      <c r="S241" s="10" t="n">
        <v>0</v>
      </c>
      <c r="T241" s="10" t="n">
        <v>1686.8</v>
      </c>
      <c r="U241" s="10" t="n">
        <v>0</v>
      </c>
    </row>
    <row r="242" customFormat="false" ht="15" hidden="false" customHeight="false" outlineLevel="0" collapsed="false">
      <c r="A242" s="7" t="s">
        <v>394</v>
      </c>
      <c r="B242" s="7" t="s">
        <v>113</v>
      </c>
      <c r="C242" s="7" t="s">
        <v>644</v>
      </c>
      <c r="D242" s="10" t="n">
        <v>0</v>
      </c>
      <c r="E242" s="10" t="n">
        <v>0</v>
      </c>
      <c r="F242" s="10" t="n">
        <v>3859.5</v>
      </c>
      <c r="G242" s="10" t="n">
        <v>0</v>
      </c>
      <c r="H242" s="10" t="n">
        <v>0</v>
      </c>
      <c r="I242" s="10" t="n">
        <v>11303</v>
      </c>
      <c r="J242" s="10" t="n">
        <v>0</v>
      </c>
      <c r="K242" s="10" t="n">
        <v>458.5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-171.9</v>
      </c>
      <c r="Q242" s="10" t="n">
        <v>3738.1</v>
      </c>
      <c r="R242" s="10" t="n">
        <v>7278.4</v>
      </c>
      <c r="S242" s="10" t="n">
        <v>0</v>
      </c>
      <c r="T242" s="10" t="n">
        <v>2161.2</v>
      </c>
      <c r="U242" s="10" t="n">
        <v>0</v>
      </c>
    </row>
    <row r="243" customFormat="false" ht="15" hidden="false" customHeight="false" outlineLevel="0" collapsed="false">
      <c r="A243" s="7" t="s">
        <v>394</v>
      </c>
      <c r="B243" s="7" t="s">
        <v>162</v>
      </c>
      <c r="C243" s="7" t="s">
        <v>645</v>
      </c>
      <c r="D243" s="10" t="n">
        <v>0</v>
      </c>
      <c r="E243" s="10" t="n">
        <v>0</v>
      </c>
      <c r="F243" s="10" t="n">
        <v>1601.9</v>
      </c>
      <c r="G243" s="10" t="n">
        <v>0</v>
      </c>
      <c r="H243" s="10" t="n">
        <v>0</v>
      </c>
      <c r="I243" s="10" t="n">
        <v>9531.8</v>
      </c>
      <c r="J243" s="10" t="n">
        <v>0</v>
      </c>
      <c r="K243" s="10" t="n">
        <v>171.9</v>
      </c>
      <c r="L243" s="10" t="n">
        <v>0</v>
      </c>
      <c r="M243" s="10" t="n">
        <v>0</v>
      </c>
      <c r="N243" s="10" t="n">
        <v>0</v>
      </c>
      <c r="O243" s="10" t="n">
        <v>0</v>
      </c>
      <c r="P243" s="10" t="n">
        <v>-57.3</v>
      </c>
      <c r="Q243" s="10" t="n">
        <v>3227.7</v>
      </c>
      <c r="R243" s="10" t="n">
        <v>6189.5</v>
      </c>
      <c r="S243" s="10" t="n">
        <v>0</v>
      </c>
      <c r="T243" s="10" t="n">
        <v>906.6</v>
      </c>
      <c r="U243" s="10" t="n">
        <v>0</v>
      </c>
    </row>
    <row r="244" customFormat="false" ht="15" hidden="false" customHeight="false" outlineLevel="0" collapsed="false">
      <c r="A244" s="7" t="s">
        <v>394</v>
      </c>
      <c r="B244" s="7" t="s">
        <v>318</v>
      </c>
      <c r="C244" s="7" t="s">
        <v>946</v>
      </c>
      <c r="D244" s="10" t="n">
        <v>0</v>
      </c>
      <c r="E244" s="10" t="n">
        <v>0</v>
      </c>
      <c r="F244" s="10" t="n">
        <v>168.5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</row>
    <row r="245" customFormat="false" ht="15" hidden="false" customHeight="false" outlineLevel="0" collapsed="false">
      <c r="A245" s="7" t="s">
        <v>394</v>
      </c>
      <c r="B245" s="7" t="s">
        <v>254</v>
      </c>
      <c r="C245" s="7" t="s">
        <v>650</v>
      </c>
      <c r="D245" s="10" t="n">
        <v>0</v>
      </c>
      <c r="E245" s="10" t="n">
        <v>0</v>
      </c>
      <c r="F245" s="10" t="n">
        <v>0</v>
      </c>
      <c r="G245" s="10" t="n">
        <v>0</v>
      </c>
      <c r="H245" s="10" t="n">
        <v>0</v>
      </c>
      <c r="I245" s="10" t="n">
        <v>-81.9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-81.9</v>
      </c>
      <c r="R245" s="10" t="n">
        <v>0</v>
      </c>
      <c r="S245" s="10" t="n">
        <v>0</v>
      </c>
      <c r="T245" s="10" t="n">
        <v>0</v>
      </c>
      <c r="U245" s="10" t="n">
        <v>0</v>
      </c>
    </row>
    <row r="246" customFormat="false" ht="15" hidden="false" customHeight="false" outlineLevel="0" collapsed="false">
      <c r="A246" s="7" t="s">
        <v>394</v>
      </c>
      <c r="B246" s="7" t="s">
        <v>204</v>
      </c>
      <c r="C246" s="7" t="s">
        <v>654</v>
      </c>
      <c r="D246" s="10" t="n">
        <v>0</v>
      </c>
      <c r="E246" s="10" t="n">
        <v>0</v>
      </c>
      <c r="F246" s="10" t="n">
        <v>94.6</v>
      </c>
      <c r="G246" s="10" t="n">
        <v>0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</row>
    <row r="247" customFormat="false" ht="15" hidden="false" customHeight="false" outlineLevel="0" collapsed="false">
      <c r="A247" s="7" t="s">
        <v>394</v>
      </c>
      <c r="B247" s="7" t="s">
        <v>204</v>
      </c>
      <c r="C247" s="7" t="s">
        <v>655</v>
      </c>
      <c r="D247" s="10" t="n">
        <v>0</v>
      </c>
      <c r="E247" s="10" t="n">
        <v>0</v>
      </c>
      <c r="F247" s="10" t="n">
        <v>94.6</v>
      </c>
      <c r="G247" s="10" t="n">
        <v>0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0</v>
      </c>
      <c r="U247" s="10" t="n">
        <v>0</v>
      </c>
    </row>
    <row r="248" customFormat="false" ht="15" hidden="false" customHeight="false" outlineLevel="0" collapsed="false">
      <c r="A248" s="7" t="s">
        <v>394</v>
      </c>
      <c r="B248" s="7" t="s">
        <v>204</v>
      </c>
      <c r="C248" s="7" t="s">
        <v>656</v>
      </c>
      <c r="D248" s="10" t="n">
        <v>0</v>
      </c>
      <c r="E248" s="10" t="n">
        <v>0</v>
      </c>
      <c r="F248" s="10" t="n">
        <v>189.3</v>
      </c>
      <c r="G248" s="10" t="n">
        <v>0</v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n">
        <v>0</v>
      </c>
      <c r="S248" s="10" t="n">
        <v>0</v>
      </c>
      <c r="T248" s="10" t="n">
        <v>0</v>
      </c>
      <c r="U248" s="10" t="n">
        <v>0</v>
      </c>
    </row>
    <row r="249" customFormat="false" ht="15" hidden="false" customHeight="false" outlineLevel="0" collapsed="false">
      <c r="A249" s="7" t="s">
        <v>394</v>
      </c>
      <c r="B249" s="7" t="s">
        <v>191</v>
      </c>
      <c r="C249" s="7" t="s">
        <v>659</v>
      </c>
      <c r="D249" s="10" t="n">
        <v>0</v>
      </c>
      <c r="E249" s="10" t="n">
        <v>0</v>
      </c>
      <c r="F249" s="10" t="n">
        <v>0</v>
      </c>
      <c r="G249" s="10" t="n">
        <v>0</v>
      </c>
      <c r="H249" s="10" t="n">
        <v>0</v>
      </c>
      <c r="I249" s="10" t="n">
        <v>97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0" t="n">
        <v>0</v>
      </c>
      <c r="P249" s="10" t="n">
        <v>0</v>
      </c>
      <c r="Q249" s="10" t="n">
        <v>0</v>
      </c>
      <c r="R249" s="10" t="n">
        <v>97</v>
      </c>
      <c r="S249" s="10" t="n">
        <v>0</v>
      </c>
      <c r="T249" s="10" t="n">
        <v>0</v>
      </c>
      <c r="U249" s="10" t="n">
        <v>0</v>
      </c>
    </row>
    <row r="250" customFormat="false" ht="15" hidden="false" customHeight="false" outlineLevel="0" collapsed="false">
      <c r="A250" s="7" t="s">
        <v>394</v>
      </c>
      <c r="B250" s="7" t="s">
        <v>230</v>
      </c>
      <c r="C250" s="7" t="s">
        <v>661</v>
      </c>
      <c r="D250" s="10" t="n">
        <v>0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824.8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630.7</v>
      </c>
      <c r="R250" s="10" t="n">
        <v>194.1</v>
      </c>
      <c r="S250" s="10" t="n">
        <v>0</v>
      </c>
      <c r="T250" s="10" t="n">
        <v>0</v>
      </c>
      <c r="U250" s="10" t="n">
        <v>0</v>
      </c>
    </row>
    <row r="251" customFormat="false" ht="15" hidden="false" customHeight="false" outlineLevel="0" collapsed="false">
      <c r="A251" s="7" t="s">
        <v>394</v>
      </c>
      <c r="B251" s="7" t="s">
        <v>80</v>
      </c>
      <c r="C251" s="7" t="s">
        <v>662</v>
      </c>
      <c r="D251" s="10" t="n">
        <v>0</v>
      </c>
      <c r="E251" s="10" t="n">
        <v>0</v>
      </c>
      <c r="F251" s="10" t="n">
        <v>210.8</v>
      </c>
      <c r="G251" s="10" t="n">
        <v>0</v>
      </c>
      <c r="H251" s="10" t="n">
        <v>0</v>
      </c>
      <c r="I251" s="10" t="n">
        <v>4470.3</v>
      </c>
      <c r="J251" s="10" t="n">
        <v>0</v>
      </c>
      <c r="K251" s="10" t="n">
        <v>291.1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3014.9</v>
      </c>
      <c r="R251" s="10" t="n">
        <v>1164.4</v>
      </c>
      <c r="S251" s="10" t="n">
        <v>0</v>
      </c>
      <c r="T251" s="10" t="n">
        <v>0</v>
      </c>
      <c r="U251" s="10" t="n">
        <v>0</v>
      </c>
    </row>
    <row r="252" customFormat="false" ht="15" hidden="false" customHeight="false" outlineLevel="0" collapsed="false">
      <c r="A252" s="7" t="s">
        <v>394</v>
      </c>
      <c r="B252" s="7" t="s">
        <v>80</v>
      </c>
      <c r="C252" s="7" t="s">
        <v>663</v>
      </c>
      <c r="D252" s="10" t="n">
        <v>0</v>
      </c>
      <c r="E252" s="10" t="n">
        <v>0</v>
      </c>
      <c r="F252" s="10" t="n">
        <v>105.4</v>
      </c>
      <c r="G252" s="10" t="n">
        <v>0</v>
      </c>
      <c r="H252" s="10" t="n">
        <v>0</v>
      </c>
      <c r="I252" s="10" t="n">
        <v>3256.2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2674.1</v>
      </c>
      <c r="R252" s="10" t="n">
        <v>582.2</v>
      </c>
      <c r="S252" s="10" t="n">
        <v>0</v>
      </c>
      <c r="T252" s="10" t="n">
        <v>0</v>
      </c>
      <c r="U252" s="10" t="n">
        <v>0</v>
      </c>
    </row>
    <row r="253" customFormat="false" ht="15" hidden="false" customHeight="false" outlineLevel="0" collapsed="false">
      <c r="A253" s="7" t="s">
        <v>394</v>
      </c>
      <c r="B253" s="7" t="s">
        <v>80</v>
      </c>
      <c r="C253" s="7" t="s">
        <v>664</v>
      </c>
      <c r="D253" s="10" t="n">
        <v>0</v>
      </c>
      <c r="E253" s="10" t="n">
        <v>0</v>
      </c>
      <c r="F253" s="10" t="n">
        <v>210.8</v>
      </c>
      <c r="G253" s="10" t="n">
        <v>0</v>
      </c>
      <c r="H253" s="10" t="n">
        <v>0</v>
      </c>
      <c r="I253" s="10" t="n">
        <v>4520</v>
      </c>
      <c r="J253" s="10" t="n">
        <v>0</v>
      </c>
      <c r="K253" s="10" t="n">
        <v>97</v>
      </c>
      <c r="L253" s="10" t="n">
        <v>0</v>
      </c>
      <c r="M253" s="10" t="n">
        <v>0</v>
      </c>
      <c r="N253" s="10" t="n">
        <v>0</v>
      </c>
      <c r="O253" s="10" t="n">
        <v>0</v>
      </c>
      <c r="P253" s="10" t="n">
        <v>0</v>
      </c>
      <c r="Q253" s="10" t="n">
        <v>3646.7</v>
      </c>
      <c r="R253" s="10" t="n">
        <v>776.2</v>
      </c>
      <c r="S253" s="10" t="n">
        <v>0</v>
      </c>
      <c r="T253" s="10" t="n">
        <v>0</v>
      </c>
      <c r="U253" s="10" t="n">
        <v>0</v>
      </c>
    </row>
    <row r="254" customFormat="false" ht="15" hidden="false" customHeight="false" outlineLevel="0" collapsed="false">
      <c r="A254" s="7" t="s">
        <v>394</v>
      </c>
      <c r="B254" s="7" t="s">
        <v>208</v>
      </c>
      <c r="C254" s="7" t="s">
        <v>947</v>
      </c>
      <c r="D254" s="10" t="n">
        <v>0</v>
      </c>
      <c r="E254" s="10" t="n">
        <v>0</v>
      </c>
      <c r="F254" s="10" t="n">
        <v>0</v>
      </c>
      <c r="G254" s="10" t="n">
        <v>0</v>
      </c>
      <c r="H254" s="10" t="n">
        <v>0</v>
      </c>
      <c r="I254" s="10" t="n">
        <v>-204.8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-204.8</v>
      </c>
      <c r="R254" s="10" t="n">
        <v>0</v>
      </c>
      <c r="S254" s="10" t="n">
        <v>0</v>
      </c>
      <c r="T254" s="10" t="n">
        <v>0</v>
      </c>
      <c r="U254" s="10" t="n">
        <v>0</v>
      </c>
    </row>
    <row r="255" customFormat="false" ht="15" hidden="false" customHeight="false" outlineLevel="0" collapsed="false">
      <c r="A255" s="7" t="s">
        <v>394</v>
      </c>
      <c r="B255" s="7" t="s">
        <v>77</v>
      </c>
      <c r="C255" s="7" t="s">
        <v>665</v>
      </c>
      <c r="D255" s="10" t="n">
        <v>0</v>
      </c>
      <c r="E255" s="10" t="n">
        <v>0</v>
      </c>
      <c r="F255" s="10" t="n">
        <v>806</v>
      </c>
      <c r="G255" s="10" t="n">
        <v>0</v>
      </c>
      <c r="H255" s="10" t="n">
        <v>0</v>
      </c>
      <c r="I255" s="10" t="n">
        <v>3127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0" t="n">
        <v>0</v>
      </c>
      <c r="P255" s="10" t="n">
        <v>0</v>
      </c>
      <c r="Q255" s="10" t="n">
        <v>2774.1</v>
      </c>
      <c r="R255" s="10" t="n">
        <v>352.9</v>
      </c>
      <c r="S255" s="10" t="n">
        <v>0</v>
      </c>
      <c r="T255" s="10" t="n">
        <v>506</v>
      </c>
      <c r="U255" s="10" t="n">
        <v>0</v>
      </c>
    </row>
    <row r="256" customFormat="false" ht="15" hidden="false" customHeight="false" outlineLevel="0" collapsed="false">
      <c r="A256" s="7" t="s">
        <v>394</v>
      </c>
      <c r="B256" s="7" t="s">
        <v>77</v>
      </c>
      <c r="C256" s="7" t="s">
        <v>666</v>
      </c>
      <c r="D256" s="10" t="n">
        <v>0</v>
      </c>
      <c r="E256" s="10" t="n">
        <v>0</v>
      </c>
      <c r="F256" s="10" t="n">
        <v>2216.5</v>
      </c>
      <c r="G256" s="10" t="n">
        <v>0</v>
      </c>
      <c r="H256" s="10" t="n">
        <v>0</v>
      </c>
      <c r="I256" s="10" t="n">
        <v>17843.7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16961.5</v>
      </c>
      <c r="R256" s="10" t="n">
        <v>882.2</v>
      </c>
      <c r="S256" s="10" t="n">
        <v>0</v>
      </c>
      <c r="T256" s="10" t="n">
        <v>2498.4</v>
      </c>
      <c r="U256" s="10" t="n">
        <v>0</v>
      </c>
    </row>
    <row r="257" customFormat="false" ht="15" hidden="false" customHeight="false" outlineLevel="0" collapsed="false">
      <c r="A257" s="7" t="s">
        <v>394</v>
      </c>
      <c r="B257" s="7" t="s">
        <v>77</v>
      </c>
      <c r="C257" s="7" t="s">
        <v>667</v>
      </c>
      <c r="D257" s="10" t="n">
        <v>0</v>
      </c>
      <c r="E257" s="10" t="n">
        <v>0</v>
      </c>
      <c r="F257" s="10" t="n">
        <v>5346.4</v>
      </c>
      <c r="G257" s="10" t="n">
        <v>0</v>
      </c>
      <c r="H257" s="10" t="n">
        <v>0</v>
      </c>
      <c r="I257" s="10" t="n">
        <v>22430.6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20666.2</v>
      </c>
      <c r="R257" s="10" t="n">
        <v>1764.4</v>
      </c>
      <c r="S257" s="10" t="n">
        <v>0</v>
      </c>
      <c r="T257" s="10" t="n">
        <v>2340.3</v>
      </c>
      <c r="U257" s="10" t="n">
        <v>0</v>
      </c>
    </row>
    <row r="258" customFormat="false" ht="15" hidden="false" customHeight="false" outlineLevel="0" collapsed="false">
      <c r="A258" s="7" t="s">
        <v>394</v>
      </c>
      <c r="B258" s="7" t="s">
        <v>77</v>
      </c>
      <c r="C258" s="7" t="s">
        <v>668</v>
      </c>
      <c r="D258" s="10" t="n">
        <v>0</v>
      </c>
      <c r="E258" s="10" t="n">
        <v>0</v>
      </c>
      <c r="F258" s="10" t="n">
        <v>2793.2</v>
      </c>
      <c r="G258" s="10" t="n">
        <v>0</v>
      </c>
      <c r="H258" s="10" t="n">
        <v>0</v>
      </c>
      <c r="I258" s="10" t="n">
        <v>23084.9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21496.9</v>
      </c>
      <c r="R258" s="10" t="n">
        <v>1588</v>
      </c>
      <c r="S258" s="10" t="n">
        <v>0</v>
      </c>
      <c r="T258" s="10" t="n">
        <v>1771</v>
      </c>
      <c r="U258" s="10" t="n">
        <v>0</v>
      </c>
    </row>
    <row r="259" customFormat="false" ht="15" hidden="false" customHeight="false" outlineLevel="0" collapsed="false">
      <c r="A259" s="7" t="s">
        <v>394</v>
      </c>
      <c r="B259" s="7" t="s">
        <v>77</v>
      </c>
      <c r="C259" s="7" t="s">
        <v>669</v>
      </c>
      <c r="D259" s="10" t="n">
        <v>0</v>
      </c>
      <c r="E259" s="10" t="n">
        <v>0</v>
      </c>
      <c r="F259" s="10" t="n">
        <v>1410.5</v>
      </c>
      <c r="G259" s="10" t="n">
        <v>0</v>
      </c>
      <c r="H259" s="10" t="n">
        <v>0</v>
      </c>
      <c r="I259" s="10" t="n">
        <v>8605.7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0" t="n">
        <v>0</v>
      </c>
      <c r="P259" s="10" t="n">
        <v>0</v>
      </c>
      <c r="Q259" s="10" t="n">
        <v>8076.4</v>
      </c>
      <c r="R259" s="10" t="n">
        <v>529.3</v>
      </c>
      <c r="S259" s="10" t="n">
        <v>0</v>
      </c>
      <c r="T259" s="10" t="n">
        <v>885.5</v>
      </c>
      <c r="U259" s="10" t="n">
        <v>0</v>
      </c>
    </row>
    <row r="260" customFormat="false" ht="15" hidden="false" customHeight="false" outlineLevel="0" collapsed="false">
      <c r="A260" s="7" t="s">
        <v>394</v>
      </c>
      <c r="B260" s="7" t="s">
        <v>329</v>
      </c>
      <c r="C260" s="7" t="s">
        <v>670</v>
      </c>
      <c r="D260" s="10" t="n">
        <v>0</v>
      </c>
      <c r="E260" s="10" t="n">
        <v>0</v>
      </c>
      <c r="F260" s="10" t="n">
        <v>94.5</v>
      </c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0</v>
      </c>
    </row>
    <row r="261" customFormat="false" ht="15" hidden="false" customHeight="false" outlineLevel="0" collapsed="false">
      <c r="A261" s="7" t="s">
        <v>394</v>
      </c>
      <c r="B261" s="7" t="s">
        <v>298</v>
      </c>
      <c r="C261" s="7" t="s">
        <v>675</v>
      </c>
      <c r="D261" s="10" t="n">
        <v>0</v>
      </c>
      <c r="E261" s="10" t="n">
        <v>0</v>
      </c>
      <c r="F261" s="10" t="n">
        <v>118.6</v>
      </c>
      <c r="G261" s="10" t="n">
        <v>0</v>
      </c>
      <c r="H261" s="10" t="n">
        <v>0</v>
      </c>
      <c r="I261" s="10" t="n">
        <v>0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n">
        <v>0</v>
      </c>
      <c r="S261" s="10" t="n">
        <v>0</v>
      </c>
      <c r="T261" s="10" t="n">
        <v>0</v>
      </c>
      <c r="U261" s="10" t="n">
        <v>0</v>
      </c>
    </row>
    <row r="262" customFormat="false" ht="15" hidden="false" customHeight="false" outlineLevel="0" collapsed="false">
      <c r="A262" s="7" t="s">
        <v>394</v>
      </c>
      <c r="B262" s="7" t="s">
        <v>323</v>
      </c>
      <c r="C262" s="7" t="s">
        <v>948</v>
      </c>
      <c r="D262" s="10" t="n">
        <v>0</v>
      </c>
      <c r="E262" s="10" t="n">
        <v>0</v>
      </c>
      <c r="F262" s="10" t="n">
        <v>118.6</v>
      </c>
      <c r="G262" s="10" t="n">
        <v>0</v>
      </c>
      <c r="H262" s="10" t="n">
        <v>0</v>
      </c>
      <c r="I262" s="10" t="n">
        <v>0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</row>
    <row r="263" customFormat="false" ht="15" hidden="false" customHeight="false" outlineLevel="0" collapsed="false">
      <c r="A263" s="7" t="s">
        <v>394</v>
      </c>
      <c r="B263" s="7" t="s">
        <v>210</v>
      </c>
      <c r="C263" s="7" t="s">
        <v>679</v>
      </c>
      <c r="D263" s="10" t="n">
        <v>0</v>
      </c>
      <c r="E263" s="10" t="n">
        <v>0</v>
      </c>
      <c r="F263" s="10" t="n">
        <v>182.9</v>
      </c>
      <c r="G263" s="10" t="n">
        <v>0</v>
      </c>
      <c r="H263" s="10" t="n">
        <v>0</v>
      </c>
      <c r="I263" s="10" t="n">
        <v>250.1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0</v>
      </c>
      <c r="P263" s="10" t="n">
        <v>-126.1</v>
      </c>
      <c r="Q263" s="10" t="n">
        <v>114</v>
      </c>
      <c r="R263" s="10" t="n">
        <v>262.2</v>
      </c>
      <c r="S263" s="10" t="n">
        <v>0</v>
      </c>
      <c r="T263" s="10" t="n">
        <v>0</v>
      </c>
      <c r="U263" s="10" t="n">
        <v>0</v>
      </c>
    </row>
    <row r="264" customFormat="false" ht="15" hidden="false" customHeight="false" outlineLevel="0" collapsed="false">
      <c r="A264" s="7" t="s">
        <v>394</v>
      </c>
      <c r="B264" s="7" t="s">
        <v>210</v>
      </c>
      <c r="C264" s="7" t="s">
        <v>680</v>
      </c>
      <c r="D264" s="10" t="n">
        <v>0</v>
      </c>
      <c r="E264" s="10" t="n">
        <v>0</v>
      </c>
      <c r="F264" s="10" t="n">
        <v>75.7</v>
      </c>
      <c r="G264" s="10" t="n">
        <v>0</v>
      </c>
      <c r="H264" s="10" t="n">
        <v>0</v>
      </c>
      <c r="I264" s="10" t="n">
        <v>53.1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-121.7</v>
      </c>
      <c r="R264" s="10" t="n">
        <v>174.8</v>
      </c>
      <c r="S264" s="10" t="n">
        <v>0</v>
      </c>
      <c r="T264" s="10" t="n">
        <v>32.1</v>
      </c>
      <c r="U264" s="10" t="n">
        <v>0</v>
      </c>
    </row>
    <row r="265" customFormat="false" ht="15" hidden="false" customHeight="false" outlineLevel="0" collapsed="false">
      <c r="A265" s="7" t="s">
        <v>394</v>
      </c>
      <c r="B265" s="7" t="s">
        <v>210</v>
      </c>
      <c r="C265" s="7" t="s">
        <v>681</v>
      </c>
      <c r="D265" s="10" t="n">
        <v>0</v>
      </c>
      <c r="E265" s="10" t="n">
        <v>0</v>
      </c>
      <c r="F265" s="10" t="n">
        <v>34.8</v>
      </c>
      <c r="G265" s="10" t="n">
        <v>0</v>
      </c>
      <c r="H265" s="10" t="n">
        <v>0</v>
      </c>
      <c r="I265" s="10" t="n">
        <v>122.2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0</v>
      </c>
      <c r="P265" s="10" t="n">
        <v>0</v>
      </c>
      <c r="Q265" s="10" t="n">
        <v>122.2</v>
      </c>
      <c r="R265" s="10" t="n">
        <v>0</v>
      </c>
      <c r="S265" s="10" t="n">
        <v>0</v>
      </c>
      <c r="T265" s="10" t="n">
        <v>0</v>
      </c>
      <c r="U265" s="10" t="n">
        <v>0</v>
      </c>
    </row>
    <row r="266" customFormat="false" ht="15" hidden="false" customHeight="false" outlineLevel="0" collapsed="false">
      <c r="A266" s="7" t="s">
        <v>394</v>
      </c>
      <c r="B266" s="7" t="s">
        <v>178</v>
      </c>
      <c r="C266" s="7" t="s">
        <v>685</v>
      </c>
      <c r="D266" s="10" t="n">
        <v>0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-590.2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-590.2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</row>
    <row r="267" customFormat="false" ht="15" hidden="false" customHeight="false" outlineLevel="0" collapsed="false">
      <c r="A267" s="7" t="s">
        <v>394</v>
      </c>
      <c r="B267" s="7" t="s">
        <v>178</v>
      </c>
      <c r="C267" s="7" t="s">
        <v>686</v>
      </c>
      <c r="D267" s="10" t="n">
        <v>0</v>
      </c>
      <c r="E267" s="10" t="n">
        <v>0</v>
      </c>
      <c r="F267" s="10" t="n">
        <v>406.8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  <c r="S267" s="10" t="n">
        <v>0</v>
      </c>
      <c r="T267" s="10" t="n">
        <v>0</v>
      </c>
      <c r="U267" s="10" t="n">
        <v>0</v>
      </c>
    </row>
    <row r="268" customFormat="false" ht="15" hidden="false" customHeight="false" outlineLevel="0" collapsed="false">
      <c r="A268" s="7" t="s">
        <v>394</v>
      </c>
      <c r="B268" s="7" t="s">
        <v>89</v>
      </c>
      <c r="C268" s="7" t="s">
        <v>687</v>
      </c>
      <c r="D268" s="10" t="n">
        <v>0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-70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-70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</row>
    <row r="269" customFormat="false" ht="15" hidden="false" customHeight="false" outlineLevel="0" collapsed="false">
      <c r="A269" s="7" t="s">
        <v>394</v>
      </c>
      <c r="B269" s="7" t="s">
        <v>230</v>
      </c>
      <c r="C269" s="7" t="s">
        <v>688</v>
      </c>
      <c r="D269" s="10" t="n">
        <v>0</v>
      </c>
      <c r="E269" s="10" t="n">
        <v>0</v>
      </c>
      <c r="F269" s="10" t="n">
        <v>312</v>
      </c>
      <c r="G269" s="10" t="n">
        <v>0</v>
      </c>
      <c r="H269" s="10" t="n">
        <v>0</v>
      </c>
      <c r="I269" s="10" t="n">
        <v>1528.5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1528.5</v>
      </c>
      <c r="R269" s="10" t="n">
        <v>0</v>
      </c>
      <c r="S269" s="10" t="n">
        <v>0</v>
      </c>
      <c r="T269" s="10" t="n">
        <v>0</v>
      </c>
      <c r="U269" s="10" t="n">
        <v>0</v>
      </c>
    </row>
    <row r="270" customFormat="false" ht="15" hidden="false" customHeight="false" outlineLevel="0" collapsed="false">
      <c r="A270" s="7" t="s">
        <v>394</v>
      </c>
      <c r="B270" s="7" t="s">
        <v>305</v>
      </c>
      <c r="C270" s="7" t="s">
        <v>689</v>
      </c>
      <c r="D270" s="10" t="n">
        <v>0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</v>
      </c>
      <c r="T270" s="10" t="n">
        <v>158.1</v>
      </c>
      <c r="U270" s="10" t="n">
        <v>0</v>
      </c>
    </row>
    <row r="271" customFormat="false" ht="15" hidden="false" customHeight="false" outlineLevel="0" collapsed="false">
      <c r="A271" s="7" t="s">
        <v>394</v>
      </c>
      <c r="B271" s="7" t="s">
        <v>102</v>
      </c>
      <c r="C271" s="7" t="s">
        <v>690</v>
      </c>
      <c r="D271" s="10" t="n">
        <v>0</v>
      </c>
      <c r="E271" s="10" t="n">
        <v>0</v>
      </c>
      <c r="F271" s="10" t="n">
        <v>2293.5</v>
      </c>
      <c r="G271" s="10" t="n">
        <v>0</v>
      </c>
      <c r="H271" s="10" t="n">
        <v>0</v>
      </c>
      <c r="I271" s="10" t="n">
        <v>20141.7</v>
      </c>
      <c r="J271" s="10" t="n">
        <v>0</v>
      </c>
      <c r="K271" s="10" t="n">
        <v>201.8</v>
      </c>
      <c r="L271" s="10" t="n">
        <v>0</v>
      </c>
      <c r="M271" s="10" t="n">
        <v>65.5</v>
      </c>
      <c r="N271" s="10" t="n">
        <v>163.8</v>
      </c>
      <c r="O271" s="10" t="n">
        <v>0</v>
      </c>
      <c r="P271" s="10" t="n">
        <v>-201.8</v>
      </c>
      <c r="Q271" s="10" t="n">
        <v>18182.5</v>
      </c>
      <c r="R271" s="10" t="n">
        <v>1729.8</v>
      </c>
      <c r="S271" s="10" t="n">
        <v>0</v>
      </c>
      <c r="T271" s="10" t="n">
        <v>1262</v>
      </c>
      <c r="U271" s="10" t="n">
        <v>0</v>
      </c>
    </row>
    <row r="272" customFormat="false" ht="15" hidden="false" customHeight="false" outlineLevel="0" collapsed="false">
      <c r="A272" s="7" t="s">
        <v>394</v>
      </c>
      <c r="B272" s="7" t="s">
        <v>294</v>
      </c>
      <c r="C272" s="7" t="s">
        <v>692</v>
      </c>
      <c r="D272" s="10" t="n">
        <v>0</v>
      </c>
      <c r="E272" s="10" t="n">
        <v>0</v>
      </c>
      <c r="F272" s="10" t="n">
        <v>10761.9</v>
      </c>
      <c r="G272" s="10" t="n">
        <v>0</v>
      </c>
      <c r="H272" s="10" t="n">
        <v>0</v>
      </c>
      <c r="I272" s="10" t="n">
        <v>337.1</v>
      </c>
      <c r="J272" s="10" t="n">
        <v>0</v>
      </c>
      <c r="K272" s="10" t="n">
        <v>0</v>
      </c>
      <c r="L272" s="10" t="n">
        <v>0</v>
      </c>
      <c r="M272" s="10" t="n">
        <v>187.3</v>
      </c>
      <c r="N272" s="10" t="n">
        <v>149.8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</row>
    <row r="273" customFormat="false" ht="15" hidden="false" customHeight="false" outlineLevel="0" collapsed="false">
      <c r="A273" s="7" t="s">
        <v>394</v>
      </c>
      <c r="B273" s="7" t="s">
        <v>276</v>
      </c>
      <c r="C273" s="7" t="s">
        <v>693</v>
      </c>
      <c r="D273" s="10" t="n">
        <v>0</v>
      </c>
      <c r="E273" s="10" t="n">
        <v>0</v>
      </c>
      <c r="F273" s="10" t="n">
        <v>7022.6</v>
      </c>
      <c r="G273" s="10" t="n">
        <v>0</v>
      </c>
      <c r="H273" s="10" t="n">
        <v>0</v>
      </c>
      <c r="I273" s="10" t="n">
        <v>1982.6</v>
      </c>
      <c r="J273" s="10" t="n">
        <v>0</v>
      </c>
      <c r="K273" s="10" t="n">
        <v>180.2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1802.4</v>
      </c>
      <c r="S273" s="10" t="n">
        <v>0</v>
      </c>
      <c r="T273" s="10" t="n">
        <v>0</v>
      </c>
      <c r="U273" s="10" t="n">
        <v>0</v>
      </c>
    </row>
    <row r="274" customFormat="false" ht="15" hidden="false" customHeight="false" outlineLevel="0" collapsed="false">
      <c r="A274" s="7" t="s">
        <v>394</v>
      </c>
      <c r="B274" s="7" t="s">
        <v>66</v>
      </c>
      <c r="C274" s="7" t="s">
        <v>694</v>
      </c>
      <c r="D274" s="10" t="n">
        <v>0</v>
      </c>
      <c r="E274" s="10" t="n">
        <v>0</v>
      </c>
      <c r="F274" s="10" t="n">
        <v>32321.3</v>
      </c>
      <c r="G274" s="10" t="n">
        <v>0</v>
      </c>
      <c r="H274" s="10" t="n">
        <v>0</v>
      </c>
      <c r="I274" s="10" t="n">
        <v>31792.8</v>
      </c>
      <c r="J274" s="10" t="n">
        <v>0</v>
      </c>
      <c r="K274" s="10" t="n">
        <v>0</v>
      </c>
      <c r="L274" s="10" t="n">
        <v>0</v>
      </c>
      <c r="M274" s="10" t="n">
        <v>1199.2</v>
      </c>
      <c r="N274" s="10" t="n">
        <v>0</v>
      </c>
      <c r="O274" s="10" t="n">
        <v>0</v>
      </c>
      <c r="P274" s="10" t="n">
        <v>0</v>
      </c>
      <c r="Q274" s="10" t="n">
        <v>30593.7</v>
      </c>
      <c r="R274" s="10" t="n">
        <v>0</v>
      </c>
      <c r="S274" s="10" t="n">
        <v>0</v>
      </c>
      <c r="T274" s="10" t="n">
        <v>0</v>
      </c>
      <c r="U274" s="10" t="n">
        <v>0</v>
      </c>
    </row>
    <row r="275" customFormat="false" ht="15" hidden="false" customHeight="false" outlineLevel="0" collapsed="false">
      <c r="A275" s="7" t="s">
        <v>394</v>
      </c>
      <c r="B275" s="7" t="s">
        <v>302</v>
      </c>
      <c r="C275" s="7" t="s">
        <v>695</v>
      </c>
      <c r="D275" s="10" t="n">
        <v>0</v>
      </c>
      <c r="E275" s="10" t="n">
        <v>0</v>
      </c>
      <c r="F275" s="10" t="n">
        <v>1335.3</v>
      </c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  <c r="S275" s="10" t="n">
        <v>0</v>
      </c>
      <c r="T275" s="10" t="n">
        <v>0</v>
      </c>
      <c r="U275" s="10" t="n">
        <v>0</v>
      </c>
    </row>
    <row r="276" customFormat="false" ht="15" hidden="false" customHeight="false" outlineLevel="0" collapsed="false">
      <c r="A276" s="7" t="s">
        <v>394</v>
      </c>
      <c r="B276" s="7" t="s">
        <v>278</v>
      </c>
      <c r="C276" s="7" t="s">
        <v>696</v>
      </c>
      <c r="D276" s="10" t="n">
        <v>0</v>
      </c>
      <c r="E276" s="10" t="n">
        <v>0</v>
      </c>
      <c r="F276" s="10" t="n">
        <v>5845.3</v>
      </c>
      <c r="G276" s="10" t="n">
        <v>0</v>
      </c>
      <c r="H276" s="10" t="n">
        <v>0</v>
      </c>
      <c r="I276" s="10" t="n">
        <v>126.4</v>
      </c>
      <c r="J276" s="10" t="n">
        <v>0</v>
      </c>
      <c r="K276" s="10" t="n">
        <v>0</v>
      </c>
      <c r="L276" s="10" t="n">
        <v>0</v>
      </c>
      <c r="M276" s="10" t="n">
        <v>126.4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</row>
    <row r="277" customFormat="false" ht="15" hidden="false" customHeight="false" outlineLevel="0" collapsed="false">
      <c r="A277" s="7" t="s">
        <v>394</v>
      </c>
      <c r="B277" s="7" t="s">
        <v>58</v>
      </c>
      <c r="C277" s="7" t="s">
        <v>697</v>
      </c>
      <c r="D277" s="10" t="n">
        <v>0</v>
      </c>
      <c r="E277" s="10" t="n">
        <v>0</v>
      </c>
      <c r="F277" s="10" t="n">
        <v>195.6</v>
      </c>
      <c r="G277" s="10" t="n">
        <v>0</v>
      </c>
      <c r="H277" s="10" t="n">
        <v>0</v>
      </c>
      <c r="I277" s="10" t="n">
        <v>0</v>
      </c>
      <c r="J277" s="10" t="n">
        <v>0</v>
      </c>
      <c r="K277" s="10" t="n">
        <v>0</v>
      </c>
      <c r="L277" s="10" t="n">
        <v>0</v>
      </c>
      <c r="M277" s="10" t="n">
        <v>0</v>
      </c>
      <c r="N277" s="10" t="n">
        <v>0</v>
      </c>
      <c r="O277" s="10" t="n">
        <v>0</v>
      </c>
      <c r="P277" s="10" t="n">
        <v>0</v>
      </c>
      <c r="Q277" s="10" t="n">
        <v>0</v>
      </c>
      <c r="R277" s="10" t="n">
        <v>0</v>
      </c>
      <c r="S277" s="10" t="n">
        <v>0</v>
      </c>
      <c r="T277" s="10" t="n">
        <v>0</v>
      </c>
      <c r="U277" s="10" t="n">
        <v>0</v>
      </c>
    </row>
    <row r="278" customFormat="false" ht="15" hidden="false" customHeight="false" outlineLevel="0" collapsed="false">
      <c r="A278" s="7" t="s">
        <v>394</v>
      </c>
      <c r="B278" s="7" t="s">
        <v>146</v>
      </c>
      <c r="C278" s="7" t="s">
        <v>698</v>
      </c>
      <c r="D278" s="10" t="n">
        <v>0</v>
      </c>
      <c r="E278" s="10" t="n">
        <v>0</v>
      </c>
      <c r="F278" s="10" t="n">
        <v>1261.5</v>
      </c>
      <c r="G278" s="10" t="n">
        <v>0</v>
      </c>
      <c r="H278" s="10" t="n">
        <v>0</v>
      </c>
      <c r="I278" s="10" t="n">
        <v>2802.7</v>
      </c>
      <c r="J278" s="10" t="n">
        <v>0</v>
      </c>
      <c r="K278" s="10" t="n">
        <v>87.4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-43.7</v>
      </c>
      <c r="Q278" s="10" t="n">
        <v>2453.1</v>
      </c>
      <c r="R278" s="10" t="n">
        <v>305.9</v>
      </c>
      <c r="S278" s="10" t="n">
        <v>0</v>
      </c>
      <c r="T278" s="10" t="n">
        <v>619.2</v>
      </c>
      <c r="U278" s="10" t="n">
        <v>0</v>
      </c>
    </row>
    <row r="279" customFormat="false" ht="15" hidden="false" customHeight="false" outlineLevel="0" collapsed="false">
      <c r="A279" s="7" t="s">
        <v>394</v>
      </c>
      <c r="B279" s="7" t="s">
        <v>69</v>
      </c>
      <c r="C279" s="7" t="s">
        <v>703</v>
      </c>
      <c r="D279" s="10" t="n">
        <v>0</v>
      </c>
      <c r="E279" s="10" t="n">
        <v>0</v>
      </c>
      <c r="F279" s="10" t="n">
        <v>14900.5</v>
      </c>
      <c r="G279" s="10" t="n">
        <v>0</v>
      </c>
      <c r="H279" s="10" t="n">
        <v>0</v>
      </c>
      <c r="I279" s="10" t="n">
        <v>50431.7</v>
      </c>
      <c r="J279" s="10" t="n">
        <v>0</v>
      </c>
      <c r="K279" s="10" t="n">
        <v>202.1</v>
      </c>
      <c r="L279" s="10" t="n">
        <v>0</v>
      </c>
      <c r="M279" s="10" t="n">
        <v>0</v>
      </c>
      <c r="N279" s="10" t="n">
        <v>219.1</v>
      </c>
      <c r="O279" s="10" t="n">
        <v>0</v>
      </c>
      <c r="P279" s="10" t="n">
        <v>-101</v>
      </c>
      <c r="Q279" s="10" t="n">
        <v>44688.8</v>
      </c>
      <c r="R279" s="10" t="n">
        <v>5422.7</v>
      </c>
      <c r="S279" s="10" t="n">
        <v>0</v>
      </c>
      <c r="T279" s="10" t="n">
        <v>0</v>
      </c>
      <c r="U279" s="10" t="n">
        <v>0</v>
      </c>
    </row>
    <row r="280" customFormat="false" ht="15" hidden="false" customHeight="false" outlineLevel="0" collapsed="false">
      <c r="A280" s="7" t="s">
        <v>394</v>
      </c>
      <c r="B280" s="7" t="s">
        <v>42</v>
      </c>
      <c r="C280" s="7" t="s">
        <v>704</v>
      </c>
      <c r="D280" s="10" t="n">
        <v>0</v>
      </c>
      <c r="E280" s="10" t="n">
        <v>0</v>
      </c>
      <c r="F280" s="10" t="n">
        <v>6058</v>
      </c>
      <c r="G280" s="10" t="n">
        <v>0</v>
      </c>
      <c r="H280" s="10" t="n">
        <v>0</v>
      </c>
      <c r="I280" s="10" t="n">
        <v>30774.1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-176.4</v>
      </c>
      <c r="Q280" s="10" t="n">
        <v>25746.7</v>
      </c>
      <c r="R280" s="10" t="n">
        <v>5203.8</v>
      </c>
      <c r="S280" s="10" t="n">
        <v>0</v>
      </c>
      <c r="T280" s="10" t="n">
        <v>0</v>
      </c>
      <c r="U280" s="10" t="n">
        <v>-137.4</v>
      </c>
    </row>
    <row r="281" customFormat="false" ht="15" hidden="false" customHeight="false" outlineLevel="0" collapsed="false">
      <c r="A281" s="7" t="s">
        <v>394</v>
      </c>
      <c r="B281" s="7" t="s">
        <v>42</v>
      </c>
      <c r="C281" s="7" t="s">
        <v>705</v>
      </c>
      <c r="D281" s="10" t="n">
        <v>0</v>
      </c>
      <c r="E281" s="10" t="n">
        <v>0</v>
      </c>
      <c r="F281" s="10" t="n">
        <v>4043.7</v>
      </c>
      <c r="G281" s="10" t="n">
        <v>0</v>
      </c>
      <c r="H281" s="10" t="n">
        <v>0</v>
      </c>
      <c r="I281" s="10" t="n">
        <v>37192.1</v>
      </c>
      <c r="J281" s="10" t="n">
        <v>0</v>
      </c>
      <c r="K281" s="10" t="n">
        <v>264.6</v>
      </c>
      <c r="L281" s="10" t="n">
        <v>0</v>
      </c>
      <c r="M281" s="10" t="n">
        <v>0</v>
      </c>
      <c r="N281" s="10" t="n">
        <v>0</v>
      </c>
      <c r="O281" s="10" t="n">
        <v>94.5</v>
      </c>
      <c r="P281" s="10" t="n">
        <v>-402</v>
      </c>
      <c r="Q281" s="10" t="n">
        <v>32031.2</v>
      </c>
      <c r="R281" s="10" t="n">
        <v>5203.8</v>
      </c>
      <c r="S281" s="10" t="n">
        <v>0</v>
      </c>
      <c r="T281" s="10" t="n">
        <v>0</v>
      </c>
      <c r="U281" s="10" t="n">
        <v>-274.9</v>
      </c>
    </row>
    <row r="282" customFormat="false" ht="15" hidden="false" customHeight="false" outlineLevel="0" collapsed="false">
      <c r="A282" s="7" t="s">
        <v>394</v>
      </c>
      <c r="B282" s="7" t="s">
        <v>42</v>
      </c>
      <c r="C282" s="7" t="s">
        <v>706</v>
      </c>
      <c r="D282" s="10" t="n">
        <v>0</v>
      </c>
      <c r="E282" s="10" t="n">
        <v>0</v>
      </c>
      <c r="F282" s="10" t="n">
        <v>2810.4</v>
      </c>
      <c r="G282" s="10" t="n">
        <v>0</v>
      </c>
      <c r="H282" s="10" t="n">
        <v>0</v>
      </c>
      <c r="I282" s="10" t="n">
        <v>26456.6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>
        <v>-176.4</v>
      </c>
      <c r="Q282" s="10" t="n">
        <v>22928.6</v>
      </c>
      <c r="R282" s="10" t="n">
        <v>3704.4</v>
      </c>
      <c r="S282" s="10" t="n">
        <v>0</v>
      </c>
      <c r="T282" s="10" t="n">
        <v>0</v>
      </c>
      <c r="U282" s="10" t="n">
        <v>0</v>
      </c>
    </row>
    <row r="283" customFormat="false" ht="15" hidden="false" customHeight="false" outlineLevel="0" collapsed="false">
      <c r="A283" s="7" t="s">
        <v>394</v>
      </c>
      <c r="B283" s="7" t="s">
        <v>42</v>
      </c>
      <c r="C283" s="7" t="s">
        <v>707</v>
      </c>
      <c r="D283" s="10" t="n">
        <v>0</v>
      </c>
      <c r="E283" s="10" t="n">
        <v>0</v>
      </c>
      <c r="F283" s="10" t="n">
        <v>2941.9</v>
      </c>
      <c r="G283" s="10" t="n">
        <v>0</v>
      </c>
      <c r="H283" s="10" t="n">
        <v>0</v>
      </c>
      <c r="I283" s="10" t="n">
        <v>19240</v>
      </c>
      <c r="J283" s="10" t="n">
        <v>0</v>
      </c>
      <c r="K283" s="10" t="n">
        <v>352.8</v>
      </c>
      <c r="L283" s="10" t="n">
        <v>0</v>
      </c>
      <c r="M283" s="10" t="n">
        <v>0</v>
      </c>
      <c r="N283" s="10" t="n">
        <v>0</v>
      </c>
      <c r="O283" s="10" t="n">
        <v>0</v>
      </c>
      <c r="P283" s="10" t="n">
        <v>-88.2</v>
      </c>
      <c r="Q283" s="10" t="n">
        <v>16329.4</v>
      </c>
      <c r="R283" s="10" t="n">
        <v>2646</v>
      </c>
      <c r="S283" s="10" t="n">
        <v>0</v>
      </c>
      <c r="T283" s="10" t="n">
        <v>0</v>
      </c>
      <c r="U283" s="10" t="n">
        <v>-137.4</v>
      </c>
    </row>
    <row r="284" customFormat="false" ht="15" hidden="false" customHeight="false" outlineLevel="0" collapsed="false">
      <c r="A284" s="7" t="s">
        <v>394</v>
      </c>
      <c r="B284" s="7" t="s">
        <v>42</v>
      </c>
      <c r="C284" s="7" t="s">
        <v>708</v>
      </c>
      <c r="D284" s="10" t="n">
        <v>0</v>
      </c>
      <c r="E284" s="10" t="n">
        <v>0</v>
      </c>
      <c r="F284" s="10" t="n">
        <v>206.1</v>
      </c>
      <c r="G284" s="10" t="n">
        <v>0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  <c r="S284" s="10" t="n">
        <v>0</v>
      </c>
      <c r="T284" s="10" t="n">
        <v>0</v>
      </c>
      <c r="U284" s="10" t="n">
        <v>0</v>
      </c>
    </row>
    <row r="285" customFormat="false" ht="15" hidden="false" customHeight="false" outlineLevel="0" collapsed="false">
      <c r="A285" s="7" t="s">
        <v>394</v>
      </c>
      <c r="B285" s="7" t="s">
        <v>52</v>
      </c>
      <c r="C285" s="7" t="s">
        <v>709</v>
      </c>
      <c r="D285" s="10" t="n">
        <v>0</v>
      </c>
      <c r="E285" s="10" t="n">
        <v>0</v>
      </c>
      <c r="F285" s="10" t="n">
        <v>3194.4</v>
      </c>
      <c r="G285" s="10" t="n">
        <v>0</v>
      </c>
      <c r="H285" s="10" t="n">
        <v>0</v>
      </c>
      <c r="I285" s="10" t="n">
        <v>29013.6</v>
      </c>
      <c r="J285" s="10" t="n">
        <v>0</v>
      </c>
      <c r="K285" s="10" t="n">
        <v>176.4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-176.4</v>
      </c>
      <c r="Q285" s="10" t="n">
        <v>24780</v>
      </c>
      <c r="R285" s="10" t="n">
        <v>4233.6</v>
      </c>
      <c r="S285" s="10" t="n">
        <v>0</v>
      </c>
      <c r="T285" s="10" t="n">
        <v>0</v>
      </c>
      <c r="U285" s="10" t="n">
        <v>0</v>
      </c>
    </row>
    <row r="286" customFormat="false" ht="15" hidden="false" customHeight="false" outlineLevel="0" collapsed="false">
      <c r="A286" s="7" t="s">
        <v>394</v>
      </c>
      <c r="B286" s="7" t="s">
        <v>52</v>
      </c>
      <c r="C286" s="7" t="s">
        <v>710</v>
      </c>
      <c r="D286" s="10" t="n">
        <v>0</v>
      </c>
      <c r="E286" s="10" t="n">
        <v>0</v>
      </c>
      <c r="F286" s="10" t="n">
        <v>4351.2</v>
      </c>
      <c r="G286" s="10" t="n">
        <v>0</v>
      </c>
      <c r="H286" s="10" t="n">
        <v>0</v>
      </c>
      <c r="I286" s="10" t="n">
        <v>43599.5</v>
      </c>
      <c r="J286" s="10" t="n">
        <v>0</v>
      </c>
      <c r="K286" s="10" t="n">
        <v>176.4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-1587.6</v>
      </c>
      <c r="Q286" s="10" t="n">
        <v>38572.1</v>
      </c>
      <c r="R286" s="10" t="n">
        <v>6438.6</v>
      </c>
      <c r="S286" s="10" t="n">
        <v>0</v>
      </c>
      <c r="T286" s="10" t="n">
        <v>0</v>
      </c>
      <c r="U286" s="10" t="n">
        <v>0</v>
      </c>
    </row>
    <row r="287" customFormat="false" ht="15" hidden="false" customHeight="false" outlineLevel="0" collapsed="false">
      <c r="A287" s="7" t="s">
        <v>394</v>
      </c>
      <c r="B287" s="7" t="s">
        <v>52</v>
      </c>
      <c r="C287" s="7" t="s">
        <v>711</v>
      </c>
      <c r="D287" s="10" t="n">
        <v>0</v>
      </c>
      <c r="E287" s="10" t="n">
        <v>0</v>
      </c>
      <c r="F287" s="10" t="n">
        <v>1308.9</v>
      </c>
      <c r="G287" s="10" t="n">
        <v>0</v>
      </c>
      <c r="H287" s="10" t="n">
        <v>0</v>
      </c>
      <c r="I287" s="10" t="n">
        <v>41426.3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0" t="n">
        <v>0</v>
      </c>
      <c r="P287" s="10" t="n">
        <v>-88.2</v>
      </c>
      <c r="Q287" s="10" t="n">
        <v>36046.1</v>
      </c>
      <c r="R287" s="10" t="n">
        <v>5468.4</v>
      </c>
      <c r="S287" s="10" t="n">
        <v>0</v>
      </c>
      <c r="T287" s="10" t="n">
        <v>0</v>
      </c>
      <c r="U287" s="10" t="n">
        <v>0</v>
      </c>
    </row>
    <row r="288" customFormat="false" ht="15" hidden="false" customHeight="false" outlineLevel="0" collapsed="false">
      <c r="A288" s="7" t="s">
        <v>394</v>
      </c>
      <c r="B288" s="7" t="s">
        <v>52</v>
      </c>
      <c r="C288" s="7" t="s">
        <v>712</v>
      </c>
      <c r="D288" s="10" t="n">
        <v>0</v>
      </c>
      <c r="E288" s="10" t="n">
        <v>0</v>
      </c>
      <c r="F288" s="10" t="n">
        <v>1791</v>
      </c>
      <c r="G288" s="10" t="n">
        <v>0</v>
      </c>
      <c r="H288" s="10" t="n">
        <v>89.3</v>
      </c>
      <c r="I288" s="10" t="n">
        <v>3802.1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-264.6</v>
      </c>
      <c r="Q288" s="10" t="n">
        <v>2479.1</v>
      </c>
      <c r="R288" s="10" t="n">
        <v>1587.6</v>
      </c>
      <c r="S288" s="10" t="n">
        <v>0</v>
      </c>
      <c r="T288" s="10" t="n">
        <v>0</v>
      </c>
      <c r="U288" s="10" t="n">
        <v>0</v>
      </c>
    </row>
    <row r="289" customFormat="false" ht="15" hidden="false" customHeight="false" outlineLevel="0" collapsed="false">
      <c r="A289" s="7" t="s">
        <v>394</v>
      </c>
      <c r="B289" s="7" t="s">
        <v>312</v>
      </c>
      <c r="C289" s="7" t="s">
        <v>949</v>
      </c>
      <c r="D289" s="10" t="n">
        <v>0</v>
      </c>
      <c r="E289" s="10" t="n">
        <v>0</v>
      </c>
      <c r="F289" s="10" t="n">
        <v>425.5</v>
      </c>
      <c r="G289" s="10" t="n">
        <v>0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  <c r="S289" s="10" t="n">
        <v>0</v>
      </c>
      <c r="T289" s="10" t="n">
        <v>0</v>
      </c>
      <c r="U289" s="10" t="n">
        <v>0</v>
      </c>
    </row>
    <row r="290" customFormat="false" ht="15" hidden="false" customHeight="false" outlineLevel="0" collapsed="false">
      <c r="A290" s="7" t="s">
        <v>394</v>
      </c>
      <c r="B290" s="7" t="s">
        <v>224</v>
      </c>
      <c r="C290" s="7" t="s">
        <v>714</v>
      </c>
      <c r="D290" s="10" t="n">
        <v>120</v>
      </c>
      <c r="E290" s="10" t="n">
        <v>0</v>
      </c>
      <c r="F290" s="10" t="n">
        <v>974.9</v>
      </c>
      <c r="G290" s="10" t="n">
        <v>0</v>
      </c>
      <c r="H290" s="10" t="n">
        <v>0</v>
      </c>
      <c r="I290" s="10" t="n">
        <v>257.2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257.2</v>
      </c>
      <c r="R290" s="10" t="n">
        <v>0</v>
      </c>
      <c r="S290" s="10" t="n">
        <v>0</v>
      </c>
      <c r="T290" s="10" t="n">
        <v>632.8</v>
      </c>
      <c r="U290" s="10" t="n">
        <v>0</v>
      </c>
    </row>
    <row r="291" customFormat="false" ht="15" hidden="false" customHeight="false" outlineLevel="0" collapsed="false">
      <c r="A291" s="7" t="s">
        <v>394</v>
      </c>
      <c r="B291" s="7" t="s">
        <v>317</v>
      </c>
      <c r="C291" s="7" t="s">
        <v>715</v>
      </c>
      <c r="D291" s="10" t="n">
        <v>0</v>
      </c>
      <c r="E291" s="10" t="n">
        <v>0</v>
      </c>
      <c r="F291" s="10" t="n">
        <v>0</v>
      </c>
      <c r="G291" s="10" t="n">
        <v>0</v>
      </c>
      <c r="H291" s="10" t="n">
        <v>0</v>
      </c>
      <c r="I291" s="10" t="n">
        <v>617.4</v>
      </c>
      <c r="J291" s="10" t="n">
        <v>0</v>
      </c>
      <c r="K291" s="10" t="n">
        <v>0</v>
      </c>
      <c r="L291" s="10" t="n">
        <v>0</v>
      </c>
      <c r="M291" s="10" t="n">
        <v>0</v>
      </c>
      <c r="N291" s="10" t="n">
        <v>0</v>
      </c>
      <c r="O291" s="10" t="n">
        <v>0</v>
      </c>
      <c r="P291" s="10" t="n">
        <v>-264.6</v>
      </c>
      <c r="Q291" s="10" t="n">
        <v>0</v>
      </c>
      <c r="R291" s="10" t="n">
        <v>882</v>
      </c>
      <c r="S291" s="10" t="n">
        <v>0</v>
      </c>
      <c r="T291" s="10" t="n">
        <v>0</v>
      </c>
      <c r="U291" s="10" t="n">
        <v>0</v>
      </c>
    </row>
    <row r="292" customFormat="false" ht="15" hidden="false" customHeight="false" outlineLevel="0" collapsed="false">
      <c r="A292" s="7" t="s">
        <v>394</v>
      </c>
      <c r="B292" s="7" t="s">
        <v>272</v>
      </c>
      <c r="C292" s="7" t="s">
        <v>716</v>
      </c>
      <c r="D292" s="10" t="n">
        <v>0</v>
      </c>
      <c r="E292" s="10" t="n">
        <v>0</v>
      </c>
      <c r="F292" s="10" t="n">
        <v>7971.4</v>
      </c>
      <c r="G292" s="10" t="n">
        <v>0</v>
      </c>
      <c r="H292" s="10" t="n">
        <v>0</v>
      </c>
      <c r="I292" s="10" t="n">
        <v>847.6</v>
      </c>
      <c r="J292" s="10" t="n">
        <v>0</v>
      </c>
      <c r="K292" s="10" t="n">
        <v>0</v>
      </c>
      <c r="L292" s="10" t="n">
        <v>0</v>
      </c>
      <c r="M292" s="10" t="n">
        <v>93.6</v>
      </c>
      <c r="N292" s="10" t="n">
        <v>0</v>
      </c>
      <c r="O292" s="10" t="n">
        <v>0</v>
      </c>
      <c r="P292" s="10" t="n">
        <v>-68.5</v>
      </c>
      <c r="Q292" s="10" t="n">
        <v>0</v>
      </c>
      <c r="R292" s="10" t="n">
        <v>822.5</v>
      </c>
      <c r="S292" s="10" t="n">
        <v>0</v>
      </c>
      <c r="T292" s="10" t="n">
        <v>0</v>
      </c>
      <c r="U292" s="10" t="n">
        <v>0</v>
      </c>
    </row>
    <row r="293" customFormat="false" ht="15" hidden="false" customHeight="false" outlineLevel="0" collapsed="false">
      <c r="A293" s="7" t="s">
        <v>394</v>
      </c>
      <c r="B293" s="7" t="s">
        <v>273</v>
      </c>
      <c r="C293" s="7" t="s">
        <v>717</v>
      </c>
      <c r="D293" s="10" t="n">
        <v>0</v>
      </c>
      <c r="E293" s="10" t="n">
        <v>0</v>
      </c>
      <c r="F293" s="10" t="n">
        <v>11827</v>
      </c>
      <c r="G293" s="10" t="n">
        <v>0</v>
      </c>
      <c r="H293" s="10" t="n">
        <v>0</v>
      </c>
      <c r="I293" s="10" t="n">
        <v>995.5</v>
      </c>
      <c r="J293" s="10" t="n">
        <v>0</v>
      </c>
      <c r="K293" s="10" t="n">
        <v>0</v>
      </c>
      <c r="L293" s="10" t="n">
        <v>0</v>
      </c>
      <c r="M293" s="10" t="n">
        <v>93.6</v>
      </c>
      <c r="N293" s="10" t="n">
        <v>0</v>
      </c>
      <c r="O293" s="10" t="n">
        <v>79.4</v>
      </c>
      <c r="P293" s="10" t="n">
        <v>0</v>
      </c>
      <c r="Q293" s="10" t="n">
        <v>0</v>
      </c>
      <c r="R293" s="10" t="n">
        <v>822.5</v>
      </c>
      <c r="S293" s="10" t="n">
        <v>0</v>
      </c>
      <c r="T293" s="10" t="n">
        <v>0</v>
      </c>
      <c r="U293" s="10" t="n">
        <v>0</v>
      </c>
    </row>
    <row r="294" customFormat="false" ht="15" hidden="false" customHeight="false" outlineLevel="0" collapsed="false">
      <c r="A294" s="7" t="s">
        <v>394</v>
      </c>
      <c r="B294" s="7" t="s">
        <v>176</v>
      </c>
      <c r="C294" s="7" t="s">
        <v>718</v>
      </c>
      <c r="D294" s="10" t="n">
        <v>0</v>
      </c>
      <c r="E294" s="10" t="n">
        <v>0</v>
      </c>
      <c r="F294" s="10" t="n">
        <v>17324</v>
      </c>
      <c r="G294" s="10" t="n">
        <v>0</v>
      </c>
      <c r="H294" s="10" t="n">
        <v>0</v>
      </c>
      <c r="I294" s="10" t="n">
        <v>4799.3</v>
      </c>
      <c r="J294" s="10" t="n">
        <v>0</v>
      </c>
      <c r="K294" s="10" t="n">
        <v>0</v>
      </c>
      <c r="L294" s="10" t="n">
        <v>0</v>
      </c>
      <c r="M294" s="10" t="n">
        <v>126.4</v>
      </c>
      <c r="N294" s="10" t="n">
        <v>42.1</v>
      </c>
      <c r="O294" s="10" t="n">
        <v>0</v>
      </c>
      <c r="P294" s="10" t="n">
        <v>0</v>
      </c>
      <c r="Q294" s="10" t="n">
        <v>3548.1</v>
      </c>
      <c r="R294" s="10" t="n">
        <v>1082.7</v>
      </c>
      <c r="S294" s="10" t="n">
        <v>39.3</v>
      </c>
      <c r="T294" s="10" t="n">
        <v>3340</v>
      </c>
      <c r="U294" s="10" t="n">
        <v>0</v>
      </c>
    </row>
    <row r="295" customFormat="false" ht="15" hidden="false" customHeight="false" outlineLevel="0" collapsed="false">
      <c r="A295" s="7" t="s">
        <v>394</v>
      </c>
      <c r="B295" s="7" t="s">
        <v>220</v>
      </c>
      <c r="C295" s="7" t="s">
        <v>720</v>
      </c>
      <c r="D295" s="10" t="n">
        <v>0</v>
      </c>
      <c r="E295" s="10" t="n">
        <v>0</v>
      </c>
      <c r="F295" s="10" t="n">
        <v>209.7</v>
      </c>
      <c r="G295" s="10" t="n">
        <v>0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0" t="n">
        <v>0</v>
      </c>
      <c r="P295" s="10" t="n">
        <v>0</v>
      </c>
      <c r="Q295" s="10" t="n">
        <v>0</v>
      </c>
      <c r="R295" s="10" t="n">
        <v>0</v>
      </c>
      <c r="S295" s="10" t="n">
        <v>0</v>
      </c>
      <c r="T295" s="10" t="n">
        <v>0</v>
      </c>
      <c r="U295" s="10" t="n">
        <v>0</v>
      </c>
    </row>
    <row r="296" customFormat="false" ht="15" hidden="false" customHeight="false" outlineLevel="0" collapsed="false">
      <c r="A296" s="7" t="s">
        <v>394</v>
      </c>
      <c r="B296" s="7" t="s">
        <v>239</v>
      </c>
      <c r="C296" s="7" t="s">
        <v>721</v>
      </c>
      <c r="D296" s="10" t="n">
        <v>0</v>
      </c>
      <c r="E296" s="10" t="n">
        <v>0</v>
      </c>
      <c r="F296" s="10" t="n">
        <v>354.3</v>
      </c>
      <c r="G296" s="10" t="n">
        <v>0</v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  <c r="S296" s="10" t="n">
        <v>0</v>
      </c>
      <c r="T296" s="10" t="n">
        <v>0</v>
      </c>
      <c r="U296" s="10" t="n">
        <v>0</v>
      </c>
    </row>
    <row r="297" customFormat="false" ht="15" hidden="false" customHeight="false" outlineLevel="0" collapsed="false">
      <c r="A297" s="7" t="s">
        <v>394</v>
      </c>
      <c r="B297" s="7" t="s">
        <v>239</v>
      </c>
      <c r="C297" s="7" t="s">
        <v>722</v>
      </c>
      <c r="D297" s="10" t="n">
        <v>0</v>
      </c>
      <c r="E297" s="10" t="n">
        <v>0</v>
      </c>
      <c r="F297" s="10" t="n">
        <v>0</v>
      </c>
      <c r="G297" s="10" t="n">
        <v>0</v>
      </c>
      <c r="H297" s="10" t="n">
        <v>0</v>
      </c>
      <c r="I297" s="10" t="n">
        <v>-58.3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-58.3</v>
      </c>
      <c r="R297" s="10" t="n">
        <v>0</v>
      </c>
      <c r="S297" s="10" t="n">
        <v>0</v>
      </c>
      <c r="T297" s="10" t="n">
        <v>0</v>
      </c>
      <c r="U297" s="10" t="n">
        <v>0</v>
      </c>
    </row>
    <row r="298" customFormat="false" ht="15" hidden="false" customHeight="false" outlineLevel="0" collapsed="false">
      <c r="A298" s="7" t="s">
        <v>394</v>
      </c>
      <c r="B298" s="7" t="s">
        <v>239</v>
      </c>
      <c r="C298" s="7" t="s">
        <v>720</v>
      </c>
      <c r="D298" s="10" t="n">
        <v>0</v>
      </c>
      <c r="E298" s="10" t="n">
        <v>0</v>
      </c>
      <c r="F298" s="10" t="n">
        <v>70.9</v>
      </c>
      <c r="G298" s="10" t="n">
        <v>0</v>
      </c>
      <c r="H298" s="10" t="n">
        <v>0</v>
      </c>
      <c r="I298" s="10" t="n">
        <v>0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0</v>
      </c>
      <c r="T298" s="10" t="n">
        <v>0</v>
      </c>
      <c r="U298" s="10" t="n">
        <v>0</v>
      </c>
    </row>
    <row r="299" customFormat="false" ht="15" hidden="false" customHeight="false" outlineLevel="0" collapsed="false">
      <c r="A299" s="7" t="s">
        <v>394</v>
      </c>
      <c r="B299" s="7" t="s">
        <v>153</v>
      </c>
      <c r="C299" s="7" t="s">
        <v>723</v>
      </c>
      <c r="D299" s="10" t="n">
        <v>0</v>
      </c>
      <c r="E299" s="10" t="n">
        <v>0</v>
      </c>
      <c r="F299" s="10" t="n">
        <v>2706.4</v>
      </c>
      <c r="G299" s="10" t="n">
        <v>0</v>
      </c>
      <c r="H299" s="10" t="n">
        <v>0</v>
      </c>
      <c r="I299" s="10" t="n">
        <v>89097.6</v>
      </c>
      <c r="J299" s="10" t="n">
        <v>0</v>
      </c>
      <c r="K299" s="10" t="n">
        <v>63.1</v>
      </c>
      <c r="L299" s="10" t="n">
        <v>0</v>
      </c>
      <c r="M299" s="10" t="n">
        <v>0</v>
      </c>
      <c r="N299" s="10" t="n">
        <v>0</v>
      </c>
      <c r="O299" s="10" t="n">
        <v>0</v>
      </c>
      <c r="P299" s="10" t="n">
        <v>-630.5</v>
      </c>
      <c r="Q299" s="10" t="n">
        <v>79514</v>
      </c>
      <c r="R299" s="10" t="n">
        <v>10151.1</v>
      </c>
      <c r="S299" s="10" t="n">
        <v>0</v>
      </c>
      <c r="T299" s="10" t="n">
        <v>0</v>
      </c>
      <c r="U299" s="10" t="n">
        <v>-281</v>
      </c>
    </row>
    <row r="300" customFormat="false" ht="15" hidden="false" customHeight="false" outlineLevel="0" collapsed="false">
      <c r="A300" s="7" t="s">
        <v>394</v>
      </c>
      <c r="B300" s="7" t="s">
        <v>153</v>
      </c>
      <c r="C300" s="7" t="s">
        <v>724</v>
      </c>
      <c r="D300" s="10" t="n">
        <v>0</v>
      </c>
      <c r="E300" s="10" t="n">
        <v>0</v>
      </c>
      <c r="F300" s="10" t="n">
        <v>2239.7</v>
      </c>
      <c r="G300" s="10" t="n">
        <v>0</v>
      </c>
      <c r="H300" s="10" t="n">
        <v>0</v>
      </c>
      <c r="I300" s="10" t="n">
        <v>49566.9</v>
      </c>
      <c r="J300" s="10" t="n">
        <v>0</v>
      </c>
      <c r="K300" s="10" t="n">
        <v>315.3</v>
      </c>
      <c r="L300" s="10" t="n">
        <v>0</v>
      </c>
      <c r="M300" s="10" t="n">
        <v>0</v>
      </c>
      <c r="N300" s="10" t="n">
        <v>0</v>
      </c>
      <c r="O300" s="10" t="n">
        <v>135.1</v>
      </c>
      <c r="P300" s="10" t="n">
        <v>0</v>
      </c>
      <c r="Q300" s="10" t="n">
        <v>48296.9</v>
      </c>
      <c r="R300" s="10" t="n">
        <v>819.7</v>
      </c>
      <c r="S300" s="10" t="n">
        <v>0</v>
      </c>
      <c r="T300" s="10" t="n">
        <v>0</v>
      </c>
      <c r="U300" s="10" t="n">
        <v>0</v>
      </c>
    </row>
    <row r="301" customFormat="false" ht="15" hidden="false" customHeight="false" outlineLevel="0" collapsed="false">
      <c r="A301" s="7" t="s">
        <v>394</v>
      </c>
      <c r="B301" s="7" t="s">
        <v>105</v>
      </c>
      <c r="C301" s="7" t="s">
        <v>723</v>
      </c>
      <c r="D301" s="10" t="n">
        <v>0</v>
      </c>
      <c r="E301" s="10" t="n">
        <v>0</v>
      </c>
      <c r="F301" s="10" t="n">
        <v>4281.1</v>
      </c>
      <c r="G301" s="10" t="n">
        <v>0</v>
      </c>
      <c r="H301" s="10" t="n">
        <v>0</v>
      </c>
      <c r="I301" s="10" t="n">
        <v>12620.7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0" t="n">
        <v>0</v>
      </c>
      <c r="P301" s="10" t="n">
        <v>0</v>
      </c>
      <c r="Q301" s="10" t="n">
        <v>12620.7</v>
      </c>
      <c r="R301" s="10" t="n">
        <v>0</v>
      </c>
      <c r="S301" s="10" t="n">
        <v>0</v>
      </c>
      <c r="T301" s="10" t="n">
        <v>0</v>
      </c>
      <c r="U301" s="10" t="n">
        <v>0</v>
      </c>
    </row>
    <row r="302" customFormat="false" ht="15" hidden="false" customHeight="false" outlineLevel="0" collapsed="false">
      <c r="A302" s="7" t="s">
        <v>394</v>
      </c>
      <c r="B302" s="7" t="s">
        <v>105</v>
      </c>
      <c r="C302" s="7" t="s">
        <v>724</v>
      </c>
      <c r="D302" s="10" t="n">
        <v>0</v>
      </c>
      <c r="E302" s="10" t="n">
        <v>0</v>
      </c>
      <c r="F302" s="10" t="n">
        <v>2578.7</v>
      </c>
      <c r="G302" s="10" t="n">
        <v>0</v>
      </c>
      <c r="H302" s="10" t="n">
        <v>0</v>
      </c>
      <c r="I302" s="10" t="n">
        <v>8507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0</v>
      </c>
      <c r="P302" s="10" t="n">
        <v>0</v>
      </c>
      <c r="Q302" s="10" t="n">
        <v>8507</v>
      </c>
      <c r="R302" s="10" t="n">
        <v>0</v>
      </c>
      <c r="S302" s="10" t="n">
        <v>0</v>
      </c>
      <c r="T302" s="10" t="n">
        <v>0</v>
      </c>
      <c r="U302" s="10" t="n">
        <v>0</v>
      </c>
    </row>
    <row r="303" customFormat="false" ht="15" hidden="false" customHeight="false" outlineLevel="0" collapsed="false">
      <c r="A303" s="7" t="s">
        <v>394</v>
      </c>
      <c r="B303" s="7" t="s">
        <v>194</v>
      </c>
      <c r="C303" s="7" t="s">
        <v>725</v>
      </c>
      <c r="D303" s="10" t="n">
        <v>0</v>
      </c>
      <c r="E303" s="10" t="n">
        <v>0</v>
      </c>
      <c r="F303" s="10" t="n">
        <v>1044</v>
      </c>
      <c r="G303" s="10" t="n">
        <v>0</v>
      </c>
      <c r="H303" s="10" t="n">
        <v>84.9</v>
      </c>
      <c r="I303" s="10" t="n">
        <v>575.8</v>
      </c>
      <c r="J303" s="10" t="n">
        <v>0</v>
      </c>
      <c r="K303" s="10" t="n">
        <v>16.4</v>
      </c>
      <c r="L303" s="10" t="n">
        <v>0</v>
      </c>
      <c r="M303" s="10" t="n">
        <v>0</v>
      </c>
      <c r="N303" s="10" t="n">
        <v>0</v>
      </c>
      <c r="O303" s="10" t="n">
        <v>0</v>
      </c>
      <c r="P303" s="10" t="n">
        <v>-57.3</v>
      </c>
      <c r="Q303" s="10" t="n">
        <v>387.7</v>
      </c>
      <c r="R303" s="10" t="n">
        <v>229</v>
      </c>
      <c r="S303" s="10" t="n">
        <v>0</v>
      </c>
      <c r="T303" s="10" t="n">
        <v>115.6</v>
      </c>
      <c r="U303" s="10" t="n">
        <v>0</v>
      </c>
    </row>
    <row r="304" customFormat="false" ht="15" hidden="false" customHeight="false" outlineLevel="0" collapsed="false">
      <c r="A304" s="7" t="s">
        <v>394</v>
      </c>
      <c r="B304" s="7" t="s">
        <v>253</v>
      </c>
      <c r="C304" s="7" t="s">
        <v>950</v>
      </c>
      <c r="D304" s="10" t="n">
        <v>0</v>
      </c>
      <c r="E304" s="10" t="n">
        <v>0</v>
      </c>
      <c r="F304" s="10" t="n">
        <v>-194</v>
      </c>
      <c r="G304" s="10" t="n">
        <v>0</v>
      </c>
      <c r="H304" s="10" t="n">
        <v>0</v>
      </c>
      <c r="I304" s="10" t="n">
        <v>0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n">
        <v>0</v>
      </c>
      <c r="S304" s="10" t="n">
        <v>0</v>
      </c>
      <c r="T304" s="10" t="n">
        <v>0</v>
      </c>
      <c r="U304" s="10" t="n">
        <v>0</v>
      </c>
    </row>
    <row r="305" customFormat="false" ht="15" hidden="false" customHeight="false" outlineLevel="0" collapsed="false">
      <c r="A305" s="7" t="s">
        <v>394</v>
      </c>
      <c r="B305" s="7" t="s">
        <v>232</v>
      </c>
      <c r="C305" s="7" t="s">
        <v>951</v>
      </c>
      <c r="D305" s="10" t="n">
        <v>0</v>
      </c>
      <c r="E305" s="10" t="n">
        <v>0</v>
      </c>
      <c r="F305" s="10" t="n">
        <v>0</v>
      </c>
      <c r="G305" s="10" t="n">
        <v>0</v>
      </c>
      <c r="H305" s="10" t="n">
        <v>0</v>
      </c>
      <c r="I305" s="10" t="n">
        <v>-90.1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0</v>
      </c>
      <c r="O305" s="10" t="n">
        <v>0</v>
      </c>
      <c r="P305" s="10" t="n">
        <v>0</v>
      </c>
      <c r="Q305" s="10" t="n">
        <v>-90.1</v>
      </c>
      <c r="R305" s="10" t="n">
        <v>0</v>
      </c>
      <c r="S305" s="10" t="n">
        <v>0</v>
      </c>
      <c r="T305" s="10" t="n">
        <v>0</v>
      </c>
      <c r="U305" s="10" t="n">
        <v>0</v>
      </c>
    </row>
    <row r="306" customFormat="false" ht="15" hidden="false" customHeight="false" outlineLevel="0" collapsed="false">
      <c r="A306" s="7" t="s">
        <v>394</v>
      </c>
      <c r="B306" s="7" t="s">
        <v>63</v>
      </c>
      <c r="C306" s="7" t="s">
        <v>732</v>
      </c>
      <c r="D306" s="10" t="n">
        <v>0</v>
      </c>
      <c r="E306" s="10" t="n">
        <v>0</v>
      </c>
      <c r="F306" s="10" t="n">
        <v>6186</v>
      </c>
      <c r="G306" s="10" t="n">
        <v>0</v>
      </c>
      <c r="H306" s="10" t="n">
        <v>0</v>
      </c>
      <c r="I306" s="10" t="n">
        <v>33691.6</v>
      </c>
      <c r="J306" s="10" t="n">
        <v>0</v>
      </c>
      <c r="K306" s="10" t="n">
        <v>787.1</v>
      </c>
      <c r="L306" s="10" t="n">
        <v>0</v>
      </c>
      <c r="M306" s="10" t="n">
        <v>0</v>
      </c>
      <c r="N306" s="10" t="n">
        <v>0</v>
      </c>
      <c r="O306" s="10" t="n">
        <v>304.2</v>
      </c>
      <c r="P306" s="10" t="n">
        <v>-174.9</v>
      </c>
      <c r="Q306" s="10" t="n">
        <v>24292.6</v>
      </c>
      <c r="R306" s="10" t="n">
        <v>8482.7</v>
      </c>
      <c r="S306" s="10" t="n">
        <v>0</v>
      </c>
      <c r="T306" s="10" t="n">
        <v>5251.4</v>
      </c>
      <c r="U306" s="10" t="n">
        <v>0</v>
      </c>
    </row>
    <row r="307" customFormat="false" ht="15" hidden="false" customHeight="false" outlineLevel="0" collapsed="false">
      <c r="A307" s="7" t="s">
        <v>394</v>
      </c>
      <c r="B307" s="7" t="s">
        <v>63</v>
      </c>
      <c r="C307" s="7" t="s">
        <v>733</v>
      </c>
      <c r="D307" s="10" t="n">
        <v>0</v>
      </c>
      <c r="E307" s="10" t="n">
        <v>0</v>
      </c>
      <c r="F307" s="10" t="n">
        <v>7308.3</v>
      </c>
      <c r="G307" s="10" t="n">
        <v>0</v>
      </c>
      <c r="H307" s="10" t="n">
        <v>80</v>
      </c>
      <c r="I307" s="10" t="n">
        <v>32700.5</v>
      </c>
      <c r="J307" s="10" t="n">
        <v>0</v>
      </c>
      <c r="K307" s="10" t="n">
        <v>787.1</v>
      </c>
      <c r="L307" s="10" t="n">
        <v>0</v>
      </c>
      <c r="M307" s="10" t="n">
        <v>0</v>
      </c>
      <c r="N307" s="10" t="n">
        <v>461.5</v>
      </c>
      <c r="O307" s="10" t="n">
        <v>101.4</v>
      </c>
      <c r="P307" s="10" t="n">
        <v>-524.7</v>
      </c>
      <c r="Q307" s="10" t="n">
        <v>24529.5</v>
      </c>
      <c r="R307" s="10" t="n">
        <v>7345.8</v>
      </c>
      <c r="S307" s="10" t="n">
        <v>0</v>
      </c>
      <c r="T307" s="10" t="n">
        <v>5393.8</v>
      </c>
      <c r="U307" s="10" t="n">
        <v>0</v>
      </c>
    </row>
    <row r="308" customFormat="false" ht="15" hidden="false" customHeight="false" outlineLevel="0" collapsed="false">
      <c r="A308" s="7" t="s">
        <v>394</v>
      </c>
      <c r="B308" s="7" t="s">
        <v>63</v>
      </c>
      <c r="C308" s="7" t="s">
        <v>734</v>
      </c>
      <c r="D308" s="10" t="n">
        <v>0</v>
      </c>
      <c r="E308" s="10" t="n">
        <v>0</v>
      </c>
      <c r="F308" s="10" t="n">
        <v>1329</v>
      </c>
      <c r="G308" s="10" t="n">
        <v>0</v>
      </c>
      <c r="H308" s="10" t="n">
        <v>0</v>
      </c>
      <c r="I308" s="10" t="n">
        <v>11181.4</v>
      </c>
      <c r="J308" s="10" t="n">
        <v>0</v>
      </c>
      <c r="K308" s="10" t="n">
        <v>524.7</v>
      </c>
      <c r="L308" s="10" t="n">
        <v>0</v>
      </c>
      <c r="M308" s="10" t="n">
        <v>0</v>
      </c>
      <c r="N308" s="10" t="n">
        <v>184.6</v>
      </c>
      <c r="O308" s="10" t="n">
        <v>0</v>
      </c>
      <c r="P308" s="10" t="n">
        <v>-349.8</v>
      </c>
      <c r="Q308" s="10" t="n">
        <v>8198.4</v>
      </c>
      <c r="R308" s="10" t="n">
        <v>2623.5</v>
      </c>
      <c r="S308" s="10" t="n">
        <v>0</v>
      </c>
      <c r="T308" s="10" t="n">
        <v>1455.2</v>
      </c>
      <c r="U308" s="10" t="n">
        <v>0</v>
      </c>
    </row>
    <row r="309" customFormat="false" ht="15" hidden="false" customHeight="false" outlineLevel="0" collapsed="false">
      <c r="A309" s="7" t="s">
        <v>394</v>
      </c>
      <c r="B309" s="7" t="s">
        <v>229</v>
      </c>
      <c r="C309" s="7" t="s">
        <v>735</v>
      </c>
      <c r="D309" s="10" t="n">
        <v>0</v>
      </c>
      <c r="E309" s="10" t="n">
        <v>0</v>
      </c>
      <c r="F309" s="10" t="n">
        <v>4255.9</v>
      </c>
      <c r="G309" s="10" t="n">
        <v>0</v>
      </c>
      <c r="H309" s="10" t="n">
        <v>0</v>
      </c>
      <c r="I309" s="10" t="n">
        <v>4969.1</v>
      </c>
      <c r="J309" s="10" t="n">
        <v>0</v>
      </c>
      <c r="K309" s="10" t="n">
        <v>490.7</v>
      </c>
      <c r="L309" s="10" t="n">
        <v>0</v>
      </c>
      <c r="M309" s="10" t="n">
        <v>0</v>
      </c>
      <c r="N309" s="10" t="n">
        <v>0</v>
      </c>
      <c r="O309" s="10" t="n">
        <v>54.5</v>
      </c>
      <c r="P309" s="10" t="n">
        <v>-272.6</v>
      </c>
      <c r="Q309" s="10" t="n">
        <v>-101.3</v>
      </c>
      <c r="R309" s="10" t="n">
        <v>4797.8</v>
      </c>
      <c r="S309" s="10" t="n">
        <v>0</v>
      </c>
      <c r="T309" s="10" t="n">
        <v>0</v>
      </c>
      <c r="U309" s="10" t="n">
        <v>0</v>
      </c>
    </row>
    <row r="310" customFormat="false" ht="15" hidden="false" customHeight="false" outlineLevel="0" collapsed="false">
      <c r="A310" s="7" t="s">
        <v>394</v>
      </c>
      <c r="B310" s="7" t="s">
        <v>229</v>
      </c>
      <c r="C310" s="7" t="s">
        <v>736</v>
      </c>
      <c r="D310" s="10" t="n">
        <v>0</v>
      </c>
      <c r="E310" s="10" t="n">
        <v>0</v>
      </c>
      <c r="F310" s="10" t="n">
        <v>3998.7</v>
      </c>
      <c r="G310" s="10" t="n">
        <v>0</v>
      </c>
      <c r="H310" s="10" t="n">
        <v>0</v>
      </c>
      <c r="I310" s="10" t="n">
        <v>4961.3</v>
      </c>
      <c r="J310" s="10" t="n">
        <v>0</v>
      </c>
      <c r="K310" s="10" t="n">
        <v>54.5</v>
      </c>
      <c r="L310" s="10" t="n">
        <v>0</v>
      </c>
      <c r="M310" s="10" t="n">
        <v>0</v>
      </c>
      <c r="N310" s="10" t="n">
        <v>0</v>
      </c>
      <c r="O310" s="10" t="n">
        <v>0</v>
      </c>
      <c r="P310" s="10" t="n">
        <v>-109</v>
      </c>
      <c r="Q310" s="10" t="n">
        <v>0</v>
      </c>
      <c r="R310" s="10" t="n">
        <v>5015.8</v>
      </c>
      <c r="S310" s="10" t="n">
        <v>0</v>
      </c>
      <c r="T310" s="10" t="n">
        <v>0</v>
      </c>
      <c r="U310" s="10" t="n">
        <v>0</v>
      </c>
    </row>
    <row r="311" customFormat="false" ht="15" hidden="false" customHeight="false" outlineLevel="0" collapsed="false">
      <c r="A311" s="7" t="s">
        <v>394</v>
      </c>
      <c r="B311" s="7" t="s">
        <v>229</v>
      </c>
      <c r="C311" s="7" t="s">
        <v>737</v>
      </c>
      <c r="D311" s="10" t="n">
        <v>0</v>
      </c>
      <c r="E311" s="10" t="n">
        <v>0</v>
      </c>
      <c r="F311" s="10" t="n">
        <v>-58.4</v>
      </c>
      <c r="G311" s="10" t="n">
        <v>0</v>
      </c>
      <c r="H311" s="10" t="n">
        <v>0</v>
      </c>
      <c r="I311" s="10" t="n">
        <v>-157.1</v>
      </c>
      <c r="J311" s="10" t="n">
        <v>0</v>
      </c>
      <c r="K311" s="10" t="n">
        <v>0</v>
      </c>
      <c r="L311" s="10" t="n">
        <v>0</v>
      </c>
      <c r="M311" s="10" t="n">
        <v>0</v>
      </c>
      <c r="N311" s="10" t="n">
        <v>0</v>
      </c>
      <c r="O311" s="10" t="n">
        <v>0</v>
      </c>
      <c r="P311" s="10" t="n">
        <v>-109</v>
      </c>
      <c r="Q311" s="10" t="n">
        <v>-48.1</v>
      </c>
      <c r="R311" s="10" t="n">
        <v>0</v>
      </c>
      <c r="S311" s="10" t="n">
        <v>0</v>
      </c>
      <c r="T311" s="10" t="n">
        <v>0</v>
      </c>
      <c r="U311" s="10" t="n">
        <v>0</v>
      </c>
    </row>
    <row r="312" customFormat="false" ht="15" hidden="false" customHeight="false" outlineLevel="0" collapsed="false">
      <c r="A312" s="7" t="s">
        <v>394</v>
      </c>
      <c r="B312" s="7" t="s">
        <v>234</v>
      </c>
      <c r="C312" s="7" t="s">
        <v>635</v>
      </c>
      <c r="D312" s="10" t="n">
        <v>0</v>
      </c>
      <c r="E312" s="10" t="n">
        <v>0</v>
      </c>
      <c r="F312" s="10" t="n">
        <v>3555.7</v>
      </c>
      <c r="G312" s="10" t="n">
        <v>0</v>
      </c>
      <c r="H312" s="10" t="n">
        <v>0</v>
      </c>
      <c r="I312" s="10" t="n">
        <v>2222.3</v>
      </c>
      <c r="J312" s="10" t="n">
        <v>0</v>
      </c>
      <c r="K312" s="10" t="n">
        <v>131.3</v>
      </c>
      <c r="L312" s="10" t="n">
        <v>0</v>
      </c>
      <c r="M312" s="10" t="n">
        <v>0</v>
      </c>
      <c r="N312" s="10" t="n">
        <v>50.5</v>
      </c>
      <c r="O312" s="10" t="n">
        <v>0</v>
      </c>
      <c r="P312" s="10" t="n">
        <v>-109.4</v>
      </c>
      <c r="Q312" s="10" t="n">
        <v>-81.2</v>
      </c>
      <c r="R312" s="10" t="n">
        <v>2231.1</v>
      </c>
      <c r="S312" s="10" t="n">
        <v>0</v>
      </c>
      <c r="T312" s="10" t="n">
        <v>821.2</v>
      </c>
      <c r="U312" s="10" t="n">
        <v>0</v>
      </c>
    </row>
    <row r="313" customFormat="false" ht="15" hidden="false" customHeight="false" outlineLevel="0" collapsed="false">
      <c r="A313" s="7" t="s">
        <v>394</v>
      </c>
      <c r="B313" s="7" t="s">
        <v>73</v>
      </c>
      <c r="C313" s="7" t="s">
        <v>740</v>
      </c>
      <c r="D313" s="10" t="n">
        <v>0</v>
      </c>
      <c r="E313" s="10" t="n">
        <v>0</v>
      </c>
      <c r="F313" s="10" t="n">
        <v>4203.4</v>
      </c>
      <c r="G313" s="10" t="n">
        <v>0</v>
      </c>
      <c r="H313" s="10" t="n">
        <v>0</v>
      </c>
      <c r="I313" s="10" t="n">
        <v>16357.4</v>
      </c>
      <c r="J313" s="10" t="n">
        <v>0</v>
      </c>
      <c r="K313" s="10" t="n">
        <v>96.9</v>
      </c>
      <c r="L313" s="10" t="n">
        <v>0</v>
      </c>
      <c r="M313" s="10" t="n">
        <v>0</v>
      </c>
      <c r="N313" s="10" t="n">
        <v>0</v>
      </c>
      <c r="O313" s="10" t="n">
        <v>69.2</v>
      </c>
      <c r="P313" s="10" t="n">
        <v>-32.3</v>
      </c>
      <c r="Q313" s="10" t="n">
        <v>13864.9</v>
      </c>
      <c r="R313" s="10" t="n">
        <v>2358.6</v>
      </c>
      <c r="S313" s="10" t="n">
        <v>0</v>
      </c>
      <c r="T313" s="10" t="n">
        <v>0</v>
      </c>
      <c r="U313" s="10" t="n">
        <v>0</v>
      </c>
    </row>
    <row r="314" customFormat="false" ht="15" hidden="false" customHeight="false" outlineLevel="0" collapsed="false">
      <c r="A314" s="7" t="s">
        <v>394</v>
      </c>
      <c r="B314" s="7" t="s">
        <v>73</v>
      </c>
      <c r="C314" s="7" t="s">
        <v>741</v>
      </c>
      <c r="D314" s="10" t="n">
        <v>0</v>
      </c>
      <c r="E314" s="10" t="n">
        <v>0</v>
      </c>
      <c r="F314" s="10" t="n">
        <v>2656.9</v>
      </c>
      <c r="G314" s="10" t="n">
        <v>0</v>
      </c>
      <c r="H314" s="10" t="n">
        <v>0</v>
      </c>
      <c r="I314" s="10" t="n">
        <v>14852.4</v>
      </c>
      <c r="J314" s="10" t="n">
        <v>0</v>
      </c>
      <c r="K314" s="10" t="n">
        <v>32.3</v>
      </c>
      <c r="L314" s="10" t="n">
        <v>0</v>
      </c>
      <c r="M314" s="10" t="n">
        <v>0</v>
      </c>
      <c r="N314" s="10" t="n">
        <v>0</v>
      </c>
      <c r="O314" s="10" t="n">
        <v>0</v>
      </c>
      <c r="P314" s="10" t="n">
        <v>-32.3</v>
      </c>
      <c r="Q314" s="10" t="n">
        <v>12526</v>
      </c>
      <c r="R314" s="10" t="n">
        <v>2326.3</v>
      </c>
      <c r="S314" s="10" t="n">
        <v>0</v>
      </c>
      <c r="T314" s="10" t="n">
        <v>0</v>
      </c>
      <c r="U314" s="10" t="n">
        <v>0</v>
      </c>
    </row>
    <row r="315" customFormat="false" ht="15" hidden="false" customHeight="false" outlineLevel="0" collapsed="false">
      <c r="A315" s="7" t="s">
        <v>394</v>
      </c>
      <c r="B315" s="7" t="s">
        <v>73</v>
      </c>
      <c r="C315" s="7" t="s">
        <v>742</v>
      </c>
      <c r="D315" s="10" t="n">
        <v>0</v>
      </c>
      <c r="E315" s="10" t="n">
        <v>0</v>
      </c>
      <c r="F315" s="10" t="n">
        <v>1803.2</v>
      </c>
      <c r="G315" s="10" t="n">
        <v>0</v>
      </c>
      <c r="H315" s="10" t="n">
        <v>0</v>
      </c>
      <c r="I315" s="10" t="n">
        <v>10058.2</v>
      </c>
      <c r="J315" s="10" t="n">
        <v>0</v>
      </c>
      <c r="K315" s="10" t="n">
        <v>32.3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-64.6</v>
      </c>
      <c r="Q315" s="10" t="n">
        <v>8507.3</v>
      </c>
      <c r="R315" s="10" t="n">
        <v>1583.2</v>
      </c>
      <c r="S315" s="10" t="n">
        <v>0</v>
      </c>
      <c r="T315" s="10" t="n">
        <v>0</v>
      </c>
      <c r="U315" s="10" t="n">
        <v>0</v>
      </c>
    </row>
    <row r="316" customFormat="false" ht="15" hidden="false" customHeight="false" outlineLevel="0" collapsed="false">
      <c r="A316" s="7" t="s">
        <v>394</v>
      </c>
      <c r="B316" s="7" t="s">
        <v>73</v>
      </c>
      <c r="C316" s="7" t="s">
        <v>743</v>
      </c>
      <c r="D316" s="10" t="n">
        <v>0</v>
      </c>
      <c r="E316" s="10" t="n">
        <v>0</v>
      </c>
      <c r="F316" s="10" t="n">
        <v>2337.3</v>
      </c>
      <c r="G316" s="10" t="n">
        <v>0</v>
      </c>
      <c r="H316" s="10" t="n">
        <v>0</v>
      </c>
      <c r="I316" s="10" t="n">
        <v>11790.3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0" t="n">
        <v>34.6</v>
      </c>
      <c r="P316" s="10" t="n">
        <v>-32.3</v>
      </c>
      <c r="Q316" s="10" t="n">
        <v>9655.5</v>
      </c>
      <c r="R316" s="10" t="n">
        <v>2132.5</v>
      </c>
      <c r="S316" s="10" t="n">
        <v>0</v>
      </c>
      <c r="T316" s="10" t="n">
        <v>0</v>
      </c>
      <c r="U316" s="10" t="n">
        <v>0</v>
      </c>
    </row>
    <row r="317" customFormat="false" ht="15" hidden="false" customHeight="false" outlineLevel="0" collapsed="false">
      <c r="A317" s="7" t="s">
        <v>394</v>
      </c>
      <c r="B317" s="7" t="s">
        <v>345</v>
      </c>
      <c r="C317" s="7" t="s">
        <v>745</v>
      </c>
      <c r="D317" s="10" t="n">
        <v>0</v>
      </c>
      <c r="E317" s="10" t="n">
        <v>0</v>
      </c>
      <c r="F317" s="10" t="n">
        <v>66.5</v>
      </c>
      <c r="G317" s="10" t="n">
        <v>0</v>
      </c>
      <c r="H317" s="10" t="n">
        <v>0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0" t="n">
        <v>0</v>
      </c>
      <c r="P317" s="10" t="n">
        <v>0</v>
      </c>
      <c r="Q317" s="10" t="n">
        <v>0</v>
      </c>
      <c r="R317" s="10" t="n">
        <v>0</v>
      </c>
      <c r="S317" s="10" t="n">
        <v>0</v>
      </c>
      <c r="T317" s="10" t="n">
        <v>0</v>
      </c>
      <c r="U317" s="10" t="n">
        <v>0</v>
      </c>
    </row>
    <row r="318" customFormat="false" ht="15" hidden="false" customHeight="false" outlineLevel="0" collapsed="false">
      <c r="A318" s="7" t="s">
        <v>394</v>
      </c>
      <c r="B318" s="7" t="s">
        <v>246</v>
      </c>
      <c r="C318" s="7" t="s">
        <v>750</v>
      </c>
      <c r="D318" s="10" t="n">
        <v>0</v>
      </c>
      <c r="E318" s="10" t="n">
        <v>0</v>
      </c>
      <c r="F318" s="10" t="n">
        <v>7441.6</v>
      </c>
      <c r="G318" s="10" t="n">
        <v>0</v>
      </c>
      <c r="H318" s="10" t="n">
        <v>0</v>
      </c>
      <c r="I318" s="10" t="n">
        <v>6779.2</v>
      </c>
      <c r="J318" s="10" t="n">
        <v>0</v>
      </c>
      <c r="K318" s="10" t="n">
        <v>1801.9</v>
      </c>
      <c r="L318" s="10" t="n">
        <v>0</v>
      </c>
      <c r="M318" s="10" t="n">
        <v>0</v>
      </c>
      <c r="N318" s="10" t="n">
        <v>43.4</v>
      </c>
      <c r="O318" s="10" t="n">
        <v>65.8</v>
      </c>
      <c r="P318" s="10" t="n">
        <v>-52.6</v>
      </c>
      <c r="Q318" s="10" t="n">
        <v>-24.4</v>
      </c>
      <c r="R318" s="10" t="n">
        <v>4945.1</v>
      </c>
      <c r="S318" s="10" t="n">
        <v>0</v>
      </c>
      <c r="T318" s="10" t="n">
        <v>2925</v>
      </c>
      <c r="U318" s="10" t="n">
        <v>0</v>
      </c>
    </row>
    <row r="319" customFormat="false" ht="15" hidden="false" customHeight="false" outlineLevel="0" collapsed="false">
      <c r="A319" s="7" t="s">
        <v>394</v>
      </c>
      <c r="B319" s="7" t="s">
        <v>296</v>
      </c>
      <c r="C319" s="7" t="s">
        <v>751</v>
      </c>
      <c r="D319" s="10" t="n">
        <v>0</v>
      </c>
      <c r="E319" s="10" t="n">
        <v>0</v>
      </c>
      <c r="F319" s="10" t="n">
        <v>-132.5</v>
      </c>
      <c r="G319" s="10" t="n">
        <v>0</v>
      </c>
      <c r="H319" s="10" t="n">
        <v>0</v>
      </c>
      <c r="I319" s="10" t="n">
        <v>0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0" t="n">
        <v>0</v>
      </c>
      <c r="P319" s="10" t="n">
        <v>0</v>
      </c>
      <c r="Q319" s="10" t="n">
        <v>0</v>
      </c>
      <c r="R319" s="10" t="n">
        <v>0</v>
      </c>
      <c r="S319" s="10" t="n">
        <v>0</v>
      </c>
      <c r="T319" s="10" t="n">
        <v>0</v>
      </c>
      <c r="U319" s="10" t="n">
        <v>0</v>
      </c>
    </row>
    <row r="320" customFormat="false" ht="15" hidden="false" customHeight="false" outlineLevel="0" collapsed="false">
      <c r="A320" s="7" t="s">
        <v>394</v>
      </c>
      <c r="B320" s="7" t="s">
        <v>286</v>
      </c>
      <c r="C320" s="7" t="s">
        <v>752</v>
      </c>
      <c r="D320" s="10" t="n">
        <v>0</v>
      </c>
      <c r="E320" s="10" t="n">
        <v>0</v>
      </c>
      <c r="F320" s="10" t="n">
        <v>3748.4</v>
      </c>
      <c r="G320" s="10" t="n">
        <v>0</v>
      </c>
      <c r="H320" s="10" t="n">
        <v>0</v>
      </c>
      <c r="I320" s="10" t="n">
        <v>2308.6</v>
      </c>
      <c r="J320" s="10" t="n">
        <v>0</v>
      </c>
      <c r="K320" s="10" t="n">
        <v>384.5</v>
      </c>
      <c r="L320" s="10" t="n">
        <v>0</v>
      </c>
      <c r="M320" s="10" t="n">
        <v>172.7</v>
      </c>
      <c r="N320" s="10" t="n">
        <v>0</v>
      </c>
      <c r="O320" s="10" t="n">
        <v>64.1</v>
      </c>
      <c r="P320" s="10" t="n">
        <v>-42.7</v>
      </c>
      <c r="Q320" s="10" t="n">
        <v>0</v>
      </c>
      <c r="R320" s="10" t="n">
        <v>1730.2</v>
      </c>
      <c r="S320" s="10" t="n">
        <v>0</v>
      </c>
      <c r="T320" s="10" t="n">
        <v>752.4</v>
      </c>
      <c r="U320" s="10" t="n">
        <v>0</v>
      </c>
    </row>
    <row r="321" customFormat="false" ht="15" hidden="false" customHeight="false" outlineLevel="0" collapsed="false">
      <c r="A321" s="7" t="s">
        <v>394</v>
      </c>
      <c r="B321" s="7" t="s">
        <v>241</v>
      </c>
      <c r="C321" s="7" t="s">
        <v>753</v>
      </c>
      <c r="D321" s="10" t="n">
        <v>0</v>
      </c>
      <c r="E321" s="10" t="n">
        <v>0</v>
      </c>
      <c r="F321" s="10" t="n">
        <v>971.3</v>
      </c>
      <c r="G321" s="10" t="n">
        <v>0</v>
      </c>
      <c r="H321" s="10" t="n">
        <v>0</v>
      </c>
      <c r="I321" s="10" t="n">
        <v>643</v>
      </c>
      <c r="J321" s="10" t="n">
        <v>0</v>
      </c>
      <c r="K321" s="10" t="n">
        <v>42.7</v>
      </c>
      <c r="L321" s="10" t="n">
        <v>0</v>
      </c>
      <c r="M321" s="10" t="n">
        <v>0</v>
      </c>
      <c r="N321" s="10" t="n">
        <v>0</v>
      </c>
      <c r="O321" s="10" t="n">
        <v>0</v>
      </c>
      <c r="P321" s="10" t="n">
        <v>0</v>
      </c>
      <c r="Q321" s="10" t="n">
        <v>279.9</v>
      </c>
      <c r="R321" s="10" t="n">
        <v>320.4</v>
      </c>
      <c r="S321" s="10" t="n">
        <v>0</v>
      </c>
      <c r="T321" s="10" t="n">
        <v>0</v>
      </c>
      <c r="U321" s="10" t="n">
        <v>0</v>
      </c>
    </row>
    <row r="322" customFormat="false" ht="15" hidden="false" customHeight="false" outlineLevel="0" collapsed="false">
      <c r="A322" s="7" t="s">
        <v>394</v>
      </c>
      <c r="B322" s="7" t="s">
        <v>277</v>
      </c>
      <c r="C322" s="7" t="s">
        <v>754</v>
      </c>
      <c r="D322" s="10" t="n">
        <v>0</v>
      </c>
      <c r="E322" s="10" t="n">
        <v>0</v>
      </c>
      <c r="F322" s="10" t="n">
        <v>5288.7</v>
      </c>
      <c r="G322" s="10" t="n">
        <v>0</v>
      </c>
      <c r="H322" s="10" t="n">
        <v>267.3</v>
      </c>
      <c r="I322" s="10" t="n">
        <v>2127.7</v>
      </c>
      <c r="J322" s="10" t="n">
        <v>0</v>
      </c>
      <c r="K322" s="10" t="n">
        <v>556</v>
      </c>
      <c r="L322" s="10" t="n">
        <v>0</v>
      </c>
      <c r="M322" s="10" t="n">
        <v>80.2</v>
      </c>
      <c r="N322" s="10" t="n">
        <v>0</v>
      </c>
      <c r="O322" s="10" t="n">
        <v>0</v>
      </c>
      <c r="P322" s="10" t="n">
        <v>-27.1</v>
      </c>
      <c r="Q322" s="10" t="n">
        <v>0</v>
      </c>
      <c r="R322" s="10" t="n">
        <v>1518.7</v>
      </c>
      <c r="S322" s="10" t="n">
        <v>0</v>
      </c>
      <c r="T322" s="10" t="n">
        <v>1755.3</v>
      </c>
      <c r="U322" s="10" t="n">
        <v>0</v>
      </c>
    </row>
    <row r="323" customFormat="false" ht="15" hidden="false" customHeight="false" outlineLevel="0" collapsed="false">
      <c r="A323" s="7" t="s">
        <v>394</v>
      </c>
      <c r="B323" s="7" t="s">
        <v>287</v>
      </c>
      <c r="C323" s="7" t="s">
        <v>755</v>
      </c>
      <c r="D323" s="10" t="n">
        <v>0</v>
      </c>
      <c r="E323" s="10" t="n">
        <v>0</v>
      </c>
      <c r="F323" s="10" t="n">
        <v>2891.6</v>
      </c>
      <c r="G323" s="10" t="n">
        <v>0</v>
      </c>
      <c r="H323" s="10" t="n">
        <v>0</v>
      </c>
      <c r="I323" s="10" t="n">
        <v>1409.1</v>
      </c>
      <c r="J323" s="10" t="n">
        <v>0</v>
      </c>
      <c r="K323" s="10" t="n">
        <v>266.8</v>
      </c>
      <c r="L323" s="10" t="n">
        <v>0</v>
      </c>
      <c r="M323" s="10" t="n">
        <v>61.7</v>
      </c>
      <c r="N323" s="10" t="n">
        <v>0</v>
      </c>
      <c r="O323" s="10" t="n">
        <v>0</v>
      </c>
      <c r="P323" s="10" t="n">
        <v>-53.4</v>
      </c>
      <c r="Q323" s="10" t="n">
        <v>0</v>
      </c>
      <c r="R323" s="10" t="n">
        <v>1133.9</v>
      </c>
      <c r="S323" s="10" t="n">
        <v>0</v>
      </c>
      <c r="T323" s="10" t="n">
        <v>400.2</v>
      </c>
      <c r="U323" s="10" t="n">
        <v>0</v>
      </c>
    </row>
    <row r="324" customFormat="false" ht="15" hidden="false" customHeight="false" outlineLevel="0" collapsed="false">
      <c r="A324" s="7" t="s">
        <v>394</v>
      </c>
      <c r="B324" s="7" t="s">
        <v>199</v>
      </c>
      <c r="C324" s="7" t="s">
        <v>756</v>
      </c>
      <c r="D324" s="10" t="n">
        <v>0</v>
      </c>
      <c r="E324" s="10" t="n">
        <v>0</v>
      </c>
      <c r="F324" s="10" t="n">
        <v>36.9</v>
      </c>
      <c r="G324" s="10" t="n">
        <v>0</v>
      </c>
      <c r="H324" s="10" t="n">
        <v>0</v>
      </c>
      <c r="I324" s="10" t="n">
        <v>0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0" t="n">
        <v>0</v>
      </c>
      <c r="P324" s="10" t="n">
        <v>0</v>
      </c>
      <c r="Q324" s="10" t="n">
        <v>0</v>
      </c>
      <c r="R324" s="10" t="n">
        <v>0</v>
      </c>
      <c r="S324" s="10" t="n">
        <v>0</v>
      </c>
      <c r="T324" s="10" t="n">
        <v>0</v>
      </c>
      <c r="U324" s="10" t="n">
        <v>0</v>
      </c>
    </row>
    <row r="325" customFormat="false" ht="15" hidden="false" customHeight="false" outlineLevel="0" collapsed="false">
      <c r="A325" s="7" t="s">
        <v>394</v>
      </c>
      <c r="B325" s="7" t="s">
        <v>199</v>
      </c>
      <c r="C325" s="7" t="s">
        <v>757</v>
      </c>
      <c r="D325" s="10" t="n">
        <v>0</v>
      </c>
      <c r="E325" s="10" t="n">
        <v>0</v>
      </c>
      <c r="F325" s="10" t="n">
        <v>3.3</v>
      </c>
      <c r="G325" s="10" t="n">
        <v>0</v>
      </c>
      <c r="H325" s="10" t="n">
        <v>0</v>
      </c>
      <c r="I325" s="10" t="n">
        <v>-73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0" t="n">
        <v>0</v>
      </c>
      <c r="P325" s="10" t="n">
        <v>0</v>
      </c>
      <c r="Q325" s="10" t="n">
        <v>-73</v>
      </c>
      <c r="R325" s="10" t="n">
        <v>0</v>
      </c>
      <c r="S325" s="10" t="n">
        <v>0</v>
      </c>
      <c r="T325" s="10" t="n">
        <v>0</v>
      </c>
      <c r="U325" s="10" t="n">
        <v>0</v>
      </c>
    </row>
    <row r="326" customFormat="false" ht="15" hidden="false" customHeight="false" outlineLevel="0" collapsed="false">
      <c r="A326" s="7" t="s">
        <v>394</v>
      </c>
      <c r="B326" s="7" t="s">
        <v>199</v>
      </c>
      <c r="C326" s="7" t="s">
        <v>758</v>
      </c>
      <c r="D326" s="10" t="n">
        <v>0</v>
      </c>
      <c r="E326" s="10" t="n">
        <v>0</v>
      </c>
      <c r="F326" s="10" t="n">
        <v>0</v>
      </c>
      <c r="G326" s="10" t="n">
        <v>0</v>
      </c>
      <c r="H326" s="10" t="n">
        <v>0</v>
      </c>
      <c r="I326" s="10" t="n">
        <v>-36.5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-36.5</v>
      </c>
      <c r="R326" s="10" t="n">
        <v>0</v>
      </c>
      <c r="S326" s="10" t="n">
        <v>0</v>
      </c>
      <c r="T326" s="10" t="n">
        <v>0</v>
      </c>
      <c r="U326" s="10" t="n">
        <v>0</v>
      </c>
    </row>
    <row r="327" customFormat="false" ht="15" hidden="false" customHeight="false" outlineLevel="0" collapsed="false">
      <c r="A327" s="7" t="s">
        <v>394</v>
      </c>
      <c r="B327" s="7" t="s">
        <v>199</v>
      </c>
      <c r="C327" s="7" t="s">
        <v>760</v>
      </c>
      <c r="D327" s="10" t="n">
        <v>0</v>
      </c>
      <c r="E327" s="10" t="n">
        <v>0</v>
      </c>
      <c r="F327" s="10" t="n">
        <v>-36.5</v>
      </c>
      <c r="G327" s="10" t="n">
        <v>0</v>
      </c>
      <c r="H327" s="10" t="n">
        <v>0</v>
      </c>
      <c r="I327" s="10" t="n">
        <v>0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0</v>
      </c>
      <c r="U327" s="10" t="n">
        <v>0</v>
      </c>
    </row>
    <row r="328" customFormat="false" ht="15" hidden="false" customHeight="false" outlineLevel="0" collapsed="false">
      <c r="A328" s="7" t="s">
        <v>394</v>
      </c>
      <c r="B328" s="7" t="s">
        <v>199</v>
      </c>
      <c r="C328" s="7" t="s">
        <v>952</v>
      </c>
      <c r="D328" s="10" t="n">
        <v>0</v>
      </c>
      <c r="E328" s="10" t="n">
        <v>0</v>
      </c>
      <c r="F328" s="10" t="n">
        <v>-36.5</v>
      </c>
      <c r="G328" s="10" t="n">
        <v>0</v>
      </c>
      <c r="H328" s="10" t="n">
        <v>0</v>
      </c>
      <c r="I328" s="10" t="n">
        <v>0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  <c r="S328" s="10" t="n">
        <v>0</v>
      </c>
      <c r="T328" s="10" t="n">
        <v>0</v>
      </c>
      <c r="U328" s="10" t="n">
        <v>0</v>
      </c>
    </row>
    <row r="329" customFormat="false" ht="15" hidden="false" customHeight="false" outlineLevel="0" collapsed="false">
      <c r="A329" s="7" t="s">
        <v>394</v>
      </c>
      <c r="B329" s="7" t="s">
        <v>199</v>
      </c>
      <c r="C329" s="7" t="s">
        <v>761</v>
      </c>
      <c r="D329" s="10" t="n">
        <v>0</v>
      </c>
      <c r="E329" s="10" t="n">
        <v>0</v>
      </c>
      <c r="F329" s="10" t="n">
        <v>0</v>
      </c>
      <c r="G329" s="10" t="n">
        <v>0</v>
      </c>
      <c r="H329" s="10" t="n">
        <v>0</v>
      </c>
      <c r="I329" s="10" t="n">
        <v>-32.7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0</v>
      </c>
      <c r="O329" s="10" t="n">
        <v>0</v>
      </c>
      <c r="P329" s="10" t="n">
        <v>0</v>
      </c>
      <c r="Q329" s="10" t="n">
        <v>-32.7</v>
      </c>
      <c r="R329" s="10" t="n">
        <v>0</v>
      </c>
      <c r="S329" s="10" t="n">
        <v>0</v>
      </c>
      <c r="T329" s="10" t="n">
        <v>0</v>
      </c>
      <c r="U329" s="10" t="n">
        <v>0</v>
      </c>
    </row>
    <row r="330" customFormat="false" ht="15" hidden="false" customHeight="false" outlineLevel="0" collapsed="false">
      <c r="A330" s="7" t="s">
        <v>394</v>
      </c>
      <c r="B330" s="7" t="s">
        <v>199</v>
      </c>
      <c r="C330" s="7" t="s">
        <v>763</v>
      </c>
      <c r="D330" s="10" t="n">
        <v>0</v>
      </c>
      <c r="E330" s="10" t="n">
        <v>0</v>
      </c>
      <c r="F330" s="10" t="n">
        <v>-36.5</v>
      </c>
      <c r="G330" s="10" t="n">
        <v>0</v>
      </c>
      <c r="H330" s="10" t="n">
        <v>0</v>
      </c>
      <c r="I330" s="10" t="n">
        <v>-36.5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0" t="n">
        <v>0</v>
      </c>
      <c r="P330" s="10" t="n">
        <v>0</v>
      </c>
      <c r="Q330" s="10" t="n">
        <v>-36.5</v>
      </c>
      <c r="R330" s="10" t="n">
        <v>0</v>
      </c>
      <c r="S330" s="10" t="n">
        <v>0</v>
      </c>
      <c r="T330" s="10" t="n">
        <v>0</v>
      </c>
      <c r="U330" s="10" t="n">
        <v>0</v>
      </c>
    </row>
    <row r="331" customFormat="false" ht="15" hidden="false" customHeight="false" outlineLevel="0" collapsed="false">
      <c r="A331" s="7" t="s">
        <v>394</v>
      </c>
      <c r="B331" s="7" t="s">
        <v>199</v>
      </c>
      <c r="C331" s="7" t="s">
        <v>766</v>
      </c>
      <c r="D331" s="10" t="n">
        <v>0</v>
      </c>
      <c r="E331" s="10" t="n">
        <v>0</v>
      </c>
      <c r="F331" s="10" t="n">
        <v>0</v>
      </c>
      <c r="G331" s="10" t="n">
        <v>0</v>
      </c>
      <c r="H331" s="10" t="n">
        <v>0</v>
      </c>
      <c r="I331" s="10" t="n">
        <v>-36.5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0" t="n">
        <v>0</v>
      </c>
      <c r="P331" s="10" t="n">
        <v>0</v>
      </c>
      <c r="Q331" s="10" t="n">
        <v>-36.5</v>
      </c>
      <c r="R331" s="10" t="n">
        <v>0</v>
      </c>
      <c r="S331" s="10" t="n">
        <v>0</v>
      </c>
      <c r="T331" s="10" t="n">
        <v>0</v>
      </c>
      <c r="U331" s="10" t="n">
        <v>0</v>
      </c>
    </row>
    <row r="332" customFormat="false" ht="15" hidden="false" customHeight="false" outlineLevel="0" collapsed="false">
      <c r="A332" s="7" t="s">
        <v>394</v>
      </c>
      <c r="B332" s="7" t="s">
        <v>68</v>
      </c>
      <c r="C332" s="7" t="s">
        <v>767</v>
      </c>
      <c r="D332" s="10" t="n">
        <v>0</v>
      </c>
      <c r="E332" s="10" t="n">
        <v>0</v>
      </c>
      <c r="F332" s="10" t="n">
        <v>2103.5</v>
      </c>
      <c r="G332" s="10" t="n">
        <v>0</v>
      </c>
      <c r="H332" s="10" t="n">
        <v>0</v>
      </c>
      <c r="I332" s="10" t="n">
        <v>22307.3</v>
      </c>
      <c r="J332" s="10" t="n">
        <v>0</v>
      </c>
      <c r="K332" s="10" t="n">
        <v>97</v>
      </c>
      <c r="L332" s="10" t="n">
        <v>0</v>
      </c>
      <c r="M332" s="10" t="n">
        <v>0</v>
      </c>
      <c r="N332" s="10" t="n">
        <v>0</v>
      </c>
      <c r="O332" s="10" t="n">
        <v>0</v>
      </c>
      <c r="P332" s="10" t="n">
        <v>0</v>
      </c>
      <c r="Q332" s="10" t="n">
        <v>20707.1</v>
      </c>
      <c r="R332" s="10" t="n">
        <v>1503.2</v>
      </c>
      <c r="S332" s="10" t="n">
        <v>0</v>
      </c>
      <c r="T332" s="10" t="n">
        <v>749.1</v>
      </c>
      <c r="U332" s="10" t="n">
        <v>0</v>
      </c>
    </row>
    <row r="333" customFormat="false" ht="15" hidden="false" customHeight="false" outlineLevel="0" collapsed="false">
      <c r="A333" s="7" t="s">
        <v>394</v>
      </c>
      <c r="B333" s="7" t="s">
        <v>134</v>
      </c>
      <c r="C333" s="7" t="s">
        <v>768</v>
      </c>
      <c r="D333" s="10" t="n">
        <v>0</v>
      </c>
      <c r="E333" s="10" t="n">
        <v>0</v>
      </c>
      <c r="F333" s="10" t="n">
        <v>2107.1</v>
      </c>
      <c r="G333" s="10" t="n">
        <v>0</v>
      </c>
      <c r="H333" s="10" t="n">
        <v>0</v>
      </c>
      <c r="I333" s="10" t="n">
        <v>1185.3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0" t="n">
        <v>0</v>
      </c>
      <c r="P333" s="10" t="n">
        <v>0</v>
      </c>
      <c r="Q333" s="10" t="n">
        <v>1185.3</v>
      </c>
      <c r="R333" s="10" t="n">
        <v>0</v>
      </c>
      <c r="S333" s="10" t="n">
        <v>0</v>
      </c>
      <c r="T333" s="10" t="n">
        <v>957.1</v>
      </c>
      <c r="U333" s="10" t="n">
        <v>0</v>
      </c>
    </row>
    <row r="334" customFormat="false" ht="15" hidden="false" customHeight="false" outlineLevel="0" collapsed="false">
      <c r="A334" s="7" t="s">
        <v>394</v>
      </c>
      <c r="B334" s="7" t="s">
        <v>326</v>
      </c>
      <c r="C334" s="7" t="s">
        <v>769</v>
      </c>
      <c r="D334" s="10" t="n">
        <v>0</v>
      </c>
      <c r="E334" s="10" t="n">
        <v>0</v>
      </c>
      <c r="F334" s="10" t="n">
        <v>0</v>
      </c>
      <c r="G334" s="10" t="n">
        <v>0</v>
      </c>
      <c r="H334" s="10" t="n">
        <v>0</v>
      </c>
      <c r="I334" s="10" t="n">
        <v>0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  <c r="S334" s="10" t="n">
        <v>0</v>
      </c>
      <c r="T334" s="10" t="n">
        <v>115.9</v>
      </c>
      <c r="U334" s="10" t="n">
        <v>0</v>
      </c>
    </row>
    <row r="335" customFormat="false" ht="15" hidden="false" customHeight="false" outlineLevel="0" collapsed="false">
      <c r="A335" s="7" t="s">
        <v>394</v>
      </c>
      <c r="B335" s="7" t="s">
        <v>214</v>
      </c>
      <c r="C335" s="7" t="s">
        <v>770</v>
      </c>
      <c r="D335" s="10" t="n">
        <v>0</v>
      </c>
      <c r="E335" s="10" t="n">
        <v>0</v>
      </c>
      <c r="F335" s="10" t="n">
        <v>0</v>
      </c>
      <c r="G335" s="10" t="n">
        <v>0</v>
      </c>
      <c r="H335" s="10" t="n">
        <v>0</v>
      </c>
      <c r="I335" s="10" t="n">
        <v>-49.1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0" t="n">
        <v>0</v>
      </c>
      <c r="P335" s="10" t="n">
        <v>0</v>
      </c>
      <c r="Q335" s="10" t="n">
        <v>-49.1</v>
      </c>
      <c r="R335" s="10" t="n">
        <v>0</v>
      </c>
      <c r="S335" s="10" t="n">
        <v>0</v>
      </c>
      <c r="T335" s="10" t="n">
        <v>0</v>
      </c>
      <c r="U335" s="10" t="n">
        <v>0</v>
      </c>
    </row>
    <row r="336" customFormat="false" ht="15" hidden="false" customHeight="false" outlineLevel="0" collapsed="false">
      <c r="A336" s="7" t="s">
        <v>394</v>
      </c>
      <c r="B336" s="7" t="s">
        <v>236</v>
      </c>
      <c r="C336" s="7" t="s">
        <v>772</v>
      </c>
      <c r="D336" s="10" t="n">
        <v>0</v>
      </c>
      <c r="E336" s="10" t="n">
        <v>0</v>
      </c>
      <c r="F336" s="10" t="n">
        <v>0</v>
      </c>
      <c r="G336" s="10" t="n">
        <v>0</v>
      </c>
      <c r="H336" s="10" t="n">
        <v>0</v>
      </c>
      <c r="I336" s="10" t="n">
        <v>-147.8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-147.8</v>
      </c>
      <c r="R336" s="10" t="n">
        <v>0</v>
      </c>
      <c r="S336" s="10" t="n">
        <v>0</v>
      </c>
      <c r="T336" s="10" t="n">
        <v>0</v>
      </c>
      <c r="U336" s="10" t="n">
        <v>0</v>
      </c>
    </row>
    <row r="337" customFormat="false" ht="15" hidden="false" customHeight="false" outlineLevel="0" collapsed="false">
      <c r="A337" s="7" t="s">
        <v>394</v>
      </c>
      <c r="B337" s="7" t="s">
        <v>340</v>
      </c>
      <c r="C337" s="7" t="s">
        <v>773</v>
      </c>
      <c r="D337" s="10" t="n">
        <v>0</v>
      </c>
      <c r="E337" s="10" t="n">
        <v>0</v>
      </c>
      <c r="F337" s="10" t="n">
        <v>1779.9</v>
      </c>
      <c r="G337" s="10" t="n">
        <v>0</v>
      </c>
      <c r="H337" s="10" t="n">
        <v>0</v>
      </c>
      <c r="I337" s="10" t="n">
        <v>1968.5</v>
      </c>
      <c r="J337" s="10" t="n">
        <v>0</v>
      </c>
      <c r="K337" s="10" t="n">
        <v>87.3</v>
      </c>
      <c r="L337" s="10" t="n">
        <v>0</v>
      </c>
      <c r="M337" s="10" t="n">
        <v>0</v>
      </c>
      <c r="N337" s="10" t="n">
        <v>0</v>
      </c>
      <c r="O337" s="10" t="n">
        <v>23.8</v>
      </c>
      <c r="P337" s="10" t="n">
        <v>-107.3</v>
      </c>
      <c r="Q337" s="10" t="n">
        <v>0</v>
      </c>
      <c r="R337" s="10" t="n">
        <v>1964.7</v>
      </c>
      <c r="S337" s="10" t="n">
        <v>0</v>
      </c>
      <c r="T337" s="10" t="n">
        <v>135.2</v>
      </c>
      <c r="U337" s="10" t="n">
        <v>0</v>
      </c>
    </row>
    <row r="338" customFormat="false" ht="15" hidden="false" customHeight="false" outlineLevel="0" collapsed="false">
      <c r="A338" s="7" t="s">
        <v>394</v>
      </c>
      <c r="B338" s="7" t="s">
        <v>225</v>
      </c>
      <c r="C338" s="7" t="s">
        <v>774</v>
      </c>
      <c r="D338" s="10" t="n">
        <v>0</v>
      </c>
      <c r="E338" s="10" t="n">
        <v>0</v>
      </c>
      <c r="F338" s="10" t="n">
        <v>-21.9</v>
      </c>
      <c r="G338" s="10" t="n">
        <v>0</v>
      </c>
      <c r="H338" s="10" t="n">
        <v>0</v>
      </c>
      <c r="I338" s="10" t="n">
        <v>196</v>
      </c>
      <c r="J338" s="10" t="n">
        <v>0</v>
      </c>
      <c r="K338" s="10" t="n">
        <v>131.1</v>
      </c>
      <c r="L338" s="10" t="n">
        <v>0</v>
      </c>
      <c r="M338" s="10" t="n">
        <v>0</v>
      </c>
      <c r="N338" s="10" t="n">
        <v>0</v>
      </c>
      <c r="O338" s="10" t="n">
        <v>0</v>
      </c>
      <c r="P338" s="10" t="n">
        <v>-64.3</v>
      </c>
      <c r="Q338" s="10" t="n">
        <v>24.3</v>
      </c>
      <c r="R338" s="10" t="n">
        <v>104.8</v>
      </c>
      <c r="S338" s="10" t="n">
        <v>0</v>
      </c>
      <c r="T338" s="10" t="n">
        <v>0</v>
      </c>
      <c r="U338" s="10" t="n">
        <v>0</v>
      </c>
    </row>
    <row r="339" customFormat="false" ht="15" hidden="false" customHeight="false" outlineLevel="0" collapsed="false">
      <c r="A339" s="7" t="s">
        <v>394</v>
      </c>
      <c r="B339" s="7" t="s">
        <v>300</v>
      </c>
      <c r="C339" s="7" t="s">
        <v>775</v>
      </c>
      <c r="D339" s="10" t="n">
        <v>0</v>
      </c>
      <c r="E339" s="10" t="n">
        <v>0</v>
      </c>
      <c r="F339" s="10" t="n">
        <v>657.5</v>
      </c>
      <c r="G339" s="10" t="n">
        <v>0</v>
      </c>
      <c r="H339" s="10" t="n">
        <v>0</v>
      </c>
      <c r="I339" s="10" t="n">
        <v>344.5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0" t="n">
        <v>0</v>
      </c>
      <c r="P339" s="10" t="n">
        <v>-48.3</v>
      </c>
      <c r="Q339" s="10" t="n">
        <v>0</v>
      </c>
      <c r="R339" s="10" t="n">
        <v>392.8</v>
      </c>
      <c r="S339" s="10" t="n">
        <v>0</v>
      </c>
      <c r="T339" s="10" t="n">
        <v>205.9</v>
      </c>
      <c r="U339" s="10" t="n">
        <v>0</v>
      </c>
    </row>
    <row r="340" customFormat="false" ht="15" hidden="false" customHeight="false" outlineLevel="0" collapsed="false">
      <c r="A340" s="7" t="s">
        <v>394</v>
      </c>
      <c r="B340" s="7" t="s">
        <v>247</v>
      </c>
      <c r="C340" s="7" t="s">
        <v>776</v>
      </c>
      <c r="D340" s="10" t="n">
        <v>0</v>
      </c>
      <c r="E340" s="10" t="n">
        <v>0</v>
      </c>
      <c r="F340" s="10" t="n">
        <v>243.3</v>
      </c>
      <c r="G340" s="10" t="n">
        <v>0</v>
      </c>
      <c r="H340" s="10" t="n">
        <v>0</v>
      </c>
      <c r="I340" s="10" t="n">
        <v>879.8</v>
      </c>
      <c r="J340" s="10" t="n">
        <v>0</v>
      </c>
      <c r="K340" s="10" t="n">
        <v>65.5</v>
      </c>
      <c r="L340" s="10" t="n">
        <v>0</v>
      </c>
      <c r="M340" s="10" t="n">
        <v>0</v>
      </c>
      <c r="N340" s="10" t="n">
        <v>0</v>
      </c>
      <c r="O340" s="10" t="n">
        <v>0</v>
      </c>
      <c r="P340" s="10" t="n">
        <v>-150.9</v>
      </c>
      <c r="Q340" s="10" t="n">
        <v>-60.8</v>
      </c>
      <c r="R340" s="10" t="n">
        <v>1026</v>
      </c>
      <c r="S340" s="10" t="n">
        <v>0</v>
      </c>
      <c r="T340" s="10" t="n">
        <v>171</v>
      </c>
      <c r="U340" s="10" t="n">
        <v>0</v>
      </c>
    </row>
    <row r="341" customFormat="false" ht="15" hidden="false" customHeight="false" outlineLevel="0" collapsed="false">
      <c r="A341" s="7" t="s">
        <v>394</v>
      </c>
      <c r="B341" s="7" t="s">
        <v>269</v>
      </c>
      <c r="C341" s="7" t="s">
        <v>777</v>
      </c>
      <c r="D341" s="10" t="n">
        <v>0</v>
      </c>
      <c r="E341" s="10" t="n">
        <v>0</v>
      </c>
      <c r="F341" s="10" t="n">
        <v>18697.4</v>
      </c>
      <c r="G341" s="10" t="n">
        <v>0</v>
      </c>
      <c r="H341" s="10" t="n">
        <v>0</v>
      </c>
      <c r="I341" s="10" t="n">
        <v>10783.3</v>
      </c>
      <c r="J341" s="10" t="n">
        <v>0</v>
      </c>
      <c r="K341" s="10" t="n">
        <v>497.4</v>
      </c>
      <c r="L341" s="10" t="n">
        <v>0</v>
      </c>
      <c r="M341" s="10" t="n">
        <v>56.1</v>
      </c>
      <c r="N341" s="10" t="n">
        <v>336.7</v>
      </c>
      <c r="O341" s="10" t="n">
        <v>364.4</v>
      </c>
      <c r="P341" s="10" t="n">
        <v>-49.7</v>
      </c>
      <c r="Q341" s="10" t="n">
        <v>0</v>
      </c>
      <c r="R341" s="10" t="n">
        <v>9578.4</v>
      </c>
      <c r="S341" s="10" t="n">
        <v>0</v>
      </c>
      <c r="T341" s="10" t="n">
        <v>3483.4</v>
      </c>
      <c r="U341" s="10" t="n">
        <v>-74.8</v>
      </c>
    </row>
    <row r="342" customFormat="false" ht="15" hidden="false" customHeight="false" outlineLevel="0" collapsed="false">
      <c r="A342" s="7" t="s">
        <v>394</v>
      </c>
      <c r="B342" s="7" t="s">
        <v>67</v>
      </c>
      <c r="C342" s="7" t="s">
        <v>778</v>
      </c>
      <c r="D342" s="10" t="n">
        <v>0</v>
      </c>
      <c r="E342" s="10" t="n">
        <v>0</v>
      </c>
      <c r="F342" s="10" t="n">
        <v>5284.9</v>
      </c>
      <c r="G342" s="10" t="n">
        <v>0</v>
      </c>
      <c r="H342" s="10" t="n">
        <v>0</v>
      </c>
      <c r="I342" s="10" t="n">
        <v>40241</v>
      </c>
      <c r="J342" s="10" t="n">
        <v>0</v>
      </c>
      <c r="K342" s="10" t="n">
        <v>112</v>
      </c>
      <c r="L342" s="10" t="n">
        <v>0</v>
      </c>
      <c r="M342" s="10" t="n">
        <v>0</v>
      </c>
      <c r="N342" s="10" t="n">
        <v>121.8</v>
      </c>
      <c r="O342" s="10" t="n">
        <v>56</v>
      </c>
      <c r="P342" s="10" t="n">
        <v>-112</v>
      </c>
      <c r="Q342" s="10" t="n">
        <v>37711.2</v>
      </c>
      <c r="R342" s="10" t="n">
        <v>2352</v>
      </c>
      <c r="S342" s="10" t="n">
        <v>0</v>
      </c>
      <c r="T342" s="10" t="n">
        <v>1823.1</v>
      </c>
      <c r="U342" s="10" t="n">
        <v>0</v>
      </c>
    </row>
    <row r="343" customFormat="false" ht="15" hidden="false" customHeight="false" outlineLevel="0" collapsed="false">
      <c r="A343" s="7" t="s">
        <v>394</v>
      </c>
      <c r="B343" s="7" t="s">
        <v>136</v>
      </c>
      <c r="C343" s="7" t="s">
        <v>779</v>
      </c>
      <c r="D343" s="10" t="n">
        <v>0</v>
      </c>
      <c r="E343" s="10" t="n">
        <v>0</v>
      </c>
      <c r="F343" s="10" t="n">
        <v>2369.5</v>
      </c>
      <c r="G343" s="10" t="n">
        <v>0</v>
      </c>
      <c r="H343" s="10" t="n">
        <v>0</v>
      </c>
      <c r="I343" s="10" t="n">
        <v>8847.9</v>
      </c>
      <c r="J343" s="10" t="n">
        <v>0</v>
      </c>
      <c r="K343" s="10" t="n">
        <v>192.1</v>
      </c>
      <c r="L343" s="10" t="n">
        <v>0</v>
      </c>
      <c r="M343" s="10" t="n">
        <v>129.1</v>
      </c>
      <c r="N343" s="10" t="n">
        <v>129.1</v>
      </c>
      <c r="O343" s="10" t="n">
        <v>0</v>
      </c>
      <c r="P343" s="10" t="n">
        <v>0</v>
      </c>
      <c r="Q343" s="10" t="n">
        <v>7064.7</v>
      </c>
      <c r="R343" s="10" t="n">
        <v>1332.9</v>
      </c>
      <c r="S343" s="10" t="n">
        <v>0</v>
      </c>
      <c r="T343" s="10" t="n">
        <v>879.9</v>
      </c>
      <c r="U343" s="10" t="n">
        <v>0</v>
      </c>
    </row>
    <row r="344" customFormat="false" ht="15" hidden="false" customHeight="false" outlineLevel="0" collapsed="false">
      <c r="A344" s="7" t="s">
        <v>394</v>
      </c>
      <c r="B344" s="7" t="s">
        <v>185</v>
      </c>
      <c r="C344" s="7" t="s">
        <v>781</v>
      </c>
      <c r="D344" s="10" t="n">
        <v>0</v>
      </c>
      <c r="E344" s="10" t="n">
        <v>0</v>
      </c>
      <c r="F344" s="10" t="n">
        <v>959.2</v>
      </c>
      <c r="G344" s="10" t="n">
        <v>0</v>
      </c>
      <c r="H344" s="10" t="n">
        <v>0</v>
      </c>
      <c r="I344" s="10" t="n">
        <v>0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0" t="n">
        <v>0</v>
      </c>
      <c r="P344" s="10" t="n">
        <v>0</v>
      </c>
      <c r="Q344" s="10" t="n">
        <v>0</v>
      </c>
      <c r="R344" s="10" t="n">
        <v>0</v>
      </c>
      <c r="S344" s="10" t="n">
        <v>0</v>
      </c>
      <c r="T344" s="10" t="n">
        <v>0</v>
      </c>
      <c r="U344" s="10" t="n">
        <v>0</v>
      </c>
    </row>
    <row r="345" customFormat="false" ht="15" hidden="false" customHeight="false" outlineLevel="0" collapsed="false">
      <c r="A345" s="7" t="s">
        <v>394</v>
      </c>
      <c r="B345" s="7" t="s">
        <v>185</v>
      </c>
      <c r="C345" s="7" t="s">
        <v>782</v>
      </c>
      <c r="D345" s="10" t="n">
        <v>0</v>
      </c>
      <c r="E345" s="10" t="n">
        <v>0</v>
      </c>
      <c r="F345" s="10" t="n">
        <v>2852.4</v>
      </c>
      <c r="G345" s="10" t="n">
        <v>0</v>
      </c>
      <c r="H345" s="10" t="n">
        <v>0</v>
      </c>
      <c r="I345" s="10" t="n">
        <v>1165</v>
      </c>
      <c r="J345" s="10" t="n">
        <v>0</v>
      </c>
      <c r="K345" s="10" t="n">
        <v>0</v>
      </c>
      <c r="L345" s="10" t="n">
        <v>0</v>
      </c>
      <c r="M345" s="10" t="n">
        <v>0</v>
      </c>
      <c r="N345" s="10" t="n">
        <v>0</v>
      </c>
      <c r="O345" s="10" t="n">
        <v>0</v>
      </c>
      <c r="P345" s="10" t="n">
        <v>0</v>
      </c>
      <c r="Q345" s="10" t="n">
        <v>790.4</v>
      </c>
      <c r="R345" s="10" t="n">
        <v>374.6</v>
      </c>
      <c r="S345" s="10" t="n">
        <v>0</v>
      </c>
      <c r="T345" s="10" t="n">
        <v>740.1</v>
      </c>
      <c r="U345" s="10" t="n">
        <v>0</v>
      </c>
    </row>
    <row r="346" customFormat="false" ht="15" hidden="false" customHeight="false" outlineLevel="0" collapsed="false">
      <c r="A346" s="7" t="s">
        <v>394</v>
      </c>
      <c r="B346" s="7" t="s">
        <v>185</v>
      </c>
      <c r="C346" s="7" t="s">
        <v>783</v>
      </c>
      <c r="D346" s="10" t="n">
        <v>0</v>
      </c>
      <c r="E346" s="10" t="n">
        <v>0</v>
      </c>
      <c r="F346" s="10" t="n">
        <v>4518.4</v>
      </c>
      <c r="G346" s="10" t="n">
        <v>0</v>
      </c>
      <c r="H346" s="10" t="n">
        <v>0</v>
      </c>
      <c r="I346" s="10" t="n">
        <v>1349.9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0" t="n">
        <v>0</v>
      </c>
      <c r="P346" s="10" t="n">
        <v>0</v>
      </c>
      <c r="Q346" s="10" t="n">
        <v>975.3</v>
      </c>
      <c r="R346" s="10" t="n">
        <v>374.6</v>
      </c>
      <c r="S346" s="10" t="n">
        <v>0</v>
      </c>
      <c r="T346" s="10" t="n">
        <v>1029.7</v>
      </c>
      <c r="U346" s="10" t="n">
        <v>0</v>
      </c>
    </row>
    <row r="347" customFormat="false" ht="15" hidden="false" customHeight="false" outlineLevel="0" collapsed="false">
      <c r="A347" s="7" t="s">
        <v>394</v>
      </c>
      <c r="B347" s="7" t="s">
        <v>185</v>
      </c>
      <c r="C347" s="7" t="s">
        <v>784</v>
      </c>
      <c r="D347" s="10" t="n">
        <v>0</v>
      </c>
      <c r="E347" s="10" t="n">
        <v>0</v>
      </c>
      <c r="F347" s="10" t="n">
        <v>3534.2</v>
      </c>
      <c r="G347" s="10" t="n">
        <v>0</v>
      </c>
      <c r="H347" s="10" t="n">
        <v>0</v>
      </c>
      <c r="I347" s="10" t="n">
        <v>975.3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0" t="n">
        <v>0</v>
      </c>
      <c r="P347" s="10" t="n">
        <v>0</v>
      </c>
      <c r="Q347" s="10" t="n">
        <v>975.3</v>
      </c>
      <c r="R347" s="10" t="n">
        <v>0</v>
      </c>
      <c r="S347" s="10" t="n">
        <v>0</v>
      </c>
      <c r="T347" s="10" t="n">
        <v>257.4</v>
      </c>
      <c r="U347" s="10" t="n">
        <v>0</v>
      </c>
    </row>
    <row r="348" customFormat="false" ht="15" hidden="false" customHeight="false" outlineLevel="0" collapsed="false">
      <c r="A348" s="7" t="s">
        <v>394</v>
      </c>
      <c r="B348" s="7" t="s">
        <v>185</v>
      </c>
      <c r="C348" s="7" t="s">
        <v>785</v>
      </c>
      <c r="D348" s="10" t="n">
        <v>0</v>
      </c>
      <c r="E348" s="10" t="n">
        <v>0</v>
      </c>
      <c r="F348" s="10" t="n">
        <v>568</v>
      </c>
      <c r="G348" s="10" t="n">
        <v>0</v>
      </c>
      <c r="H348" s="10" t="n">
        <v>0</v>
      </c>
      <c r="I348" s="10" t="n">
        <v>0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0</v>
      </c>
      <c r="S348" s="10" t="n">
        <v>0</v>
      </c>
      <c r="T348" s="10" t="n">
        <v>0</v>
      </c>
      <c r="U348" s="10" t="n">
        <v>0</v>
      </c>
    </row>
    <row r="349" customFormat="false" ht="15" hidden="false" customHeight="false" outlineLevel="0" collapsed="false">
      <c r="A349" s="7" t="s">
        <v>394</v>
      </c>
      <c r="B349" s="7" t="s">
        <v>53</v>
      </c>
      <c r="C349" s="7" t="s">
        <v>786</v>
      </c>
      <c r="D349" s="10" t="n">
        <v>0</v>
      </c>
      <c r="E349" s="10" t="n">
        <v>0</v>
      </c>
      <c r="F349" s="10" t="n">
        <v>26307.6</v>
      </c>
      <c r="G349" s="10" t="n">
        <v>0</v>
      </c>
      <c r="H349" s="10" t="n">
        <v>0</v>
      </c>
      <c r="I349" s="10" t="n">
        <v>269878.4</v>
      </c>
      <c r="J349" s="10" t="n">
        <v>0</v>
      </c>
      <c r="K349" s="10" t="n">
        <v>873.1</v>
      </c>
      <c r="L349" s="10" t="n">
        <v>0</v>
      </c>
      <c r="M349" s="10" t="n">
        <v>0</v>
      </c>
      <c r="N349" s="10" t="n">
        <v>0</v>
      </c>
      <c r="O349" s="10" t="n">
        <v>0</v>
      </c>
      <c r="P349" s="10" t="n">
        <v>-145.5</v>
      </c>
      <c r="Q349" s="10" t="n">
        <v>245794.8</v>
      </c>
      <c r="R349" s="10" t="n">
        <v>23356</v>
      </c>
      <c r="S349" s="10" t="n">
        <v>0</v>
      </c>
      <c r="T349" s="10" t="n">
        <v>29484</v>
      </c>
      <c r="U349" s="10" t="n">
        <v>-106.2</v>
      </c>
    </row>
    <row r="350" customFormat="false" ht="15" hidden="false" customHeight="false" outlineLevel="0" collapsed="false">
      <c r="A350" s="7" t="s">
        <v>394</v>
      </c>
      <c r="B350" s="7" t="s">
        <v>149</v>
      </c>
      <c r="C350" s="7" t="s">
        <v>718</v>
      </c>
      <c r="D350" s="10" t="n">
        <v>0</v>
      </c>
      <c r="E350" s="10" t="n">
        <v>0</v>
      </c>
      <c r="F350" s="10" t="n">
        <v>12242</v>
      </c>
      <c r="G350" s="10" t="n">
        <v>0</v>
      </c>
      <c r="H350" s="10" t="n">
        <v>0</v>
      </c>
      <c r="I350" s="10" t="n">
        <v>16330.7</v>
      </c>
      <c r="J350" s="10" t="n">
        <v>0</v>
      </c>
      <c r="K350" s="10" t="n">
        <v>330.8</v>
      </c>
      <c r="L350" s="10" t="n">
        <v>0</v>
      </c>
      <c r="M350" s="10" t="n">
        <v>0</v>
      </c>
      <c r="N350" s="10" t="n">
        <v>0</v>
      </c>
      <c r="O350" s="10" t="n">
        <v>0</v>
      </c>
      <c r="P350" s="10" t="n">
        <v>-110.3</v>
      </c>
      <c r="Q350" s="10" t="n">
        <v>13023.1</v>
      </c>
      <c r="R350" s="10" t="n">
        <v>3087.1</v>
      </c>
      <c r="S350" s="10" t="n">
        <v>0</v>
      </c>
      <c r="T350" s="10" t="n">
        <v>21317.2</v>
      </c>
      <c r="U350" s="10" t="n">
        <v>0</v>
      </c>
    </row>
    <row r="351" customFormat="false" ht="15" hidden="false" customHeight="false" outlineLevel="0" collapsed="false">
      <c r="A351" s="7" t="s">
        <v>394</v>
      </c>
      <c r="B351" s="7" t="s">
        <v>46</v>
      </c>
      <c r="C351" s="7" t="s">
        <v>787</v>
      </c>
      <c r="D351" s="10" t="n">
        <v>0</v>
      </c>
      <c r="E351" s="10" t="n">
        <v>0</v>
      </c>
      <c r="F351" s="10" t="n">
        <v>-52.8</v>
      </c>
      <c r="G351" s="10" t="n">
        <v>0</v>
      </c>
      <c r="H351" s="10" t="n">
        <v>0</v>
      </c>
      <c r="I351" s="10" t="n">
        <v>-372.2</v>
      </c>
      <c r="J351" s="10" t="n">
        <v>0</v>
      </c>
      <c r="K351" s="10" t="n">
        <v>0</v>
      </c>
      <c r="L351" s="10" t="n">
        <v>0</v>
      </c>
      <c r="M351" s="10" t="n">
        <v>0</v>
      </c>
      <c r="N351" s="10" t="n">
        <v>0</v>
      </c>
      <c r="O351" s="10" t="n">
        <v>0</v>
      </c>
      <c r="P351" s="10" t="n">
        <v>-113.7</v>
      </c>
      <c r="Q351" s="10" t="n">
        <v>-258.6</v>
      </c>
      <c r="R351" s="10" t="n">
        <v>0</v>
      </c>
      <c r="S351" s="10" t="n">
        <v>0</v>
      </c>
      <c r="T351" s="10" t="n">
        <v>0</v>
      </c>
      <c r="U351" s="10" t="n">
        <v>0</v>
      </c>
    </row>
    <row r="352" customFormat="false" ht="15" hidden="false" customHeight="false" outlineLevel="0" collapsed="false">
      <c r="A352" s="7" t="s">
        <v>394</v>
      </c>
      <c r="B352" s="7" t="s">
        <v>46</v>
      </c>
      <c r="C352" s="7" t="s">
        <v>788</v>
      </c>
      <c r="D352" s="10" t="n">
        <v>0</v>
      </c>
      <c r="E352" s="10" t="n">
        <v>0</v>
      </c>
      <c r="F352" s="10" t="n">
        <v>134.9</v>
      </c>
      <c r="G352" s="10" t="n">
        <v>0</v>
      </c>
      <c r="H352" s="10" t="n">
        <v>0</v>
      </c>
      <c r="I352" s="10" t="n">
        <v>131.1</v>
      </c>
      <c r="J352" s="10" t="n">
        <v>0</v>
      </c>
      <c r="K352" s="10" t="n">
        <v>0</v>
      </c>
      <c r="L352" s="10" t="n">
        <v>0</v>
      </c>
      <c r="M352" s="10" t="n">
        <v>0</v>
      </c>
      <c r="N352" s="10" t="n">
        <v>0</v>
      </c>
      <c r="O352" s="10" t="n">
        <v>0</v>
      </c>
      <c r="P352" s="10" t="n">
        <v>-170.5</v>
      </c>
      <c r="Q352" s="10" t="n">
        <v>-153</v>
      </c>
      <c r="R352" s="10" t="n">
        <v>454.6</v>
      </c>
      <c r="S352" s="10" t="n">
        <v>0</v>
      </c>
      <c r="T352" s="10" t="n">
        <v>0</v>
      </c>
      <c r="U352" s="10" t="n">
        <v>0</v>
      </c>
    </row>
    <row r="353" customFormat="false" ht="15" hidden="false" customHeight="false" outlineLevel="0" collapsed="false">
      <c r="A353" s="7" t="s">
        <v>394</v>
      </c>
      <c r="B353" s="7" t="s">
        <v>46</v>
      </c>
      <c r="C353" s="7" t="s">
        <v>789</v>
      </c>
      <c r="D353" s="10" t="n">
        <v>0</v>
      </c>
      <c r="E353" s="10" t="n">
        <v>0</v>
      </c>
      <c r="F353" s="10" t="n">
        <v>-164.4</v>
      </c>
      <c r="G353" s="10" t="n">
        <v>0</v>
      </c>
      <c r="H353" s="10" t="n">
        <v>0</v>
      </c>
      <c r="I353" s="10" t="n">
        <v>-216.6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0" t="n">
        <v>0</v>
      </c>
      <c r="P353" s="10" t="n">
        <v>-113.7</v>
      </c>
      <c r="Q353" s="10" t="n">
        <v>-102.9</v>
      </c>
      <c r="R353" s="10" t="n">
        <v>0</v>
      </c>
      <c r="S353" s="10" t="n">
        <v>0</v>
      </c>
      <c r="T353" s="10" t="n">
        <v>0</v>
      </c>
      <c r="U353" s="10" t="n">
        <v>0</v>
      </c>
    </row>
    <row r="354" customFormat="false" ht="15" hidden="false" customHeight="false" outlineLevel="0" collapsed="false">
      <c r="A354" s="7" t="s">
        <v>394</v>
      </c>
      <c r="B354" s="7" t="s">
        <v>333</v>
      </c>
      <c r="C354" s="7" t="s">
        <v>790</v>
      </c>
      <c r="D354" s="10" t="n">
        <v>0</v>
      </c>
      <c r="E354" s="10" t="n">
        <v>0</v>
      </c>
      <c r="F354" s="10" t="n">
        <v>392.1</v>
      </c>
      <c r="G354" s="10" t="n">
        <v>0</v>
      </c>
      <c r="H354" s="10" t="n">
        <v>0</v>
      </c>
      <c r="I354" s="10" t="n">
        <v>0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  <c r="S354" s="10" t="n">
        <v>0</v>
      </c>
      <c r="T354" s="10" t="n">
        <v>0</v>
      </c>
      <c r="U354" s="10" t="n">
        <v>0</v>
      </c>
    </row>
    <row r="355" customFormat="false" ht="15" hidden="false" customHeight="false" outlineLevel="0" collapsed="false">
      <c r="A355" s="7" t="s">
        <v>394</v>
      </c>
      <c r="B355" s="7" t="s">
        <v>97</v>
      </c>
      <c r="C355" s="7" t="s">
        <v>791</v>
      </c>
      <c r="D355" s="10" t="n">
        <v>0</v>
      </c>
      <c r="E355" s="10" t="n">
        <v>0</v>
      </c>
      <c r="F355" s="10" t="n">
        <v>554.4</v>
      </c>
      <c r="G355" s="10" t="n">
        <v>0</v>
      </c>
      <c r="H355" s="10" t="n">
        <v>0</v>
      </c>
      <c r="I355" s="10" t="n">
        <v>27286.9</v>
      </c>
      <c r="J355" s="10" t="n">
        <v>0</v>
      </c>
      <c r="K355" s="10" t="n">
        <v>198.5</v>
      </c>
      <c r="L355" s="10" t="n">
        <v>0</v>
      </c>
      <c r="M355" s="10" t="n">
        <v>0</v>
      </c>
      <c r="N355" s="10" t="n">
        <v>0</v>
      </c>
      <c r="O355" s="10" t="n">
        <v>0</v>
      </c>
      <c r="P355" s="10" t="n">
        <v>-198.5</v>
      </c>
      <c r="Q355" s="10" t="n">
        <v>24607.7</v>
      </c>
      <c r="R355" s="10" t="n">
        <v>2679.2</v>
      </c>
      <c r="S355" s="10" t="n">
        <v>0</v>
      </c>
      <c r="T355" s="10" t="n">
        <v>325</v>
      </c>
      <c r="U355" s="10" t="n">
        <v>0</v>
      </c>
    </row>
    <row r="356" customFormat="false" ht="15" hidden="false" customHeight="false" outlineLevel="0" collapsed="false">
      <c r="A356" s="7" t="s">
        <v>394</v>
      </c>
      <c r="B356" s="7" t="s">
        <v>61</v>
      </c>
      <c r="C356" s="7" t="s">
        <v>791</v>
      </c>
      <c r="D356" s="10" t="n">
        <v>0</v>
      </c>
      <c r="E356" s="10" t="n">
        <v>0</v>
      </c>
      <c r="F356" s="10" t="n">
        <v>3321.8</v>
      </c>
      <c r="G356" s="10" t="n">
        <v>0</v>
      </c>
      <c r="H356" s="10" t="n">
        <v>0</v>
      </c>
      <c r="I356" s="10" t="n">
        <v>81426.9</v>
      </c>
      <c r="J356" s="10" t="n">
        <v>0</v>
      </c>
      <c r="K356" s="10" t="n">
        <v>198.5</v>
      </c>
      <c r="L356" s="10" t="n">
        <v>0</v>
      </c>
      <c r="M356" s="10" t="n">
        <v>0</v>
      </c>
      <c r="N356" s="10" t="n">
        <v>0</v>
      </c>
      <c r="O356" s="10" t="n">
        <v>0</v>
      </c>
      <c r="P356" s="10" t="n">
        <v>-496.2</v>
      </c>
      <c r="Q356" s="10" t="n">
        <v>75572.3</v>
      </c>
      <c r="R356" s="10" t="n">
        <v>6152.3</v>
      </c>
      <c r="S356" s="10" t="n">
        <v>0</v>
      </c>
      <c r="T356" s="10" t="n">
        <v>1950</v>
      </c>
      <c r="U356" s="10" t="n">
        <v>-312.4</v>
      </c>
    </row>
    <row r="357" customFormat="false" ht="15" hidden="false" customHeight="false" outlineLevel="0" collapsed="false">
      <c r="A357" s="7" t="s">
        <v>394</v>
      </c>
      <c r="B357" s="7" t="s">
        <v>55</v>
      </c>
      <c r="C357" s="7" t="s">
        <v>791</v>
      </c>
      <c r="D357" s="10" t="n">
        <v>0</v>
      </c>
      <c r="E357" s="10" t="n">
        <v>0</v>
      </c>
      <c r="F357" s="10" t="n">
        <v>4953.8</v>
      </c>
      <c r="G357" s="10" t="n">
        <v>0</v>
      </c>
      <c r="H357" s="10" t="n">
        <v>0</v>
      </c>
      <c r="I357" s="10" t="n">
        <v>124925.3</v>
      </c>
      <c r="J357" s="10" t="n">
        <v>0</v>
      </c>
      <c r="K357" s="10" t="n">
        <v>1488.5</v>
      </c>
      <c r="L357" s="10" t="n">
        <v>0</v>
      </c>
      <c r="M357" s="10" t="n">
        <v>0</v>
      </c>
      <c r="N357" s="10" t="n">
        <v>0</v>
      </c>
      <c r="O357" s="10" t="n">
        <v>0</v>
      </c>
      <c r="P357" s="10" t="n">
        <v>-496.2</v>
      </c>
      <c r="Q357" s="10" t="n">
        <v>110437.7</v>
      </c>
      <c r="R357" s="10" t="n">
        <v>13495.3</v>
      </c>
      <c r="S357" s="10" t="n">
        <v>0</v>
      </c>
      <c r="T357" s="10" t="n">
        <v>6630</v>
      </c>
      <c r="U357" s="10" t="n">
        <v>0</v>
      </c>
    </row>
    <row r="358" customFormat="false" ht="15" hidden="false" customHeight="false" outlineLevel="0" collapsed="false">
      <c r="A358" s="7" t="s">
        <v>394</v>
      </c>
      <c r="B358" s="7" t="s">
        <v>54</v>
      </c>
      <c r="C358" s="7" t="s">
        <v>792</v>
      </c>
      <c r="D358" s="10" t="n">
        <v>0</v>
      </c>
      <c r="E358" s="10" t="n">
        <v>0</v>
      </c>
      <c r="F358" s="10" t="n">
        <v>4126.1</v>
      </c>
      <c r="G358" s="10" t="n">
        <v>0</v>
      </c>
      <c r="H358" s="10" t="n">
        <v>0</v>
      </c>
      <c r="I358" s="10" t="n">
        <v>94468</v>
      </c>
      <c r="J358" s="10" t="n">
        <v>0</v>
      </c>
      <c r="K358" s="10" t="n">
        <v>297.7</v>
      </c>
      <c r="L358" s="10" t="n">
        <v>0</v>
      </c>
      <c r="M358" s="10" t="n">
        <v>0</v>
      </c>
      <c r="N358" s="10" t="n">
        <v>0</v>
      </c>
      <c r="O358" s="10" t="n">
        <v>0</v>
      </c>
      <c r="P358" s="10" t="n">
        <v>-297.7</v>
      </c>
      <c r="Q358" s="10" t="n">
        <v>83552.7</v>
      </c>
      <c r="R358" s="10" t="n">
        <v>10915.3</v>
      </c>
      <c r="S358" s="10" t="n">
        <v>0</v>
      </c>
      <c r="T358" s="10" t="n">
        <v>3510</v>
      </c>
      <c r="U358" s="10" t="n">
        <v>-312.4</v>
      </c>
    </row>
    <row r="359" customFormat="false" ht="15" hidden="false" customHeight="false" outlineLevel="0" collapsed="false">
      <c r="A359" s="7" t="s">
        <v>394</v>
      </c>
      <c r="B359" s="7" t="s">
        <v>108</v>
      </c>
      <c r="C359" s="7" t="s">
        <v>792</v>
      </c>
      <c r="D359" s="10" t="n">
        <v>0</v>
      </c>
      <c r="E359" s="10" t="n">
        <v>0</v>
      </c>
      <c r="F359" s="10" t="n">
        <v>2494.1</v>
      </c>
      <c r="G359" s="10" t="n">
        <v>0</v>
      </c>
      <c r="H359" s="10" t="n">
        <v>0</v>
      </c>
      <c r="I359" s="10" t="n">
        <v>13459.4</v>
      </c>
      <c r="J359" s="10" t="n">
        <v>0</v>
      </c>
      <c r="K359" s="10" t="n">
        <v>297.7</v>
      </c>
      <c r="L359" s="10" t="n">
        <v>0</v>
      </c>
      <c r="M359" s="10" t="n">
        <v>0</v>
      </c>
      <c r="N359" s="10" t="n">
        <v>0</v>
      </c>
      <c r="O359" s="10" t="n">
        <v>0</v>
      </c>
      <c r="P359" s="10" t="n">
        <v>-297.7</v>
      </c>
      <c r="Q359" s="10" t="n">
        <v>8894.8</v>
      </c>
      <c r="R359" s="10" t="n">
        <v>4564.6</v>
      </c>
      <c r="S359" s="10" t="n">
        <v>0</v>
      </c>
      <c r="T359" s="10" t="n">
        <v>2535</v>
      </c>
      <c r="U359" s="10" t="n">
        <v>0</v>
      </c>
    </row>
    <row r="360" customFormat="false" ht="15" hidden="false" customHeight="false" outlineLevel="0" collapsed="false">
      <c r="A360" s="7" t="s">
        <v>394</v>
      </c>
      <c r="B360" s="7" t="s">
        <v>161</v>
      </c>
      <c r="C360" s="7" t="s">
        <v>793</v>
      </c>
      <c r="D360" s="10" t="n">
        <v>0</v>
      </c>
      <c r="E360" s="10" t="n">
        <v>0</v>
      </c>
      <c r="F360" s="10" t="n">
        <v>0</v>
      </c>
      <c r="G360" s="10" t="n">
        <v>0</v>
      </c>
      <c r="H360" s="10" t="n">
        <v>0</v>
      </c>
      <c r="I360" s="10" t="n">
        <v>25.9</v>
      </c>
      <c r="J360" s="10" t="n">
        <v>0</v>
      </c>
      <c r="K360" s="10" t="n">
        <v>0</v>
      </c>
      <c r="L360" s="10" t="n">
        <v>0</v>
      </c>
      <c r="M360" s="10" t="n">
        <v>0</v>
      </c>
      <c r="N360" s="10" t="n">
        <v>0</v>
      </c>
      <c r="O360" s="10" t="n">
        <v>0</v>
      </c>
      <c r="P360" s="10" t="n">
        <v>0</v>
      </c>
      <c r="Q360" s="10" t="n">
        <v>25.9</v>
      </c>
      <c r="R360" s="10" t="n">
        <v>0</v>
      </c>
      <c r="S360" s="10" t="n">
        <v>0</v>
      </c>
      <c r="T360" s="10" t="n">
        <v>0</v>
      </c>
      <c r="U360" s="10" t="n">
        <v>0</v>
      </c>
    </row>
    <row r="361" customFormat="false" ht="15" hidden="false" customHeight="false" outlineLevel="0" collapsed="false">
      <c r="A361" s="7" t="s">
        <v>394</v>
      </c>
      <c r="B361" s="7" t="s">
        <v>130</v>
      </c>
      <c r="C361" s="7" t="s">
        <v>794</v>
      </c>
      <c r="D361" s="10" t="n">
        <v>0</v>
      </c>
      <c r="E361" s="10" t="n">
        <v>0</v>
      </c>
      <c r="F361" s="10" t="n">
        <v>0</v>
      </c>
      <c r="G361" s="10" t="n">
        <v>0</v>
      </c>
      <c r="H361" s="10" t="n">
        <v>0</v>
      </c>
      <c r="I361" s="10" t="n">
        <v>68.2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0" t="n">
        <v>0</v>
      </c>
      <c r="P361" s="10" t="n">
        <v>0</v>
      </c>
      <c r="Q361" s="10" t="n">
        <v>68.2</v>
      </c>
      <c r="R361" s="10" t="n">
        <v>0</v>
      </c>
      <c r="S361" s="10" t="n">
        <v>0</v>
      </c>
      <c r="T361" s="10" t="n">
        <v>0</v>
      </c>
      <c r="U361" s="10" t="n">
        <v>0</v>
      </c>
    </row>
    <row r="362" customFormat="false" ht="15" hidden="false" customHeight="false" outlineLevel="0" collapsed="false">
      <c r="A362" s="7" t="s">
        <v>394</v>
      </c>
      <c r="B362" s="7" t="s">
        <v>123</v>
      </c>
      <c r="C362" s="7" t="s">
        <v>794</v>
      </c>
      <c r="D362" s="10" t="n">
        <v>0</v>
      </c>
      <c r="E362" s="10" t="n">
        <v>0</v>
      </c>
      <c r="F362" s="10" t="n">
        <v>0</v>
      </c>
      <c r="G362" s="10" t="n">
        <v>0</v>
      </c>
      <c r="H362" s="10" t="n">
        <v>0</v>
      </c>
      <c r="I362" s="10" t="n">
        <v>203.1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0" t="n">
        <v>0</v>
      </c>
      <c r="P362" s="10" t="n">
        <v>0</v>
      </c>
      <c r="Q362" s="10" t="n">
        <v>203.1</v>
      </c>
      <c r="R362" s="10" t="n">
        <v>0</v>
      </c>
      <c r="S362" s="10" t="n">
        <v>0</v>
      </c>
      <c r="T362" s="10" t="n">
        <v>0</v>
      </c>
      <c r="U362" s="10" t="n">
        <v>0</v>
      </c>
    </row>
    <row r="363" customFormat="false" ht="15" hidden="false" customHeight="false" outlineLevel="0" collapsed="false">
      <c r="A363" s="7" t="s">
        <v>394</v>
      </c>
      <c r="B363" s="7" t="s">
        <v>138</v>
      </c>
      <c r="C363" s="7" t="s">
        <v>794</v>
      </c>
      <c r="D363" s="10" t="n">
        <v>0</v>
      </c>
      <c r="E363" s="10" t="n">
        <v>0</v>
      </c>
      <c r="F363" s="10" t="n">
        <v>0</v>
      </c>
      <c r="G363" s="10" t="n">
        <v>0</v>
      </c>
      <c r="H363" s="10" t="n">
        <v>0</v>
      </c>
      <c r="I363" s="10" t="n">
        <v>132.3</v>
      </c>
      <c r="J363" s="10" t="n">
        <v>0</v>
      </c>
      <c r="K363" s="10" t="n">
        <v>0</v>
      </c>
      <c r="L363" s="10" t="n">
        <v>0</v>
      </c>
      <c r="M363" s="10" t="n">
        <v>0</v>
      </c>
      <c r="N363" s="10" t="n">
        <v>0</v>
      </c>
      <c r="O363" s="10" t="n">
        <v>0</v>
      </c>
      <c r="P363" s="10" t="n">
        <v>0</v>
      </c>
      <c r="Q363" s="10" t="n">
        <v>132.3</v>
      </c>
      <c r="R363" s="10" t="n">
        <v>0</v>
      </c>
      <c r="S363" s="10" t="n">
        <v>0</v>
      </c>
      <c r="T363" s="10" t="n">
        <v>0</v>
      </c>
      <c r="U363" s="10" t="n">
        <v>0</v>
      </c>
    </row>
    <row r="364" customFormat="false" ht="15" hidden="false" customHeight="false" outlineLevel="0" collapsed="false">
      <c r="A364" s="7" t="s">
        <v>394</v>
      </c>
      <c r="B364" s="7" t="s">
        <v>182</v>
      </c>
      <c r="C364" s="7" t="s">
        <v>795</v>
      </c>
      <c r="D364" s="10" t="n">
        <v>0</v>
      </c>
      <c r="E364" s="10" t="n">
        <v>0</v>
      </c>
      <c r="F364" s="10" t="n">
        <v>-92.8</v>
      </c>
      <c r="G364" s="10" t="n">
        <v>0</v>
      </c>
      <c r="H364" s="10" t="n">
        <v>0</v>
      </c>
      <c r="I364" s="10" t="n">
        <v>17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0" t="n">
        <v>0</v>
      </c>
      <c r="P364" s="10" t="n">
        <v>0</v>
      </c>
      <c r="Q364" s="10" t="n">
        <v>17</v>
      </c>
      <c r="R364" s="10" t="n">
        <v>0</v>
      </c>
      <c r="S364" s="10" t="n">
        <v>0</v>
      </c>
      <c r="T364" s="10" t="n">
        <v>0</v>
      </c>
      <c r="U364" s="10" t="n">
        <v>0</v>
      </c>
    </row>
    <row r="365" customFormat="false" ht="15" hidden="false" customHeight="false" outlineLevel="0" collapsed="false">
      <c r="A365" s="7" t="s">
        <v>394</v>
      </c>
      <c r="B365" s="7" t="s">
        <v>216</v>
      </c>
      <c r="C365" s="7" t="s">
        <v>796</v>
      </c>
      <c r="D365" s="10" t="n">
        <v>0</v>
      </c>
      <c r="E365" s="10" t="n">
        <v>0</v>
      </c>
      <c r="F365" s="10" t="n">
        <v>639.6</v>
      </c>
      <c r="G365" s="10" t="n">
        <v>0</v>
      </c>
      <c r="H365" s="10" t="n">
        <v>0</v>
      </c>
      <c r="I365" s="10" t="n">
        <v>0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0" t="n">
        <v>0</v>
      </c>
      <c r="P365" s="10" t="n">
        <v>0</v>
      </c>
      <c r="Q365" s="10" t="n">
        <v>0</v>
      </c>
      <c r="R365" s="10" t="n">
        <v>0</v>
      </c>
      <c r="S365" s="10" t="n">
        <v>0</v>
      </c>
      <c r="T365" s="10" t="n">
        <v>0</v>
      </c>
      <c r="U365" s="10" t="n">
        <v>0</v>
      </c>
    </row>
    <row r="366" customFormat="false" ht="15" hidden="false" customHeight="false" outlineLevel="0" collapsed="false">
      <c r="A366" s="7" t="s">
        <v>394</v>
      </c>
      <c r="B366" s="7" t="s">
        <v>218</v>
      </c>
      <c r="C366" s="7" t="s">
        <v>797</v>
      </c>
      <c r="D366" s="10" t="n">
        <v>0</v>
      </c>
      <c r="E366" s="10" t="n">
        <v>0</v>
      </c>
      <c r="F366" s="10" t="n">
        <v>0</v>
      </c>
      <c r="G366" s="10" t="n">
        <v>0</v>
      </c>
      <c r="H366" s="10" t="n">
        <v>0</v>
      </c>
      <c r="I366" s="10" t="n">
        <v>-131.1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0" t="n">
        <v>0</v>
      </c>
      <c r="P366" s="10" t="n">
        <v>0</v>
      </c>
      <c r="Q366" s="10" t="n">
        <v>-131.1</v>
      </c>
      <c r="R366" s="10" t="n">
        <v>0</v>
      </c>
      <c r="S366" s="10" t="n">
        <v>0</v>
      </c>
      <c r="T366" s="10" t="n">
        <v>0</v>
      </c>
      <c r="U366" s="10" t="n">
        <v>0</v>
      </c>
    </row>
    <row r="367" customFormat="false" ht="15" hidden="false" customHeight="false" outlineLevel="0" collapsed="false">
      <c r="A367" s="7" t="s">
        <v>394</v>
      </c>
      <c r="B367" s="7" t="s">
        <v>309</v>
      </c>
      <c r="C367" s="7" t="s">
        <v>953</v>
      </c>
      <c r="D367" s="10" t="n">
        <v>0</v>
      </c>
      <c r="E367" s="10" t="n">
        <v>0</v>
      </c>
      <c r="F367" s="10" t="n">
        <v>-283.5</v>
      </c>
      <c r="G367" s="10" t="n">
        <v>0</v>
      </c>
      <c r="H367" s="10" t="n">
        <v>0</v>
      </c>
      <c r="I367" s="10" t="n">
        <v>0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0" t="n">
        <v>0</v>
      </c>
      <c r="P367" s="10" t="n">
        <v>0</v>
      </c>
      <c r="Q367" s="10" t="n">
        <v>0</v>
      </c>
      <c r="R367" s="10" t="n">
        <v>0</v>
      </c>
      <c r="S367" s="10" t="n">
        <v>0</v>
      </c>
      <c r="T367" s="10" t="n">
        <v>0</v>
      </c>
      <c r="U367" s="10" t="n">
        <v>0</v>
      </c>
    </row>
    <row r="368" customFormat="false" ht="15" hidden="false" customHeight="false" outlineLevel="0" collapsed="false">
      <c r="A368" s="7" t="s">
        <v>394</v>
      </c>
      <c r="B368" s="7" t="s">
        <v>217</v>
      </c>
      <c r="C368" s="7" t="s">
        <v>796</v>
      </c>
      <c r="D368" s="10" t="n">
        <v>0</v>
      </c>
      <c r="E368" s="10" t="n">
        <v>0</v>
      </c>
      <c r="F368" s="10" t="n">
        <v>255.8</v>
      </c>
      <c r="G368" s="10" t="n">
        <v>0</v>
      </c>
      <c r="H368" s="10" t="n">
        <v>0</v>
      </c>
      <c r="I368" s="10" t="n">
        <v>0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0" t="n">
        <v>0</v>
      </c>
      <c r="P368" s="10" t="n">
        <v>0</v>
      </c>
      <c r="Q368" s="10" t="n">
        <v>0</v>
      </c>
      <c r="R368" s="10" t="n">
        <v>0</v>
      </c>
      <c r="S368" s="10" t="n">
        <v>0</v>
      </c>
      <c r="T368" s="10" t="n">
        <v>0</v>
      </c>
      <c r="U368" s="10" t="n">
        <v>0</v>
      </c>
    </row>
    <row r="369" customFormat="false" ht="15" hidden="false" customHeight="false" outlineLevel="0" collapsed="false">
      <c r="A369" s="7" t="s">
        <v>394</v>
      </c>
      <c r="B369" s="7" t="s">
        <v>151</v>
      </c>
      <c r="C369" s="7" t="s">
        <v>798</v>
      </c>
      <c r="D369" s="10" t="n">
        <v>0</v>
      </c>
      <c r="E369" s="10" t="n">
        <v>0</v>
      </c>
      <c r="F369" s="10" t="n">
        <v>2074.7</v>
      </c>
      <c r="G369" s="10" t="n">
        <v>0</v>
      </c>
      <c r="H369" s="10" t="n">
        <v>0</v>
      </c>
      <c r="I369" s="10" t="n">
        <v>4199.8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0" t="n">
        <v>0</v>
      </c>
      <c r="P369" s="10" t="n">
        <v>-108.9</v>
      </c>
      <c r="Q369" s="10" t="n">
        <v>3110.5</v>
      </c>
      <c r="R369" s="10" t="n">
        <v>1198.2</v>
      </c>
      <c r="S369" s="10" t="n">
        <v>0</v>
      </c>
      <c r="T369" s="10" t="n">
        <v>2411.8</v>
      </c>
      <c r="U369" s="10" t="n">
        <v>0</v>
      </c>
    </row>
    <row r="370" customFormat="false" ht="15" hidden="false" customHeight="false" outlineLevel="0" collapsed="false">
      <c r="A370" s="7" t="s">
        <v>394</v>
      </c>
      <c r="B370" s="7" t="s">
        <v>151</v>
      </c>
      <c r="C370" s="7" t="s">
        <v>799</v>
      </c>
      <c r="D370" s="10" t="n">
        <v>0</v>
      </c>
      <c r="E370" s="10" t="n">
        <v>0</v>
      </c>
      <c r="F370" s="10" t="n">
        <v>1222.9</v>
      </c>
      <c r="G370" s="10" t="n">
        <v>0</v>
      </c>
      <c r="H370" s="10" t="n">
        <v>0</v>
      </c>
      <c r="I370" s="10" t="n">
        <v>2736.8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253</v>
      </c>
      <c r="O370" s="10" t="n">
        <v>0</v>
      </c>
      <c r="P370" s="10" t="n">
        <v>0</v>
      </c>
      <c r="Q370" s="10" t="n">
        <v>1394.5</v>
      </c>
      <c r="R370" s="10" t="n">
        <v>1089.3</v>
      </c>
      <c r="S370" s="10" t="n">
        <v>0</v>
      </c>
      <c r="T370" s="10" t="n">
        <v>1322.6</v>
      </c>
      <c r="U370" s="10" t="n">
        <v>0</v>
      </c>
    </row>
    <row r="371" customFormat="false" ht="15" hidden="false" customHeight="false" outlineLevel="0" collapsed="false">
      <c r="A371" s="7" t="s">
        <v>394</v>
      </c>
      <c r="B371" s="7" t="s">
        <v>151</v>
      </c>
      <c r="C371" s="7" t="s">
        <v>800</v>
      </c>
      <c r="D371" s="10" t="n">
        <v>0</v>
      </c>
      <c r="E371" s="10" t="n">
        <v>0</v>
      </c>
      <c r="F371" s="10" t="n">
        <v>489.2</v>
      </c>
      <c r="G371" s="10" t="n">
        <v>0</v>
      </c>
      <c r="H371" s="10" t="n">
        <v>0</v>
      </c>
      <c r="I371" s="10" t="n">
        <v>0</v>
      </c>
      <c r="J371" s="10" t="n">
        <v>0</v>
      </c>
      <c r="K371" s="10" t="n">
        <v>0</v>
      </c>
      <c r="L371" s="10" t="n">
        <v>0</v>
      </c>
      <c r="M371" s="10" t="n">
        <v>0</v>
      </c>
      <c r="N371" s="10" t="n">
        <v>0</v>
      </c>
      <c r="O371" s="10" t="n">
        <v>0</v>
      </c>
      <c r="P371" s="10" t="n">
        <v>0</v>
      </c>
      <c r="Q371" s="10" t="n">
        <v>0</v>
      </c>
      <c r="R371" s="10" t="n">
        <v>0</v>
      </c>
      <c r="S371" s="10" t="n">
        <v>0</v>
      </c>
      <c r="T371" s="10" t="n">
        <v>155.6</v>
      </c>
      <c r="U371" s="10" t="n">
        <v>0</v>
      </c>
    </row>
    <row r="372" customFormat="false" ht="15" hidden="false" customHeight="false" outlineLevel="0" collapsed="false">
      <c r="A372" s="7" t="s">
        <v>394</v>
      </c>
      <c r="B372" s="7" t="s">
        <v>190</v>
      </c>
      <c r="C372" s="7" t="s">
        <v>802</v>
      </c>
      <c r="D372" s="10" t="n">
        <v>0</v>
      </c>
      <c r="E372" s="10" t="n">
        <v>0</v>
      </c>
      <c r="F372" s="10" t="n">
        <v>111</v>
      </c>
      <c r="G372" s="10" t="n">
        <v>0</v>
      </c>
      <c r="H372" s="10" t="n">
        <v>0</v>
      </c>
      <c r="I372" s="10" t="n">
        <v>-278.9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0" t="n">
        <v>0</v>
      </c>
      <c r="P372" s="10" t="n">
        <v>-99.2</v>
      </c>
      <c r="Q372" s="10" t="n">
        <v>-179.7</v>
      </c>
      <c r="R372" s="10" t="n">
        <v>0</v>
      </c>
      <c r="S372" s="10" t="n">
        <v>0</v>
      </c>
      <c r="T372" s="10" t="n">
        <v>0</v>
      </c>
      <c r="U372" s="10" t="n">
        <v>-148.1</v>
      </c>
    </row>
    <row r="373" customFormat="false" ht="15" hidden="false" customHeight="false" outlineLevel="0" collapsed="false">
      <c r="A373" s="7" t="s">
        <v>394</v>
      </c>
      <c r="B373" s="7" t="s">
        <v>190</v>
      </c>
      <c r="C373" s="7" t="s">
        <v>803</v>
      </c>
      <c r="D373" s="10" t="n">
        <v>0</v>
      </c>
      <c r="E373" s="10" t="n">
        <v>0</v>
      </c>
      <c r="F373" s="10" t="n">
        <v>111</v>
      </c>
      <c r="G373" s="10" t="n">
        <v>0</v>
      </c>
      <c r="H373" s="10" t="n">
        <v>0</v>
      </c>
      <c r="I373" s="10" t="n">
        <v>-1587.7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0" t="n">
        <v>0</v>
      </c>
      <c r="P373" s="10" t="n">
        <v>-297.7</v>
      </c>
      <c r="Q373" s="10" t="n">
        <v>-1290</v>
      </c>
      <c r="R373" s="10" t="n">
        <v>0</v>
      </c>
      <c r="S373" s="10" t="n">
        <v>0</v>
      </c>
      <c r="T373" s="10" t="n">
        <v>0</v>
      </c>
      <c r="U373" s="10" t="n">
        <v>0</v>
      </c>
    </row>
    <row r="374" customFormat="false" ht="15" hidden="false" customHeight="false" outlineLevel="0" collapsed="false">
      <c r="A374" s="7" t="s">
        <v>394</v>
      </c>
      <c r="B374" s="7" t="s">
        <v>190</v>
      </c>
      <c r="C374" s="7" t="s">
        <v>804</v>
      </c>
      <c r="D374" s="10" t="n">
        <v>0</v>
      </c>
      <c r="E374" s="10" t="n">
        <v>0</v>
      </c>
      <c r="F374" s="10" t="n">
        <v>0</v>
      </c>
      <c r="G374" s="10" t="n">
        <v>0</v>
      </c>
      <c r="H374" s="10" t="n">
        <v>0</v>
      </c>
      <c r="I374" s="10" t="n">
        <v>-191.4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0" t="n">
        <v>0</v>
      </c>
      <c r="P374" s="10" t="n">
        <v>-99.2</v>
      </c>
      <c r="Q374" s="10" t="n">
        <v>-92.1</v>
      </c>
      <c r="R374" s="10" t="n">
        <v>0</v>
      </c>
      <c r="S374" s="10" t="n">
        <v>0</v>
      </c>
      <c r="T374" s="10" t="n">
        <v>0</v>
      </c>
      <c r="U374" s="10" t="n">
        <v>0</v>
      </c>
    </row>
    <row r="375" customFormat="false" ht="15" hidden="false" customHeight="false" outlineLevel="0" collapsed="false">
      <c r="A375" s="7" t="s">
        <v>394</v>
      </c>
      <c r="B375" s="7" t="s">
        <v>235</v>
      </c>
      <c r="C375" s="7" t="s">
        <v>954</v>
      </c>
      <c r="D375" s="10" t="n">
        <v>0</v>
      </c>
      <c r="E375" s="10" t="n">
        <v>0</v>
      </c>
      <c r="F375" s="10" t="n">
        <v>0</v>
      </c>
      <c r="G375" s="10" t="n">
        <v>0</v>
      </c>
      <c r="H375" s="10" t="n">
        <v>0</v>
      </c>
      <c r="I375" s="10" t="n">
        <v>-77.8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n">
        <v>0</v>
      </c>
      <c r="O375" s="10" t="n">
        <v>0</v>
      </c>
      <c r="P375" s="10" t="n">
        <v>0</v>
      </c>
      <c r="Q375" s="10" t="n">
        <v>-77.8</v>
      </c>
      <c r="R375" s="10" t="n">
        <v>0</v>
      </c>
      <c r="S375" s="10" t="n">
        <v>0</v>
      </c>
      <c r="T375" s="10" t="n">
        <v>0</v>
      </c>
      <c r="U375" s="10" t="n">
        <v>0</v>
      </c>
    </row>
    <row r="376" customFormat="false" ht="15" hidden="false" customHeight="false" outlineLevel="0" collapsed="false">
      <c r="A376" s="7" t="s">
        <v>394</v>
      </c>
      <c r="B376" s="7" t="s">
        <v>280</v>
      </c>
      <c r="C376" s="7" t="s">
        <v>805</v>
      </c>
      <c r="D376" s="10" t="n">
        <v>0</v>
      </c>
      <c r="E376" s="10" t="n">
        <v>0</v>
      </c>
      <c r="F376" s="10" t="n">
        <v>520.1</v>
      </c>
      <c r="G376" s="10" t="n">
        <v>0</v>
      </c>
      <c r="H376" s="10" t="n">
        <v>0</v>
      </c>
      <c r="I376" s="10" t="n">
        <v>0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  <c r="S376" s="10" t="n">
        <v>0</v>
      </c>
      <c r="T376" s="10" t="n">
        <v>0</v>
      </c>
      <c r="U376" s="10" t="n">
        <v>0</v>
      </c>
    </row>
    <row r="377" customFormat="false" ht="15" hidden="false" customHeight="false" outlineLevel="0" collapsed="false">
      <c r="A377" s="7" t="s">
        <v>394</v>
      </c>
      <c r="B377" s="7" t="s">
        <v>335</v>
      </c>
      <c r="C377" s="7" t="s">
        <v>806</v>
      </c>
      <c r="D377" s="10" t="n">
        <v>0</v>
      </c>
      <c r="E377" s="10" t="n">
        <v>0</v>
      </c>
      <c r="F377" s="10" t="n">
        <v>84.2</v>
      </c>
      <c r="G377" s="10" t="n">
        <v>0</v>
      </c>
      <c r="H377" s="10" t="n">
        <v>0</v>
      </c>
      <c r="I377" s="10" t="n">
        <v>51.9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51.9</v>
      </c>
      <c r="O377" s="10" t="n">
        <v>0</v>
      </c>
      <c r="P377" s="10" t="n">
        <v>0</v>
      </c>
      <c r="Q377" s="10" t="n">
        <v>0</v>
      </c>
      <c r="R377" s="10" t="n">
        <v>0</v>
      </c>
      <c r="S377" s="10" t="n">
        <v>0</v>
      </c>
      <c r="T377" s="10" t="n">
        <v>0</v>
      </c>
      <c r="U377" s="10" t="n">
        <v>0</v>
      </c>
    </row>
    <row r="378" customFormat="false" ht="15" hidden="false" customHeight="false" outlineLevel="0" collapsed="false">
      <c r="A378" s="7" t="s">
        <v>394</v>
      </c>
      <c r="B378" s="7" t="s">
        <v>297</v>
      </c>
      <c r="C378" s="7" t="s">
        <v>806</v>
      </c>
      <c r="D378" s="10" t="n">
        <v>0</v>
      </c>
      <c r="E378" s="10" t="n">
        <v>0</v>
      </c>
      <c r="F378" s="10" t="n">
        <v>966.2</v>
      </c>
      <c r="G378" s="10" t="n">
        <v>0</v>
      </c>
      <c r="H378" s="10" t="n">
        <v>0</v>
      </c>
      <c r="I378" s="10" t="n">
        <v>2910.6</v>
      </c>
      <c r="J378" s="10" t="n">
        <v>0</v>
      </c>
      <c r="K378" s="10" t="n">
        <v>169.4</v>
      </c>
      <c r="L378" s="10" t="n">
        <v>0</v>
      </c>
      <c r="M378" s="10" t="n">
        <v>0</v>
      </c>
      <c r="N378" s="10" t="n">
        <v>0</v>
      </c>
      <c r="O378" s="10" t="n">
        <v>0</v>
      </c>
      <c r="P378" s="10" t="n">
        <v>-15.4</v>
      </c>
      <c r="Q378" s="10" t="n">
        <v>0</v>
      </c>
      <c r="R378" s="10" t="n">
        <v>2756.6</v>
      </c>
      <c r="S378" s="10" t="n">
        <v>0</v>
      </c>
      <c r="T378" s="10" t="n">
        <v>0</v>
      </c>
      <c r="U378" s="10" t="n">
        <v>0</v>
      </c>
    </row>
    <row r="379" customFormat="false" ht="15" hidden="false" customHeight="false" outlineLevel="0" collapsed="false">
      <c r="A379" s="7" t="s">
        <v>394</v>
      </c>
      <c r="B379" s="7" t="s">
        <v>342</v>
      </c>
      <c r="C379" s="7" t="s">
        <v>806</v>
      </c>
      <c r="D379" s="10" t="n">
        <v>0</v>
      </c>
      <c r="E379" s="10" t="n">
        <v>0</v>
      </c>
      <c r="F379" s="10" t="n">
        <v>600.7</v>
      </c>
      <c r="G379" s="10" t="n">
        <v>0</v>
      </c>
      <c r="H379" s="10" t="n">
        <v>0</v>
      </c>
      <c r="I379" s="10" t="n">
        <v>0</v>
      </c>
      <c r="J379" s="10" t="n">
        <v>0</v>
      </c>
      <c r="K379" s="10" t="n">
        <v>0</v>
      </c>
      <c r="L379" s="10" t="n">
        <v>0</v>
      </c>
      <c r="M379" s="10" t="n">
        <v>0</v>
      </c>
      <c r="N379" s="10" t="n">
        <v>0</v>
      </c>
      <c r="O379" s="10" t="n">
        <v>0</v>
      </c>
      <c r="P379" s="10" t="n">
        <v>0</v>
      </c>
      <c r="Q379" s="10" t="n">
        <v>0</v>
      </c>
      <c r="R379" s="10" t="n">
        <v>0</v>
      </c>
      <c r="S379" s="10" t="n">
        <v>0</v>
      </c>
      <c r="T379" s="10" t="n">
        <v>0</v>
      </c>
      <c r="U379" s="10" t="n">
        <v>0</v>
      </c>
    </row>
    <row r="380" customFormat="false" ht="15" hidden="false" customHeight="false" outlineLevel="0" collapsed="false">
      <c r="A380" s="7" t="s">
        <v>394</v>
      </c>
      <c r="B380" s="7" t="s">
        <v>306</v>
      </c>
      <c r="C380" s="7" t="s">
        <v>806</v>
      </c>
      <c r="D380" s="10" t="n">
        <v>0</v>
      </c>
      <c r="E380" s="10" t="n">
        <v>0</v>
      </c>
      <c r="F380" s="10" t="n">
        <v>449.7</v>
      </c>
      <c r="G380" s="10" t="n">
        <v>0</v>
      </c>
      <c r="H380" s="10" t="n">
        <v>0</v>
      </c>
      <c r="I380" s="10" t="n">
        <v>2587.2</v>
      </c>
      <c r="J380" s="10" t="n">
        <v>0</v>
      </c>
      <c r="K380" s="10" t="n">
        <v>277.2</v>
      </c>
      <c r="L380" s="10" t="n">
        <v>0</v>
      </c>
      <c r="M380" s="10" t="n">
        <v>0</v>
      </c>
      <c r="N380" s="10" t="n">
        <v>0</v>
      </c>
      <c r="O380" s="10" t="n">
        <v>0</v>
      </c>
      <c r="P380" s="10" t="n">
        <v>0</v>
      </c>
      <c r="Q380" s="10" t="n">
        <v>0</v>
      </c>
      <c r="R380" s="10" t="n">
        <v>2310</v>
      </c>
      <c r="S380" s="10" t="n">
        <v>0</v>
      </c>
      <c r="T380" s="10" t="n">
        <v>0</v>
      </c>
      <c r="U380" s="10" t="n">
        <v>0</v>
      </c>
    </row>
    <row r="381" customFormat="false" ht="15" hidden="false" customHeight="false" outlineLevel="0" collapsed="false">
      <c r="A381" s="7" t="s">
        <v>394</v>
      </c>
      <c r="B381" s="7" t="s">
        <v>78</v>
      </c>
      <c r="C381" s="7" t="s">
        <v>807</v>
      </c>
      <c r="D381" s="10" t="n">
        <v>0</v>
      </c>
      <c r="E381" s="10" t="n">
        <v>0</v>
      </c>
      <c r="F381" s="10" t="n">
        <v>2259.1</v>
      </c>
      <c r="G381" s="10" t="n">
        <v>0</v>
      </c>
      <c r="H381" s="10" t="n">
        <v>0</v>
      </c>
      <c r="I381" s="10" t="n">
        <v>23392.6</v>
      </c>
      <c r="J381" s="10" t="n">
        <v>0</v>
      </c>
      <c r="K381" s="10" t="n">
        <v>749.4</v>
      </c>
      <c r="L381" s="10" t="n">
        <v>0</v>
      </c>
      <c r="M381" s="10" t="n">
        <v>0</v>
      </c>
      <c r="N381" s="10" t="n">
        <v>141.9</v>
      </c>
      <c r="O381" s="10" t="n">
        <v>0</v>
      </c>
      <c r="P381" s="10" t="n">
        <v>-88.2</v>
      </c>
      <c r="Q381" s="10" t="n">
        <v>15624.9</v>
      </c>
      <c r="R381" s="10" t="n">
        <v>6964.6</v>
      </c>
      <c r="S381" s="10" t="n">
        <v>0</v>
      </c>
      <c r="T381" s="10" t="n">
        <v>775</v>
      </c>
      <c r="U381" s="10" t="n">
        <v>0</v>
      </c>
    </row>
    <row r="382" customFormat="false" ht="15" hidden="false" customHeight="false" outlineLevel="0" collapsed="false">
      <c r="A382" s="7" t="s">
        <v>394</v>
      </c>
      <c r="B382" s="7" t="s">
        <v>71</v>
      </c>
      <c r="C382" s="7" t="s">
        <v>807</v>
      </c>
      <c r="D382" s="10" t="n">
        <v>0</v>
      </c>
      <c r="E382" s="10" t="n">
        <v>0</v>
      </c>
      <c r="F382" s="10" t="n">
        <v>4205</v>
      </c>
      <c r="G382" s="10" t="n">
        <v>0</v>
      </c>
      <c r="H382" s="10" t="n">
        <v>0</v>
      </c>
      <c r="I382" s="10" t="n">
        <v>28682.6</v>
      </c>
      <c r="J382" s="10" t="n">
        <v>0</v>
      </c>
      <c r="K382" s="10" t="n">
        <v>0</v>
      </c>
      <c r="L382" s="10" t="n">
        <v>0</v>
      </c>
      <c r="M382" s="10" t="n">
        <v>0</v>
      </c>
      <c r="N382" s="10" t="n">
        <v>0</v>
      </c>
      <c r="O382" s="10" t="n">
        <v>0</v>
      </c>
      <c r="P382" s="10" t="n">
        <v>0</v>
      </c>
      <c r="Q382" s="10" t="n">
        <v>28682.6</v>
      </c>
      <c r="R382" s="10" t="n">
        <v>0</v>
      </c>
      <c r="S382" s="10" t="n">
        <v>0</v>
      </c>
      <c r="T382" s="10" t="n">
        <v>875</v>
      </c>
      <c r="U382" s="10" t="n">
        <v>0</v>
      </c>
    </row>
    <row r="383" customFormat="false" ht="15" hidden="false" customHeight="false" outlineLevel="0" collapsed="false">
      <c r="A383" s="7" t="s">
        <v>394</v>
      </c>
      <c r="B383" s="7" t="s">
        <v>72</v>
      </c>
      <c r="C383" s="7" t="s">
        <v>807</v>
      </c>
      <c r="D383" s="10" t="n">
        <v>0</v>
      </c>
      <c r="E383" s="10" t="n">
        <v>0</v>
      </c>
      <c r="F383" s="10" t="n">
        <v>9297.7</v>
      </c>
      <c r="G383" s="10" t="n">
        <v>0</v>
      </c>
      <c r="H383" s="10" t="n">
        <v>0</v>
      </c>
      <c r="I383" s="10" t="n">
        <v>31161.7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0</v>
      </c>
      <c r="O383" s="10" t="n">
        <v>0</v>
      </c>
      <c r="P383" s="10" t="n">
        <v>0</v>
      </c>
      <c r="Q383" s="10" t="n">
        <v>31161.7</v>
      </c>
      <c r="R383" s="10" t="n">
        <v>0</v>
      </c>
      <c r="S383" s="10" t="n">
        <v>0</v>
      </c>
      <c r="T383" s="10" t="n">
        <v>1425</v>
      </c>
      <c r="U383" s="10" t="n">
        <v>0</v>
      </c>
    </row>
    <row r="384" customFormat="false" ht="15" hidden="false" customHeight="false" outlineLevel="0" collapsed="false">
      <c r="A384" s="7" t="s">
        <v>394</v>
      </c>
      <c r="B384" s="7" t="s">
        <v>76</v>
      </c>
      <c r="C384" s="7" t="s">
        <v>807</v>
      </c>
      <c r="D384" s="10" t="n">
        <v>0</v>
      </c>
      <c r="E384" s="10" t="n">
        <v>0</v>
      </c>
      <c r="F384" s="10" t="n">
        <v>6434.5</v>
      </c>
      <c r="G384" s="10" t="n">
        <v>0</v>
      </c>
      <c r="H384" s="10" t="n">
        <v>0</v>
      </c>
      <c r="I384" s="10" t="n">
        <v>28209.3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0" t="n">
        <v>0</v>
      </c>
      <c r="P384" s="10" t="n">
        <v>-44.1</v>
      </c>
      <c r="Q384" s="10" t="n">
        <v>28253.3</v>
      </c>
      <c r="R384" s="10" t="n">
        <v>0</v>
      </c>
      <c r="S384" s="10" t="n">
        <v>0</v>
      </c>
      <c r="T384" s="10" t="n">
        <v>1500</v>
      </c>
      <c r="U384" s="10" t="n">
        <v>0</v>
      </c>
    </row>
    <row r="385" customFormat="false" ht="15" hidden="false" customHeight="false" outlineLevel="0" collapsed="false">
      <c r="A385" s="7" t="s">
        <v>394</v>
      </c>
      <c r="B385" s="7" t="s">
        <v>63</v>
      </c>
      <c r="C385" s="7" t="s">
        <v>808</v>
      </c>
      <c r="D385" s="10" t="n">
        <v>0</v>
      </c>
      <c r="E385" s="10" t="n">
        <v>0</v>
      </c>
      <c r="F385" s="10" t="n">
        <v>4681</v>
      </c>
      <c r="G385" s="10" t="n">
        <v>0</v>
      </c>
      <c r="H385" s="10" t="n">
        <v>0</v>
      </c>
      <c r="I385" s="10" t="n">
        <v>22762.4</v>
      </c>
      <c r="J385" s="10" t="n">
        <v>0</v>
      </c>
      <c r="K385" s="10" t="n">
        <v>612.2</v>
      </c>
      <c r="L385" s="10" t="n">
        <v>0</v>
      </c>
      <c r="M385" s="10" t="n">
        <v>0</v>
      </c>
      <c r="N385" s="10" t="n">
        <v>0</v>
      </c>
      <c r="O385" s="10" t="n">
        <v>0</v>
      </c>
      <c r="P385" s="10" t="n">
        <v>-262.4</v>
      </c>
      <c r="Q385" s="10" t="n">
        <v>17427.9</v>
      </c>
      <c r="R385" s="10" t="n">
        <v>4984.7</v>
      </c>
      <c r="S385" s="10" t="n">
        <v>0</v>
      </c>
      <c r="T385" s="10" t="n">
        <v>2404.3</v>
      </c>
      <c r="U385" s="10" t="n">
        <v>0</v>
      </c>
    </row>
    <row r="386" customFormat="false" ht="15" hidden="false" customHeight="false" outlineLevel="0" collapsed="false">
      <c r="A386" s="7" t="s">
        <v>394</v>
      </c>
      <c r="B386" s="7" t="s">
        <v>265</v>
      </c>
      <c r="C386" s="7" t="s">
        <v>809</v>
      </c>
      <c r="D386" s="10" t="n">
        <v>0</v>
      </c>
      <c r="E386" s="10" t="n">
        <v>0</v>
      </c>
      <c r="F386" s="10" t="n">
        <v>16471.6</v>
      </c>
      <c r="G386" s="10" t="n">
        <v>0</v>
      </c>
      <c r="H386" s="10" t="n">
        <v>0</v>
      </c>
      <c r="I386" s="10" t="n">
        <v>9177.1</v>
      </c>
      <c r="J386" s="10" t="n">
        <v>0</v>
      </c>
      <c r="K386" s="10" t="n">
        <v>1837.6</v>
      </c>
      <c r="L386" s="10" t="n">
        <v>-131.3</v>
      </c>
      <c r="M386" s="10" t="n">
        <v>-142.4</v>
      </c>
      <c r="N386" s="10" t="n">
        <v>0</v>
      </c>
      <c r="O386" s="10" t="n">
        <v>525</v>
      </c>
      <c r="P386" s="10" t="n">
        <v>-1115.7</v>
      </c>
      <c r="Q386" s="10" t="n">
        <v>0</v>
      </c>
      <c r="R386" s="10" t="n">
        <v>8203.8</v>
      </c>
      <c r="S386" s="10" t="n">
        <v>0</v>
      </c>
      <c r="T386" s="10" t="n">
        <v>3636.7</v>
      </c>
      <c r="U386" s="10" t="n">
        <v>0</v>
      </c>
    </row>
    <row r="387" customFormat="false" ht="15" hidden="false" customHeight="false" outlineLevel="0" collapsed="false">
      <c r="A387" s="7" t="s">
        <v>394</v>
      </c>
      <c r="B387" s="7" t="s">
        <v>65</v>
      </c>
      <c r="C387" s="7" t="s">
        <v>810</v>
      </c>
      <c r="D387" s="10" t="n">
        <v>0</v>
      </c>
      <c r="E387" s="10" t="n">
        <v>0</v>
      </c>
      <c r="F387" s="10" t="n">
        <v>3909.4</v>
      </c>
      <c r="G387" s="10" t="n">
        <v>0</v>
      </c>
      <c r="H387" s="10" t="n">
        <v>0</v>
      </c>
      <c r="I387" s="10" t="n">
        <v>21464</v>
      </c>
      <c r="J387" s="10" t="n">
        <v>0</v>
      </c>
      <c r="K387" s="10" t="n">
        <v>305.4</v>
      </c>
      <c r="L387" s="10" t="n">
        <v>0</v>
      </c>
      <c r="M387" s="10" t="n">
        <v>0</v>
      </c>
      <c r="N387" s="10" t="n">
        <v>30.9</v>
      </c>
      <c r="O387" s="10" t="n">
        <v>0</v>
      </c>
      <c r="P387" s="10" t="n">
        <v>-666.2</v>
      </c>
      <c r="Q387" s="10" t="n">
        <v>17905.6</v>
      </c>
      <c r="R387" s="10" t="n">
        <v>3888.4</v>
      </c>
      <c r="S387" s="10" t="n">
        <v>0</v>
      </c>
      <c r="T387" s="10" t="n">
        <v>0</v>
      </c>
      <c r="U387" s="10" t="n">
        <v>-82.4</v>
      </c>
    </row>
    <row r="388" customFormat="false" ht="15" hidden="false" customHeight="false" outlineLevel="0" collapsed="false">
      <c r="A388" s="7" t="s">
        <v>394</v>
      </c>
      <c r="B388" s="7" t="s">
        <v>65</v>
      </c>
      <c r="C388" s="7" t="s">
        <v>811</v>
      </c>
      <c r="D388" s="10" t="n">
        <v>0</v>
      </c>
      <c r="E388" s="10" t="n">
        <v>0</v>
      </c>
      <c r="F388" s="10" t="n">
        <v>2796.6</v>
      </c>
      <c r="G388" s="10" t="n">
        <v>0</v>
      </c>
      <c r="H388" s="10" t="n">
        <v>0</v>
      </c>
      <c r="I388" s="10" t="n">
        <v>13924.1</v>
      </c>
      <c r="J388" s="10" t="n">
        <v>0</v>
      </c>
      <c r="K388" s="10" t="n">
        <v>55.5</v>
      </c>
      <c r="L388" s="10" t="n">
        <v>0</v>
      </c>
      <c r="M388" s="10" t="n">
        <v>0</v>
      </c>
      <c r="N388" s="10" t="n">
        <v>30.9</v>
      </c>
      <c r="O388" s="10" t="n">
        <v>0</v>
      </c>
      <c r="P388" s="10" t="n">
        <v>-55.5</v>
      </c>
      <c r="Q388" s="10" t="n">
        <v>11781.5</v>
      </c>
      <c r="R388" s="10" t="n">
        <v>2111.7</v>
      </c>
      <c r="S388" s="10" t="n">
        <v>0</v>
      </c>
      <c r="T388" s="10" t="n">
        <v>0</v>
      </c>
      <c r="U388" s="10" t="n">
        <v>-411.9</v>
      </c>
    </row>
    <row r="389" customFormat="false" ht="15" hidden="false" customHeight="false" outlineLevel="0" collapsed="false">
      <c r="A389" s="7" t="s">
        <v>394</v>
      </c>
      <c r="B389" s="7" t="s">
        <v>65</v>
      </c>
      <c r="C389" s="7" t="s">
        <v>812</v>
      </c>
      <c r="D389" s="10" t="n">
        <v>0</v>
      </c>
      <c r="E389" s="10" t="n">
        <v>0</v>
      </c>
      <c r="F389" s="10" t="n">
        <v>2387.6</v>
      </c>
      <c r="G389" s="10" t="n">
        <v>0</v>
      </c>
      <c r="H389" s="10" t="n">
        <v>0</v>
      </c>
      <c r="I389" s="10" t="n">
        <v>17563.7</v>
      </c>
      <c r="J389" s="10" t="n">
        <v>0</v>
      </c>
      <c r="K389" s="10" t="n">
        <v>138.8</v>
      </c>
      <c r="L389" s="10" t="n">
        <v>0</v>
      </c>
      <c r="M389" s="10" t="n">
        <v>0</v>
      </c>
      <c r="N389" s="10" t="n">
        <v>30.9</v>
      </c>
      <c r="O389" s="10" t="n">
        <v>0</v>
      </c>
      <c r="P389" s="10" t="n">
        <v>-111</v>
      </c>
      <c r="Q389" s="10" t="n">
        <v>15088</v>
      </c>
      <c r="R389" s="10" t="n">
        <v>2417.1</v>
      </c>
      <c r="S389" s="10" t="n">
        <v>0</v>
      </c>
      <c r="T389" s="10" t="n">
        <v>0</v>
      </c>
      <c r="U389" s="10" t="n">
        <v>0</v>
      </c>
    </row>
    <row r="390" customFormat="false" ht="15" hidden="false" customHeight="false" outlineLevel="0" collapsed="false">
      <c r="A390" s="7" t="s">
        <v>394</v>
      </c>
      <c r="B390" s="7" t="s">
        <v>65</v>
      </c>
      <c r="C390" s="7" t="s">
        <v>813</v>
      </c>
      <c r="D390" s="10" t="n">
        <v>0</v>
      </c>
      <c r="E390" s="10" t="n">
        <v>0</v>
      </c>
      <c r="F390" s="10" t="n">
        <v>1052.2</v>
      </c>
      <c r="G390" s="10" t="n">
        <v>0</v>
      </c>
      <c r="H390" s="10" t="n">
        <v>0</v>
      </c>
      <c r="I390" s="10" t="n">
        <v>7118.8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0" t="n">
        <v>0</v>
      </c>
      <c r="P390" s="10" t="n">
        <v>-55.5</v>
      </c>
      <c r="Q390" s="10" t="n">
        <v>5925.1</v>
      </c>
      <c r="R390" s="10" t="n">
        <v>1249.2</v>
      </c>
      <c r="S390" s="10" t="n">
        <v>0</v>
      </c>
      <c r="T390" s="10" t="n">
        <v>0</v>
      </c>
      <c r="U390" s="10" t="n">
        <v>0</v>
      </c>
    </row>
    <row r="391" customFormat="false" ht="15" hidden="false" customHeight="false" outlineLevel="0" collapsed="false">
      <c r="A391" s="7" t="s">
        <v>394</v>
      </c>
      <c r="B391" s="7" t="s">
        <v>65</v>
      </c>
      <c r="C391" s="7" t="s">
        <v>814</v>
      </c>
      <c r="D391" s="10" t="n">
        <v>0</v>
      </c>
      <c r="E391" s="10" t="n">
        <v>0</v>
      </c>
      <c r="F391" s="10" t="n">
        <v>303.8</v>
      </c>
      <c r="G391" s="10" t="n">
        <v>0</v>
      </c>
      <c r="H391" s="10" t="n">
        <v>0</v>
      </c>
      <c r="I391" s="10" t="n">
        <v>1221.4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0" t="n">
        <v>0</v>
      </c>
      <c r="P391" s="10" t="n">
        <v>-55.5</v>
      </c>
      <c r="Q391" s="10" t="n">
        <v>0</v>
      </c>
      <c r="R391" s="10" t="n">
        <v>1277</v>
      </c>
      <c r="S391" s="10" t="n">
        <v>0</v>
      </c>
      <c r="T391" s="10" t="n">
        <v>0</v>
      </c>
      <c r="U391" s="10" t="n">
        <v>0</v>
      </c>
    </row>
    <row r="392" customFormat="false" ht="15" hidden="false" customHeight="false" outlineLevel="0" collapsed="false">
      <c r="A392" s="7" t="s">
        <v>394</v>
      </c>
      <c r="B392" s="7" t="s">
        <v>65</v>
      </c>
      <c r="C392" s="7" t="s">
        <v>815</v>
      </c>
      <c r="D392" s="10" t="n">
        <v>0</v>
      </c>
      <c r="E392" s="10" t="n">
        <v>0</v>
      </c>
      <c r="F392" s="10" t="n">
        <v>203.9</v>
      </c>
      <c r="G392" s="10" t="n">
        <v>0</v>
      </c>
      <c r="H392" s="10" t="n">
        <v>0</v>
      </c>
      <c r="I392" s="10" t="n">
        <v>0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0" t="n">
        <v>0</v>
      </c>
      <c r="P392" s="10" t="n">
        <v>0</v>
      </c>
      <c r="Q392" s="10" t="n">
        <v>0</v>
      </c>
      <c r="R392" s="10" t="n">
        <v>0</v>
      </c>
      <c r="S392" s="10" t="n">
        <v>0</v>
      </c>
      <c r="T392" s="10" t="n">
        <v>0</v>
      </c>
      <c r="U392" s="10" t="n">
        <v>0</v>
      </c>
    </row>
    <row r="393" customFormat="false" ht="15" hidden="false" customHeight="false" outlineLevel="0" collapsed="false">
      <c r="A393" s="7" t="s">
        <v>394</v>
      </c>
      <c r="B393" s="7" t="s">
        <v>81</v>
      </c>
      <c r="C393" s="7" t="s">
        <v>816</v>
      </c>
      <c r="D393" s="10" t="n">
        <v>0</v>
      </c>
      <c r="E393" s="10" t="n">
        <v>0</v>
      </c>
      <c r="F393" s="10" t="n">
        <v>6811.3</v>
      </c>
      <c r="G393" s="10" t="n">
        <v>0</v>
      </c>
      <c r="H393" s="10" t="n">
        <v>0</v>
      </c>
      <c r="I393" s="10" t="n">
        <v>51711.1</v>
      </c>
      <c r="J393" s="10" t="n">
        <v>0</v>
      </c>
      <c r="K393" s="10" t="n">
        <v>822.8</v>
      </c>
      <c r="L393" s="10" t="n">
        <v>0</v>
      </c>
      <c r="M393" s="10" t="n">
        <v>80.5</v>
      </c>
      <c r="N393" s="10" t="n">
        <v>0</v>
      </c>
      <c r="O393" s="10" t="n">
        <v>0</v>
      </c>
      <c r="P393" s="10" t="n">
        <v>-74.8</v>
      </c>
      <c r="Q393" s="10" t="n">
        <v>49012.5</v>
      </c>
      <c r="R393" s="10" t="n">
        <v>1870</v>
      </c>
      <c r="S393" s="10" t="n">
        <v>0</v>
      </c>
      <c r="T393" s="10" t="n">
        <v>2231.6</v>
      </c>
      <c r="U393" s="10" t="n">
        <v>0</v>
      </c>
    </row>
    <row r="394" customFormat="false" ht="15" hidden="false" customHeight="false" outlineLevel="0" collapsed="false">
      <c r="A394" s="7" t="s">
        <v>394</v>
      </c>
      <c r="B394" s="7" t="s">
        <v>196</v>
      </c>
      <c r="C394" s="7" t="s">
        <v>817</v>
      </c>
      <c r="D394" s="10" t="n">
        <v>0</v>
      </c>
      <c r="E394" s="10" t="n">
        <v>0</v>
      </c>
      <c r="F394" s="10" t="n">
        <v>1452.4</v>
      </c>
      <c r="G394" s="10" t="n">
        <v>0</v>
      </c>
      <c r="H394" s="10" t="n">
        <v>0</v>
      </c>
      <c r="I394" s="10" t="n">
        <v>2746</v>
      </c>
      <c r="J394" s="10" t="n">
        <v>0</v>
      </c>
      <c r="K394" s="10" t="n">
        <v>82.6</v>
      </c>
      <c r="L394" s="10" t="n">
        <v>0</v>
      </c>
      <c r="M394" s="10" t="n">
        <v>0</v>
      </c>
      <c r="N394" s="10" t="n">
        <v>91.3</v>
      </c>
      <c r="O394" s="10" t="n">
        <v>0</v>
      </c>
      <c r="P394" s="10" t="n">
        <v>0</v>
      </c>
      <c r="Q394" s="10" t="n">
        <v>1774.1</v>
      </c>
      <c r="R394" s="10" t="n">
        <v>798.1</v>
      </c>
      <c r="S394" s="10" t="n">
        <v>0</v>
      </c>
      <c r="T394" s="10" t="n">
        <v>829.8</v>
      </c>
      <c r="U394" s="10" t="n">
        <v>0</v>
      </c>
    </row>
    <row r="395" customFormat="false" ht="15" hidden="false" customHeight="false" outlineLevel="0" collapsed="false">
      <c r="A395" s="7" t="s">
        <v>394</v>
      </c>
      <c r="B395" s="7" t="s">
        <v>265</v>
      </c>
      <c r="C395" s="7" t="s">
        <v>818</v>
      </c>
      <c r="D395" s="10" t="n">
        <v>0</v>
      </c>
      <c r="E395" s="10" t="n">
        <v>0</v>
      </c>
      <c r="F395" s="10" t="n">
        <v>8126.1</v>
      </c>
      <c r="G395" s="10" t="n">
        <v>0</v>
      </c>
      <c r="H395" s="10" t="n">
        <v>0</v>
      </c>
      <c r="I395" s="10" t="n">
        <v>5110.5</v>
      </c>
      <c r="J395" s="10" t="n">
        <v>0</v>
      </c>
      <c r="K395" s="10" t="n">
        <v>328.2</v>
      </c>
      <c r="L395" s="10" t="n">
        <v>0</v>
      </c>
      <c r="M395" s="10" t="n">
        <v>-212.6</v>
      </c>
      <c r="N395" s="10" t="n">
        <v>0</v>
      </c>
      <c r="O395" s="10" t="n">
        <v>262.5</v>
      </c>
      <c r="P395" s="10" t="n">
        <v>-911.8</v>
      </c>
      <c r="Q395" s="10" t="n">
        <v>0</v>
      </c>
      <c r="R395" s="10" t="n">
        <v>5644.2</v>
      </c>
      <c r="S395" s="10" t="n">
        <v>0</v>
      </c>
      <c r="T395" s="10" t="n">
        <v>3070</v>
      </c>
      <c r="U395" s="10" t="n">
        <v>0</v>
      </c>
    </row>
    <row r="396" customFormat="false" ht="15" hidden="false" customHeight="false" outlineLevel="0" collapsed="false">
      <c r="A396" s="7" t="s">
        <v>394</v>
      </c>
      <c r="B396" s="7" t="s">
        <v>50</v>
      </c>
      <c r="C396" s="7" t="s">
        <v>819</v>
      </c>
      <c r="D396" s="10" t="n">
        <v>0</v>
      </c>
      <c r="E396" s="10" t="n">
        <v>0</v>
      </c>
      <c r="F396" s="10" t="n">
        <v>1533</v>
      </c>
      <c r="G396" s="10" t="n">
        <v>0</v>
      </c>
      <c r="H396" s="10" t="n">
        <v>0</v>
      </c>
      <c r="I396" s="10" t="n">
        <v>25822.3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0" t="n">
        <v>0</v>
      </c>
      <c r="P396" s="10" t="n">
        <v>0</v>
      </c>
      <c r="Q396" s="10" t="n">
        <v>25822.3</v>
      </c>
      <c r="R396" s="10" t="n">
        <v>0</v>
      </c>
      <c r="S396" s="10" t="n">
        <v>0</v>
      </c>
      <c r="T396" s="10" t="n">
        <v>0</v>
      </c>
      <c r="U396" s="10" t="n">
        <v>0</v>
      </c>
    </row>
    <row r="397" customFormat="false" ht="15" hidden="false" customHeight="false" outlineLevel="0" collapsed="false">
      <c r="A397" s="7" t="s">
        <v>394</v>
      </c>
      <c r="B397" s="7" t="s">
        <v>50</v>
      </c>
      <c r="C397" s="7" t="s">
        <v>820</v>
      </c>
      <c r="D397" s="10" t="n">
        <v>0</v>
      </c>
      <c r="E397" s="10" t="n">
        <v>0</v>
      </c>
      <c r="F397" s="10" t="n">
        <v>3532.9</v>
      </c>
      <c r="G397" s="10" t="n">
        <v>0</v>
      </c>
      <c r="H397" s="10" t="n">
        <v>0</v>
      </c>
      <c r="I397" s="10" t="n">
        <v>67409.5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0" t="n">
        <v>0</v>
      </c>
      <c r="P397" s="10" t="n">
        <v>0</v>
      </c>
      <c r="Q397" s="10" t="n">
        <v>67409.5</v>
      </c>
      <c r="R397" s="10" t="n">
        <v>0</v>
      </c>
      <c r="S397" s="10" t="n">
        <v>0</v>
      </c>
      <c r="T397" s="10" t="n">
        <v>0</v>
      </c>
      <c r="U397" s="10" t="n">
        <v>0</v>
      </c>
    </row>
    <row r="398" customFormat="false" ht="15" hidden="false" customHeight="false" outlineLevel="0" collapsed="false">
      <c r="A398" s="7" t="s">
        <v>394</v>
      </c>
      <c r="B398" s="7" t="s">
        <v>50</v>
      </c>
      <c r="C398" s="7" t="s">
        <v>821</v>
      </c>
      <c r="D398" s="10" t="n">
        <v>0</v>
      </c>
      <c r="E398" s="10" t="n">
        <v>0</v>
      </c>
      <c r="F398" s="10" t="n">
        <v>4398.4</v>
      </c>
      <c r="G398" s="10" t="n">
        <v>0</v>
      </c>
      <c r="H398" s="10" t="n">
        <v>0</v>
      </c>
      <c r="I398" s="10" t="n">
        <v>71655.7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0" t="n">
        <v>0</v>
      </c>
      <c r="P398" s="10" t="n">
        <v>0</v>
      </c>
      <c r="Q398" s="10" t="n">
        <v>71655.7</v>
      </c>
      <c r="R398" s="10" t="n">
        <v>0</v>
      </c>
      <c r="S398" s="10" t="n">
        <v>0</v>
      </c>
      <c r="T398" s="10" t="n">
        <v>0</v>
      </c>
      <c r="U398" s="10" t="n">
        <v>0</v>
      </c>
    </row>
    <row r="399" customFormat="false" ht="15" hidden="false" customHeight="false" outlineLevel="0" collapsed="false">
      <c r="A399" s="7" t="s">
        <v>394</v>
      </c>
      <c r="B399" s="7" t="s">
        <v>50</v>
      </c>
      <c r="C399" s="7" t="s">
        <v>822</v>
      </c>
      <c r="D399" s="10" t="n">
        <v>0</v>
      </c>
      <c r="E399" s="10" t="n">
        <v>0</v>
      </c>
      <c r="F399" s="10" t="n">
        <v>3412.6</v>
      </c>
      <c r="G399" s="10" t="n">
        <v>0</v>
      </c>
      <c r="H399" s="10" t="n">
        <v>0</v>
      </c>
      <c r="I399" s="10" t="n">
        <v>52766.9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0" t="n">
        <v>0</v>
      </c>
      <c r="P399" s="10" t="n">
        <v>0</v>
      </c>
      <c r="Q399" s="10" t="n">
        <v>52766.9</v>
      </c>
      <c r="R399" s="10" t="n">
        <v>0</v>
      </c>
      <c r="S399" s="10" t="n">
        <v>0</v>
      </c>
      <c r="T399" s="10" t="n">
        <v>0</v>
      </c>
      <c r="U399" s="10" t="n">
        <v>0</v>
      </c>
    </row>
    <row r="400" customFormat="false" ht="15" hidden="false" customHeight="false" outlineLevel="0" collapsed="false">
      <c r="A400" s="7" t="s">
        <v>394</v>
      </c>
      <c r="B400" s="7" t="s">
        <v>50</v>
      </c>
      <c r="C400" s="7" t="s">
        <v>823</v>
      </c>
      <c r="D400" s="10" t="n">
        <v>0</v>
      </c>
      <c r="E400" s="10" t="n">
        <v>0</v>
      </c>
      <c r="F400" s="10" t="n">
        <v>2035</v>
      </c>
      <c r="G400" s="10" t="n">
        <v>0</v>
      </c>
      <c r="H400" s="10" t="n">
        <v>0</v>
      </c>
      <c r="I400" s="10" t="n">
        <v>5272.3</v>
      </c>
      <c r="J400" s="10" t="n">
        <v>0</v>
      </c>
      <c r="K400" s="10" t="n">
        <v>0</v>
      </c>
      <c r="L400" s="10" t="n">
        <v>0</v>
      </c>
      <c r="M400" s="10" t="n">
        <v>0</v>
      </c>
      <c r="N400" s="10" t="n">
        <v>0</v>
      </c>
      <c r="O400" s="10" t="n">
        <v>0</v>
      </c>
      <c r="P400" s="10" t="n">
        <v>0</v>
      </c>
      <c r="Q400" s="10" t="n">
        <v>5272.3</v>
      </c>
      <c r="R400" s="10" t="n">
        <v>0</v>
      </c>
      <c r="S400" s="10" t="n">
        <v>0</v>
      </c>
      <c r="T400" s="10" t="n">
        <v>0</v>
      </c>
      <c r="U400" s="10" t="n">
        <v>0</v>
      </c>
    </row>
    <row r="401" customFormat="false" ht="15" hidden="false" customHeight="false" outlineLevel="0" collapsed="false">
      <c r="A401" s="7" t="s">
        <v>394</v>
      </c>
      <c r="B401" s="7" t="s">
        <v>44</v>
      </c>
      <c r="C401" s="7" t="s">
        <v>824</v>
      </c>
      <c r="D401" s="10" t="n">
        <v>0</v>
      </c>
      <c r="E401" s="10" t="n">
        <v>0</v>
      </c>
      <c r="F401" s="10" t="n">
        <v>36.5</v>
      </c>
      <c r="G401" s="10" t="n">
        <v>0</v>
      </c>
      <c r="H401" s="10" t="n">
        <v>0</v>
      </c>
      <c r="I401" s="10" t="n">
        <v>0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0" t="n">
        <v>0</v>
      </c>
      <c r="P401" s="10" t="n">
        <v>0</v>
      </c>
      <c r="Q401" s="10" t="n">
        <v>0</v>
      </c>
      <c r="R401" s="10" t="n">
        <v>0</v>
      </c>
      <c r="S401" s="10" t="n">
        <v>0</v>
      </c>
      <c r="T401" s="10" t="n">
        <v>0</v>
      </c>
      <c r="U401" s="10" t="n">
        <v>0</v>
      </c>
    </row>
    <row r="402" customFormat="false" ht="15" hidden="false" customHeight="false" outlineLevel="0" collapsed="false">
      <c r="A402" s="7" t="s">
        <v>394</v>
      </c>
      <c r="B402" s="7" t="s">
        <v>198</v>
      </c>
      <c r="C402" s="7" t="s">
        <v>825</v>
      </c>
      <c r="D402" s="10" t="n">
        <v>0</v>
      </c>
      <c r="E402" s="10" t="n">
        <v>0</v>
      </c>
      <c r="F402" s="10" t="n">
        <v>0</v>
      </c>
      <c r="G402" s="10" t="n">
        <v>0</v>
      </c>
      <c r="H402" s="10" t="n">
        <v>0</v>
      </c>
      <c r="I402" s="10" t="n">
        <v>-208.4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0" t="n">
        <v>0</v>
      </c>
      <c r="P402" s="10" t="n">
        <v>0</v>
      </c>
      <c r="Q402" s="10" t="n">
        <v>-208.4</v>
      </c>
      <c r="R402" s="10" t="n">
        <v>0</v>
      </c>
      <c r="S402" s="10" t="n">
        <v>0</v>
      </c>
      <c r="T402" s="10" t="n">
        <v>0</v>
      </c>
      <c r="U402" s="10" t="n">
        <v>0</v>
      </c>
    </row>
    <row r="403" customFormat="false" ht="15" hidden="false" customHeight="false" outlineLevel="0" collapsed="false">
      <c r="A403" s="7" t="s">
        <v>394</v>
      </c>
      <c r="B403" s="7" t="s">
        <v>115</v>
      </c>
      <c r="C403" s="7" t="s">
        <v>826</v>
      </c>
      <c r="D403" s="10" t="n">
        <v>0</v>
      </c>
      <c r="E403" s="10" t="n">
        <v>0</v>
      </c>
      <c r="F403" s="10" t="n">
        <v>4225.6</v>
      </c>
      <c r="G403" s="10" t="n">
        <v>0</v>
      </c>
      <c r="H403" s="10" t="n">
        <v>0</v>
      </c>
      <c r="I403" s="10" t="n">
        <v>28720.8</v>
      </c>
      <c r="J403" s="10" t="n">
        <v>0</v>
      </c>
      <c r="K403" s="10" t="n">
        <v>154</v>
      </c>
      <c r="L403" s="10" t="n">
        <v>0</v>
      </c>
      <c r="M403" s="10" t="n">
        <v>40.2</v>
      </c>
      <c r="N403" s="10" t="n">
        <v>80.4</v>
      </c>
      <c r="O403" s="10" t="n">
        <v>0</v>
      </c>
      <c r="P403" s="10" t="n">
        <v>-46.2</v>
      </c>
      <c r="Q403" s="10" t="n">
        <v>22856</v>
      </c>
      <c r="R403" s="10" t="n">
        <v>5636.4</v>
      </c>
      <c r="S403" s="10" t="n">
        <v>0</v>
      </c>
      <c r="T403" s="10" t="n">
        <v>0</v>
      </c>
      <c r="U403" s="10" t="n">
        <v>0</v>
      </c>
    </row>
    <row r="404" customFormat="false" ht="15" hidden="false" customHeight="false" outlineLevel="0" collapsed="false">
      <c r="A404" s="7" t="s">
        <v>394</v>
      </c>
      <c r="B404" s="7" t="s">
        <v>160</v>
      </c>
      <c r="C404" s="7" t="s">
        <v>826</v>
      </c>
      <c r="D404" s="10" t="n">
        <v>0</v>
      </c>
      <c r="E404" s="10" t="n">
        <v>0</v>
      </c>
      <c r="F404" s="10" t="n">
        <v>6831.3</v>
      </c>
      <c r="G404" s="10" t="n">
        <v>0</v>
      </c>
      <c r="H404" s="10" t="n">
        <v>0</v>
      </c>
      <c r="I404" s="10" t="n">
        <v>35836</v>
      </c>
      <c r="J404" s="10" t="n">
        <v>0</v>
      </c>
      <c r="K404" s="10" t="n">
        <v>462</v>
      </c>
      <c r="L404" s="10" t="n">
        <v>0</v>
      </c>
      <c r="M404" s="10" t="n">
        <v>0</v>
      </c>
      <c r="N404" s="10" t="n">
        <v>80.4</v>
      </c>
      <c r="O404" s="10" t="n">
        <v>0</v>
      </c>
      <c r="P404" s="10" t="n">
        <v>-77</v>
      </c>
      <c r="Q404" s="10" t="n">
        <v>27547.4</v>
      </c>
      <c r="R404" s="10" t="n">
        <v>7823.2</v>
      </c>
      <c r="S404" s="10" t="n">
        <v>0</v>
      </c>
      <c r="T404" s="10" t="n">
        <v>0</v>
      </c>
      <c r="U404" s="10" t="n">
        <v>0</v>
      </c>
    </row>
    <row r="405" customFormat="false" ht="15" hidden="false" customHeight="false" outlineLevel="0" collapsed="false">
      <c r="A405" s="7" t="s">
        <v>394</v>
      </c>
      <c r="B405" s="7" t="s">
        <v>174</v>
      </c>
      <c r="C405" s="7" t="s">
        <v>826</v>
      </c>
      <c r="D405" s="10" t="n">
        <v>0</v>
      </c>
      <c r="E405" s="10" t="n">
        <v>0</v>
      </c>
      <c r="F405" s="10" t="n">
        <v>5748.3</v>
      </c>
      <c r="G405" s="10" t="n">
        <v>0</v>
      </c>
      <c r="H405" s="10" t="n">
        <v>0</v>
      </c>
      <c r="I405" s="10" t="n">
        <v>32850.6</v>
      </c>
      <c r="J405" s="10" t="n">
        <v>0</v>
      </c>
      <c r="K405" s="10" t="n">
        <v>477.4</v>
      </c>
      <c r="L405" s="10" t="n">
        <v>0</v>
      </c>
      <c r="M405" s="10" t="n">
        <v>80.4</v>
      </c>
      <c r="N405" s="10" t="n">
        <v>80.4</v>
      </c>
      <c r="O405" s="10" t="n">
        <v>0</v>
      </c>
      <c r="P405" s="10" t="n">
        <v>-46.2</v>
      </c>
      <c r="Q405" s="10" t="n">
        <v>25451.8</v>
      </c>
      <c r="R405" s="10" t="n">
        <v>6806.8</v>
      </c>
      <c r="S405" s="10" t="n">
        <v>0</v>
      </c>
      <c r="T405" s="10" t="n">
        <v>0</v>
      </c>
      <c r="U405" s="10" t="n">
        <v>0</v>
      </c>
    </row>
    <row r="406" customFormat="false" ht="15" hidden="false" customHeight="false" outlineLevel="0" collapsed="false">
      <c r="A406" s="7" t="s">
        <v>394</v>
      </c>
      <c r="B406" s="7" t="s">
        <v>175</v>
      </c>
      <c r="C406" s="7" t="s">
        <v>826</v>
      </c>
      <c r="D406" s="10" t="n">
        <v>0</v>
      </c>
      <c r="E406" s="10" t="n">
        <v>0</v>
      </c>
      <c r="F406" s="10" t="n">
        <v>2965.8</v>
      </c>
      <c r="G406" s="10" t="n">
        <v>0</v>
      </c>
      <c r="H406" s="10" t="n">
        <v>0</v>
      </c>
      <c r="I406" s="10" t="n">
        <v>18693.6</v>
      </c>
      <c r="J406" s="10" t="n">
        <v>0</v>
      </c>
      <c r="K406" s="10" t="n">
        <v>92.4</v>
      </c>
      <c r="L406" s="10" t="n">
        <v>0</v>
      </c>
      <c r="M406" s="10" t="n">
        <v>0</v>
      </c>
      <c r="N406" s="10" t="n">
        <v>80.4</v>
      </c>
      <c r="O406" s="10" t="n">
        <v>0</v>
      </c>
      <c r="P406" s="10" t="n">
        <v>-77</v>
      </c>
      <c r="Q406" s="10" t="n">
        <v>15302.1</v>
      </c>
      <c r="R406" s="10" t="n">
        <v>3295.6</v>
      </c>
      <c r="S406" s="10" t="n">
        <v>0</v>
      </c>
      <c r="T406" s="10" t="n">
        <v>0</v>
      </c>
      <c r="U406" s="10" t="n">
        <v>0</v>
      </c>
    </row>
    <row r="407" customFormat="false" ht="15" hidden="false" customHeight="false" outlineLevel="0" collapsed="false">
      <c r="A407" s="7" t="s">
        <v>394</v>
      </c>
      <c r="B407" s="7" t="s">
        <v>240</v>
      </c>
      <c r="C407" s="7" t="s">
        <v>827</v>
      </c>
      <c r="D407" s="10" t="n">
        <v>0</v>
      </c>
      <c r="E407" s="10" t="n">
        <v>0</v>
      </c>
      <c r="F407" s="10" t="n">
        <v>2367.8</v>
      </c>
      <c r="G407" s="10" t="n">
        <v>0</v>
      </c>
      <c r="H407" s="10" t="n">
        <v>0</v>
      </c>
      <c r="I407" s="10" t="n">
        <v>13.3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71.6</v>
      </c>
      <c r="O407" s="10" t="n">
        <v>0</v>
      </c>
      <c r="P407" s="10" t="n">
        <v>0</v>
      </c>
      <c r="Q407" s="10" t="n">
        <v>-58.3</v>
      </c>
      <c r="R407" s="10" t="n">
        <v>0</v>
      </c>
      <c r="S407" s="10" t="n">
        <v>0</v>
      </c>
      <c r="T407" s="10" t="n">
        <v>0</v>
      </c>
      <c r="U407" s="10" t="n">
        <v>0</v>
      </c>
    </row>
    <row r="408" customFormat="false" ht="15" hidden="false" customHeight="false" outlineLevel="0" collapsed="false">
      <c r="A408" s="7" t="s">
        <v>394</v>
      </c>
      <c r="B408" s="7" t="s">
        <v>170</v>
      </c>
      <c r="C408" s="7" t="s">
        <v>828</v>
      </c>
      <c r="D408" s="10" t="n">
        <v>0</v>
      </c>
      <c r="E408" s="10" t="n">
        <v>0</v>
      </c>
      <c r="F408" s="10" t="n">
        <v>112.5</v>
      </c>
      <c r="G408" s="10" t="n">
        <v>0</v>
      </c>
      <c r="H408" s="10" t="n">
        <v>0</v>
      </c>
      <c r="I408" s="10" t="n">
        <v>574.5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O408" s="10" t="n">
        <v>0</v>
      </c>
      <c r="P408" s="10" t="n">
        <v>0</v>
      </c>
      <c r="Q408" s="10" t="n">
        <v>574.5</v>
      </c>
      <c r="R408" s="10" t="n">
        <v>0</v>
      </c>
      <c r="S408" s="10" t="n">
        <v>0</v>
      </c>
      <c r="T408" s="10" t="n">
        <v>0</v>
      </c>
      <c r="U408" s="10" t="n">
        <v>0</v>
      </c>
    </row>
    <row r="409" customFormat="false" ht="15" hidden="false" customHeight="false" outlineLevel="0" collapsed="false">
      <c r="A409" s="7" t="s">
        <v>394</v>
      </c>
      <c r="B409" s="7" t="s">
        <v>332</v>
      </c>
      <c r="C409" s="7" t="s">
        <v>829</v>
      </c>
      <c r="D409" s="10" t="n">
        <v>0</v>
      </c>
      <c r="E409" s="10" t="n">
        <v>0</v>
      </c>
      <c r="F409" s="10" t="n">
        <v>35.1</v>
      </c>
      <c r="G409" s="10" t="n">
        <v>0</v>
      </c>
      <c r="H409" s="10" t="n">
        <v>0</v>
      </c>
      <c r="I409" s="10" t="n">
        <v>0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0" t="n">
        <v>0</v>
      </c>
      <c r="P409" s="10" t="n">
        <v>0</v>
      </c>
      <c r="Q409" s="10" t="n">
        <v>0</v>
      </c>
      <c r="R409" s="10" t="n">
        <v>0</v>
      </c>
      <c r="S409" s="10" t="n">
        <v>0</v>
      </c>
      <c r="T409" s="10" t="n">
        <v>0</v>
      </c>
      <c r="U409" s="10" t="n">
        <v>0</v>
      </c>
    </row>
    <row r="410" customFormat="false" ht="15" hidden="false" customHeight="false" outlineLevel="0" collapsed="false">
      <c r="A410" s="7" t="s">
        <v>394</v>
      </c>
      <c r="B410" s="7" t="s">
        <v>344</v>
      </c>
      <c r="C410" s="7" t="s">
        <v>829</v>
      </c>
      <c r="D410" s="10" t="n">
        <v>0</v>
      </c>
      <c r="E410" s="10" t="n">
        <v>0</v>
      </c>
      <c r="F410" s="10" t="n">
        <v>35.1</v>
      </c>
      <c r="G410" s="10" t="n">
        <v>0</v>
      </c>
      <c r="H410" s="10" t="n">
        <v>0</v>
      </c>
      <c r="I410" s="10" t="n">
        <v>0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0" t="n">
        <v>0</v>
      </c>
      <c r="P410" s="10" t="n">
        <v>0</v>
      </c>
      <c r="Q410" s="10" t="n">
        <v>0</v>
      </c>
      <c r="R410" s="10" t="n">
        <v>0</v>
      </c>
      <c r="S410" s="10" t="n">
        <v>0</v>
      </c>
      <c r="T410" s="10" t="n">
        <v>0</v>
      </c>
      <c r="U410" s="10" t="n">
        <v>0</v>
      </c>
    </row>
    <row r="411" customFormat="false" ht="15" hidden="false" customHeight="false" outlineLevel="0" collapsed="false">
      <c r="A411" s="7" t="s">
        <v>394</v>
      </c>
      <c r="B411" s="7" t="s">
        <v>324</v>
      </c>
      <c r="C411" s="7" t="s">
        <v>829</v>
      </c>
      <c r="D411" s="10" t="n">
        <v>0</v>
      </c>
      <c r="E411" s="10" t="n">
        <v>0</v>
      </c>
      <c r="F411" s="10" t="n">
        <v>105.3</v>
      </c>
      <c r="G411" s="10" t="n">
        <v>0</v>
      </c>
      <c r="H411" s="10" t="n">
        <v>0</v>
      </c>
      <c r="I411" s="10" t="n">
        <v>0</v>
      </c>
      <c r="J411" s="10" t="n">
        <v>0</v>
      </c>
      <c r="K411" s="10" t="n">
        <v>0</v>
      </c>
      <c r="L411" s="10" t="n">
        <v>0</v>
      </c>
      <c r="M411" s="10" t="n">
        <v>0</v>
      </c>
      <c r="N411" s="10" t="n">
        <v>0</v>
      </c>
      <c r="O411" s="10" t="n">
        <v>0</v>
      </c>
      <c r="P411" s="10" t="n">
        <v>0</v>
      </c>
      <c r="Q411" s="10" t="n">
        <v>0</v>
      </c>
      <c r="R411" s="10" t="n">
        <v>0</v>
      </c>
      <c r="S411" s="10" t="n">
        <v>0</v>
      </c>
      <c r="T411" s="10" t="n">
        <v>0</v>
      </c>
      <c r="U411" s="10" t="n">
        <v>0</v>
      </c>
    </row>
    <row r="412" customFormat="false" ht="15" hidden="false" customHeight="false" outlineLevel="0" collapsed="false">
      <c r="A412" s="7" t="s">
        <v>394</v>
      </c>
      <c r="B412" s="7" t="s">
        <v>325</v>
      </c>
      <c r="C412" s="7" t="s">
        <v>829</v>
      </c>
      <c r="D412" s="10" t="n">
        <v>0</v>
      </c>
      <c r="E412" s="10" t="n">
        <v>0</v>
      </c>
      <c r="F412" s="10" t="n">
        <v>35.1</v>
      </c>
      <c r="G412" s="10" t="n">
        <v>0</v>
      </c>
      <c r="H412" s="10" t="n">
        <v>0</v>
      </c>
      <c r="I412" s="10" t="n">
        <v>0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0" t="n">
        <v>0</v>
      </c>
      <c r="P412" s="10" t="n">
        <v>0</v>
      </c>
      <c r="Q412" s="10" t="n">
        <v>0</v>
      </c>
      <c r="R412" s="10" t="n">
        <v>0</v>
      </c>
      <c r="S412" s="10" t="n">
        <v>0</v>
      </c>
      <c r="T412" s="10" t="n">
        <v>0</v>
      </c>
      <c r="U412" s="10" t="n">
        <v>0</v>
      </c>
    </row>
    <row r="413" customFormat="false" ht="15" hidden="false" customHeight="false" outlineLevel="0" collapsed="false">
      <c r="A413" s="7" t="s">
        <v>394</v>
      </c>
      <c r="B413" s="7" t="s">
        <v>96</v>
      </c>
      <c r="C413" s="7" t="s">
        <v>830</v>
      </c>
      <c r="D413" s="10" t="n">
        <v>0</v>
      </c>
      <c r="E413" s="10" t="n">
        <v>0</v>
      </c>
      <c r="F413" s="10" t="n">
        <v>2765</v>
      </c>
      <c r="G413" s="10" t="n">
        <v>0</v>
      </c>
      <c r="H413" s="10" t="n">
        <v>0</v>
      </c>
      <c r="I413" s="10" t="n">
        <v>19986</v>
      </c>
      <c r="J413" s="10" t="n">
        <v>0</v>
      </c>
      <c r="K413" s="10" t="n">
        <v>342.3</v>
      </c>
      <c r="L413" s="10" t="n">
        <v>0</v>
      </c>
      <c r="M413" s="10" t="n">
        <v>0</v>
      </c>
      <c r="N413" s="10" t="n">
        <v>0</v>
      </c>
      <c r="O413" s="10" t="n">
        <v>0</v>
      </c>
      <c r="P413" s="10" t="n">
        <v>-243.2</v>
      </c>
      <c r="Q413" s="10" t="n">
        <v>19108.9</v>
      </c>
      <c r="R413" s="10" t="n">
        <v>778</v>
      </c>
      <c r="S413" s="10" t="n">
        <v>0</v>
      </c>
      <c r="T413" s="10" t="n">
        <v>0</v>
      </c>
      <c r="U413" s="10" t="n">
        <v>0</v>
      </c>
    </row>
    <row r="414" customFormat="false" ht="15" hidden="false" customHeight="false" outlineLevel="0" collapsed="false">
      <c r="A414" s="7" t="s">
        <v>394</v>
      </c>
      <c r="B414" s="7" t="s">
        <v>70</v>
      </c>
      <c r="C414" s="7" t="s">
        <v>831</v>
      </c>
      <c r="D414" s="10" t="n">
        <v>0</v>
      </c>
      <c r="E414" s="10" t="n">
        <v>0</v>
      </c>
      <c r="F414" s="10" t="n">
        <v>9467.1</v>
      </c>
      <c r="G414" s="10" t="n">
        <v>0</v>
      </c>
      <c r="H414" s="10" t="n">
        <v>0</v>
      </c>
      <c r="I414" s="10" t="n">
        <v>15123.4</v>
      </c>
      <c r="J414" s="10" t="n">
        <v>0</v>
      </c>
      <c r="K414" s="10" t="n">
        <v>263.5</v>
      </c>
      <c r="L414" s="10" t="n">
        <v>0</v>
      </c>
      <c r="M414" s="10" t="n">
        <v>0</v>
      </c>
      <c r="N414" s="10" t="n">
        <v>0</v>
      </c>
      <c r="O414" s="10" t="n">
        <v>0</v>
      </c>
      <c r="P414" s="10" t="n">
        <v>0</v>
      </c>
      <c r="Q414" s="10" t="n">
        <v>12016.1</v>
      </c>
      <c r="R414" s="10" t="n">
        <v>2843.8</v>
      </c>
      <c r="S414" s="10" t="n">
        <v>0</v>
      </c>
      <c r="T414" s="10" t="n">
        <v>0</v>
      </c>
      <c r="U414" s="10" t="n">
        <v>0</v>
      </c>
    </row>
    <row r="415" customFormat="false" ht="15" hidden="false" customHeight="false" outlineLevel="0" collapsed="false">
      <c r="A415" s="7" t="s">
        <v>394</v>
      </c>
      <c r="B415" s="7" t="s">
        <v>93</v>
      </c>
      <c r="C415" s="7" t="s">
        <v>831</v>
      </c>
      <c r="D415" s="10" t="n">
        <v>0</v>
      </c>
      <c r="E415" s="10" t="n">
        <v>0</v>
      </c>
      <c r="F415" s="10" t="n">
        <v>5672.9</v>
      </c>
      <c r="G415" s="10" t="n">
        <v>0</v>
      </c>
      <c r="H415" s="10" t="n">
        <v>0</v>
      </c>
      <c r="I415" s="10" t="n">
        <v>24034.3</v>
      </c>
      <c r="J415" s="10" t="n">
        <v>0</v>
      </c>
      <c r="K415" s="10" t="n">
        <v>373.3</v>
      </c>
      <c r="L415" s="10" t="n">
        <v>0</v>
      </c>
      <c r="M415" s="10" t="n">
        <v>0</v>
      </c>
      <c r="N415" s="10" t="n">
        <v>0</v>
      </c>
      <c r="O415" s="10" t="n">
        <v>58.8</v>
      </c>
      <c r="P415" s="10" t="n">
        <v>-65.9</v>
      </c>
      <c r="Q415" s="10" t="n">
        <v>18650.2</v>
      </c>
      <c r="R415" s="10" t="n">
        <v>5017.9</v>
      </c>
      <c r="S415" s="10" t="n">
        <v>0</v>
      </c>
      <c r="T415" s="10" t="n">
        <v>0</v>
      </c>
      <c r="U415" s="10" t="n">
        <v>0</v>
      </c>
    </row>
    <row r="416" customFormat="false" ht="15" hidden="false" customHeight="false" outlineLevel="0" collapsed="false">
      <c r="A416" s="7" t="s">
        <v>394</v>
      </c>
      <c r="B416" s="7" t="s">
        <v>92</v>
      </c>
      <c r="C416" s="7" t="s">
        <v>831</v>
      </c>
      <c r="D416" s="10" t="n">
        <v>0</v>
      </c>
      <c r="E416" s="10" t="n">
        <v>0</v>
      </c>
      <c r="F416" s="10" t="n">
        <v>2001.6</v>
      </c>
      <c r="G416" s="10" t="n">
        <v>0</v>
      </c>
      <c r="H416" s="10" t="n">
        <v>0</v>
      </c>
      <c r="I416" s="10" t="n">
        <v>9939.5</v>
      </c>
      <c r="J416" s="10" t="n">
        <v>0</v>
      </c>
      <c r="K416" s="10" t="n">
        <v>87.8</v>
      </c>
      <c r="L416" s="10" t="n">
        <v>0</v>
      </c>
      <c r="M416" s="10" t="n">
        <v>0</v>
      </c>
      <c r="N416" s="10" t="n">
        <v>0</v>
      </c>
      <c r="O416" s="10" t="n">
        <v>0</v>
      </c>
      <c r="P416" s="10" t="n">
        <v>0</v>
      </c>
      <c r="Q416" s="10" t="n">
        <v>8468.2</v>
      </c>
      <c r="R416" s="10" t="n">
        <v>1383.5</v>
      </c>
      <c r="S416" s="10" t="n">
        <v>0</v>
      </c>
      <c r="T416" s="10" t="n">
        <v>0</v>
      </c>
      <c r="U416" s="10" t="n">
        <v>0</v>
      </c>
    </row>
    <row r="417" customFormat="false" ht="15" hidden="false" customHeight="false" outlineLevel="0" collapsed="false">
      <c r="A417" s="7" t="s">
        <v>394</v>
      </c>
      <c r="B417" s="7" t="s">
        <v>129</v>
      </c>
      <c r="C417" s="7" t="s">
        <v>831</v>
      </c>
      <c r="D417" s="10" t="n">
        <v>0</v>
      </c>
      <c r="E417" s="10" t="n">
        <v>0</v>
      </c>
      <c r="F417" s="10" t="n">
        <v>2062.9</v>
      </c>
      <c r="G417" s="10" t="n">
        <v>0</v>
      </c>
      <c r="H417" s="10" t="n">
        <v>0</v>
      </c>
      <c r="I417" s="10" t="n">
        <v>10274</v>
      </c>
      <c r="J417" s="10" t="n">
        <v>0</v>
      </c>
      <c r="K417" s="10" t="n">
        <v>32.9</v>
      </c>
      <c r="L417" s="10" t="n">
        <v>0</v>
      </c>
      <c r="M417" s="10" t="n">
        <v>0</v>
      </c>
      <c r="N417" s="10" t="n">
        <v>75.6</v>
      </c>
      <c r="O417" s="10" t="n">
        <v>0</v>
      </c>
      <c r="P417" s="10" t="n">
        <v>-32.9</v>
      </c>
      <c r="Q417" s="10" t="n">
        <v>7156.9</v>
      </c>
      <c r="R417" s="10" t="n">
        <v>3041.5</v>
      </c>
      <c r="S417" s="10" t="n">
        <v>0</v>
      </c>
      <c r="T417" s="10" t="n">
        <v>0</v>
      </c>
      <c r="U417" s="10" t="n">
        <v>0</v>
      </c>
    </row>
    <row r="418" customFormat="false" ht="15" hidden="false" customHeight="false" outlineLevel="0" collapsed="false">
      <c r="A418" s="7" t="s">
        <v>394</v>
      </c>
      <c r="B418" s="7" t="s">
        <v>186</v>
      </c>
      <c r="C418" s="7" t="s">
        <v>832</v>
      </c>
      <c r="D418" s="10" t="n">
        <v>0</v>
      </c>
      <c r="E418" s="10" t="n">
        <v>0</v>
      </c>
      <c r="F418" s="10" t="n">
        <v>1080.4</v>
      </c>
      <c r="G418" s="10" t="n">
        <v>0</v>
      </c>
      <c r="H418" s="10" t="n">
        <v>0</v>
      </c>
      <c r="I418" s="10" t="n">
        <v>141.1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0" t="n">
        <v>0</v>
      </c>
      <c r="P418" s="10" t="n">
        <v>0</v>
      </c>
      <c r="Q418" s="10" t="n">
        <v>0</v>
      </c>
      <c r="R418" s="10" t="n">
        <v>141.1</v>
      </c>
      <c r="S418" s="10" t="n">
        <v>87.4</v>
      </c>
      <c r="T418" s="10" t="n">
        <v>0</v>
      </c>
      <c r="U418" s="10" t="n">
        <v>0</v>
      </c>
    </row>
    <row r="419" customFormat="false" ht="15" hidden="false" customHeight="false" outlineLevel="0" collapsed="false">
      <c r="A419" s="7" t="s">
        <v>394</v>
      </c>
      <c r="B419" s="7" t="s">
        <v>186</v>
      </c>
      <c r="C419" s="7" t="s">
        <v>833</v>
      </c>
      <c r="D419" s="10" t="n">
        <v>0</v>
      </c>
      <c r="E419" s="10" t="n">
        <v>0</v>
      </c>
      <c r="F419" s="10" t="n">
        <v>1342.6</v>
      </c>
      <c r="G419" s="10" t="n">
        <v>0</v>
      </c>
      <c r="H419" s="10" t="n">
        <v>0</v>
      </c>
      <c r="I419" s="10" t="n">
        <v>1343.1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n">
        <v>0</v>
      </c>
      <c r="O419" s="10" t="n">
        <v>0</v>
      </c>
      <c r="P419" s="10" t="n">
        <v>0</v>
      </c>
      <c r="Q419" s="10" t="n">
        <v>598.2</v>
      </c>
      <c r="R419" s="10" t="n">
        <v>744.9</v>
      </c>
      <c r="S419" s="10" t="n">
        <v>0</v>
      </c>
      <c r="T419" s="10" t="n">
        <v>0</v>
      </c>
      <c r="U419" s="10" t="n">
        <v>0</v>
      </c>
    </row>
    <row r="420" customFormat="false" ht="15" hidden="false" customHeight="false" outlineLevel="0" collapsed="false">
      <c r="A420" s="7" t="s">
        <v>394</v>
      </c>
      <c r="B420" s="7" t="s">
        <v>186</v>
      </c>
      <c r="C420" s="7" t="s">
        <v>834</v>
      </c>
      <c r="D420" s="10" t="n">
        <v>0</v>
      </c>
      <c r="E420" s="10" t="n">
        <v>0</v>
      </c>
      <c r="F420" s="10" t="n">
        <v>1740</v>
      </c>
      <c r="G420" s="10" t="n">
        <v>0</v>
      </c>
      <c r="H420" s="10" t="n">
        <v>0</v>
      </c>
      <c r="I420" s="10" t="n">
        <v>1417.6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0</v>
      </c>
      <c r="O420" s="10" t="n">
        <v>0</v>
      </c>
      <c r="P420" s="10" t="n">
        <v>0</v>
      </c>
      <c r="Q420" s="10" t="n">
        <v>821.7</v>
      </c>
      <c r="R420" s="10" t="n">
        <v>595.9</v>
      </c>
      <c r="S420" s="10" t="n">
        <v>0</v>
      </c>
      <c r="T420" s="10" t="n">
        <v>0</v>
      </c>
      <c r="U420" s="10" t="n">
        <v>0</v>
      </c>
    </row>
    <row r="421" customFormat="false" ht="15" hidden="false" customHeight="false" outlineLevel="0" collapsed="false">
      <c r="A421" s="7" t="s">
        <v>394</v>
      </c>
      <c r="B421" s="7" t="s">
        <v>186</v>
      </c>
      <c r="C421" s="7" t="s">
        <v>835</v>
      </c>
      <c r="D421" s="10" t="n">
        <v>0</v>
      </c>
      <c r="E421" s="10" t="n">
        <v>0</v>
      </c>
      <c r="F421" s="10" t="n">
        <v>811.8</v>
      </c>
      <c r="G421" s="10" t="n">
        <v>0</v>
      </c>
      <c r="H421" s="10" t="n">
        <v>0</v>
      </c>
      <c r="I421" s="10" t="n">
        <v>822.4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n">
        <v>0</v>
      </c>
      <c r="O421" s="10" t="n">
        <v>0</v>
      </c>
      <c r="P421" s="10" t="n">
        <v>0</v>
      </c>
      <c r="Q421" s="10" t="n">
        <v>524.4</v>
      </c>
      <c r="R421" s="10" t="n">
        <v>298</v>
      </c>
      <c r="S421" s="10" t="n">
        <v>87.4</v>
      </c>
      <c r="T421" s="10" t="n">
        <v>0</v>
      </c>
      <c r="U421" s="10" t="n">
        <v>0</v>
      </c>
    </row>
    <row r="422" customFormat="false" ht="15" hidden="false" customHeight="false" outlineLevel="0" collapsed="false">
      <c r="A422" s="7" t="s">
        <v>394</v>
      </c>
      <c r="B422" s="7" t="s">
        <v>166</v>
      </c>
      <c r="C422" s="7" t="s">
        <v>836</v>
      </c>
      <c r="D422" s="10" t="n">
        <v>0</v>
      </c>
      <c r="E422" s="10" t="n">
        <v>0</v>
      </c>
      <c r="F422" s="10" t="n">
        <v>281</v>
      </c>
      <c r="G422" s="10" t="n">
        <v>0</v>
      </c>
      <c r="H422" s="10" t="n">
        <v>0</v>
      </c>
      <c r="I422" s="10" t="n">
        <v>239.2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0" t="n">
        <v>0</v>
      </c>
      <c r="P422" s="10" t="n">
        <v>0</v>
      </c>
      <c r="Q422" s="10" t="n">
        <v>239.2</v>
      </c>
      <c r="R422" s="10" t="n">
        <v>0</v>
      </c>
      <c r="S422" s="10" t="n">
        <v>0</v>
      </c>
      <c r="T422" s="10" t="n">
        <v>0</v>
      </c>
      <c r="U422" s="10" t="n">
        <v>0</v>
      </c>
    </row>
    <row r="423" customFormat="false" ht="15" hidden="false" customHeight="false" outlineLevel="0" collapsed="false">
      <c r="A423" s="7" t="s">
        <v>394</v>
      </c>
      <c r="B423" s="7" t="s">
        <v>166</v>
      </c>
      <c r="C423" s="7" t="s">
        <v>837</v>
      </c>
      <c r="D423" s="10" t="n">
        <v>0</v>
      </c>
      <c r="E423" s="10" t="n">
        <v>0</v>
      </c>
      <c r="F423" s="10" t="n">
        <v>655.7</v>
      </c>
      <c r="G423" s="10" t="n">
        <v>0</v>
      </c>
      <c r="H423" s="10" t="n">
        <v>0</v>
      </c>
      <c r="I423" s="10" t="n">
        <v>753.9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0" t="n">
        <v>0</v>
      </c>
      <c r="P423" s="10" t="n">
        <v>0</v>
      </c>
      <c r="Q423" s="10" t="n">
        <v>679.4</v>
      </c>
      <c r="R423" s="10" t="n">
        <v>74.5</v>
      </c>
      <c r="S423" s="10" t="n">
        <v>0</v>
      </c>
      <c r="T423" s="10" t="n">
        <v>0</v>
      </c>
      <c r="U423" s="10" t="n">
        <v>0</v>
      </c>
    </row>
    <row r="424" customFormat="false" ht="15" hidden="false" customHeight="false" outlineLevel="0" collapsed="false">
      <c r="A424" s="7" t="s">
        <v>394</v>
      </c>
      <c r="B424" s="7" t="s">
        <v>166</v>
      </c>
      <c r="C424" s="7" t="s">
        <v>838</v>
      </c>
      <c r="D424" s="10" t="n">
        <v>0</v>
      </c>
      <c r="E424" s="10" t="n">
        <v>0</v>
      </c>
      <c r="F424" s="10" t="n">
        <v>661.9</v>
      </c>
      <c r="G424" s="10" t="n">
        <v>0</v>
      </c>
      <c r="H424" s="10" t="n">
        <v>0</v>
      </c>
      <c r="I424" s="10" t="n">
        <v>981.1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0" t="n">
        <v>0</v>
      </c>
      <c r="P424" s="10" t="n">
        <v>0</v>
      </c>
      <c r="Q424" s="10" t="n">
        <v>832.1</v>
      </c>
      <c r="R424" s="10" t="n">
        <v>149</v>
      </c>
      <c r="S424" s="10" t="n">
        <v>0</v>
      </c>
      <c r="T424" s="10" t="n">
        <v>0</v>
      </c>
      <c r="U424" s="10" t="n">
        <v>0</v>
      </c>
    </row>
    <row r="425" customFormat="false" ht="15" hidden="false" customHeight="false" outlineLevel="0" collapsed="false">
      <c r="A425" s="7" t="s">
        <v>394</v>
      </c>
      <c r="B425" s="7" t="s">
        <v>166</v>
      </c>
      <c r="C425" s="7" t="s">
        <v>839</v>
      </c>
      <c r="D425" s="10" t="n">
        <v>0</v>
      </c>
      <c r="E425" s="10" t="n">
        <v>0</v>
      </c>
      <c r="F425" s="10" t="n">
        <v>281</v>
      </c>
      <c r="G425" s="10" t="n">
        <v>0</v>
      </c>
      <c r="H425" s="10" t="n">
        <v>0</v>
      </c>
      <c r="I425" s="10" t="n">
        <v>1423.9</v>
      </c>
      <c r="J425" s="10" t="n">
        <v>0</v>
      </c>
      <c r="K425" s="10" t="n">
        <v>149</v>
      </c>
      <c r="L425" s="10" t="n">
        <v>0</v>
      </c>
      <c r="M425" s="10" t="n">
        <v>0</v>
      </c>
      <c r="N425" s="10" t="n">
        <v>0</v>
      </c>
      <c r="O425" s="10" t="n">
        <v>0</v>
      </c>
      <c r="P425" s="10" t="n">
        <v>0</v>
      </c>
      <c r="Q425" s="10" t="n">
        <v>1200.5</v>
      </c>
      <c r="R425" s="10" t="n">
        <v>74.5</v>
      </c>
      <c r="S425" s="10" t="n">
        <v>0</v>
      </c>
      <c r="T425" s="10" t="n">
        <v>0</v>
      </c>
      <c r="U425" s="10" t="n">
        <v>0</v>
      </c>
    </row>
    <row r="426" customFormat="false" ht="15" hidden="false" customHeight="false" outlineLevel="0" collapsed="false">
      <c r="A426" s="7" t="s">
        <v>394</v>
      </c>
      <c r="B426" s="7" t="s">
        <v>159</v>
      </c>
      <c r="C426" s="7" t="s">
        <v>659</v>
      </c>
      <c r="D426" s="10" t="n">
        <v>0</v>
      </c>
      <c r="E426" s="10" t="n">
        <v>0</v>
      </c>
      <c r="F426" s="10" t="n">
        <v>656.1</v>
      </c>
      <c r="G426" s="10" t="n">
        <v>0</v>
      </c>
      <c r="H426" s="10" t="n">
        <v>0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0</v>
      </c>
      <c r="O426" s="10" t="n">
        <v>0</v>
      </c>
      <c r="P426" s="10" t="n">
        <v>0</v>
      </c>
      <c r="Q426" s="10" t="n">
        <v>0</v>
      </c>
      <c r="R426" s="10" t="n">
        <v>0</v>
      </c>
      <c r="S426" s="10" t="n">
        <v>0</v>
      </c>
      <c r="T426" s="10" t="n">
        <v>0</v>
      </c>
      <c r="U426" s="10" t="n">
        <v>0</v>
      </c>
    </row>
    <row r="427" customFormat="false" ht="15" hidden="false" customHeight="false" outlineLevel="0" collapsed="false">
      <c r="A427" s="7" t="s">
        <v>394</v>
      </c>
      <c r="B427" s="7" t="s">
        <v>159</v>
      </c>
      <c r="C427" s="7" t="s">
        <v>658</v>
      </c>
      <c r="D427" s="10" t="n">
        <v>0</v>
      </c>
      <c r="E427" s="10" t="n">
        <v>0</v>
      </c>
      <c r="F427" s="10" t="n">
        <v>820.1</v>
      </c>
      <c r="G427" s="10" t="n">
        <v>0</v>
      </c>
      <c r="H427" s="10" t="n">
        <v>0</v>
      </c>
      <c r="I427" s="10" t="n">
        <v>2679.7</v>
      </c>
      <c r="J427" s="10" t="n">
        <v>0</v>
      </c>
      <c r="K427" s="10" t="n">
        <v>543</v>
      </c>
      <c r="L427" s="10" t="n">
        <v>0</v>
      </c>
      <c r="M427" s="10" t="n">
        <v>0</v>
      </c>
      <c r="N427" s="10" t="n">
        <v>0</v>
      </c>
      <c r="O427" s="10" t="n">
        <v>0</v>
      </c>
      <c r="P427" s="10" t="n">
        <v>-135.8</v>
      </c>
      <c r="Q427" s="10" t="n">
        <v>1593.7</v>
      </c>
      <c r="R427" s="10" t="n">
        <v>678.8</v>
      </c>
      <c r="S427" s="10" t="n">
        <v>0</v>
      </c>
      <c r="T427" s="10" t="n">
        <v>0</v>
      </c>
      <c r="U427" s="10" t="n">
        <v>0</v>
      </c>
    </row>
    <row r="428" customFormat="false" ht="15" hidden="false" customHeight="false" outlineLevel="0" collapsed="false">
      <c r="A428" s="7" t="s">
        <v>394</v>
      </c>
      <c r="B428" s="7" t="s">
        <v>159</v>
      </c>
      <c r="C428" s="7" t="s">
        <v>660</v>
      </c>
      <c r="D428" s="10" t="n">
        <v>0</v>
      </c>
      <c r="E428" s="10" t="n">
        <v>0</v>
      </c>
      <c r="F428" s="10" t="n">
        <v>678.3</v>
      </c>
      <c r="G428" s="10" t="n">
        <v>0</v>
      </c>
      <c r="H428" s="10" t="n">
        <v>0</v>
      </c>
      <c r="I428" s="10" t="n">
        <v>2841.9</v>
      </c>
      <c r="J428" s="10" t="n">
        <v>0</v>
      </c>
      <c r="K428" s="10" t="n">
        <v>678.8</v>
      </c>
      <c r="L428" s="10" t="n">
        <v>0</v>
      </c>
      <c r="M428" s="10" t="n">
        <v>0</v>
      </c>
      <c r="N428" s="10" t="n">
        <v>0</v>
      </c>
      <c r="O428" s="10" t="n">
        <v>0</v>
      </c>
      <c r="P428" s="10" t="n">
        <v>-135.8</v>
      </c>
      <c r="Q428" s="10" t="n">
        <v>1077</v>
      </c>
      <c r="R428" s="10" t="n">
        <v>1221.8</v>
      </c>
      <c r="S428" s="10" t="n">
        <v>0</v>
      </c>
      <c r="T428" s="10" t="n">
        <v>0</v>
      </c>
      <c r="U428" s="10" t="n">
        <v>0</v>
      </c>
    </row>
    <row r="429" customFormat="false" ht="15" hidden="false" customHeight="false" outlineLevel="0" collapsed="false">
      <c r="A429" s="7" t="s">
        <v>394</v>
      </c>
      <c r="B429" s="7" t="s">
        <v>159</v>
      </c>
      <c r="C429" s="7" t="s">
        <v>657</v>
      </c>
      <c r="D429" s="10" t="n">
        <v>0</v>
      </c>
      <c r="E429" s="10" t="n">
        <v>0</v>
      </c>
      <c r="F429" s="10" t="n">
        <v>612.4</v>
      </c>
      <c r="G429" s="10" t="n">
        <v>0</v>
      </c>
      <c r="H429" s="10" t="n">
        <v>0</v>
      </c>
      <c r="I429" s="10" t="n">
        <v>819.1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0" t="n">
        <v>0</v>
      </c>
      <c r="P429" s="10" t="n">
        <v>0</v>
      </c>
      <c r="Q429" s="10" t="n">
        <v>819.1</v>
      </c>
      <c r="R429" s="10" t="n">
        <v>0</v>
      </c>
      <c r="S429" s="10" t="n">
        <v>0</v>
      </c>
      <c r="T429" s="10" t="n">
        <v>0</v>
      </c>
      <c r="U429" s="10" t="n">
        <v>0</v>
      </c>
    </row>
    <row r="430" customFormat="false" ht="15" hidden="false" customHeight="false" outlineLevel="0" collapsed="false">
      <c r="A430" s="7" t="s">
        <v>394</v>
      </c>
      <c r="B430" s="7" t="s">
        <v>159</v>
      </c>
      <c r="C430" s="7" t="s">
        <v>840</v>
      </c>
      <c r="D430" s="10" t="n">
        <v>0</v>
      </c>
      <c r="E430" s="10" t="n">
        <v>0</v>
      </c>
      <c r="F430" s="10" t="n">
        <v>0</v>
      </c>
      <c r="G430" s="10" t="n">
        <v>0</v>
      </c>
      <c r="H430" s="10" t="n">
        <v>0</v>
      </c>
      <c r="I430" s="10" t="n">
        <v>271.5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O430" s="10" t="n">
        <v>0</v>
      </c>
      <c r="P430" s="10" t="n">
        <v>0</v>
      </c>
      <c r="Q430" s="10" t="n">
        <v>0</v>
      </c>
      <c r="R430" s="10" t="n">
        <v>271.5</v>
      </c>
      <c r="S430" s="10" t="n">
        <v>0</v>
      </c>
      <c r="T430" s="10" t="n">
        <v>0</v>
      </c>
      <c r="U430" s="10" t="n">
        <v>0</v>
      </c>
    </row>
    <row r="431" customFormat="false" ht="15" hidden="false" customHeight="false" outlineLevel="0" collapsed="false">
      <c r="A431" s="7" t="s">
        <v>394</v>
      </c>
      <c r="B431" s="7" t="s">
        <v>150</v>
      </c>
      <c r="C431" s="7" t="s">
        <v>841</v>
      </c>
      <c r="D431" s="10" t="n">
        <v>0</v>
      </c>
      <c r="E431" s="10" t="n">
        <v>0</v>
      </c>
      <c r="F431" s="10" t="n">
        <v>93.7</v>
      </c>
      <c r="G431" s="10" t="n">
        <v>0</v>
      </c>
      <c r="H431" s="10" t="n">
        <v>0</v>
      </c>
      <c r="I431" s="10" t="n">
        <v>0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0" t="n">
        <v>0</v>
      </c>
      <c r="P431" s="10" t="n">
        <v>0</v>
      </c>
      <c r="Q431" s="10" t="n">
        <v>0</v>
      </c>
      <c r="R431" s="10" t="n">
        <v>0</v>
      </c>
      <c r="S431" s="10" t="n">
        <v>0</v>
      </c>
      <c r="T431" s="10" t="n">
        <v>0</v>
      </c>
      <c r="U431" s="10" t="n">
        <v>0</v>
      </c>
    </row>
    <row r="432" customFormat="false" ht="15" hidden="false" customHeight="false" outlineLevel="0" collapsed="false">
      <c r="A432" s="7" t="s">
        <v>394</v>
      </c>
      <c r="B432" s="7" t="s">
        <v>150</v>
      </c>
      <c r="C432" s="7" t="s">
        <v>842</v>
      </c>
      <c r="D432" s="10" t="n">
        <v>0</v>
      </c>
      <c r="E432" s="10" t="n">
        <v>0</v>
      </c>
      <c r="F432" s="10" t="n">
        <v>299.1</v>
      </c>
      <c r="G432" s="10" t="n">
        <v>0</v>
      </c>
      <c r="H432" s="10" t="n">
        <v>0</v>
      </c>
      <c r="I432" s="10" t="n">
        <v>1042.9</v>
      </c>
      <c r="J432" s="10" t="n">
        <v>0</v>
      </c>
      <c r="K432" s="10" t="n">
        <v>0</v>
      </c>
      <c r="L432" s="10" t="n">
        <v>0</v>
      </c>
      <c r="M432" s="10" t="n">
        <v>0</v>
      </c>
      <c r="N432" s="10" t="n">
        <v>0</v>
      </c>
      <c r="O432" s="10" t="n">
        <v>0</v>
      </c>
      <c r="P432" s="10" t="n">
        <v>0</v>
      </c>
      <c r="Q432" s="10" t="n">
        <v>446.9</v>
      </c>
      <c r="R432" s="10" t="n">
        <v>595.9</v>
      </c>
      <c r="S432" s="10" t="n">
        <v>0</v>
      </c>
      <c r="T432" s="10" t="n">
        <v>0</v>
      </c>
      <c r="U432" s="10" t="n">
        <v>0</v>
      </c>
    </row>
    <row r="433" customFormat="false" ht="15" hidden="false" customHeight="false" outlineLevel="0" collapsed="false">
      <c r="A433" s="7" t="s">
        <v>394</v>
      </c>
      <c r="B433" s="7" t="s">
        <v>150</v>
      </c>
      <c r="C433" s="7" t="s">
        <v>843</v>
      </c>
      <c r="D433" s="10" t="n">
        <v>0</v>
      </c>
      <c r="E433" s="10" t="n">
        <v>0</v>
      </c>
      <c r="F433" s="10" t="n">
        <v>281</v>
      </c>
      <c r="G433" s="10" t="n">
        <v>0</v>
      </c>
      <c r="H433" s="10" t="n">
        <v>0</v>
      </c>
      <c r="I433" s="10" t="n">
        <v>2175.7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n">
        <v>0</v>
      </c>
      <c r="O433" s="10" t="n">
        <v>0</v>
      </c>
      <c r="P433" s="10" t="n">
        <v>0</v>
      </c>
      <c r="Q433" s="10" t="n">
        <v>1356.3</v>
      </c>
      <c r="R433" s="10" t="n">
        <v>819.4</v>
      </c>
      <c r="S433" s="10" t="n">
        <v>0</v>
      </c>
      <c r="T433" s="10" t="n">
        <v>0</v>
      </c>
      <c r="U433" s="10" t="n">
        <v>0</v>
      </c>
    </row>
    <row r="434" customFormat="false" ht="15" hidden="false" customHeight="false" outlineLevel="0" collapsed="false">
      <c r="A434" s="7" t="s">
        <v>394</v>
      </c>
      <c r="B434" s="7" t="s">
        <v>150</v>
      </c>
      <c r="C434" s="7" t="s">
        <v>844</v>
      </c>
      <c r="D434" s="10" t="n">
        <v>0</v>
      </c>
      <c r="E434" s="10" t="n">
        <v>0</v>
      </c>
      <c r="F434" s="10" t="n">
        <v>111.8</v>
      </c>
      <c r="G434" s="10" t="n">
        <v>0</v>
      </c>
      <c r="H434" s="10" t="n">
        <v>0</v>
      </c>
      <c r="I434" s="10" t="n">
        <v>446.9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0" t="n">
        <v>0</v>
      </c>
      <c r="P434" s="10" t="n">
        <v>0</v>
      </c>
      <c r="Q434" s="10" t="n">
        <v>0</v>
      </c>
      <c r="R434" s="10" t="n">
        <v>446.9</v>
      </c>
      <c r="S434" s="10" t="n">
        <v>0</v>
      </c>
      <c r="T434" s="10" t="n">
        <v>0</v>
      </c>
      <c r="U434" s="10" t="n">
        <v>0</v>
      </c>
    </row>
    <row r="435" customFormat="false" ht="15" hidden="false" customHeight="false" outlineLevel="0" collapsed="false">
      <c r="A435" s="7" t="s">
        <v>394</v>
      </c>
      <c r="B435" s="7" t="s">
        <v>165</v>
      </c>
      <c r="C435" s="7" t="s">
        <v>845</v>
      </c>
      <c r="D435" s="10" t="n">
        <v>0</v>
      </c>
      <c r="E435" s="10" t="n">
        <v>0</v>
      </c>
      <c r="F435" s="10" t="n">
        <v>349.7</v>
      </c>
      <c r="G435" s="10" t="n">
        <v>0</v>
      </c>
      <c r="H435" s="10" t="n">
        <v>0</v>
      </c>
      <c r="I435" s="10" t="n">
        <v>0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0" t="n">
        <v>0</v>
      </c>
      <c r="P435" s="10" t="n">
        <v>0</v>
      </c>
      <c r="Q435" s="10" t="n">
        <v>0</v>
      </c>
      <c r="R435" s="10" t="n">
        <v>0</v>
      </c>
      <c r="S435" s="10" t="n">
        <v>0</v>
      </c>
      <c r="T435" s="10" t="n">
        <v>0</v>
      </c>
      <c r="U435" s="10" t="n">
        <v>0</v>
      </c>
    </row>
    <row r="436" customFormat="false" ht="15" hidden="false" customHeight="false" outlineLevel="0" collapsed="false">
      <c r="A436" s="7" t="s">
        <v>394</v>
      </c>
      <c r="B436" s="7" t="s">
        <v>165</v>
      </c>
      <c r="C436" s="7" t="s">
        <v>846</v>
      </c>
      <c r="D436" s="10" t="n">
        <v>0</v>
      </c>
      <c r="E436" s="10" t="n">
        <v>0</v>
      </c>
      <c r="F436" s="10" t="n">
        <v>911.7</v>
      </c>
      <c r="G436" s="10" t="n">
        <v>0</v>
      </c>
      <c r="H436" s="10" t="n">
        <v>0</v>
      </c>
      <c r="I436" s="10" t="n">
        <v>2097.9</v>
      </c>
      <c r="J436" s="10" t="n">
        <v>0</v>
      </c>
      <c r="K436" s="10" t="n">
        <v>372.5</v>
      </c>
      <c r="L436" s="10" t="n">
        <v>0</v>
      </c>
      <c r="M436" s="10" t="n">
        <v>0</v>
      </c>
      <c r="N436" s="10" t="n">
        <v>0</v>
      </c>
      <c r="O436" s="10" t="n">
        <v>0</v>
      </c>
      <c r="P436" s="10" t="n">
        <v>0</v>
      </c>
      <c r="Q436" s="10" t="n">
        <v>1427.4</v>
      </c>
      <c r="R436" s="10" t="n">
        <v>298</v>
      </c>
      <c r="S436" s="10" t="n">
        <v>0</v>
      </c>
      <c r="T436" s="10" t="n">
        <v>0</v>
      </c>
      <c r="U436" s="10" t="n">
        <v>0</v>
      </c>
    </row>
    <row r="437" customFormat="false" ht="15" hidden="false" customHeight="false" outlineLevel="0" collapsed="false">
      <c r="A437" s="7" t="s">
        <v>394</v>
      </c>
      <c r="B437" s="7" t="s">
        <v>165</v>
      </c>
      <c r="C437" s="7" t="s">
        <v>847</v>
      </c>
      <c r="D437" s="10" t="n">
        <v>0</v>
      </c>
      <c r="E437" s="10" t="n">
        <v>0</v>
      </c>
      <c r="F437" s="10" t="n">
        <v>362.2</v>
      </c>
      <c r="G437" s="10" t="n">
        <v>0</v>
      </c>
      <c r="H437" s="10" t="n">
        <v>0</v>
      </c>
      <c r="I437" s="10" t="n">
        <v>1118.2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0" t="n">
        <v>0</v>
      </c>
      <c r="P437" s="10" t="n">
        <v>0</v>
      </c>
      <c r="Q437" s="10" t="n">
        <v>820.2</v>
      </c>
      <c r="R437" s="10" t="n">
        <v>298</v>
      </c>
      <c r="S437" s="10" t="n">
        <v>0</v>
      </c>
      <c r="T437" s="10" t="n">
        <v>0</v>
      </c>
      <c r="U437" s="10" t="n">
        <v>0</v>
      </c>
    </row>
    <row r="438" customFormat="false" ht="15" hidden="false" customHeight="false" outlineLevel="0" collapsed="false">
      <c r="A438" s="7" t="s">
        <v>394</v>
      </c>
      <c r="B438" s="7" t="s">
        <v>165</v>
      </c>
      <c r="C438" s="7" t="s">
        <v>848</v>
      </c>
      <c r="D438" s="10" t="n">
        <v>0</v>
      </c>
      <c r="E438" s="10" t="n">
        <v>0</v>
      </c>
      <c r="F438" s="10" t="n">
        <v>362.2</v>
      </c>
      <c r="G438" s="10" t="n">
        <v>0</v>
      </c>
      <c r="H438" s="10" t="n">
        <v>0</v>
      </c>
      <c r="I438" s="10" t="n">
        <v>1270.6</v>
      </c>
      <c r="J438" s="10" t="n">
        <v>0</v>
      </c>
      <c r="K438" s="10" t="n">
        <v>149</v>
      </c>
      <c r="L438" s="10" t="n">
        <v>0</v>
      </c>
      <c r="M438" s="10" t="n">
        <v>0</v>
      </c>
      <c r="N438" s="10" t="n">
        <v>0</v>
      </c>
      <c r="O438" s="10" t="n">
        <v>0</v>
      </c>
      <c r="P438" s="10" t="n">
        <v>0</v>
      </c>
      <c r="Q438" s="10" t="n">
        <v>823.6</v>
      </c>
      <c r="R438" s="10" t="n">
        <v>298</v>
      </c>
      <c r="S438" s="10" t="n">
        <v>0</v>
      </c>
      <c r="T438" s="10" t="n">
        <v>0</v>
      </c>
      <c r="U438" s="10" t="n">
        <v>0</v>
      </c>
    </row>
    <row r="439" customFormat="false" ht="15" hidden="false" customHeight="false" outlineLevel="0" collapsed="false">
      <c r="A439" s="7" t="s">
        <v>394</v>
      </c>
      <c r="B439" s="7" t="s">
        <v>180</v>
      </c>
      <c r="C439" s="7" t="s">
        <v>850</v>
      </c>
      <c r="D439" s="10" t="n">
        <v>0</v>
      </c>
      <c r="E439" s="10" t="n">
        <v>0</v>
      </c>
      <c r="F439" s="10" t="n">
        <v>834.1</v>
      </c>
      <c r="G439" s="10" t="n">
        <v>0</v>
      </c>
      <c r="H439" s="10" t="n">
        <v>0</v>
      </c>
      <c r="I439" s="10" t="n">
        <v>1473.5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0" t="n">
        <v>0</v>
      </c>
      <c r="P439" s="10" t="n">
        <v>0</v>
      </c>
      <c r="Q439" s="10" t="n">
        <v>1473.5</v>
      </c>
      <c r="R439" s="10" t="n">
        <v>0</v>
      </c>
      <c r="S439" s="10" t="n">
        <v>0</v>
      </c>
      <c r="T439" s="10" t="n">
        <v>0</v>
      </c>
      <c r="U439" s="10" t="n">
        <v>0</v>
      </c>
    </row>
    <row r="440" customFormat="false" ht="15" hidden="false" customHeight="false" outlineLevel="0" collapsed="false">
      <c r="A440" s="7" t="s">
        <v>394</v>
      </c>
      <c r="B440" s="7" t="s">
        <v>180</v>
      </c>
      <c r="C440" s="7" t="s">
        <v>851</v>
      </c>
      <c r="D440" s="10" t="n">
        <v>0</v>
      </c>
      <c r="E440" s="10" t="n">
        <v>0</v>
      </c>
      <c r="F440" s="10" t="n">
        <v>2689.6</v>
      </c>
      <c r="G440" s="10" t="n">
        <v>0</v>
      </c>
      <c r="H440" s="10" t="n">
        <v>0</v>
      </c>
      <c r="I440" s="10" t="n">
        <v>5118.7</v>
      </c>
      <c r="J440" s="10" t="n">
        <v>0</v>
      </c>
      <c r="K440" s="10" t="n">
        <v>950.3</v>
      </c>
      <c r="L440" s="10" t="n">
        <v>0</v>
      </c>
      <c r="M440" s="10" t="n">
        <v>0</v>
      </c>
      <c r="N440" s="10" t="n">
        <v>0</v>
      </c>
      <c r="O440" s="10" t="n">
        <v>0</v>
      </c>
      <c r="P440" s="10" t="n">
        <v>0</v>
      </c>
      <c r="Q440" s="10" t="n">
        <v>2675</v>
      </c>
      <c r="R440" s="10" t="n">
        <v>1493.4</v>
      </c>
      <c r="S440" s="10" t="n">
        <v>0</v>
      </c>
      <c r="T440" s="10" t="n">
        <v>0</v>
      </c>
      <c r="U440" s="10" t="n">
        <v>0</v>
      </c>
    </row>
    <row r="441" customFormat="false" ht="15" hidden="false" customHeight="false" outlineLevel="0" collapsed="false">
      <c r="A441" s="7" t="s">
        <v>394</v>
      </c>
      <c r="B441" s="7" t="s">
        <v>180</v>
      </c>
      <c r="C441" s="7" t="s">
        <v>852</v>
      </c>
      <c r="D441" s="10" t="n">
        <v>0</v>
      </c>
      <c r="E441" s="10" t="n">
        <v>0</v>
      </c>
      <c r="F441" s="10" t="n">
        <v>3139.4</v>
      </c>
      <c r="G441" s="10" t="n">
        <v>0</v>
      </c>
      <c r="H441" s="10" t="n">
        <v>0</v>
      </c>
      <c r="I441" s="10" t="n">
        <v>4863.3</v>
      </c>
      <c r="J441" s="10" t="n">
        <v>0</v>
      </c>
      <c r="K441" s="10" t="n">
        <v>271.5</v>
      </c>
      <c r="L441" s="10" t="n">
        <v>0</v>
      </c>
      <c r="M441" s="10" t="n">
        <v>0</v>
      </c>
      <c r="N441" s="10" t="n">
        <v>0</v>
      </c>
      <c r="O441" s="10" t="n">
        <v>0</v>
      </c>
      <c r="P441" s="10" t="n">
        <v>0</v>
      </c>
      <c r="Q441" s="10" t="n">
        <v>2962.7</v>
      </c>
      <c r="R441" s="10" t="n">
        <v>1629.1</v>
      </c>
      <c r="S441" s="10" t="n">
        <v>0</v>
      </c>
      <c r="T441" s="10" t="n">
        <v>0</v>
      </c>
      <c r="U441" s="10" t="n">
        <v>0</v>
      </c>
    </row>
    <row r="442" customFormat="false" ht="15" hidden="false" customHeight="false" outlineLevel="0" collapsed="false">
      <c r="A442" s="7" t="s">
        <v>394</v>
      </c>
      <c r="B442" s="7" t="s">
        <v>180</v>
      </c>
      <c r="C442" s="7" t="s">
        <v>853</v>
      </c>
      <c r="D442" s="10" t="n">
        <v>0</v>
      </c>
      <c r="E442" s="10" t="n">
        <v>0</v>
      </c>
      <c r="F442" s="10" t="n">
        <v>2061.7</v>
      </c>
      <c r="G442" s="10" t="n">
        <v>0</v>
      </c>
      <c r="H442" s="10" t="n">
        <v>0</v>
      </c>
      <c r="I442" s="10" t="n">
        <v>3636.1</v>
      </c>
      <c r="J442" s="10" t="n">
        <v>0</v>
      </c>
      <c r="K442" s="10" t="n">
        <v>407.3</v>
      </c>
      <c r="L442" s="10" t="n">
        <v>0</v>
      </c>
      <c r="M442" s="10" t="n">
        <v>0</v>
      </c>
      <c r="N442" s="10" t="n">
        <v>0</v>
      </c>
      <c r="O442" s="10" t="n">
        <v>0</v>
      </c>
      <c r="P442" s="10" t="n">
        <v>0</v>
      </c>
      <c r="Q442" s="10" t="n">
        <v>1735.5</v>
      </c>
      <c r="R442" s="10" t="n">
        <v>1493.4</v>
      </c>
      <c r="S442" s="10" t="n">
        <v>0</v>
      </c>
      <c r="T442" s="10" t="n">
        <v>0</v>
      </c>
      <c r="U442" s="10" t="n">
        <v>0</v>
      </c>
    </row>
    <row r="443" customFormat="false" ht="15" hidden="false" customHeight="false" outlineLevel="0" collapsed="false">
      <c r="A443" s="7" t="s">
        <v>394</v>
      </c>
      <c r="B443" s="7" t="s">
        <v>180</v>
      </c>
      <c r="C443" s="7" t="s">
        <v>854</v>
      </c>
      <c r="D443" s="10" t="n">
        <v>0</v>
      </c>
      <c r="E443" s="10" t="n">
        <v>0</v>
      </c>
      <c r="F443" s="10" t="n">
        <v>702.9</v>
      </c>
      <c r="G443" s="10" t="n">
        <v>0</v>
      </c>
      <c r="H443" s="10" t="n">
        <v>0</v>
      </c>
      <c r="I443" s="10" t="n">
        <v>2672.8</v>
      </c>
      <c r="J443" s="10" t="n">
        <v>0</v>
      </c>
      <c r="K443" s="10" t="n">
        <v>814.6</v>
      </c>
      <c r="L443" s="10" t="n">
        <v>0</v>
      </c>
      <c r="M443" s="10" t="n">
        <v>0</v>
      </c>
      <c r="N443" s="10" t="n">
        <v>0</v>
      </c>
      <c r="O443" s="10" t="n">
        <v>0</v>
      </c>
      <c r="P443" s="10" t="n">
        <v>0</v>
      </c>
      <c r="Q443" s="10" t="n">
        <v>1451</v>
      </c>
      <c r="R443" s="10" t="n">
        <v>407.3</v>
      </c>
      <c r="S443" s="10" t="n">
        <v>0</v>
      </c>
      <c r="T443" s="10" t="n">
        <v>0</v>
      </c>
      <c r="U443" s="10" t="n">
        <v>0</v>
      </c>
    </row>
    <row r="444" customFormat="false" ht="15" hidden="false" customHeight="false" outlineLevel="0" collapsed="false">
      <c r="A444" s="7" t="s">
        <v>394</v>
      </c>
      <c r="B444" s="7" t="s">
        <v>231</v>
      </c>
      <c r="C444" s="7" t="s">
        <v>856</v>
      </c>
      <c r="D444" s="10" t="n">
        <v>0</v>
      </c>
      <c r="E444" s="10" t="n">
        <v>0</v>
      </c>
      <c r="F444" s="10" t="n">
        <v>0</v>
      </c>
      <c r="G444" s="10" t="n">
        <v>0</v>
      </c>
      <c r="H444" s="10" t="n">
        <v>0</v>
      </c>
      <c r="I444" s="10" t="n">
        <v>-94.2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0" t="n">
        <v>0</v>
      </c>
      <c r="P444" s="10" t="n">
        <v>0</v>
      </c>
      <c r="Q444" s="10" t="n">
        <v>-94.2</v>
      </c>
      <c r="R444" s="10" t="n">
        <v>0</v>
      </c>
      <c r="S444" s="10" t="n">
        <v>0</v>
      </c>
      <c r="T444" s="10" t="n">
        <v>0</v>
      </c>
      <c r="U444" s="10" t="n">
        <v>0</v>
      </c>
    </row>
    <row r="445" customFormat="false" ht="15" hidden="false" customHeight="false" outlineLevel="0" collapsed="false">
      <c r="A445" s="7" t="s">
        <v>394</v>
      </c>
      <c r="B445" s="7" t="s">
        <v>222</v>
      </c>
      <c r="C445" s="7" t="s">
        <v>955</v>
      </c>
      <c r="D445" s="10" t="n">
        <v>0</v>
      </c>
      <c r="E445" s="10" t="n">
        <v>0</v>
      </c>
      <c r="F445" s="10" t="n">
        <v>0</v>
      </c>
      <c r="G445" s="10" t="n">
        <v>0</v>
      </c>
      <c r="H445" s="10" t="n">
        <v>0</v>
      </c>
      <c r="I445" s="10" t="n">
        <v>-118.8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0" t="n">
        <v>0</v>
      </c>
      <c r="P445" s="10" t="n">
        <v>0</v>
      </c>
      <c r="Q445" s="10" t="n">
        <v>-118.8</v>
      </c>
      <c r="R445" s="10" t="n">
        <v>0</v>
      </c>
      <c r="S445" s="10" t="n">
        <v>0</v>
      </c>
      <c r="T445" s="10" t="n">
        <v>0</v>
      </c>
      <c r="U445" s="10" t="n">
        <v>0</v>
      </c>
    </row>
    <row r="446" customFormat="false" ht="15" hidden="false" customHeight="false" outlineLevel="0" collapsed="false">
      <c r="A446" s="7" t="s">
        <v>394</v>
      </c>
      <c r="B446" s="7" t="s">
        <v>221</v>
      </c>
      <c r="C446" s="7" t="s">
        <v>955</v>
      </c>
      <c r="D446" s="10" t="n">
        <v>0</v>
      </c>
      <c r="E446" s="10" t="n">
        <v>0</v>
      </c>
      <c r="F446" s="10" t="n">
        <v>0</v>
      </c>
      <c r="G446" s="10" t="n">
        <v>0</v>
      </c>
      <c r="H446" s="10" t="n">
        <v>0</v>
      </c>
      <c r="I446" s="10" t="n">
        <v>-240.3</v>
      </c>
      <c r="J446" s="10" t="n">
        <v>0</v>
      </c>
      <c r="K446" s="10" t="n">
        <v>0</v>
      </c>
      <c r="L446" s="10" t="n">
        <v>0</v>
      </c>
      <c r="M446" s="10" t="n">
        <v>0</v>
      </c>
      <c r="N446" s="10" t="n">
        <v>0</v>
      </c>
      <c r="O446" s="10" t="n">
        <v>0</v>
      </c>
      <c r="P446" s="10" t="n">
        <v>-121.5</v>
      </c>
      <c r="Q446" s="10" t="n">
        <v>-118.8</v>
      </c>
      <c r="R446" s="10" t="n">
        <v>0</v>
      </c>
      <c r="S446" s="10" t="n">
        <v>0</v>
      </c>
      <c r="T446" s="10" t="n">
        <v>0</v>
      </c>
      <c r="U446" s="10" t="n">
        <v>0</v>
      </c>
    </row>
    <row r="447" customFormat="false" ht="15" hidden="false" customHeight="false" outlineLevel="0" collapsed="false">
      <c r="A447" s="7" t="s">
        <v>394</v>
      </c>
      <c r="B447" s="7" t="s">
        <v>147</v>
      </c>
      <c r="C447" s="7" t="s">
        <v>867</v>
      </c>
      <c r="D447" s="10" t="n">
        <v>0</v>
      </c>
      <c r="E447" s="10" t="n">
        <v>0</v>
      </c>
      <c r="F447" s="10" t="n">
        <v>407</v>
      </c>
      <c r="G447" s="10" t="n">
        <v>0</v>
      </c>
      <c r="H447" s="10" t="n">
        <v>0</v>
      </c>
      <c r="I447" s="10" t="n">
        <v>3300.4</v>
      </c>
      <c r="J447" s="10" t="n">
        <v>0</v>
      </c>
      <c r="K447" s="10" t="n">
        <v>0</v>
      </c>
      <c r="L447" s="10" t="n">
        <v>0</v>
      </c>
      <c r="M447" s="10" t="n">
        <v>0</v>
      </c>
      <c r="N447" s="10" t="n">
        <v>0</v>
      </c>
      <c r="O447" s="10" t="n">
        <v>0</v>
      </c>
      <c r="P447" s="10" t="n">
        <v>0</v>
      </c>
      <c r="Q447" s="10" t="n">
        <v>3300.4</v>
      </c>
      <c r="R447" s="10" t="n">
        <v>0</v>
      </c>
      <c r="S447" s="10" t="n">
        <v>0</v>
      </c>
      <c r="T447" s="10" t="n">
        <v>0</v>
      </c>
      <c r="U447" s="10" t="n">
        <v>0</v>
      </c>
    </row>
    <row r="448" customFormat="false" ht="15" hidden="false" customHeight="false" outlineLevel="0" collapsed="false">
      <c r="A448" s="7" t="s">
        <v>394</v>
      </c>
      <c r="B448" s="7" t="s">
        <v>131</v>
      </c>
      <c r="C448" s="7" t="s">
        <v>867</v>
      </c>
      <c r="D448" s="10" t="n">
        <v>0</v>
      </c>
      <c r="E448" s="10" t="n">
        <v>0</v>
      </c>
      <c r="F448" s="10" t="n">
        <v>591.7</v>
      </c>
      <c r="G448" s="10" t="n">
        <v>0</v>
      </c>
      <c r="H448" s="10" t="n">
        <v>0</v>
      </c>
      <c r="I448" s="10" t="n">
        <v>4690.8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0" t="n">
        <v>0</v>
      </c>
      <c r="P448" s="10" t="n">
        <v>0</v>
      </c>
      <c r="Q448" s="10" t="n">
        <v>4690.8</v>
      </c>
      <c r="R448" s="10" t="n">
        <v>0</v>
      </c>
      <c r="S448" s="10" t="n">
        <v>0</v>
      </c>
      <c r="T448" s="10" t="n">
        <v>0</v>
      </c>
      <c r="U448" s="10" t="n">
        <v>0</v>
      </c>
    </row>
    <row r="449" customFormat="false" ht="15" hidden="false" customHeight="false" outlineLevel="0" collapsed="false">
      <c r="A449" s="7" t="s">
        <v>394</v>
      </c>
      <c r="B449" s="7" t="s">
        <v>135</v>
      </c>
      <c r="C449" s="7" t="s">
        <v>867</v>
      </c>
      <c r="D449" s="10" t="n">
        <v>0</v>
      </c>
      <c r="E449" s="10" t="n">
        <v>0</v>
      </c>
      <c r="F449" s="10" t="n">
        <v>322.1</v>
      </c>
      <c r="G449" s="10" t="n">
        <v>0</v>
      </c>
      <c r="H449" s="10" t="n">
        <v>0</v>
      </c>
      <c r="I449" s="10" t="n">
        <v>4514.3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37.5</v>
      </c>
      <c r="O449" s="10" t="n">
        <v>0</v>
      </c>
      <c r="P449" s="10" t="n">
        <v>0</v>
      </c>
      <c r="Q449" s="10" t="n">
        <v>4476.9</v>
      </c>
      <c r="R449" s="10" t="n">
        <v>0</v>
      </c>
      <c r="S449" s="10" t="n">
        <v>0</v>
      </c>
      <c r="T449" s="10" t="n">
        <v>0</v>
      </c>
      <c r="U449" s="10" t="n">
        <v>0</v>
      </c>
    </row>
    <row r="450" customFormat="false" ht="15" hidden="false" customHeight="false" outlineLevel="0" collapsed="false">
      <c r="A450" s="7" t="s">
        <v>394</v>
      </c>
      <c r="B450" s="7" t="s">
        <v>163</v>
      </c>
      <c r="C450" s="7" t="s">
        <v>867</v>
      </c>
      <c r="D450" s="10" t="n">
        <v>0</v>
      </c>
      <c r="E450" s="10" t="n">
        <v>0</v>
      </c>
      <c r="F450" s="10" t="n">
        <v>184.8</v>
      </c>
      <c r="G450" s="10" t="n">
        <v>0</v>
      </c>
      <c r="H450" s="10" t="n">
        <v>0</v>
      </c>
      <c r="I450" s="10" t="n">
        <v>993.8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0" t="n">
        <v>0</v>
      </c>
      <c r="P450" s="10" t="n">
        <v>0</v>
      </c>
      <c r="Q450" s="10" t="n">
        <v>993.8</v>
      </c>
      <c r="R450" s="10" t="n">
        <v>0</v>
      </c>
      <c r="S450" s="10" t="n">
        <v>0</v>
      </c>
      <c r="T450" s="10" t="n">
        <v>0</v>
      </c>
      <c r="U450" s="10" t="n">
        <v>0</v>
      </c>
    </row>
    <row r="451" customFormat="false" ht="15" hidden="false" customHeight="false" outlineLevel="0" collapsed="false">
      <c r="A451" s="7" t="s">
        <v>394</v>
      </c>
      <c r="B451" s="7" t="s">
        <v>154</v>
      </c>
      <c r="C451" s="7" t="s">
        <v>868</v>
      </c>
      <c r="D451" s="10" t="n">
        <v>0</v>
      </c>
      <c r="E451" s="10" t="n">
        <v>0</v>
      </c>
      <c r="F451" s="10" t="n">
        <v>512</v>
      </c>
      <c r="G451" s="10" t="n">
        <v>0</v>
      </c>
      <c r="H451" s="10" t="n">
        <v>0</v>
      </c>
      <c r="I451" s="10" t="n">
        <v>5400.6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0" t="n">
        <v>0</v>
      </c>
      <c r="P451" s="10" t="n">
        <v>0</v>
      </c>
      <c r="Q451" s="10" t="n">
        <v>5400.6</v>
      </c>
      <c r="R451" s="10" t="n">
        <v>0</v>
      </c>
      <c r="S451" s="10" t="n">
        <v>0</v>
      </c>
      <c r="T451" s="10" t="n">
        <v>0</v>
      </c>
      <c r="U451" s="10" t="n">
        <v>0</v>
      </c>
    </row>
    <row r="452" customFormat="false" ht="15" hidden="false" customHeight="false" outlineLevel="0" collapsed="false">
      <c r="A452" s="7" t="s">
        <v>394</v>
      </c>
      <c r="B452" s="7" t="s">
        <v>139</v>
      </c>
      <c r="C452" s="7" t="s">
        <v>868</v>
      </c>
      <c r="D452" s="10" t="n">
        <v>0</v>
      </c>
      <c r="E452" s="10" t="n">
        <v>0</v>
      </c>
      <c r="F452" s="10" t="n">
        <v>1063.8</v>
      </c>
      <c r="G452" s="10" t="n">
        <v>0</v>
      </c>
      <c r="H452" s="10" t="n">
        <v>0</v>
      </c>
      <c r="I452" s="10" t="n">
        <v>9579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0" t="n">
        <v>0</v>
      </c>
      <c r="P452" s="10" t="n">
        <v>0</v>
      </c>
      <c r="Q452" s="10" t="n">
        <v>9579</v>
      </c>
      <c r="R452" s="10" t="n">
        <v>0</v>
      </c>
      <c r="S452" s="10" t="n">
        <v>0</v>
      </c>
      <c r="T452" s="10" t="n">
        <v>0</v>
      </c>
      <c r="U452" s="10" t="n">
        <v>0</v>
      </c>
    </row>
    <row r="453" customFormat="false" ht="15" hidden="false" customHeight="false" outlineLevel="0" collapsed="false">
      <c r="A453" s="7" t="s">
        <v>394</v>
      </c>
      <c r="B453" s="7" t="s">
        <v>117</v>
      </c>
      <c r="C453" s="7" t="s">
        <v>868</v>
      </c>
      <c r="D453" s="10" t="n">
        <v>0</v>
      </c>
      <c r="E453" s="10" t="n">
        <v>0</v>
      </c>
      <c r="F453" s="10" t="n">
        <v>1016</v>
      </c>
      <c r="G453" s="10" t="n">
        <v>0</v>
      </c>
      <c r="H453" s="10" t="n">
        <v>0</v>
      </c>
      <c r="I453" s="10" t="n">
        <v>7189.1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0" t="n">
        <v>0</v>
      </c>
      <c r="P453" s="10" t="n">
        <v>0</v>
      </c>
      <c r="Q453" s="10" t="n">
        <v>7189.1</v>
      </c>
      <c r="R453" s="10" t="n">
        <v>0</v>
      </c>
      <c r="S453" s="10" t="n">
        <v>0</v>
      </c>
      <c r="T453" s="10" t="n">
        <v>0</v>
      </c>
      <c r="U453" s="10" t="n">
        <v>0</v>
      </c>
    </row>
    <row r="454" customFormat="false" ht="15" hidden="false" customHeight="false" outlineLevel="0" collapsed="false">
      <c r="A454" s="7" t="s">
        <v>394</v>
      </c>
      <c r="B454" s="7" t="s">
        <v>212</v>
      </c>
      <c r="C454" s="7" t="s">
        <v>868</v>
      </c>
      <c r="D454" s="10" t="n">
        <v>0</v>
      </c>
      <c r="E454" s="10" t="n">
        <v>0</v>
      </c>
      <c r="F454" s="10" t="n">
        <v>199</v>
      </c>
      <c r="G454" s="10" t="n">
        <v>0</v>
      </c>
      <c r="H454" s="10" t="n">
        <v>0</v>
      </c>
      <c r="I454" s="10" t="n">
        <v>1600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0" t="n">
        <v>0</v>
      </c>
      <c r="P454" s="10" t="n">
        <v>0</v>
      </c>
      <c r="Q454" s="10" t="n">
        <v>1600</v>
      </c>
      <c r="R454" s="10" t="n">
        <v>0</v>
      </c>
      <c r="S454" s="10" t="n">
        <v>0</v>
      </c>
      <c r="T454" s="10" t="n">
        <v>0</v>
      </c>
      <c r="U454" s="10" t="n">
        <v>0</v>
      </c>
    </row>
    <row r="455" customFormat="false" ht="15" hidden="false" customHeight="false" outlineLevel="0" collapsed="false">
      <c r="A455" s="7" t="s">
        <v>394</v>
      </c>
      <c r="B455" s="7" t="s">
        <v>281</v>
      </c>
      <c r="C455" s="7" t="s">
        <v>869</v>
      </c>
      <c r="D455" s="10" t="n">
        <v>0</v>
      </c>
      <c r="E455" s="10" t="n">
        <v>0</v>
      </c>
      <c r="F455" s="10" t="n">
        <v>0</v>
      </c>
      <c r="G455" s="10" t="n">
        <v>0</v>
      </c>
      <c r="H455" s="10" t="n">
        <v>0</v>
      </c>
      <c r="I455" s="10" t="n">
        <v>-65.6</v>
      </c>
      <c r="J455" s="10" t="n">
        <v>0</v>
      </c>
      <c r="K455" s="10" t="n">
        <v>0</v>
      </c>
      <c r="L455" s="10" t="n">
        <v>0</v>
      </c>
      <c r="M455" s="10" t="n">
        <v>0</v>
      </c>
      <c r="N455" s="10" t="n">
        <v>0</v>
      </c>
      <c r="O455" s="10" t="n">
        <v>0</v>
      </c>
      <c r="P455" s="10" t="n">
        <v>-65.6</v>
      </c>
      <c r="Q455" s="10" t="n">
        <v>0</v>
      </c>
      <c r="R455" s="10" t="n">
        <v>0</v>
      </c>
      <c r="S455" s="10" t="n">
        <v>0</v>
      </c>
      <c r="T455" s="10" t="n">
        <v>0</v>
      </c>
      <c r="U455" s="10" t="n">
        <v>0</v>
      </c>
    </row>
    <row r="456" customFormat="false" ht="15" hidden="false" customHeight="false" outlineLevel="0" collapsed="false">
      <c r="A456" s="7" t="s">
        <v>394</v>
      </c>
      <c r="B456" s="7" t="s">
        <v>281</v>
      </c>
      <c r="C456" s="7" t="s">
        <v>870</v>
      </c>
      <c r="D456" s="10" t="n">
        <v>0</v>
      </c>
      <c r="E456" s="10" t="n">
        <v>0</v>
      </c>
      <c r="F456" s="10" t="n">
        <v>2191.9</v>
      </c>
      <c r="G456" s="10" t="n">
        <v>0</v>
      </c>
      <c r="H456" s="10" t="n">
        <v>0</v>
      </c>
      <c r="I456" s="10" t="n">
        <v>196.9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0" t="n">
        <v>0</v>
      </c>
      <c r="P456" s="10" t="n">
        <v>-65.6</v>
      </c>
      <c r="Q456" s="10" t="n">
        <v>0</v>
      </c>
      <c r="R456" s="10" t="n">
        <v>262.5</v>
      </c>
      <c r="S456" s="10" t="n">
        <v>0</v>
      </c>
      <c r="T456" s="10" t="n">
        <v>0</v>
      </c>
      <c r="U456" s="10" t="n">
        <v>0</v>
      </c>
    </row>
    <row r="457" customFormat="false" ht="15" hidden="false" customHeight="false" outlineLevel="0" collapsed="false">
      <c r="A457" s="7" t="s">
        <v>394</v>
      </c>
      <c r="B457" s="7" t="s">
        <v>291</v>
      </c>
      <c r="C457" s="7" t="s">
        <v>956</v>
      </c>
      <c r="D457" s="10" t="n">
        <v>0</v>
      </c>
      <c r="E457" s="10" t="n">
        <v>0</v>
      </c>
      <c r="F457" s="10" t="n">
        <v>294.2</v>
      </c>
      <c r="G457" s="10" t="n">
        <v>0</v>
      </c>
      <c r="H457" s="10" t="n">
        <v>0</v>
      </c>
      <c r="I457" s="10" t="n">
        <v>0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0" t="n">
        <v>0</v>
      </c>
      <c r="P457" s="10" t="n">
        <v>0</v>
      </c>
      <c r="Q457" s="10" t="n">
        <v>0</v>
      </c>
      <c r="R457" s="10" t="n">
        <v>0</v>
      </c>
      <c r="S457" s="10" t="n">
        <v>0</v>
      </c>
      <c r="T457" s="10" t="n">
        <v>0</v>
      </c>
      <c r="U457" s="10" t="n">
        <v>0</v>
      </c>
    </row>
    <row r="458" customFormat="false" ht="15" hidden="false" customHeight="false" outlineLevel="0" collapsed="false">
      <c r="A458" s="7" t="s">
        <v>394</v>
      </c>
      <c r="B458" s="7" t="s">
        <v>291</v>
      </c>
      <c r="C458" s="7" t="s">
        <v>957</v>
      </c>
      <c r="D458" s="10" t="n">
        <v>0</v>
      </c>
      <c r="E458" s="10" t="n">
        <v>0</v>
      </c>
      <c r="F458" s="10" t="n">
        <v>367.7</v>
      </c>
      <c r="G458" s="10" t="n">
        <v>0</v>
      </c>
      <c r="H458" s="10" t="n">
        <v>0</v>
      </c>
      <c r="I458" s="10" t="n">
        <v>0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  <c r="S458" s="10" t="n">
        <v>0</v>
      </c>
      <c r="T458" s="10" t="n">
        <v>0</v>
      </c>
      <c r="U458" s="10" t="n">
        <v>0</v>
      </c>
    </row>
    <row r="459" customFormat="false" ht="15" hidden="false" customHeight="false" outlineLevel="0" collapsed="false">
      <c r="A459" s="7" t="s">
        <v>394</v>
      </c>
      <c r="B459" s="7" t="s">
        <v>291</v>
      </c>
      <c r="C459" s="7" t="s">
        <v>958</v>
      </c>
      <c r="D459" s="10" t="n">
        <v>0</v>
      </c>
      <c r="E459" s="10" t="n">
        <v>0</v>
      </c>
      <c r="F459" s="10" t="n">
        <v>215.7</v>
      </c>
      <c r="G459" s="10" t="n">
        <v>0</v>
      </c>
      <c r="H459" s="10" t="n">
        <v>0</v>
      </c>
      <c r="I459" s="10" t="n">
        <v>0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0" t="n">
        <v>0</v>
      </c>
      <c r="P459" s="10" t="n">
        <v>0</v>
      </c>
      <c r="Q459" s="10" t="n">
        <v>0</v>
      </c>
      <c r="R459" s="10" t="n">
        <v>0</v>
      </c>
      <c r="S459" s="10" t="n">
        <v>0</v>
      </c>
      <c r="T459" s="10" t="n">
        <v>0</v>
      </c>
      <c r="U459" s="10" t="n">
        <v>0</v>
      </c>
    </row>
    <row r="460" customFormat="false" ht="15" hidden="false" customHeight="false" outlineLevel="0" collapsed="false">
      <c r="A460" s="7" t="s">
        <v>394</v>
      </c>
      <c r="B460" s="7" t="s">
        <v>104</v>
      </c>
      <c r="C460" s="7" t="s">
        <v>871</v>
      </c>
      <c r="D460" s="10" t="n">
        <v>0</v>
      </c>
      <c r="E460" s="10" t="n">
        <v>0</v>
      </c>
      <c r="F460" s="10" t="n">
        <v>2648.4</v>
      </c>
      <c r="G460" s="10" t="n">
        <v>0</v>
      </c>
      <c r="H460" s="10" t="n">
        <v>0</v>
      </c>
      <c r="I460" s="10" t="n">
        <v>27867.7</v>
      </c>
      <c r="J460" s="10" t="n">
        <v>0</v>
      </c>
      <c r="K460" s="10" t="n">
        <v>88.2</v>
      </c>
      <c r="L460" s="10" t="n">
        <v>0</v>
      </c>
      <c r="M460" s="10" t="n">
        <v>0</v>
      </c>
      <c r="N460" s="10" t="n">
        <v>0</v>
      </c>
      <c r="O460" s="10" t="n">
        <v>0</v>
      </c>
      <c r="P460" s="10" t="n">
        <v>0</v>
      </c>
      <c r="Q460" s="10" t="n">
        <v>26677.6</v>
      </c>
      <c r="R460" s="10" t="n">
        <v>1102</v>
      </c>
      <c r="S460" s="10" t="n">
        <v>0</v>
      </c>
      <c r="T460" s="10" t="n">
        <v>0</v>
      </c>
      <c r="U460" s="10" t="n">
        <v>0</v>
      </c>
    </row>
    <row r="461" customFormat="false" ht="15" hidden="false" customHeight="false" outlineLevel="0" collapsed="false">
      <c r="A461" s="7" t="s">
        <v>394</v>
      </c>
      <c r="B461" s="7" t="s">
        <v>48</v>
      </c>
      <c r="C461" s="7" t="s">
        <v>872</v>
      </c>
      <c r="D461" s="10" t="n">
        <v>0</v>
      </c>
      <c r="E461" s="10" t="n">
        <v>0</v>
      </c>
      <c r="F461" s="10" t="n">
        <v>57670.6</v>
      </c>
      <c r="G461" s="10" t="n">
        <v>0</v>
      </c>
      <c r="H461" s="10" t="n">
        <v>0</v>
      </c>
      <c r="I461" s="10" t="n">
        <v>88830.6</v>
      </c>
      <c r="J461" s="10" t="n">
        <v>0</v>
      </c>
      <c r="K461" s="10" t="n">
        <v>1351.5</v>
      </c>
      <c r="L461" s="10" t="n">
        <v>0</v>
      </c>
      <c r="M461" s="10" t="n">
        <v>318.5</v>
      </c>
      <c r="N461" s="10" t="n">
        <v>-7</v>
      </c>
      <c r="O461" s="10" t="n">
        <v>0</v>
      </c>
      <c r="P461" s="10" t="n">
        <v>0</v>
      </c>
      <c r="Q461" s="10" t="n">
        <v>82238.6</v>
      </c>
      <c r="R461" s="10" t="n">
        <v>4929</v>
      </c>
      <c r="S461" s="10" t="n">
        <v>74.3</v>
      </c>
      <c r="T461" s="10" t="n">
        <v>0</v>
      </c>
      <c r="U461" s="10" t="n">
        <v>-318.5</v>
      </c>
    </row>
    <row r="462" customFormat="false" ht="15" hidden="false" customHeight="false" outlineLevel="0" collapsed="false">
      <c r="A462" s="7" t="s">
        <v>394</v>
      </c>
      <c r="B462" s="7" t="s">
        <v>127</v>
      </c>
      <c r="C462" s="7" t="s">
        <v>873</v>
      </c>
      <c r="D462" s="10" t="n">
        <v>0</v>
      </c>
      <c r="E462" s="10" t="n">
        <v>0</v>
      </c>
      <c r="F462" s="10" t="n">
        <v>5762.2</v>
      </c>
      <c r="G462" s="10" t="n">
        <v>0</v>
      </c>
      <c r="H462" s="10" t="n">
        <v>0</v>
      </c>
      <c r="I462" s="10" t="n">
        <v>11372.4</v>
      </c>
      <c r="J462" s="10" t="n">
        <v>0</v>
      </c>
      <c r="K462" s="10" t="n">
        <v>48.5</v>
      </c>
      <c r="L462" s="10" t="n">
        <v>0</v>
      </c>
      <c r="M462" s="10" t="n">
        <v>0</v>
      </c>
      <c r="N462" s="10" t="n">
        <v>52</v>
      </c>
      <c r="O462" s="10" t="n">
        <v>0</v>
      </c>
      <c r="P462" s="10" t="n">
        <v>0</v>
      </c>
      <c r="Q462" s="10" t="n">
        <v>10544.6</v>
      </c>
      <c r="R462" s="10" t="n">
        <v>727.4</v>
      </c>
      <c r="S462" s="10" t="n">
        <v>0</v>
      </c>
      <c r="T462" s="10" t="n">
        <v>0</v>
      </c>
      <c r="U462" s="10" t="n">
        <v>0</v>
      </c>
    </row>
    <row r="463" customFormat="false" ht="15" hidden="false" customHeight="false" outlineLevel="0" collapsed="false">
      <c r="A463" s="7" t="s">
        <v>394</v>
      </c>
      <c r="B463" s="7" t="s">
        <v>48</v>
      </c>
      <c r="C463" s="7" t="s">
        <v>874</v>
      </c>
      <c r="D463" s="10" t="n">
        <v>0</v>
      </c>
      <c r="E463" s="10" t="n">
        <v>0</v>
      </c>
      <c r="F463" s="10" t="n">
        <v>3860</v>
      </c>
      <c r="G463" s="10" t="n">
        <v>0</v>
      </c>
      <c r="H463" s="10" t="n">
        <v>0</v>
      </c>
      <c r="I463" s="10" t="n">
        <v>27476.6</v>
      </c>
      <c r="J463" s="10" t="n">
        <v>0</v>
      </c>
      <c r="K463" s="10" t="n">
        <v>0</v>
      </c>
      <c r="L463" s="10" t="n">
        <v>0</v>
      </c>
      <c r="M463" s="10" t="n">
        <v>0</v>
      </c>
      <c r="N463" s="10" t="n">
        <v>0</v>
      </c>
      <c r="O463" s="10" t="n">
        <v>0</v>
      </c>
      <c r="P463" s="10" t="n">
        <v>0</v>
      </c>
      <c r="Q463" s="10" t="n">
        <v>27476.6</v>
      </c>
      <c r="R463" s="10" t="n">
        <v>0</v>
      </c>
      <c r="S463" s="10" t="n">
        <v>0</v>
      </c>
      <c r="T463" s="10" t="n">
        <v>0</v>
      </c>
      <c r="U463" s="10" t="n">
        <v>0</v>
      </c>
    </row>
    <row r="464" customFormat="false" ht="15" hidden="false" customHeight="false" outlineLevel="0" collapsed="false">
      <c r="A464" s="7" t="s">
        <v>394</v>
      </c>
      <c r="B464" s="7" t="s">
        <v>268</v>
      </c>
      <c r="C464" s="7" t="s">
        <v>876</v>
      </c>
      <c r="D464" s="10" t="n">
        <v>0</v>
      </c>
      <c r="E464" s="10" t="n">
        <v>0</v>
      </c>
      <c r="F464" s="10" t="n">
        <v>5517</v>
      </c>
      <c r="G464" s="10" t="n">
        <v>0</v>
      </c>
      <c r="H464" s="10" t="n">
        <v>0</v>
      </c>
      <c r="I464" s="10" t="n">
        <v>92.7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92.7</v>
      </c>
      <c r="O464" s="10" t="n">
        <v>0</v>
      </c>
      <c r="P464" s="10" t="n">
        <v>0</v>
      </c>
      <c r="Q464" s="10" t="n">
        <v>0</v>
      </c>
      <c r="R464" s="10" t="n">
        <v>0</v>
      </c>
      <c r="S464" s="10" t="n">
        <v>0</v>
      </c>
      <c r="T464" s="10" t="n">
        <v>0</v>
      </c>
      <c r="U464" s="10" t="n">
        <v>0</v>
      </c>
    </row>
    <row r="465" customFormat="false" ht="15" hidden="false" customHeight="false" outlineLevel="0" collapsed="false">
      <c r="A465" s="7" t="s">
        <v>394</v>
      </c>
      <c r="B465" s="7" t="s">
        <v>268</v>
      </c>
      <c r="C465" s="7" t="s">
        <v>877</v>
      </c>
      <c r="D465" s="10" t="n">
        <v>0</v>
      </c>
      <c r="E465" s="10" t="n">
        <v>0</v>
      </c>
      <c r="F465" s="10" t="n">
        <v>2957.2</v>
      </c>
      <c r="G465" s="10" t="n">
        <v>0</v>
      </c>
      <c r="H465" s="10" t="n">
        <v>0</v>
      </c>
      <c r="I465" s="10" t="n">
        <v>61.8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61.8</v>
      </c>
      <c r="O465" s="10" t="n">
        <v>0</v>
      </c>
      <c r="P465" s="10" t="n">
        <v>0</v>
      </c>
      <c r="Q465" s="10" t="n">
        <v>0</v>
      </c>
      <c r="R465" s="10" t="n">
        <v>0</v>
      </c>
      <c r="S465" s="10" t="n">
        <v>0</v>
      </c>
      <c r="T465" s="10" t="n">
        <v>0</v>
      </c>
      <c r="U465" s="10" t="n">
        <v>0</v>
      </c>
    </row>
    <row r="466" customFormat="false" ht="15" hidden="false" customHeight="false" outlineLevel="0" collapsed="false">
      <c r="A466" s="7" t="s">
        <v>394</v>
      </c>
      <c r="B466" s="7" t="s">
        <v>268</v>
      </c>
      <c r="C466" s="7" t="s">
        <v>878</v>
      </c>
      <c r="D466" s="10" t="n">
        <v>0</v>
      </c>
      <c r="E466" s="10" t="n">
        <v>0</v>
      </c>
      <c r="F466" s="10" t="n">
        <v>4392.6</v>
      </c>
      <c r="G466" s="10" t="n">
        <v>0</v>
      </c>
      <c r="H466" s="10" t="n">
        <v>0</v>
      </c>
      <c r="I466" s="10" t="n">
        <v>92.7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92.7</v>
      </c>
      <c r="O466" s="10" t="n">
        <v>0</v>
      </c>
      <c r="P466" s="10" t="n">
        <v>0</v>
      </c>
      <c r="Q466" s="10" t="n">
        <v>0</v>
      </c>
      <c r="R466" s="10" t="n">
        <v>0</v>
      </c>
      <c r="S466" s="10" t="n">
        <v>0</v>
      </c>
      <c r="T466" s="10" t="n">
        <v>0</v>
      </c>
      <c r="U466" s="10" t="n">
        <v>0</v>
      </c>
    </row>
    <row r="467" customFormat="false" ht="15" hidden="false" customHeight="false" outlineLevel="0" collapsed="false">
      <c r="A467" s="7" t="s">
        <v>394</v>
      </c>
      <c r="B467" s="7" t="s">
        <v>268</v>
      </c>
      <c r="C467" s="7" t="s">
        <v>879</v>
      </c>
      <c r="D467" s="10" t="n">
        <v>0</v>
      </c>
      <c r="E467" s="10" t="n">
        <v>0</v>
      </c>
      <c r="F467" s="10" t="n">
        <v>2267.3</v>
      </c>
      <c r="G467" s="10" t="n">
        <v>0</v>
      </c>
      <c r="H467" s="10" t="n">
        <v>0</v>
      </c>
      <c r="I467" s="10" t="n">
        <v>92.7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92.7</v>
      </c>
      <c r="O467" s="10" t="n">
        <v>0</v>
      </c>
      <c r="P467" s="10" t="n">
        <v>0</v>
      </c>
      <c r="Q467" s="10" t="n">
        <v>0</v>
      </c>
      <c r="R467" s="10" t="n">
        <v>0</v>
      </c>
      <c r="S467" s="10" t="n">
        <v>0</v>
      </c>
      <c r="T467" s="10" t="n">
        <v>0</v>
      </c>
      <c r="U467" s="10" t="n">
        <v>0</v>
      </c>
    </row>
    <row r="468" customFormat="false" ht="15" hidden="false" customHeight="false" outlineLevel="0" collapsed="false">
      <c r="A468" s="7" t="s">
        <v>394</v>
      </c>
      <c r="B468" s="7" t="s">
        <v>268</v>
      </c>
      <c r="C468" s="7" t="s">
        <v>880</v>
      </c>
      <c r="D468" s="10" t="n">
        <v>0</v>
      </c>
      <c r="E468" s="10" t="n">
        <v>0</v>
      </c>
      <c r="F468" s="10" t="n">
        <v>978.2</v>
      </c>
      <c r="G468" s="10" t="n">
        <v>0</v>
      </c>
      <c r="H468" s="10" t="n">
        <v>0</v>
      </c>
      <c r="I468" s="10" t="n">
        <v>30.9</v>
      </c>
      <c r="J468" s="10" t="n">
        <v>0</v>
      </c>
      <c r="K468" s="10" t="n">
        <v>0</v>
      </c>
      <c r="L468" s="10" t="n">
        <v>0</v>
      </c>
      <c r="M468" s="10" t="n">
        <v>0</v>
      </c>
      <c r="N468" s="10" t="n">
        <v>30.9</v>
      </c>
      <c r="O468" s="10" t="n">
        <v>0</v>
      </c>
      <c r="P468" s="10" t="n">
        <v>0</v>
      </c>
      <c r="Q468" s="10" t="n">
        <v>0</v>
      </c>
      <c r="R468" s="10" t="n">
        <v>0</v>
      </c>
      <c r="S468" s="10" t="n">
        <v>0</v>
      </c>
      <c r="T468" s="10" t="n">
        <v>0</v>
      </c>
      <c r="U468" s="10" t="n">
        <v>0</v>
      </c>
    </row>
    <row r="469" customFormat="false" ht="15" hidden="false" customHeight="false" outlineLevel="0" collapsed="false">
      <c r="A469" s="7" t="s">
        <v>394</v>
      </c>
      <c r="B469" s="7" t="s">
        <v>267</v>
      </c>
      <c r="C469" s="7" t="s">
        <v>881</v>
      </c>
      <c r="D469" s="10" t="n">
        <v>0</v>
      </c>
      <c r="E469" s="10" t="n">
        <v>0</v>
      </c>
      <c r="F469" s="10" t="n">
        <v>6711.4</v>
      </c>
      <c r="G469" s="10" t="n">
        <v>0</v>
      </c>
      <c r="H469" s="10" t="n">
        <v>0</v>
      </c>
      <c r="I469" s="10" t="n">
        <v>956.1</v>
      </c>
      <c r="J469" s="10" t="n">
        <v>0</v>
      </c>
      <c r="K469" s="10" t="n">
        <v>138.8</v>
      </c>
      <c r="L469" s="10" t="n">
        <v>0</v>
      </c>
      <c r="M469" s="10" t="n">
        <v>0</v>
      </c>
      <c r="N469" s="10" t="n">
        <v>123.6</v>
      </c>
      <c r="O469" s="10" t="n">
        <v>0</v>
      </c>
      <c r="P469" s="10" t="n">
        <v>0</v>
      </c>
      <c r="Q469" s="10" t="n">
        <v>0</v>
      </c>
      <c r="R469" s="10" t="n">
        <v>693.8</v>
      </c>
      <c r="S469" s="10" t="n">
        <v>0</v>
      </c>
      <c r="T469" s="10" t="n">
        <v>0</v>
      </c>
      <c r="U469" s="10" t="n">
        <v>0</v>
      </c>
    </row>
    <row r="470" customFormat="false" ht="15" hidden="false" customHeight="false" outlineLevel="0" collapsed="false">
      <c r="A470" s="7" t="s">
        <v>394</v>
      </c>
      <c r="B470" s="7" t="s">
        <v>267</v>
      </c>
      <c r="C470" s="7" t="s">
        <v>882</v>
      </c>
      <c r="D470" s="10" t="n">
        <v>0</v>
      </c>
      <c r="E470" s="10" t="n">
        <v>0</v>
      </c>
      <c r="F470" s="10" t="n">
        <v>4563.5</v>
      </c>
      <c r="G470" s="10" t="n">
        <v>0</v>
      </c>
      <c r="H470" s="10" t="n">
        <v>0</v>
      </c>
      <c r="I470" s="10" t="n">
        <v>650.8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123.6</v>
      </c>
      <c r="O470" s="10" t="n">
        <v>0</v>
      </c>
      <c r="P470" s="10" t="n">
        <v>0</v>
      </c>
      <c r="Q470" s="10" t="n">
        <v>0</v>
      </c>
      <c r="R470" s="10" t="n">
        <v>527.3</v>
      </c>
      <c r="S470" s="10" t="n">
        <v>0</v>
      </c>
      <c r="T470" s="10" t="n">
        <v>0</v>
      </c>
      <c r="U470" s="10" t="n">
        <v>0</v>
      </c>
    </row>
    <row r="471" customFormat="false" ht="15" hidden="false" customHeight="false" outlineLevel="0" collapsed="false">
      <c r="A471" s="7" t="s">
        <v>394</v>
      </c>
      <c r="B471" s="7" t="s">
        <v>267</v>
      </c>
      <c r="C471" s="7" t="s">
        <v>883</v>
      </c>
      <c r="D471" s="10" t="n">
        <v>0</v>
      </c>
      <c r="E471" s="10" t="n">
        <v>0</v>
      </c>
      <c r="F471" s="10" t="n">
        <v>5117.5</v>
      </c>
      <c r="G471" s="10" t="n">
        <v>0</v>
      </c>
      <c r="H471" s="10" t="n">
        <v>0</v>
      </c>
      <c r="I471" s="10" t="n">
        <v>706.3</v>
      </c>
      <c r="J471" s="10" t="n">
        <v>0</v>
      </c>
      <c r="K471" s="10" t="n">
        <v>249.8</v>
      </c>
      <c r="L471" s="10" t="n">
        <v>0</v>
      </c>
      <c r="M471" s="10" t="n">
        <v>0</v>
      </c>
      <c r="N471" s="10" t="n">
        <v>123.6</v>
      </c>
      <c r="O471" s="10" t="n">
        <v>0</v>
      </c>
      <c r="P471" s="10" t="n">
        <v>0</v>
      </c>
      <c r="Q471" s="10" t="n">
        <v>0</v>
      </c>
      <c r="R471" s="10" t="n">
        <v>333</v>
      </c>
      <c r="S471" s="10" t="n">
        <v>0</v>
      </c>
      <c r="T471" s="10" t="n">
        <v>0</v>
      </c>
      <c r="U471" s="10" t="n">
        <v>0</v>
      </c>
    </row>
    <row r="472" customFormat="false" ht="15" hidden="false" customHeight="false" outlineLevel="0" collapsed="false">
      <c r="A472" s="7" t="s">
        <v>394</v>
      </c>
      <c r="B472" s="7" t="s">
        <v>267</v>
      </c>
      <c r="C472" s="7" t="s">
        <v>884</v>
      </c>
      <c r="D472" s="10" t="n">
        <v>0</v>
      </c>
      <c r="E472" s="10" t="n">
        <v>0</v>
      </c>
      <c r="F472" s="10" t="n">
        <v>2650.4</v>
      </c>
      <c r="G472" s="10" t="n">
        <v>0</v>
      </c>
      <c r="H472" s="10" t="n">
        <v>0</v>
      </c>
      <c r="I472" s="10" t="n">
        <v>533.5</v>
      </c>
      <c r="J472" s="10" t="n">
        <v>0</v>
      </c>
      <c r="K472" s="10" t="n">
        <v>111</v>
      </c>
      <c r="L472" s="10" t="n">
        <v>0</v>
      </c>
      <c r="M472" s="10" t="n">
        <v>0</v>
      </c>
      <c r="N472" s="10" t="n">
        <v>61.8</v>
      </c>
      <c r="O472" s="10" t="n">
        <v>0</v>
      </c>
      <c r="P472" s="10" t="n">
        <v>0</v>
      </c>
      <c r="Q472" s="10" t="n">
        <v>0</v>
      </c>
      <c r="R472" s="10" t="n">
        <v>360.8</v>
      </c>
      <c r="S472" s="10" t="n">
        <v>0</v>
      </c>
      <c r="T472" s="10" t="n">
        <v>0</v>
      </c>
      <c r="U472" s="10" t="n">
        <v>0</v>
      </c>
    </row>
    <row r="473" customFormat="false" ht="15" hidden="false" customHeight="false" outlineLevel="0" collapsed="false">
      <c r="A473" s="7" t="s">
        <v>394</v>
      </c>
      <c r="B473" s="7" t="s">
        <v>267</v>
      </c>
      <c r="C473" s="7" t="s">
        <v>885</v>
      </c>
      <c r="D473" s="10" t="n">
        <v>0</v>
      </c>
      <c r="E473" s="10" t="n">
        <v>0</v>
      </c>
      <c r="F473" s="10" t="n">
        <v>1758.7</v>
      </c>
      <c r="G473" s="10" t="n">
        <v>0</v>
      </c>
      <c r="H473" s="10" t="n">
        <v>0</v>
      </c>
      <c r="I473" s="10" t="n">
        <v>499.5</v>
      </c>
      <c r="J473" s="10" t="n">
        <v>0</v>
      </c>
      <c r="K473" s="10" t="n">
        <v>138.8</v>
      </c>
      <c r="L473" s="10" t="n">
        <v>0</v>
      </c>
      <c r="M473" s="10" t="n">
        <v>0</v>
      </c>
      <c r="N473" s="10" t="n">
        <v>0</v>
      </c>
      <c r="O473" s="10" t="n">
        <v>0</v>
      </c>
      <c r="P473" s="10" t="n">
        <v>0</v>
      </c>
      <c r="Q473" s="10" t="n">
        <v>0</v>
      </c>
      <c r="R473" s="10" t="n">
        <v>360.8</v>
      </c>
      <c r="S473" s="10" t="n">
        <v>0</v>
      </c>
      <c r="T473" s="10" t="n">
        <v>0</v>
      </c>
      <c r="U473" s="10" t="n">
        <v>0</v>
      </c>
    </row>
    <row r="474" customFormat="false" ht="15" hidden="false" customHeight="false" outlineLevel="0" collapsed="false">
      <c r="A474" s="7" t="s">
        <v>394</v>
      </c>
      <c r="B474" s="7" t="s">
        <v>274</v>
      </c>
      <c r="C474" s="7" t="s">
        <v>886</v>
      </c>
      <c r="D474" s="10" t="n">
        <v>0</v>
      </c>
      <c r="E474" s="10" t="n">
        <v>0</v>
      </c>
      <c r="F474" s="10" t="n">
        <v>2199.4</v>
      </c>
      <c r="G474" s="10" t="n">
        <v>0</v>
      </c>
      <c r="H474" s="10" t="n">
        <v>0</v>
      </c>
      <c r="I474" s="10" t="n">
        <v>123.6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123.6</v>
      </c>
      <c r="O474" s="10" t="n">
        <v>0</v>
      </c>
      <c r="P474" s="10" t="n">
        <v>0</v>
      </c>
      <c r="Q474" s="10" t="n">
        <v>0</v>
      </c>
      <c r="R474" s="10" t="n">
        <v>0</v>
      </c>
      <c r="S474" s="10" t="n">
        <v>0</v>
      </c>
      <c r="T474" s="10" t="n">
        <v>0</v>
      </c>
      <c r="U474" s="10" t="n">
        <v>0</v>
      </c>
    </row>
    <row r="475" customFormat="false" ht="15" hidden="false" customHeight="false" outlineLevel="0" collapsed="false">
      <c r="A475" s="7" t="s">
        <v>394</v>
      </c>
      <c r="B475" s="7" t="s">
        <v>274</v>
      </c>
      <c r="C475" s="7" t="s">
        <v>887</v>
      </c>
      <c r="D475" s="10" t="n">
        <v>0</v>
      </c>
      <c r="E475" s="10" t="n">
        <v>0</v>
      </c>
      <c r="F475" s="10" t="n">
        <v>3297</v>
      </c>
      <c r="G475" s="10" t="n">
        <v>0</v>
      </c>
      <c r="H475" s="10" t="n">
        <v>0</v>
      </c>
      <c r="I475" s="10" t="n">
        <v>123.6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123.6</v>
      </c>
      <c r="O475" s="10" t="n">
        <v>0</v>
      </c>
      <c r="P475" s="10" t="n">
        <v>0</v>
      </c>
      <c r="Q475" s="10" t="n">
        <v>0</v>
      </c>
      <c r="R475" s="10" t="n">
        <v>0</v>
      </c>
      <c r="S475" s="10" t="n">
        <v>0</v>
      </c>
      <c r="T475" s="10" t="n">
        <v>0</v>
      </c>
      <c r="U475" s="10" t="n">
        <v>0</v>
      </c>
    </row>
    <row r="476" customFormat="false" ht="15" hidden="false" customHeight="false" outlineLevel="0" collapsed="false">
      <c r="A476" s="7" t="s">
        <v>394</v>
      </c>
      <c r="B476" s="7" t="s">
        <v>274</v>
      </c>
      <c r="C476" s="7" t="s">
        <v>888</v>
      </c>
      <c r="D476" s="10" t="n">
        <v>0</v>
      </c>
      <c r="E476" s="10" t="n">
        <v>0</v>
      </c>
      <c r="F476" s="10" t="n">
        <v>2586.5</v>
      </c>
      <c r="G476" s="10" t="n">
        <v>0</v>
      </c>
      <c r="H476" s="10" t="n">
        <v>0</v>
      </c>
      <c r="I476" s="10" t="n">
        <v>0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0" t="n">
        <v>0</v>
      </c>
      <c r="P476" s="10" t="n">
        <v>0</v>
      </c>
      <c r="Q476" s="10" t="n">
        <v>0</v>
      </c>
      <c r="R476" s="10" t="n">
        <v>0</v>
      </c>
      <c r="S476" s="10" t="n">
        <v>0</v>
      </c>
      <c r="T476" s="10" t="n">
        <v>0</v>
      </c>
      <c r="U476" s="10" t="n">
        <v>0</v>
      </c>
    </row>
    <row r="477" customFormat="false" ht="15" hidden="false" customHeight="false" outlineLevel="0" collapsed="false">
      <c r="A477" s="7" t="s">
        <v>394</v>
      </c>
      <c r="B477" s="7" t="s">
        <v>274</v>
      </c>
      <c r="C477" s="7" t="s">
        <v>889</v>
      </c>
      <c r="D477" s="10" t="n">
        <v>0</v>
      </c>
      <c r="E477" s="10" t="n">
        <v>0</v>
      </c>
      <c r="F477" s="10" t="n">
        <v>1371.5</v>
      </c>
      <c r="G477" s="10" t="n">
        <v>0</v>
      </c>
      <c r="H477" s="10" t="n">
        <v>0</v>
      </c>
      <c r="I477" s="10" t="n">
        <v>123.6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123.6</v>
      </c>
      <c r="O477" s="10" t="n">
        <v>0</v>
      </c>
      <c r="P477" s="10" t="n">
        <v>0</v>
      </c>
      <c r="Q477" s="10" t="n">
        <v>0</v>
      </c>
      <c r="R477" s="10" t="n">
        <v>0</v>
      </c>
      <c r="S477" s="10" t="n">
        <v>0</v>
      </c>
      <c r="T477" s="10" t="n">
        <v>0</v>
      </c>
      <c r="U477" s="10" t="n">
        <v>0</v>
      </c>
    </row>
    <row r="478" customFormat="false" ht="15" hidden="false" customHeight="false" outlineLevel="0" collapsed="false">
      <c r="A478" s="7" t="s">
        <v>394</v>
      </c>
      <c r="B478" s="7" t="s">
        <v>274</v>
      </c>
      <c r="C478" s="7" t="s">
        <v>890</v>
      </c>
      <c r="D478" s="10" t="n">
        <v>0</v>
      </c>
      <c r="E478" s="10" t="n">
        <v>0</v>
      </c>
      <c r="F478" s="10" t="n">
        <v>236.8</v>
      </c>
      <c r="G478" s="10" t="n">
        <v>0</v>
      </c>
      <c r="H478" s="10" t="n">
        <v>0</v>
      </c>
      <c r="I478" s="10" t="n">
        <v>0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0" t="n">
        <v>0</v>
      </c>
      <c r="P478" s="10" t="n">
        <v>0</v>
      </c>
      <c r="Q478" s="10" t="n">
        <v>0</v>
      </c>
      <c r="R478" s="10" t="n">
        <v>0</v>
      </c>
      <c r="S478" s="10" t="n">
        <v>0</v>
      </c>
      <c r="T478" s="10" t="n">
        <v>0</v>
      </c>
      <c r="U478" s="10" t="n">
        <v>0</v>
      </c>
    </row>
    <row r="479" customFormat="false" ht="15" hidden="false" customHeight="false" outlineLevel="0" collapsed="false">
      <c r="A479" s="7" t="s">
        <v>394</v>
      </c>
      <c r="B479" s="7" t="s">
        <v>158</v>
      </c>
      <c r="C479" s="7" t="s">
        <v>891</v>
      </c>
      <c r="D479" s="10" t="n">
        <v>0</v>
      </c>
      <c r="E479" s="10" t="n">
        <v>0</v>
      </c>
      <c r="F479" s="10" t="n">
        <v>1141.8</v>
      </c>
      <c r="G479" s="10" t="n">
        <v>0</v>
      </c>
      <c r="H479" s="10" t="n">
        <v>0</v>
      </c>
      <c r="I479" s="10" t="n">
        <v>5129.6</v>
      </c>
      <c r="J479" s="10" t="n">
        <v>0</v>
      </c>
      <c r="K479" s="10" t="n">
        <v>365</v>
      </c>
      <c r="L479" s="10" t="n">
        <v>0</v>
      </c>
      <c r="M479" s="10" t="n">
        <v>0</v>
      </c>
      <c r="N479" s="10" t="n">
        <v>0</v>
      </c>
      <c r="O479" s="10" t="n">
        <v>0</v>
      </c>
      <c r="P479" s="10" t="n">
        <v>0</v>
      </c>
      <c r="Q479" s="10" t="n">
        <v>3912.8</v>
      </c>
      <c r="R479" s="10" t="n">
        <v>851.8</v>
      </c>
      <c r="S479" s="10" t="n">
        <v>0</v>
      </c>
      <c r="T479" s="10" t="n">
        <v>0</v>
      </c>
      <c r="U479" s="10" t="n">
        <v>0</v>
      </c>
    </row>
    <row r="480" customFormat="false" ht="15" hidden="false" customHeight="false" outlineLevel="0" collapsed="false">
      <c r="A480" s="7" t="s">
        <v>394</v>
      </c>
      <c r="B480" s="7" t="s">
        <v>338</v>
      </c>
      <c r="C480" s="7" t="s">
        <v>892</v>
      </c>
      <c r="D480" s="10" t="n">
        <v>0</v>
      </c>
      <c r="E480" s="10" t="n">
        <v>0</v>
      </c>
      <c r="F480" s="10" t="n">
        <v>113.3</v>
      </c>
      <c r="G480" s="10" t="n">
        <v>0</v>
      </c>
      <c r="H480" s="10" t="n">
        <v>0</v>
      </c>
      <c r="I480" s="10" t="n">
        <v>0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0" t="n">
        <v>0</v>
      </c>
      <c r="P480" s="10" t="n">
        <v>0</v>
      </c>
      <c r="Q480" s="10" t="n">
        <v>0</v>
      </c>
      <c r="R480" s="10" t="n">
        <v>0</v>
      </c>
      <c r="S480" s="10" t="n">
        <v>0</v>
      </c>
      <c r="T480" s="10" t="n">
        <v>0</v>
      </c>
      <c r="U480" s="10" t="n">
        <v>0</v>
      </c>
    </row>
    <row r="481" customFormat="false" ht="15" hidden="false" customHeight="false" outlineLevel="0" collapsed="false">
      <c r="A481" s="7" t="s">
        <v>394</v>
      </c>
      <c r="B481" s="7" t="s">
        <v>316</v>
      </c>
      <c r="C481" s="7" t="s">
        <v>893</v>
      </c>
      <c r="D481" s="10" t="n">
        <v>0</v>
      </c>
      <c r="E481" s="10" t="n">
        <v>0</v>
      </c>
      <c r="F481" s="10" t="n">
        <v>194.6</v>
      </c>
      <c r="G481" s="10" t="n">
        <v>0</v>
      </c>
      <c r="H481" s="10" t="n">
        <v>0</v>
      </c>
      <c r="I481" s="10" t="n">
        <v>0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0</v>
      </c>
      <c r="O481" s="10" t="n">
        <v>0</v>
      </c>
      <c r="P481" s="10" t="n">
        <v>0</v>
      </c>
      <c r="Q481" s="10" t="n">
        <v>0</v>
      </c>
      <c r="R481" s="10" t="n">
        <v>0</v>
      </c>
      <c r="S481" s="10" t="n">
        <v>0</v>
      </c>
      <c r="T481" s="10" t="n">
        <v>0</v>
      </c>
      <c r="U481" s="10" t="n">
        <v>0</v>
      </c>
    </row>
    <row r="482" customFormat="false" ht="15" hidden="false" customHeight="false" outlineLevel="0" collapsed="false">
      <c r="A482" s="7" t="s">
        <v>394</v>
      </c>
      <c r="B482" s="7" t="s">
        <v>285</v>
      </c>
      <c r="C482" s="7" t="s">
        <v>894</v>
      </c>
      <c r="D482" s="10" t="n">
        <v>0</v>
      </c>
      <c r="E482" s="10" t="n">
        <v>0</v>
      </c>
      <c r="F482" s="10" t="n">
        <v>185.1</v>
      </c>
      <c r="G482" s="10" t="n">
        <v>0</v>
      </c>
      <c r="H482" s="10" t="n">
        <v>0</v>
      </c>
      <c r="I482" s="10" t="n">
        <v>0</v>
      </c>
      <c r="J482" s="10" t="n">
        <v>0</v>
      </c>
      <c r="K482" s="10" t="n">
        <v>0</v>
      </c>
      <c r="L482" s="10" t="n">
        <v>0</v>
      </c>
      <c r="M482" s="10" t="n">
        <v>0</v>
      </c>
      <c r="N482" s="10" t="n">
        <v>0</v>
      </c>
      <c r="O482" s="10" t="n">
        <v>0</v>
      </c>
      <c r="P482" s="10" t="n">
        <v>0</v>
      </c>
      <c r="Q482" s="10" t="n">
        <v>0</v>
      </c>
      <c r="R482" s="10" t="n">
        <v>0</v>
      </c>
      <c r="S482" s="10" t="n">
        <v>0</v>
      </c>
      <c r="T482" s="10" t="n">
        <v>0</v>
      </c>
      <c r="U482" s="10" t="n">
        <v>0</v>
      </c>
    </row>
    <row r="483" customFormat="false" ht="15" hidden="false" customHeight="false" outlineLevel="0" collapsed="false">
      <c r="A483" s="7" t="s">
        <v>394</v>
      </c>
      <c r="B483" s="7" t="s">
        <v>301</v>
      </c>
      <c r="C483" s="7" t="s">
        <v>895</v>
      </c>
      <c r="D483" s="10" t="n">
        <v>0</v>
      </c>
      <c r="E483" s="10" t="n">
        <v>0</v>
      </c>
      <c r="F483" s="10" t="n">
        <v>293.1</v>
      </c>
      <c r="G483" s="10" t="n">
        <v>0</v>
      </c>
      <c r="H483" s="10" t="n">
        <v>0</v>
      </c>
      <c r="I483" s="10" t="n">
        <v>-146.6</v>
      </c>
      <c r="J483" s="10" t="n">
        <v>0</v>
      </c>
      <c r="K483" s="10" t="n">
        <v>0</v>
      </c>
      <c r="L483" s="10" t="n">
        <v>0</v>
      </c>
      <c r="M483" s="10" t="n">
        <v>-146.6</v>
      </c>
      <c r="N483" s="10" t="n">
        <v>0</v>
      </c>
      <c r="O483" s="10" t="n">
        <v>0</v>
      </c>
      <c r="P483" s="10" t="n">
        <v>0</v>
      </c>
      <c r="Q483" s="10" t="n">
        <v>0</v>
      </c>
      <c r="R483" s="10" t="n">
        <v>0</v>
      </c>
      <c r="S483" s="10" t="n">
        <v>0</v>
      </c>
      <c r="T483" s="10" t="n">
        <v>0</v>
      </c>
      <c r="U483" s="10" t="n">
        <v>0</v>
      </c>
    </row>
    <row r="484" customFormat="false" ht="15" hidden="false" customHeight="false" outlineLevel="0" collapsed="false">
      <c r="A484" s="7" t="s">
        <v>394</v>
      </c>
      <c r="B484" s="7" t="s">
        <v>145</v>
      </c>
      <c r="C484" s="7" t="s">
        <v>896</v>
      </c>
      <c r="D484" s="10" t="n">
        <v>0</v>
      </c>
      <c r="E484" s="10" t="n">
        <v>0</v>
      </c>
      <c r="F484" s="10" t="n">
        <v>2942</v>
      </c>
      <c r="G484" s="10" t="n">
        <v>0</v>
      </c>
      <c r="H484" s="10" t="n">
        <v>0</v>
      </c>
      <c r="I484" s="10" t="n">
        <v>11294.3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O484" s="10" t="n">
        <v>0</v>
      </c>
      <c r="P484" s="10" t="n">
        <v>0</v>
      </c>
      <c r="Q484" s="10" t="n">
        <v>11294.3</v>
      </c>
      <c r="R484" s="10" t="n">
        <v>0</v>
      </c>
      <c r="S484" s="10" t="n">
        <v>0</v>
      </c>
      <c r="T484" s="10" t="n">
        <v>0</v>
      </c>
      <c r="U484" s="10" t="n">
        <v>0</v>
      </c>
    </row>
    <row r="485" customFormat="false" ht="15" hidden="false" customHeight="false" outlineLevel="0" collapsed="false">
      <c r="A485" s="7" t="s">
        <v>394</v>
      </c>
      <c r="B485" s="7" t="s">
        <v>145</v>
      </c>
      <c r="C485" s="7" t="s">
        <v>897</v>
      </c>
      <c r="D485" s="10" t="n">
        <v>0</v>
      </c>
      <c r="E485" s="10" t="n">
        <v>0</v>
      </c>
      <c r="F485" s="10" t="n">
        <v>4558.6</v>
      </c>
      <c r="G485" s="10" t="n">
        <v>0</v>
      </c>
      <c r="H485" s="10" t="n">
        <v>0</v>
      </c>
      <c r="I485" s="10" t="n">
        <v>18111.4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0" t="n">
        <v>0</v>
      </c>
      <c r="P485" s="10" t="n">
        <v>0</v>
      </c>
      <c r="Q485" s="10" t="n">
        <v>18111.4</v>
      </c>
      <c r="R485" s="10" t="n">
        <v>0</v>
      </c>
      <c r="S485" s="10" t="n">
        <v>0</v>
      </c>
      <c r="T485" s="10" t="n">
        <v>0</v>
      </c>
      <c r="U485" s="10" t="n">
        <v>0</v>
      </c>
    </row>
    <row r="486" customFormat="false" ht="15" hidden="false" customHeight="false" outlineLevel="0" collapsed="false">
      <c r="A486" s="7" t="s">
        <v>394</v>
      </c>
      <c r="B486" s="7" t="s">
        <v>145</v>
      </c>
      <c r="C486" s="7" t="s">
        <v>898</v>
      </c>
      <c r="D486" s="10" t="n">
        <v>0</v>
      </c>
      <c r="E486" s="10" t="n">
        <v>0</v>
      </c>
      <c r="F486" s="10" t="n">
        <v>2570.8</v>
      </c>
      <c r="G486" s="10" t="n">
        <v>0</v>
      </c>
      <c r="H486" s="10" t="n">
        <v>0</v>
      </c>
      <c r="I486" s="10" t="n">
        <v>11553.6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0</v>
      </c>
      <c r="O486" s="10" t="n">
        <v>0</v>
      </c>
      <c r="P486" s="10" t="n">
        <v>0</v>
      </c>
      <c r="Q486" s="10" t="n">
        <v>11553.6</v>
      </c>
      <c r="R486" s="10" t="n">
        <v>0</v>
      </c>
      <c r="S486" s="10" t="n">
        <v>0</v>
      </c>
      <c r="T486" s="10" t="n">
        <v>0</v>
      </c>
      <c r="U486" s="10" t="n">
        <v>0</v>
      </c>
    </row>
    <row r="487" customFormat="false" ht="15" hidden="false" customHeight="false" outlineLevel="0" collapsed="false">
      <c r="A487" s="7" t="s">
        <v>394</v>
      </c>
      <c r="B487" s="7" t="s">
        <v>145</v>
      </c>
      <c r="C487" s="7" t="s">
        <v>899</v>
      </c>
      <c r="D487" s="10" t="n">
        <v>0</v>
      </c>
      <c r="E487" s="10" t="n">
        <v>0</v>
      </c>
      <c r="F487" s="10" t="n">
        <v>3714.4</v>
      </c>
      <c r="G487" s="10" t="n">
        <v>0</v>
      </c>
      <c r="H487" s="10" t="n">
        <v>0</v>
      </c>
      <c r="I487" s="10" t="n">
        <v>11543.6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0</v>
      </c>
      <c r="O487" s="10" t="n">
        <v>0</v>
      </c>
      <c r="P487" s="10" t="n">
        <v>0</v>
      </c>
      <c r="Q487" s="10" t="n">
        <v>11543.6</v>
      </c>
      <c r="R487" s="10" t="n">
        <v>0</v>
      </c>
      <c r="S487" s="10" t="n">
        <v>0</v>
      </c>
      <c r="T487" s="10" t="n">
        <v>0</v>
      </c>
      <c r="U487" s="10" t="n">
        <v>0</v>
      </c>
    </row>
    <row r="488" customFormat="false" ht="15" hidden="false" customHeight="false" outlineLevel="0" collapsed="false">
      <c r="A488" s="7" t="s">
        <v>394</v>
      </c>
      <c r="B488" s="7" t="s">
        <v>137</v>
      </c>
      <c r="C488" s="7" t="s">
        <v>900</v>
      </c>
      <c r="D488" s="10" t="n">
        <v>0</v>
      </c>
      <c r="E488" s="10" t="n">
        <v>0</v>
      </c>
      <c r="F488" s="10" t="n">
        <v>8337</v>
      </c>
      <c r="G488" s="10" t="n">
        <v>0</v>
      </c>
      <c r="H488" s="10" t="n">
        <v>0</v>
      </c>
      <c r="I488" s="10" t="n">
        <v>10070.6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0" t="n">
        <v>0</v>
      </c>
      <c r="P488" s="10" t="n">
        <v>0</v>
      </c>
      <c r="Q488" s="10" t="n">
        <v>10070.6</v>
      </c>
      <c r="R488" s="10" t="n">
        <v>0</v>
      </c>
      <c r="S488" s="10" t="n">
        <v>0</v>
      </c>
      <c r="T488" s="10" t="n">
        <v>0</v>
      </c>
      <c r="U488" s="10" t="n">
        <v>0</v>
      </c>
    </row>
    <row r="489" customFormat="false" ht="15" hidden="false" customHeight="false" outlineLevel="0" collapsed="false">
      <c r="A489" s="7" t="s">
        <v>394</v>
      </c>
      <c r="B489" s="7" t="s">
        <v>85</v>
      </c>
      <c r="C489" s="7" t="s">
        <v>901</v>
      </c>
      <c r="D489" s="10" t="n">
        <v>0</v>
      </c>
      <c r="E489" s="10" t="n">
        <v>0</v>
      </c>
      <c r="F489" s="10" t="n">
        <v>2361.9</v>
      </c>
      <c r="G489" s="10" t="n">
        <v>0</v>
      </c>
      <c r="H489" s="10" t="n">
        <v>0</v>
      </c>
      <c r="I489" s="10" t="n">
        <v>5942.1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0" t="n">
        <v>0</v>
      </c>
      <c r="P489" s="10" t="n">
        <v>0</v>
      </c>
      <c r="Q489" s="10" t="n">
        <v>5942.1</v>
      </c>
      <c r="R489" s="10" t="n">
        <v>0</v>
      </c>
      <c r="S489" s="10" t="n">
        <v>0</v>
      </c>
      <c r="T489" s="10" t="n">
        <v>0</v>
      </c>
      <c r="U489" s="10" t="n">
        <v>0</v>
      </c>
    </row>
    <row r="490" customFormat="false" ht="15" hidden="false" customHeight="false" outlineLevel="0" collapsed="false">
      <c r="A490" s="7" t="s">
        <v>394</v>
      </c>
      <c r="B490" s="7" t="s">
        <v>86</v>
      </c>
      <c r="C490" s="7" t="s">
        <v>902</v>
      </c>
      <c r="D490" s="10" t="n">
        <v>0</v>
      </c>
      <c r="E490" s="10" t="n">
        <v>0</v>
      </c>
      <c r="F490" s="10" t="n">
        <v>1388.3</v>
      </c>
      <c r="G490" s="10" t="n">
        <v>0</v>
      </c>
      <c r="H490" s="10" t="n">
        <v>0</v>
      </c>
      <c r="I490" s="10" t="n">
        <v>3674.8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O490" s="10" t="n">
        <v>0</v>
      </c>
      <c r="P490" s="10" t="n">
        <v>0</v>
      </c>
      <c r="Q490" s="10" t="n">
        <v>3674.8</v>
      </c>
      <c r="R490" s="10" t="n">
        <v>0</v>
      </c>
      <c r="S490" s="10" t="n">
        <v>0</v>
      </c>
      <c r="T490" s="10" t="n">
        <v>0</v>
      </c>
      <c r="U490" s="10" t="n">
        <v>0</v>
      </c>
    </row>
    <row r="491" customFormat="false" ht="15" hidden="false" customHeight="false" outlineLevel="0" collapsed="false">
      <c r="A491" s="7" t="s">
        <v>394</v>
      </c>
      <c r="B491" s="7" t="s">
        <v>95</v>
      </c>
      <c r="C491" s="7" t="s">
        <v>903</v>
      </c>
      <c r="D491" s="10" t="n">
        <v>0</v>
      </c>
      <c r="E491" s="10" t="n">
        <v>0</v>
      </c>
      <c r="F491" s="10" t="n">
        <v>748.7</v>
      </c>
      <c r="G491" s="10" t="n">
        <v>0</v>
      </c>
      <c r="H491" s="10" t="n">
        <v>0</v>
      </c>
      <c r="I491" s="10" t="n">
        <v>2916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0</v>
      </c>
      <c r="O491" s="10" t="n">
        <v>0</v>
      </c>
      <c r="P491" s="10" t="n">
        <v>0</v>
      </c>
      <c r="Q491" s="10" t="n">
        <v>2916</v>
      </c>
      <c r="R491" s="10" t="n">
        <v>0</v>
      </c>
      <c r="S491" s="10" t="n">
        <v>0</v>
      </c>
      <c r="T491" s="10" t="n">
        <v>0</v>
      </c>
      <c r="U491" s="10" t="n">
        <v>0</v>
      </c>
    </row>
    <row r="492" customFormat="false" ht="15" hidden="false" customHeight="false" outlineLevel="0" collapsed="false">
      <c r="A492" s="7" t="s">
        <v>394</v>
      </c>
      <c r="B492" s="7" t="s">
        <v>330</v>
      </c>
      <c r="C492" s="7" t="s">
        <v>904</v>
      </c>
      <c r="D492" s="10" t="n">
        <v>0</v>
      </c>
      <c r="E492" s="10" t="n">
        <v>0</v>
      </c>
      <c r="F492" s="10" t="n">
        <v>184.6</v>
      </c>
      <c r="G492" s="10" t="n">
        <v>0</v>
      </c>
      <c r="H492" s="10" t="n">
        <v>0</v>
      </c>
      <c r="I492" s="10" t="n">
        <v>0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0" t="n">
        <v>0</v>
      </c>
      <c r="P492" s="10" t="n">
        <v>0</v>
      </c>
      <c r="Q492" s="10" t="n">
        <v>0</v>
      </c>
      <c r="R492" s="10" t="n">
        <v>0</v>
      </c>
      <c r="S492" s="10" t="n">
        <v>0</v>
      </c>
      <c r="T492" s="10" t="n">
        <v>0</v>
      </c>
      <c r="U492" s="10" t="n">
        <v>0</v>
      </c>
    </row>
    <row r="493" customFormat="false" ht="15" hidden="false" customHeight="false" outlineLevel="0" collapsed="false">
      <c r="A493" s="7" t="s">
        <v>394</v>
      </c>
      <c r="B493" s="7" t="s">
        <v>331</v>
      </c>
      <c r="C493" s="7" t="s">
        <v>959</v>
      </c>
      <c r="D493" s="10" t="n">
        <v>0</v>
      </c>
      <c r="E493" s="10" t="n">
        <v>0</v>
      </c>
      <c r="F493" s="10" t="n">
        <v>92.3</v>
      </c>
      <c r="G493" s="10" t="n">
        <v>0</v>
      </c>
      <c r="H493" s="10" t="n">
        <v>0</v>
      </c>
      <c r="I493" s="10" t="n">
        <v>0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0" t="n">
        <v>0</v>
      </c>
      <c r="P493" s="10" t="n">
        <v>0</v>
      </c>
      <c r="Q493" s="10" t="n">
        <v>0</v>
      </c>
      <c r="R493" s="10" t="n">
        <v>0</v>
      </c>
      <c r="S493" s="10" t="n">
        <v>0</v>
      </c>
      <c r="T493" s="10" t="n">
        <v>0</v>
      </c>
      <c r="U493" s="10" t="n">
        <v>0</v>
      </c>
    </row>
    <row r="494" customFormat="false" ht="15" hidden="false" customHeight="false" outlineLevel="0" collapsed="false">
      <c r="A494" s="7" t="s">
        <v>394</v>
      </c>
      <c r="B494" s="7" t="s">
        <v>304</v>
      </c>
      <c r="C494" s="7" t="s">
        <v>960</v>
      </c>
      <c r="D494" s="10" t="n">
        <v>0</v>
      </c>
      <c r="E494" s="10" t="n">
        <v>0</v>
      </c>
      <c r="F494" s="10" t="n">
        <v>166.4</v>
      </c>
      <c r="G494" s="10" t="n">
        <v>0</v>
      </c>
      <c r="H494" s="10" t="n">
        <v>0</v>
      </c>
      <c r="I494" s="10" t="n">
        <v>0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0" t="n">
        <v>0</v>
      </c>
      <c r="P494" s="10" t="n">
        <v>0</v>
      </c>
      <c r="Q494" s="10" t="n">
        <v>0</v>
      </c>
      <c r="R494" s="10" t="n">
        <v>0</v>
      </c>
      <c r="S494" s="10" t="n">
        <v>0</v>
      </c>
      <c r="T494" s="10" t="n">
        <v>227.2</v>
      </c>
      <c r="U494" s="10" t="n">
        <v>0</v>
      </c>
    </row>
    <row r="495" customFormat="false" ht="15" hidden="false" customHeight="false" outlineLevel="0" collapsed="false">
      <c r="A495" s="7" t="s">
        <v>394</v>
      </c>
      <c r="B495" s="7" t="s">
        <v>304</v>
      </c>
      <c r="C495" s="7" t="s">
        <v>905</v>
      </c>
      <c r="D495" s="10" t="n">
        <v>0</v>
      </c>
      <c r="E495" s="10" t="n">
        <v>0</v>
      </c>
      <c r="F495" s="10" t="n">
        <v>166.4</v>
      </c>
      <c r="G495" s="10" t="n">
        <v>0</v>
      </c>
      <c r="H495" s="10" t="n">
        <v>0</v>
      </c>
      <c r="I495" s="10" t="n">
        <v>0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0" t="n">
        <v>0</v>
      </c>
      <c r="P495" s="10" t="n">
        <v>0</v>
      </c>
      <c r="Q495" s="10" t="n">
        <v>0</v>
      </c>
      <c r="R495" s="10" t="n">
        <v>0</v>
      </c>
      <c r="S495" s="10" t="n">
        <v>0</v>
      </c>
      <c r="T495" s="10" t="n">
        <v>113.6</v>
      </c>
      <c r="U495" s="10" t="n">
        <v>0</v>
      </c>
    </row>
    <row r="496" customFormat="false" ht="15" hidden="false" customHeight="false" outlineLevel="0" collapsed="false">
      <c r="A496" s="7" t="s">
        <v>394</v>
      </c>
      <c r="B496" s="7" t="s">
        <v>304</v>
      </c>
      <c r="C496" s="7" t="s">
        <v>961</v>
      </c>
      <c r="D496" s="10" t="n">
        <v>0</v>
      </c>
      <c r="E496" s="10" t="n">
        <v>0</v>
      </c>
      <c r="F496" s="10" t="n">
        <v>0</v>
      </c>
      <c r="G496" s="10" t="n">
        <v>0</v>
      </c>
      <c r="H496" s="10" t="n">
        <v>0</v>
      </c>
      <c r="I496" s="10" t="n">
        <v>0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0" t="n">
        <v>0</v>
      </c>
      <c r="P496" s="10" t="n">
        <v>0</v>
      </c>
      <c r="Q496" s="10" t="n">
        <v>0</v>
      </c>
      <c r="R496" s="10" t="n">
        <v>0</v>
      </c>
      <c r="S496" s="10" t="n">
        <v>0</v>
      </c>
      <c r="T496" s="10" t="n">
        <v>113.6</v>
      </c>
      <c r="U496" s="10" t="n">
        <v>0</v>
      </c>
    </row>
    <row r="497" customFormat="false" ht="15" hidden="false" customHeight="false" outlineLevel="0" collapsed="false">
      <c r="A497" s="7" t="s">
        <v>394</v>
      </c>
      <c r="B497" s="7" t="s">
        <v>304</v>
      </c>
      <c r="C497" s="7" t="s">
        <v>962</v>
      </c>
      <c r="D497" s="10" t="n">
        <v>0</v>
      </c>
      <c r="E497" s="10" t="n">
        <v>0</v>
      </c>
      <c r="F497" s="10" t="n">
        <v>332.7</v>
      </c>
      <c r="G497" s="10" t="n">
        <v>0</v>
      </c>
      <c r="H497" s="10" t="n">
        <v>0</v>
      </c>
      <c r="I497" s="10" t="n">
        <v>0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0" t="n">
        <v>0</v>
      </c>
      <c r="P497" s="10" t="n">
        <v>0</v>
      </c>
      <c r="Q497" s="10" t="n">
        <v>0</v>
      </c>
      <c r="R497" s="10" t="n">
        <v>0</v>
      </c>
      <c r="S497" s="10" t="n">
        <v>0</v>
      </c>
      <c r="T497" s="10" t="n">
        <v>454.3</v>
      </c>
      <c r="U497" s="10" t="n">
        <v>0</v>
      </c>
    </row>
    <row r="498" customFormat="false" ht="15" hidden="false" customHeight="false" outlineLevel="0" collapsed="false">
      <c r="A498" s="7" t="s">
        <v>394</v>
      </c>
      <c r="B498" s="7" t="s">
        <v>304</v>
      </c>
      <c r="C498" s="7" t="s">
        <v>963</v>
      </c>
      <c r="D498" s="10" t="n">
        <v>0</v>
      </c>
      <c r="E498" s="10" t="n">
        <v>0</v>
      </c>
      <c r="F498" s="10" t="n">
        <v>0</v>
      </c>
      <c r="G498" s="10" t="n">
        <v>0</v>
      </c>
      <c r="H498" s="10" t="n">
        <v>0</v>
      </c>
      <c r="I498" s="10" t="n">
        <v>0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0</v>
      </c>
      <c r="O498" s="10" t="n">
        <v>0</v>
      </c>
      <c r="P498" s="10" t="n">
        <v>0</v>
      </c>
      <c r="Q498" s="10" t="n">
        <v>0</v>
      </c>
      <c r="R498" s="10" t="n">
        <v>0</v>
      </c>
      <c r="S498" s="10" t="n">
        <v>0</v>
      </c>
      <c r="T498" s="10" t="n">
        <v>113.6</v>
      </c>
      <c r="U498" s="10" t="n">
        <v>0</v>
      </c>
    </row>
    <row r="499" customFormat="false" ht="15" hidden="false" customHeight="false" outlineLevel="0" collapsed="false">
      <c r="A499" s="7" t="s">
        <v>394</v>
      </c>
      <c r="B499" s="7" t="s">
        <v>128</v>
      </c>
      <c r="C499" s="7" t="s">
        <v>907</v>
      </c>
      <c r="D499" s="10" t="n">
        <v>0</v>
      </c>
      <c r="E499" s="10" t="n">
        <v>0</v>
      </c>
      <c r="F499" s="10" t="n">
        <v>8987</v>
      </c>
      <c r="G499" s="10" t="n">
        <v>0</v>
      </c>
      <c r="H499" s="10" t="n">
        <v>0</v>
      </c>
      <c r="I499" s="10" t="n">
        <v>45344.4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0" t="n">
        <v>0</v>
      </c>
      <c r="P499" s="10" t="n">
        <v>0</v>
      </c>
      <c r="Q499" s="10" t="n">
        <v>45344.4</v>
      </c>
      <c r="R499" s="10" t="n">
        <v>0</v>
      </c>
      <c r="S499" s="10" t="n">
        <v>0</v>
      </c>
      <c r="T499" s="10" t="n">
        <v>0</v>
      </c>
      <c r="U499" s="10" t="n">
        <v>0</v>
      </c>
    </row>
    <row r="500" customFormat="false" ht="15" hidden="false" customHeight="false" outlineLevel="0" collapsed="false">
      <c r="A500" s="7" t="s">
        <v>394</v>
      </c>
      <c r="B500" s="7" t="s">
        <v>128</v>
      </c>
      <c r="C500" s="7" t="s">
        <v>908</v>
      </c>
      <c r="D500" s="10" t="n">
        <v>0</v>
      </c>
      <c r="E500" s="10" t="n">
        <v>0</v>
      </c>
      <c r="F500" s="10" t="n">
        <v>6429.3</v>
      </c>
      <c r="G500" s="10" t="n">
        <v>0</v>
      </c>
      <c r="H500" s="10" t="n">
        <v>0</v>
      </c>
      <c r="I500" s="10" t="n">
        <v>38940.6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0" t="n">
        <v>0</v>
      </c>
      <c r="P500" s="10" t="n">
        <v>0</v>
      </c>
      <c r="Q500" s="10" t="n">
        <v>38940.6</v>
      </c>
      <c r="R500" s="10" t="n">
        <v>0</v>
      </c>
      <c r="S500" s="10" t="n">
        <v>0</v>
      </c>
      <c r="T500" s="10" t="n">
        <v>0</v>
      </c>
      <c r="U500" s="10" t="n">
        <v>0</v>
      </c>
    </row>
    <row r="501" customFormat="false" ht="15" hidden="false" customHeight="false" outlineLevel="0" collapsed="false">
      <c r="A501" s="7" t="s">
        <v>394</v>
      </c>
      <c r="B501" s="7" t="s">
        <v>128</v>
      </c>
      <c r="C501" s="7" t="s">
        <v>909</v>
      </c>
      <c r="D501" s="10" t="n">
        <v>0</v>
      </c>
      <c r="E501" s="10" t="n">
        <v>0</v>
      </c>
      <c r="F501" s="10" t="n">
        <v>4876.5</v>
      </c>
      <c r="G501" s="10" t="n">
        <v>0</v>
      </c>
      <c r="H501" s="10" t="n">
        <v>0</v>
      </c>
      <c r="I501" s="10" t="n">
        <v>30467.8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0" t="n">
        <v>0</v>
      </c>
      <c r="P501" s="10" t="n">
        <v>0</v>
      </c>
      <c r="Q501" s="10" t="n">
        <v>30467.8</v>
      </c>
      <c r="R501" s="10" t="n">
        <v>0</v>
      </c>
      <c r="S501" s="10" t="n">
        <v>0</v>
      </c>
      <c r="T501" s="10" t="n">
        <v>0</v>
      </c>
      <c r="U501" s="10" t="n">
        <v>0</v>
      </c>
    </row>
    <row r="502" customFormat="false" ht="15" hidden="false" customHeight="false" outlineLevel="0" collapsed="false">
      <c r="A502" s="7" t="s">
        <v>394</v>
      </c>
      <c r="B502" s="7" t="s">
        <v>128</v>
      </c>
      <c r="C502" s="7" t="s">
        <v>910</v>
      </c>
      <c r="D502" s="10" t="n">
        <v>0</v>
      </c>
      <c r="E502" s="10" t="n">
        <v>0</v>
      </c>
      <c r="F502" s="10" t="n">
        <v>2565.2</v>
      </c>
      <c r="G502" s="10" t="n">
        <v>0</v>
      </c>
      <c r="H502" s="10" t="n">
        <v>0</v>
      </c>
      <c r="I502" s="10" t="n">
        <v>24681.3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0" t="n">
        <v>0</v>
      </c>
      <c r="P502" s="10" t="n">
        <v>0</v>
      </c>
      <c r="Q502" s="10" t="n">
        <v>24681.3</v>
      </c>
      <c r="R502" s="10" t="n">
        <v>0</v>
      </c>
      <c r="S502" s="10" t="n">
        <v>0</v>
      </c>
      <c r="T502" s="10" t="n">
        <v>0</v>
      </c>
      <c r="U502" s="10" t="n">
        <v>0</v>
      </c>
    </row>
    <row r="503" customFormat="false" ht="15" hidden="false" customHeight="false" outlineLevel="0" collapsed="false">
      <c r="A503" s="7" t="s">
        <v>394</v>
      </c>
      <c r="B503" s="7" t="s">
        <v>106</v>
      </c>
      <c r="C503" s="7" t="s">
        <v>911</v>
      </c>
      <c r="D503" s="10" t="n">
        <v>0</v>
      </c>
      <c r="E503" s="10" t="n">
        <v>0</v>
      </c>
      <c r="F503" s="10" t="n">
        <v>230</v>
      </c>
      <c r="G503" s="10" t="n">
        <v>0</v>
      </c>
      <c r="H503" s="10" t="n">
        <v>0</v>
      </c>
      <c r="I503" s="10" t="n">
        <v>737.4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n">
        <v>0</v>
      </c>
      <c r="O503" s="10" t="n">
        <v>0</v>
      </c>
      <c r="P503" s="10" t="n">
        <v>0</v>
      </c>
      <c r="Q503" s="10" t="n">
        <v>737.4</v>
      </c>
      <c r="R503" s="10" t="n">
        <v>0</v>
      </c>
      <c r="S503" s="10" t="n">
        <v>0</v>
      </c>
      <c r="T503" s="10" t="n">
        <v>0</v>
      </c>
      <c r="U503" s="10" t="n">
        <v>0</v>
      </c>
    </row>
    <row r="504" customFormat="false" ht="15" hidden="false" customHeight="false" outlineLevel="0" collapsed="false">
      <c r="A504" s="7" t="s">
        <v>394</v>
      </c>
      <c r="B504" s="7" t="s">
        <v>140</v>
      </c>
      <c r="C504" s="7" t="s">
        <v>911</v>
      </c>
      <c r="D504" s="10" t="n">
        <v>0</v>
      </c>
      <c r="E504" s="10" t="n">
        <v>0</v>
      </c>
      <c r="F504" s="10" t="n">
        <v>0</v>
      </c>
      <c r="G504" s="10" t="n">
        <v>0</v>
      </c>
      <c r="H504" s="10" t="n">
        <v>0</v>
      </c>
      <c r="I504" s="10" t="n">
        <v>-564.6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0" t="n">
        <v>0</v>
      </c>
      <c r="P504" s="10" t="n">
        <v>0</v>
      </c>
      <c r="Q504" s="10" t="n">
        <v>-564.6</v>
      </c>
      <c r="R504" s="10" t="n">
        <v>0</v>
      </c>
      <c r="S504" s="10" t="n">
        <v>0</v>
      </c>
      <c r="T504" s="10" t="n">
        <v>0</v>
      </c>
      <c r="U504" s="10" t="n">
        <v>0</v>
      </c>
    </row>
    <row r="505" customFormat="false" ht="15" hidden="false" customHeight="false" outlineLevel="0" collapsed="false">
      <c r="A505" s="7" t="s">
        <v>394</v>
      </c>
      <c r="B505" s="7" t="s">
        <v>106</v>
      </c>
      <c r="C505" s="7" t="s">
        <v>912</v>
      </c>
      <c r="D505" s="10" t="n">
        <v>0</v>
      </c>
      <c r="E505" s="10" t="n">
        <v>0</v>
      </c>
      <c r="F505" s="10" t="n">
        <v>115</v>
      </c>
      <c r="G505" s="10" t="n">
        <v>0</v>
      </c>
      <c r="H505" s="10" t="n">
        <v>0</v>
      </c>
      <c r="I505" s="10" t="n">
        <v>874.8</v>
      </c>
      <c r="J505" s="10" t="n">
        <v>0</v>
      </c>
      <c r="K505" s="10" t="n">
        <v>0</v>
      </c>
      <c r="L505" s="10" t="n">
        <v>0</v>
      </c>
      <c r="M505" s="10" t="n">
        <v>0</v>
      </c>
      <c r="N505" s="10" t="n">
        <v>0</v>
      </c>
      <c r="O505" s="10" t="n">
        <v>0</v>
      </c>
      <c r="P505" s="10" t="n">
        <v>0</v>
      </c>
      <c r="Q505" s="10" t="n">
        <v>874.8</v>
      </c>
      <c r="R505" s="10" t="n">
        <v>0</v>
      </c>
      <c r="S505" s="10" t="n">
        <v>0</v>
      </c>
      <c r="T505" s="10" t="n">
        <v>0</v>
      </c>
      <c r="U505" s="10" t="n">
        <v>0</v>
      </c>
    </row>
    <row r="506" customFormat="false" ht="15" hidden="false" customHeight="false" outlineLevel="0" collapsed="false">
      <c r="A506" s="7" t="s">
        <v>394</v>
      </c>
      <c r="B506" s="7" t="s">
        <v>121</v>
      </c>
      <c r="C506" s="7" t="s">
        <v>912</v>
      </c>
      <c r="D506" s="10" t="n">
        <v>0</v>
      </c>
      <c r="E506" s="10" t="n">
        <v>0</v>
      </c>
      <c r="F506" s="10" t="n">
        <v>0</v>
      </c>
      <c r="G506" s="10" t="n">
        <v>0</v>
      </c>
      <c r="H506" s="10" t="n">
        <v>0</v>
      </c>
      <c r="I506" s="10" t="n">
        <v>1978.2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O506" s="10" t="n">
        <v>0</v>
      </c>
      <c r="P506" s="10" t="n">
        <v>0</v>
      </c>
      <c r="Q506" s="10" t="n">
        <v>1978.2</v>
      </c>
      <c r="R506" s="10" t="n">
        <v>0</v>
      </c>
      <c r="S506" s="10" t="n">
        <v>0</v>
      </c>
      <c r="T506" s="10" t="n">
        <v>66</v>
      </c>
      <c r="U506" s="10" t="n">
        <v>0</v>
      </c>
    </row>
    <row r="507" customFormat="false" ht="15" hidden="false" customHeight="false" outlineLevel="0" collapsed="false">
      <c r="A507" s="7" t="s">
        <v>394</v>
      </c>
      <c r="B507" s="7" t="s">
        <v>98</v>
      </c>
      <c r="C507" s="7" t="s">
        <v>913</v>
      </c>
      <c r="D507" s="10" t="n">
        <v>0</v>
      </c>
      <c r="E507" s="10" t="n">
        <v>0</v>
      </c>
      <c r="F507" s="10" t="n">
        <v>6493.3</v>
      </c>
      <c r="G507" s="10" t="n">
        <v>0</v>
      </c>
      <c r="H507" s="10" t="n">
        <v>0</v>
      </c>
      <c r="I507" s="10" t="n">
        <v>22225.7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0" t="n">
        <v>0</v>
      </c>
      <c r="P507" s="10" t="n">
        <v>0</v>
      </c>
      <c r="Q507" s="10" t="n">
        <v>22225.7</v>
      </c>
      <c r="R507" s="10" t="n">
        <v>0</v>
      </c>
      <c r="S507" s="10" t="n">
        <v>0</v>
      </c>
      <c r="T507" s="10" t="n">
        <v>2308.8</v>
      </c>
      <c r="U507" s="10" t="n">
        <v>0</v>
      </c>
    </row>
    <row r="508" customFormat="false" ht="15" hidden="false" customHeight="false" outlineLevel="0" collapsed="false">
      <c r="A508" s="7" t="s">
        <v>394</v>
      </c>
      <c r="B508" s="7" t="s">
        <v>157</v>
      </c>
      <c r="C508" s="7" t="s">
        <v>914</v>
      </c>
      <c r="D508" s="10" t="n">
        <v>0</v>
      </c>
      <c r="E508" s="10" t="n">
        <v>0</v>
      </c>
      <c r="F508" s="10" t="n">
        <v>693.6</v>
      </c>
      <c r="G508" s="10" t="n">
        <v>0</v>
      </c>
      <c r="H508" s="10" t="n">
        <v>0</v>
      </c>
      <c r="I508" s="10" t="n">
        <v>1987</v>
      </c>
      <c r="J508" s="10" t="n">
        <v>0</v>
      </c>
      <c r="K508" s="10" t="n">
        <v>0</v>
      </c>
      <c r="L508" s="10" t="n">
        <v>0</v>
      </c>
      <c r="M508" s="10" t="n">
        <v>0</v>
      </c>
      <c r="N508" s="10" t="n">
        <v>0</v>
      </c>
      <c r="O508" s="10" t="n">
        <v>0</v>
      </c>
      <c r="P508" s="10" t="n">
        <v>0</v>
      </c>
      <c r="Q508" s="10" t="n">
        <v>1987</v>
      </c>
      <c r="R508" s="10" t="n">
        <v>0</v>
      </c>
      <c r="S508" s="10" t="n">
        <v>0</v>
      </c>
      <c r="T508" s="10" t="n">
        <v>0</v>
      </c>
      <c r="U508" s="10" t="n">
        <v>0</v>
      </c>
    </row>
    <row r="509" customFormat="false" ht="15" hidden="false" customHeight="false" outlineLevel="0" collapsed="false">
      <c r="A509" s="7" t="s">
        <v>394</v>
      </c>
      <c r="B509" s="7" t="s">
        <v>45</v>
      </c>
      <c r="C509" s="7" t="s">
        <v>964</v>
      </c>
      <c r="D509" s="10" t="n">
        <v>0</v>
      </c>
      <c r="E509" s="10" t="n">
        <v>0</v>
      </c>
      <c r="F509" s="10" t="n">
        <v>6879.5</v>
      </c>
      <c r="G509" s="10" t="n">
        <v>0</v>
      </c>
      <c r="H509" s="10" t="n">
        <v>0</v>
      </c>
      <c r="I509" s="10" t="n">
        <v>23331.1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0</v>
      </c>
      <c r="O509" s="10" t="n">
        <v>0</v>
      </c>
      <c r="P509" s="10" t="n">
        <v>0</v>
      </c>
      <c r="Q509" s="10" t="n">
        <v>23331.1</v>
      </c>
      <c r="R509" s="10" t="n">
        <v>0</v>
      </c>
      <c r="S509" s="10" t="n">
        <v>0</v>
      </c>
      <c r="T509" s="10" t="n">
        <v>4264.6</v>
      </c>
      <c r="U509" s="10" t="n">
        <v>0</v>
      </c>
    </row>
    <row r="510" customFormat="false" ht="15" hidden="false" customHeight="false" outlineLevel="0" collapsed="false">
      <c r="A510" s="7" t="s">
        <v>394</v>
      </c>
      <c r="B510" s="7" t="s">
        <v>45</v>
      </c>
      <c r="C510" s="7" t="s">
        <v>965</v>
      </c>
      <c r="D510" s="10" t="n">
        <v>0</v>
      </c>
      <c r="E510" s="10" t="n">
        <v>0</v>
      </c>
      <c r="F510" s="10" t="n">
        <v>11246.6</v>
      </c>
      <c r="G510" s="10" t="n">
        <v>0</v>
      </c>
      <c r="H510" s="10" t="n">
        <v>0</v>
      </c>
      <c r="I510" s="10" t="n">
        <v>35342.4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35342.4</v>
      </c>
      <c r="R510" s="10" t="n">
        <v>0</v>
      </c>
      <c r="S510" s="10" t="n">
        <v>0</v>
      </c>
      <c r="T510" s="10" t="n">
        <v>6146.1</v>
      </c>
      <c r="U510" s="10" t="n">
        <v>0</v>
      </c>
    </row>
    <row r="511" customFormat="false" ht="15" hidden="false" customHeight="false" outlineLevel="0" collapsed="false">
      <c r="A511" s="7" t="s">
        <v>394</v>
      </c>
      <c r="B511" s="7" t="s">
        <v>45</v>
      </c>
      <c r="C511" s="7" t="s">
        <v>966</v>
      </c>
      <c r="D511" s="10" t="n">
        <v>0</v>
      </c>
      <c r="E511" s="10" t="n">
        <v>0</v>
      </c>
      <c r="F511" s="10" t="n">
        <v>8894.4</v>
      </c>
      <c r="G511" s="10" t="n">
        <v>0</v>
      </c>
      <c r="H511" s="10" t="n">
        <v>0</v>
      </c>
      <c r="I511" s="10" t="n">
        <v>26087.5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0" t="n">
        <v>0</v>
      </c>
      <c r="P511" s="10" t="n">
        <v>0</v>
      </c>
      <c r="Q511" s="10" t="n">
        <v>26087.5</v>
      </c>
      <c r="R511" s="10" t="n">
        <v>0</v>
      </c>
      <c r="S511" s="10" t="n">
        <v>0</v>
      </c>
      <c r="T511" s="10" t="n">
        <v>6605.9</v>
      </c>
      <c r="U511" s="10" t="n">
        <v>0</v>
      </c>
    </row>
    <row r="512" customFormat="false" ht="15" hidden="false" customHeight="false" outlineLevel="0" collapsed="false">
      <c r="A512" s="7" t="s">
        <v>394</v>
      </c>
      <c r="B512" s="7" t="s">
        <v>292</v>
      </c>
      <c r="C512" s="7" t="s">
        <v>967</v>
      </c>
      <c r="D512" s="10" t="n">
        <v>0</v>
      </c>
      <c r="E512" s="10" t="n">
        <v>0</v>
      </c>
      <c r="F512" s="10" t="n">
        <v>474.6</v>
      </c>
      <c r="G512" s="10" t="n">
        <v>0</v>
      </c>
      <c r="H512" s="10" t="n">
        <v>131.8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0</v>
      </c>
      <c r="O512" s="10" t="n">
        <v>0</v>
      </c>
      <c r="P512" s="10" t="n">
        <v>0</v>
      </c>
      <c r="Q512" s="10" t="n">
        <v>0</v>
      </c>
      <c r="R512" s="10" t="n">
        <v>0</v>
      </c>
      <c r="S512" s="10" t="n">
        <v>0</v>
      </c>
      <c r="T512" s="10" t="n">
        <v>0</v>
      </c>
      <c r="U512" s="10" t="n">
        <v>0</v>
      </c>
    </row>
    <row r="513" customFormat="false" ht="15" hidden="false" customHeight="false" outlineLevel="0" collapsed="false">
      <c r="A513" s="7" t="s">
        <v>394</v>
      </c>
      <c r="B513" s="7" t="s">
        <v>292</v>
      </c>
      <c r="C513" s="7" t="s">
        <v>968</v>
      </c>
      <c r="D513" s="10" t="n">
        <v>0</v>
      </c>
      <c r="E513" s="10" t="n">
        <v>0</v>
      </c>
      <c r="F513" s="10" t="n">
        <v>322.5</v>
      </c>
      <c r="G513" s="10" t="n">
        <v>0</v>
      </c>
      <c r="H513" s="10" t="n">
        <v>131.8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0</v>
      </c>
      <c r="N513" s="10" t="n">
        <v>0</v>
      </c>
      <c r="O513" s="10" t="n">
        <v>0</v>
      </c>
      <c r="P513" s="10" t="n">
        <v>0</v>
      </c>
      <c r="Q513" s="10" t="n">
        <v>0</v>
      </c>
      <c r="R513" s="10" t="n">
        <v>0</v>
      </c>
      <c r="S513" s="10" t="n">
        <v>0</v>
      </c>
      <c r="T513" s="10" t="n">
        <v>0</v>
      </c>
      <c r="U513" s="10" t="n">
        <v>0</v>
      </c>
    </row>
    <row r="514" customFormat="false" ht="15" hidden="false" customHeight="false" outlineLevel="0" collapsed="false">
      <c r="A514" s="7" t="s">
        <v>394</v>
      </c>
      <c r="B514" s="7" t="s">
        <v>271</v>
      </c>
      <c r="C514" s="7" t="s">
        <v>915</v>
      </c>
      <c r="D514" s="10" t="n">
        <v>0</v>
      </c>
      <c r="E514" s="10" t="n">
        <v>0</v>
      </c>
      <c r="F514" s="10" t="n">
        <v>8071.8</v>
      </c>
      <c r="G514" s="10" t="n">
        <v>0</v>
      </c>
      <c r="H514" s="10" t="n">
        <v>81.2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0</v>
      </c>
      <c r="N514" s="10" t="n">
        <v>0</v>
      </c>
      <c r="O514" s="10" t="n">
        <v>0</v>
      </c>
      <c r="P514" s="10" t="n">
        <v>0</v>
      </c>
      <c r="Q514" s="10" t="n">
        <v>0</v>
      </c>
      <c r="R514" s="10" t="n">
        <v>0</v>
      </c>
      <c r="S514" s="10" t="n">
        <v>0</v>
      </c>
      <c r="T514" s="10" t="n">
        <v>0</v>
      </c>
      <c r="U514" s="10" t="n">
        <v>0</v>
      </c>
    </row>
    <row r="515" customFormat="false" ht="15" hidden="false" customHeight="false" outlineLevel="0" collapsed="false">
      <c r="A515" s="7" t="s">
        <v>394</v>
      </c>
      <c r="B515" s="7" t="s">
        <v>219</v>
      </c>
      <c r="C515" s="7" t="s">
        <v>520</v>
      </c>
      <c r="D515" s="10" t="n">
        <v>0</v>
      </c>
      <c r="E515" s="10" t="n">
        <v>0</v>
      </c>
      <c r="F515" s="10" t="n">
        <v>3393.7</v>
      </c>
      <c r="G515" s="10" t="n">
        <v>0</v>
      </c>
      <c r="H515" s="10" t="n">
        <v>0</v>
      </c>
      <c r="I515" s="10" t="n">
        <v>2509.6</v>
      </c>
      <c r="J515" s="10" t="n">
        <v>0</v>
      </c>
      <c r="K515" s="10" t="n">
        <v>0</v>
      </c>
      <c r="L515" s="10" t="n">
        <v>0</v>
      </c>
      <c r="M515" s="10" t="n">
        <v>0</v>
      </c>
      <c r="N515" s="10" t="n">
        <v>0</v>
      </c>
      <c r="O515" s="10" t="n">
        <v>0</v>
      </c>
      <c r="P515" s="10" t="n">
        <v>0</v>
      </c>
      <c r="Q515" s="10" t="n">
        <v>2509.6</v>
      </c>
      <c r="R515" s="10" t="n">
        <v>0</v>
      </c>
      <c r="S515" s="10" t="n">
        <v>0</v>
      </c>
      <c r="T515" s="10" t="n">
        <v>0</v>
      </c>
      <c r="U515" s="10" t="n">
        <v>0</v>
      </c>
    </row>
    <row r="516" customFormat="false" ht="15" hidden="false" customHeight="false" outlineLevel="0" collapsed="false">
      <c r="A516" s="7" t="s">
        <v>394</v>
      </c>
      <c r="B516" s="7" t="s">
        <v>122</v>
      </c>
      <c r="C516" s="7" t="s">
        <v>916</v>
      </c>
      <c r="D516" s="10" t="n">
        <v>0</v>
      </c>
      <c r="E516" s="10" t="n">
        <v>0</v>
      </c>
      <c r="F516" s="10" t="n">
        <v>5537</v>
      </c>
      <c r="G516" s="10" t="n">
        <v>0</v>
      </c>
      <c r="H516" s="10" t="n">
        <v>0</v>
      </c>
      <c r="I516" s="10" t="n">
        <v>66257.5</v>
      </c>
      <c r="J516" s="10" t="n">
        <v>0</v>
      </c>
      <c r="K516" s="10" t="n">
        <v>0</v>
      </c>
      <c r="L516" s="10" t="n">
        <v>0</v>
      </c>
      <c r="M516" s="10" t="n">
        <v>0</v>
      </c>
      <c r="N516" s="10" t="n">
        <v>0</v>
      </c>
      <c r="O516" s="10" t="n">
        <v>0</v>
      </c>
      <c r="P516" s="10" t="n">
        <v>0</v>
      </c>
      <c r="Q516" s="10" t="n">
        <v>66257.5</v>
      </c>
      <c r="R516" s="10" t="n">
        <v>0</v>
      </c>
      <c r="S516" s="10" t="n">
        <v>0</v>
      </c>
      <c r="T516" s="10" t="n">
        <v>0</v>
      </c>
      <c r="U516" s="10" t="n">
        <v>0</v>
      </c>
    </row>
    <row r="517" customFormat="false" ht="15" hidden="false" customHeight="false" outlineLevel="0" collapsed="false">
      <c r="A517" s="7" t="s">
        <v>394</v>
      </c>
      <c r="B517" s="7" t="s">
        <v>376</v>
      </c>
      <c r="C517" s="7" t="s">
        <v>969</v>
      </c>
      <c r="D517" s="10" t="n">
        <v>0</v>
      </c>
      <c r="E517" s="10" t="n">
        <v>0</v>
      </c>
      <c r="F517" s="10" t="n">
        <v>0</v>
      </c>
      <c r="G517" s="10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0</v>
      </c>
      <c r="O517" s="10" t="n">
        <v>0</v>
      </c>
      <c r="P517" s="10" t="n">
        <v>0</v>
      </c>
      <c r="Q517" s="10" t="n">
        <v>0</v>
      </c>
      <c r="R517" s="10" t="n">
        <v>0</v>
      </c>
      <c r="S517" s="10" t="n">
        <v>0</v>
      </c>
      <c r="T517" s="10" t="n">
        <v>5739.6</v>
      </c>
      <c r="U517" s="10" t="n">
        <v>0</v>
      </c>
    </row>
    <row r="518" customFormat="false" ht="15" hidden="false" customHeight="false" outlineLevel="0" collapsed="false">
      <c r="A518" s="7" t="s">
        <v>394</v>
      </c>
      <c r="B518" s="7" t="s">
        <v>381</v>
      </c>
      <c r="C518" s="7" t="s">
        <v>970</v>
      </c>
      <c r="D518" s="10" t="n">
        <v>0</v>
      </c>
      <c r="E518" s="10" t="n">
        <v>0</v>
      </c>
      <c r="F518" s="10" t="n">
        <v>0</v>
      </c>
      <c r="G518" s="10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0</v>
      </c>
      <c r="M518" s="10" t="n">
        <v>0</v>
      </c>
      <c r="N518" s="10" t="n">
        <v>0</v>
      </c>
      <c r="O518" s="10" t="n">
        <v>0</v>
      </c>
      <c r="P518" s="10" t="n">
        <v>0</v>
      </c>
      <c r="Q518" s="10" t="n">
        <v>0</v>
      </c>
      <c r="R518" s="10" t="n">
        <v>0</v>
      </c>
      <c r="S518" s="10" t="n">
        <v>0</v>
      </c>
      <c r="T518" s="10" t="n">
        <v>1133</v>
      </c>
      <c r="U518" s="10" t="n">
        <v>0</v>
      </c>
    </row>
    <row r="519" customFormat="false" ht="15" hidden="false" customHeight="false" outlineLevel="0" collapsed="false">
      <c r="A519" s="7" t="s">
        <v>394</v>
      </c>
      <c r="B519" s="7" t="s">
        <v>379</v>
      </c>
      <c r="C519" s="7" t="s">
        <v>971</v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0</v>
      </c>
      <c r="N519" s="10" t="n">
        <v>0</v>
      </c>
      <c r="O519" s="10" t="n">
        <v>0</v>
      </c>
      <c r="P519" s="10" t="n">
        <v>0</v>
      </c>
      <c r="Q519" s="10" t="n">
        <v>0</v>
      </c>
      <c r="R519" s="10" t="n">
        <v>0</v>
      </c>
      <c r="S519" s="10" t="n">
        <v>0</v>
      </c>
      <c r="T519" s="10" t="n">
        <v>1989.8</v>
      </c>
      <c r="U519" s="10" t="n">
        <v>0</v>
      </c>
    </row>
    <row r="520" customFormat="false" ht="15" hidden="false" customHeight="false" outlineLevel="0" collapsed="false">
      <c r="A520" s="7" t="s">
        <v>394</v>
      </c>
      <c r="B520" s="7" t="s">
        <v>383</v>
      </c>
      <c r="C520" s="7" t="s">
        <v>972</v>
      </c>
      <c r="D520" s="10" t="n">
        <v>0</v>
      </c>
      <c r="E520" s="10" t="n">
        <v>0</v>
      </c>
      <c r="F520" s="10" t="n">
        <v>0</v>
      </c>
      <c r="G520" s="10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0</v>
      </c>
      <c r="O520" s="10" t="n">
        <v>0</v>
      </c>
      <c r="P520" s="10" t="n">
        <v>0</v>
      </c>
      <c r="Q520" s="10" t="n">
        <v>0</v>
      </c>
      <c r="R520" s="10" t="n">
        <v>0</v>
      </c>
      <c r="S520" s="10" t="n">
        <v>0</v>
      </c>
      <c r="T520" s="10" t="n">
        <v>171</v>
      </c>
      <c r="U520" s="10" t="n">
        <v>0</v>
      </c>
    </row>
    <row r="521" customFormat="false" ht="15" hidden="false" customHeight="false" outlineLevel="0" collapsed="false">
      <c r="A521" s="7" t="s">
        <v>394</v>
      </c>
      <c r="B521" s="7" t="s">
        <v>83</v>
      </c>
      <c r="C521" s="7" t="s">
        <v>973</v>
      </c>
      <c r="D521" s="10" t="n">
        <v>0</v>
      </c>
      <c r="E521" s="10" t="n">
        <v>0</v>
      </c>
      <c r="F521" s="10" t="n">
        <v>0</v>
      </c>
      <c r="G521" s="10" t="n">
        <v>0</v>
      </c>
      <c r="H521" s="10" t="n">
        <v>0</v>
      </c>
      <c r="I521" s="10" t="n">
        <v>3068.9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0</v>
      </c>
      <c r="O521" s="10" t="n">
        <v>0</v>
      </c>
      <c r="P521" s="10" t="n">
        <v>0</v>
      </c>
      <c r="Q521" s="10" t="n">
        <v>3068.9</v>
      </c>
      <c r="R521" s="10" t="n">
        <v>0</v>
      </c>
      <c r="S521" s="10" t="n">
        <v>0</v>
      </c>
      <c r="T521" s="10" t="n">
        <v>1672</v>
      </c>
      <c r="U521" s="10" t="n">
        <v>0</v>
      </c>
    </row>
    <row r="522" customFormat="false" ht="15" hidden="false" customHeight="false" outlineLevel="0" collapsed="false">
      <c r="A522" s="7" t="s">
        <v>394</v>
      </c>
      <c r="B522" s="7" t="s">
        <v>83</v>
      </c>
      <c r="C522" s="7" t="s">
        <v>974</v>
      </c>
      <c r="D522" s="10" t="n">
        <v>0</v>
      </c>
      <c r="E522" s="10" t="n">
        <v>0</v>
      </c>
      <c r="F522" s="10" t="n">
        <v>323.4</v>
      </c>
      <c r="G522" s="10" t="n">
        <v>0</v>
      </c>
      <c r="H522" s="10" t="n">
        <v>0</v>
      </c>
      <c r="I522" s="10" t="n">
        <v>3082.9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0</v>
      </c>
      <c r="O522" s="10" t="n">
        <v>0</v>
      </c>
      <c r="P522" s="10" t="n">
        <v>0</v>
      </c>
      <c r="Q522" s="10" t="n">
        <v>3082.9</v>
      </c>
      <c r="R522" s="10" t="n">
        <v>0</v>
      </c>
      <c r="S522" s="10" t="n">
        <v>0</v>
      </c>
      <c r="T522" s="10" t="n">
        <v>431</v>
      </c>
      <c r="U522" s="10" t="n">
        <v>0</v>
      </c>
    </row>
    <row r="523" customFormat="false" ht="15" hidden="false" customHeight="false" outlineLevel="0" collapsed="false">
      <c r="A523" s="7" t="s">
        <v>394</v>
      </c>
      <c r="B523" s="7" t="s">
        <v>83</v>
      </c>
      <c r="C523" s="7" t="s">
        <v>975</v>
      </c>
      <c r="D523" s="10" t="n">
        <v>0</v>
      </c>
      <c r="E523" s="10" t="n">
        <v>0</v>
      </c>
      <c r="F523" s="10" t="n">
        <v>323.4</v>
      </c>
      <c r="G523" s="10" t="n">
        <v>0</v>
      </c>
      <c r="H523" s="10" t="n">
        <v>0</v>
      </c>
      <c r="I523" s="10" t="n">
        <v>3629.4</v>
      </c>
      <c r="J523" s="10" t="n">
        <v>0</v>
      </c>
      <c r="K523" s="10" t="n">
        <v>0</v>
      </c>
      <c r="L523" s="10" t="n">
        <v>0</v>
      </c>
      <c r="M523" s="10" t="n">
        <v>0</v>
      </c>
      <c r="N523" s="10" t="n">
        <v>0</v>
      </c>
      <c r="O523" s="10" t="n">
        <v>0</v>
      </c>
      <c r="P523" s="10" t="n">
        <v>0</v>
      </c>
      <c r="Q523" s="10" t="n">
        <v>3629.4</v>
      </c>
      <c r="R523" s="10" t="n">
        <v>0</v>
      </c>
      <c r="S523" s="10" t="n">
        <v>0</v>
      </c>
      <c r="T523" s="10" t="n">
        <v>222</v>
      </c>
      <c r="U523" s="10" t="n">
        <v>0</v>
      </c>
    </row>
    <row r="524" customFormat="false" ht="15" hidden="false" customHeight="false" outlineLevel="0" collapsed="false">
      <c r="A524" s="7" t="s">
        <v>394</v>
      </c>
      <c r="B524" s="7" t="s">
        <v>83</v>
      </c>
      <c r="C524" s="7" t="s">
        <v>976</v>
      </c>
      <c r="D524" s="10" t="n">
        <v>0</v>
      </c>
      <c r="E524" s="10" t="n">
        <v>0</v>
      </c>
      <c r="F524" s="10" t="n">
        <v>323.4</v>
      </c>
      <c r="G524" s="10" t="n">
        <v>0</v>
      </c>
      <c r="H524" s="10" t="n">
        <v>0</v>
      </c>
      <c r="I524" s="10" t="n">
        <v>3349.1</v>
      </c>
      <c r="J524" s="10" t="n">
        <v>0</v>
      </c>
      <c r="K524" s="10" t="n">
        <v>0</v>
      </c>
      <c r="L524" s="10" t="n">
        <v>0</v>
      </c>
      <c r="M524" s="10" t="n">
        <v>0</v>
      </c>
      <c r="N524" s="10" t="n">
        <v>0</v>
      </c>
      <c r="O524" s="10" t="n">
        <v>0</v>
      </c>
      <c r="P524" s="10" t="n">
        <v>0</v>
      </c>
      <c r="Q524" s="10" t="n">
        <v>3349.1</v>
      </c>
      <c r="R524" s="10" t="n">
        <v>0</v>
      </c>
      <c r="S524" s="10" t="n">
        <v>0</v>
      </c>
      <c r="T524" s="10" t="n">
        <v>222</v>
      </c>
      <c r="U524" s="10" t="n">
        <v>0</v>
      </c>
    </row>
    <row r="525" customFormat="false" ht="15" hidden="false" customHeight="false" outlineLevel="0" collapsed="false">
      <c r="A525" s="7" t="s">
        <v>394</v>
      </c>
      <c r="B525" s="7" t="s">
        <v>288</v>
      </c>
      <c r="C525" s="7" t="s">
        <v>977</v>
      </c>
      <c r="D525" s="10" t="n">
        <v>0</v>
      </c>
      <c r="E525" s="10" t="n">
        <v>0</v>
      </c>
      <c r="F525" s="10" t="n">
        <v>1035.8</v>
      </c>
      <c r="G525" s="10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0</v>
      </c>
      <c r="N525" s="10" t="n">
        <v>0</v>
      </c>
      <c r="O525" s="10" t="n">
        <v>0</v>
      </c>
      <c r="P525" s="10" t="n">
        <v>0</v>
      </c>
      <c r="Q525" s="10" t="n">
        <v>0</v>
      </c>
      <c r="R525" s="10" t="n">
        <v>0</v>
      </c>
      <c r="S525" s="10" t="n">
        <v>0</v>
      </c>
      <c r="T525" s="10" t="n">
        <v>0</v>
      </c>
      <c r="U525" s="10" t="n">
        <v>0</v>
      </c>
    </row>
    <row r="526" customFormat="false" ht="15" hidden="false" customHeight="false" outlineLevel="0" collapsed="false">
      <c r="A526" s="7" t="s">
        <v>394</v>
      </c>
      <c r="B526" s="7" t="s">
        <v>94</v>
      </c>
      <c r="C526" s="7" t="s">
        <v>978</v>
      </c>
      <c r="D526" s="10" t="n">
        <v>0</v>
      </c>
      <c r="E526" s="10" t="n">
        <v>0</v>
      </c>
      <c r="F526" s="10" t="n">
        <v>234.3</v>
      </c>
      <c r="G526" s="10" t="n">
        <v>0</v>
      </c>
      <c r="H526" s="10" t="n">
        <v>0</v>
      </c>
      <c r="I526" s="10" t="n">
        <v>2203</v>
      </c>
      <c r="J526" s="10" t="n">
        <v>0</v>
      </c>
      <c r="K526" s="10" t="n">
        <v>0</v>
      </c>
      <c r="L526" s="10" t="n">
        <v>0</v>
      </c>
      <c r="M526" s="10" t="n">
        <v>0</v>
      </c>
      <c r="N526" s="10" t="n">
        <v>0</v>
      </c>
      <c r="O526" s="10" t="n">
        <v>0</v>
      </c>
      <c r="P526" s="10" t="n">
        <v>0</v>
      </c>
      <c r="Q526" s="10" t="n">
        <v>2203</v>
      </c>
      <c r="R526" s="10" t="n">
        <v>0</v>
      </c>
      <c r="S526" s="10" t="n">
        <v>0</v>
      </c>
      <c r="T526" s="10" t="n">
        <v>426</v>
      </c>
      <c r="U526" s="10" t="n">
        <v>0</v>
      </c>
    </row>
    <row r="527" customFormat="false" ht="15" hidden="false" customHeight="false" outlineLevel="0" collapsed="false">
      <c r="A527" s="7" t="s">
        <v>394</v>
      </c>
      <c r="B527" s="7" t="s">
        <v>94</v>
      </c>
      <c r="C527" s="7" t="s">
        <v>979</v>
      </c>
      <c r="D527" s="10" t="n">
        <v>0</v>
      </c>
      <c r="E527" s="10" t="n">
        <v>0</v>
      </c>
      <c r="F527" s="10" t="n">
        <v>117.1</v>
      </c>
      <c r="G527" s="10" t="n">
        <v>0</v>
      </c>
      <c r="H527" s="10" t="n">
        <v>0</v>
      </c>
      <c r="I527" s="10" t="n">
        <v>4233.4</v>
      </c>
      <c r="J527" s="10" t="n">
        <v>0</v>
      </c>
      <c r="K527" s="10" t="n">
        <v>0</v>
      </c>
      <c r="L527" s="10" t="n">
        <v>0</v>
      </c>
      <c r="M527" s="10" t="n">
        <v>0</v>
      </c>
      <c r="N527" s="10" t="n">
        <v>0</v>
      </c>
      <c r="O527" s="10" t="n">
        <v>0</v>
      </c>
      <c r="P527" s="10" t="n">
        <v>0</v>
      </c>
      <c r="Q527" s="10" t="n">
        <v>4233.4</v>
      </c>
      <c r="R527" s="10" t="n">
        <v>0</v>
      </c>
      <c r="S527" s="10" t="n">
        <v>0</v>
      </c>
      <c r="T527" s="10" t="n">
        <v>781</v>
      </c>
      <c r="U527" s="10" t="n">
        <v>0</v>
      </c>
    </row>
    <row r="528" customFormat="false" ht="15" hidden="false" customHeight="false" outlineLevel="0" collapsed="false">
      <c r="A528" s="7" t="s">
        <v>394</v>
      </c>
      <c r="B528" s="7" t="s">
        <v>94</v>
      </c>
      <c r="C528" s="7" t="s">
        <v>980</v>
      </c>
      <c r="D528" s="10" t="n">
        <v>0</v>
      </c>
      <c r="E528" s="10" t="n">
        <v>0</v>
      </c>
      <c r="F528" s="10" t="n">
        <v>117.1</v>
      </c>
      <c r="G528" s="10" t="n">
        <v>0</v>
      </c>
      <c r="H528" s="10" t="n">
        <v>0</v>
      </c>
      <c r="I528" s="10" t="n">
        <v>2908.5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0</v>
      </c>
      <c r="O528" s="10" t="n">
        <v>0</v>
      </c>
      <c r="P528" s="10" t="n">
        <v>0</v>
      </c>
      <c r="Q528" s="10" t="n">
        <v>2908.5</v>
      </c>
      <c r="R528" s="10" t="n">
        <v>0</v>
      </c>
      <c r="S528" s="10" t="n">
        <v>0</v>
      </c>
      <c r="T528" s="10" t="n">
        <v>355</v>
      </c>
      <c r="U528" s="10" t="n">
        <v>0</v>
      </c>
    </row>
    <row r="529" customFormat="false" ht="15" hidden="false" customHeight="false" outlineLevel="0" collapsed="false">
      <c r="A529" s="7" t="s">
        <v>394</v>
      </c>
      <c r="B529" s="7" t="s">
        <v>107</v>
      </c>
      <c r="C529" s="7" t="s">
        <v>981</v>
      </c>
      <c r="D529" s="10" t="n">
        <v>0</v>
      </c>
      <c r="E529" s="10" t="n">
        <v>0</v>
      </c>
      <c r="F529" s="10" t="n">
        <v>117.1</v>
      </c>
      <c r="G529" s="10" t="n">
        <v>0</v>
      </c>
      <c r="H529" s="10" t="n">
        <v>0</v>
      </c>
      <c r="I529" s="10" t="n">
        <v>2299.4</v>
      </c>
      <c r="J529" s="10" t="n">
        <v>0</v>
      </c>
      <c r="K529" s="10" t="n">
        <v>0</v>
      </c>
      <c r="L529" s="10" t="n">
        <v>0</v>
      </c>
      <c r="M529" s="10" t="n">
        <v>0</v>
      </c>
      <c r="N529" s="10" t="n">
        <v>0</v>
      </c>
      <c r="O529" s="10" t="n">
        <v>0</v>
      </c>
      <c r="P529" s="10" t="n">
        <v>0</v>
      </c>
      <c r="Q529" s="10" t="n">
        <v>2299.4</v>
      </c>
      <c r="R529" s="10" t="n">
        <v>0</v>
      </c>
      <c r="S529" s="10" t="n">
        <v>0</v>
      </c>
      <c r="T529" s="10" t="n">
        <v>639</v>
      </c>
      <c r="U529" s="10" t="n">
        <v>0</v>
      </c>
    </row>
    <row r="530" customFormat="false" ht="15" hidden="false" customHeight="false" outlineLevel="0" collapsed="false">
      <c r="A530" s="7" t="s">
        <v>394</v>
      </c>
      <c r="B530" s="7" t="s">
        <v>107</v>
      </c>
      <c r="C530" s="7" t="s">
        <v>982</v>
      </c>
      <c r="D530" s="10" t="n">
        <v>0</v>
      </c>
      <c r="E530" s="10" t="n">
        <v>0</v>
      </c>
      <c r="F530" s="10" t="n">
        <v>117.1</v>
      </c>
      <c r="G530" s="10" t="n">
        <v>0</v>
      </c>
      <c r="H530" s="10" t="n">
        <v>0</v>
      </c>
      <c r="I530" s="10" t="n">
        <v>4131.8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0</v>
      </c>
      <c r="O530" s="10" t="n">
        <v>0</v>
      </c>
      <c r="P530" s="10" t="n">
        <v>0</v>
      </c>
      <c r="Q530" s="10" t="n">
        <v>4131.8</v>
      </c>
      <c r="R530" s="10" t="n">
        <v>0</v>
      </c>
      <c r="S530" s="10" t="n">
        <v>0</v>
      </c>
      <c r="T530" s="10" t="n">
        <v>994</v>
      </c>
      <c r="U530" s="10" t="n">
        <v>0</v>
      </c>
    </row>
    <row r="531" customFormat="false" ht="15" hidden="false" customHeight="false" outlineLevel="0" collapsed="false">
      <c r="A531" s="7" t="s">
        <v>394</v>
      </c>
      <c r="B531" s="7" t="s">
        <v>126</v>
      </c>
      <c r="C531" s="7" t="s">
        <v>983</v>
      </c>
      <c r="D531" s="10" t="n">
        <v>0</v>
      </c>
      <c r="E531" s="10" t="n">
        <v>0</v>
      </c>
      <c r="F531" s="10" t="n">
        <v>234.3</v>
      </c>
      <c r="G531" s="10" t="n">
        <v>0</v>
      </c>
      <c r="H531" s="10" t="n">
        <v>0</v>
      </c>
      <c r="I531" s="10" t="n">
        <v>3111.6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0</v>
      </c>
      <c r="O531" s="10" t="n">
        <v>0</v>
      </c>
      <c r="P531" s="10" t="n">
        <v>0</v>
      </c>
      <c r="Q531" s="10" t="n">
        <v>3111.6</v>
      </c>
      <c r="R531" s="10" t="n">
        <v>0</v>
      </c>
      <c r="S531" s="10" t="n">
        <v>0</v>
      </c>
      <c r="T531" s="10" t="n">
        <v>568</v>
      </c>
      <c r="U531" s="10" t="n">
        <v>0</v>
      </c>
    </row>
    <row r="532" customFormat="false" ht="15" hidden="false" customHeight="false" outlineLevel="0" collapsed="false">
      <c r="A532" s="7" t="s">
        <v>394</v>
      </c>
      <c r="B532" s="7" t="s">
        <v>38</v>
      </c>
      <c r="C532" s="7" t="s">
        <v>917</v>
      </c>
      <c r="D532" s="10" t="n">
        <v>0</v>
      </c>
      <c r="E532" s="10" t="n">
        <v>0</v>
      </c>
      <c r="F532" s="10" t="n">
        <v>799.7</v>
      </c>
      <c r="G532" s="10" t="n">
        <v>0</v>
      </c>
      <c r="H532" s="10" t="n">
        <v>0</v>
      </c>
      <c r="I532" s="10" t="n">
        <v>3938.8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0</v>
      </c>
      <c r="O532" s="10" t="n">
        <v>0</v>
      </c>
      <c r="P532" s="10" t="n">
        <v>0</v>
      </c>
      <c r="Q532" s="10" t="n">
        <v>3938.8</v>
      </c>
      <c r="R532" s="10" t="n">
        <v>0</v>
      </c>
      <c r="S532" s="10" t="n">
        <v>0</v>
      </c>
      <c r="T532" s="10" t="n">
        <v>0</v>
      </c>
      <c r="U532" s="10" t="n">
        <v>0</v>
      </c>
    </row>
    <row r="533" customFormat="false" ht="15" hidden="false" customHeight="false" outlineLevel="0" collapsed="false">
      <c r="A533" s="7" t="s">
        <v>394</v>
      </c>
      <c r="B533" s="7" t="s">
        <v>38</v>
      </c>
      <c r="C533" s="7" t="s">
        <v>918</v>
      </c>
      <c r="D533" s="10" t="n">
        <v>0</v>
      </c>
      <c r="E533" s="10" t="n">
        <v>0</v>
      </c>
      <c r="F533" s="10" t="n">
        <v>678.4</v>
      </c>
      <c r="G533" s="10" t="n">
        <v>0</v>
      </c>
      <c r="H533" s="10" t="n">
        <v>0</v>
      </c>
      <c r="I533" s="10" t="n">
        <v>12597.5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0</v>
      </c>
      <c r="O533" s="10" t="n">
        <v>0</v>
      </c>
      <c r="P533" s="10" t="n">
        <v>0</v>
      </c>
      <c r="Q533" s="10" t="n">
        <v>12597.5</v>
      </c>
      <c r="R533" s="10" t="n">
        <v>0</v>
      </c>
      <c r="S533" s="10" t="n">
        <v>0</v>
      </c>
      <c r="T533" s="10" t="n">
        <v>0</v>
      </c>
      <c r="U533" s="10" t="n">
        <v>0</v>
      </c>
    </row>
    <row r="534" customFormat="false" ht="15" hidden="false" customHeight="false" outlineLevel="0" collapsed="false">
      <c r="A534" s="7" t="s">
        <v>394</v>
      </c>
      <c r="B534" s="7" t="s">
        <v>38</v>
      </c>
      <c r="C534" s="7" t="s">
        <v>919</v>
      </c>
      <c r="D534" s="10" t="n">
        <v>0</v>
      </c>
      <c r="E534" s="10" t="n">
        <v>0</v>
      </c>
      <c r="F534" s="10" t="n">
        <v>1253.7</v>
      </c>
      <c r="G534" s="10" t="n">
        <v>0</v>
      </c>
      <c r="H534" s="10" t="n">
        <v>0</v>
      </c>
      <c r="I534" s="10" t="n">
        <v>31090.3</v>
      </c>
      <c r="J534" s="10" t="n">
        <v>0</v>
      </c>
      <c r="K534" s="10" t="n">
        <v>0</v>
      </c>
      <c r="L534" s="10" t="n">
        <v>0</v>
      </c>
      <c r="M534" s="10" t="n">
        <v>0</v>
      </c>
      <c r="N534" s="10" t="n">
        <v>0</v>
      </c>
      <c r="O534" s="10" t="n">
        <v>0</v>
      </c>
      <c r="P534" s="10" t="n">
        <v>0</v>
      </c>
      <c r="Q534" s="10" t="n">
        <v>31090.3</v>
      </c>
      <c r="R534" s="10" t="n">
        <v>0</v>
      </c>
      <c r="S534" s="10" t="n">
        <v>0</v>
      </c>
      <c r="T534" s="10" t="n">
        <v>0</v>
      </c>
      <c r="U534" s="10" t="n">
        <v>0</v>
      </c>
    </row>
    <row r="535" customFormat="false" ht="15" hidden="false" customHeight="false" outlineLevel="0" collapsed="false">
      <c r="A535" s="7" t="s">
        <v>394</v>
      </c>
      <c r="B535" s="7" t="s">
        <v>39</v>
      </c>
      <c r="C535" s="7" t="s">
        <v>920</v>
      </c>
      <c r="D535" s="10" t="n">
        <v>0</v>
      </c>
      <c r="E535" s="10" t="n">
        <v>0</v>
      </c>
      <c r="F535" s="10" t="n">
        <v>773</v>
      </c>
      <c r="G535" s="10" t="n">
        <v>0</v>
      </c>
      <c r="H535" s="10" t="n">
        <v>0</v>
      </c>
      <c r="I535" s="10" t="n">
        <v>3972.8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n">
        <v>0</v>
      </c>
      <c r="O535" s="10" t="n">
        <v>0</v>
      </c>
      <c r="P535" s="10" t="n">
        <v>0</v>
      </c>
      <c r="Q535" s="10" t="n">
        <v>3972.8</v>
      </c>
      <c r="R535" s="10" t="n">
        <v>0</v>
      </c>
      <c r="S535" s="10" t="n">
        <v>0</v>
      </c>
      <c r="T535" s="10" t="n">
        <v>0</v>
      </c>
      <c r="U535" s="10" t="n">
        <v>0</v>
      </c>
    </row>
    <row r="536" customFormat="false" ht="15" hidden="false" customHeight="false" outlineLevel="0" collapsed="false">
      <c r="A536" s="7" t="s">
        <v>394</v>
      </c>
      <c r="B536" s="7" t="s">
        <v>40</v>
      </c>
      <c r="C536" s="7" t="s">
        <v>920</v>
      </c>
      <c r="D536" s="10" t="n">
        <v>0</v>
      </c>
      <c r="E536" s="10" t="n">
        <v>0</v>
      </c>
      <c r="F536" s="10" t="n">
        <v>1010.1</v>
      </c>
      <c r="G536" s="10" t="n">
        <v>0</v>
      </c>
      <c r="H536" s="10" t="n">
        <v>0</v>
      </c>
      <c r="I536" s="10" t="n">
        <v>14442.3</v>
      </c>
      <c r="J536" s="10" t="n">
        <v>0</v>
      </c>
      <c r="K536" s="10" t="n">
        <v>0</v>
      </c>
      <c r="L536" s="10" t="n">
        <v>0</v>
      </c>
      <c r="M536" s="10" t="n">
        <v>0</v>
      </c>
      <c r="N536" s="10" t="n">
        <v>0</v>
      </c>
      <c r="O536" s="10" t="n">
        <v>0</v>
      </c>
      <c r="P536" s="10" t="n">
        <v>0</v>
      </c>
      <c r="Q536" s="10" t="n">
        <v>14442.3</v>
      </c>
      <c r="R536" s="10" t="n">
        <v>0</v>
      </c>
      <c r="S536" s="10" t="n">
        <v>0</v>
      </c>
      <c r="T536" s="10" t="n">
        <v>0</v>
      </c>
      <c r="U536" s="10" t="n">
        <v>0</v>
      </c>
    </row>
    <row r="537" customFormat="false" ht="15" hidden="false" customHeight="false" outlineLevel="0" collapsed="false">
      <c r="A537" s="7" t="s">
        <v>394</v>
      </c>
      <c r="B537" s="7" t="s">
        <v>41</v>
      </c>
      <c r="C537" s="7" t="s">
        <v>920</v>
      </c>
      <c r="D537" s="10" t="n">
        <v>0</v>
      </c>
      <c r="E537" s="10" t="n">
        <v>0</v>
      </c>
      <c r="F537" s="10" t="n">
        <v>953.9</v>
      </c>
      <c r="G537" s="10" t="n">
        <v>0</v>
      </c>
      <c r="H537" s="10" t="n">
        <v>0</v>
      </c>
      <c r="I537" s="10" t="n">
        <v>23568.3</v>
      </c>
      <c r="J537" s="10" t="n">
        <v>0</v>
      </c>
      <c r="K537" s="10" t="n">
        <v>0</v>
      </c>
      <c r="L537" s="10" t="n">
        <v>0</v>
      </c>
      <c r="M537" s="10" t="n">
        <v>0</v>
      </c>
      <c r="N537" s="10" t="n">
        <v>0</v>
      </c>
      <c r="O537" s="10" t="n">
        <v>0</v>
      </c>
      <c r="P537" s="10" t="n">
        <v>0</v>
      </c>
      <c r="Q537" s="10" t="n">
        <v>23568.3</v>
      </c>
      <c r="R537" s="10" t="n">
        <v>0</v>
      </c>
      <c r="S537" s="10" t="n">
        <v>0</v>
      </c>
      <c r="T537" s="10" t="n">
        <v>0</v>
      </c>
      <c r="U537" s="10" t="n">
        <v>0</v>
      </c>
    </row>
    <row r="538" customFormat="false" ht="15" hidden="false" customHeight="false" outlineLevel="0" collapsed="false">
      <c r="A538" s="7" t="s">
        <v>394</v>
      </c>
      <c r="B538" s="7" t="s">
        <v>39</v>
      </c>
      <c r="C538" s="7" t="s">
        <v>921</v>
      </c>
      <c r="D538" s="10" t="n">
        <v>0</v>
      </c>
      <c r="E538" s="10" t="n">
        <v>0</v>
      </c>
      <c r="F538" s="10" t="n">
        <v>598.3</v>
      </c>
      <c r="G538" s="10" t="n">
        <v>0</v>
      </c>
      <c r="H538" s="10" t="n">
        <v>0</v>
      </c>
      <c r="I538" s="10" t="n">
        <v>7547.1</v>
      </c>
      <c r="J538" s="10" t="n">
        <v>0</v>
      </c>
      <c r="K538" s="10" t="n">
        <v>0</v>
      </c>
      <c r="L538" s="10" t="n">
        <v>0</v>
      </c>
      <c r="M538" s="10" t="n">
        <v>0</v>
      </c>
      <c r="N538" s="10" t="n">
        <v>0</v>
      </c>
      <c r="O538" s="10" t="n">
        <v>0</v>
      </c>
      <c r="P538" s="10" t="n">
        <v>0</v>
      </c>
      <c r="Q538" s="10" t="n">
        <v>7547.1</v>
      </c>
      <c r="R538" s="10" t="n">
        <v>0</v>
      </c>
      <c r="S538" s="10" t="n">
        <v>0</v>
      </c>
      <c r="T538" s="10" t="n">
        <v>0</v>
      </c>
      <c r="U538" s="10" t="n">
        <v>0</v>
      </c>
    </row>
    <row r="539" customFormat="false" ht="15" hidden="false" customHeight="false" outlineLevel="0" collapsed="false">
      <c r="A539" s="7" t="s">
        <v>394</v>
      </c>
      <c r="B539" s="7" t="s">
        <v>40</v>
      </c>
      <c r="C539" s="7" t="s">
        <v>921</v>
      </c>
      <c r="D539" s="10" t="n">
        <v>0</v>
      </c>
      <c r="E539" s="10" t="n">
        <v>0</v>
      </c>
      <c r="F539" s="10" t="n">
        <v>1609.5</v>
      </c>
      <c r="G539" s="10" t="n">
        <v>0</v>
      </c>
      <c r="H539" s="10" t="n">
        <v>0</v>
      </c>
      <c r="I539" s="10" t="n">
        <v>37871.7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n">
        <v>0</v>
      </c>
      <c r="O539" s="10" t="n">
        <v>0</v>
      </c>
      <c r="P539" s="10" t="n">
        <v>0</v>
      </c>
      <c r="Q539" s="10" t="n">
        <v>37871.7</v>
      </c>
      <c r="R539" s="10" t="n">
        <v>0</v>
      </c>
      <c r="S539" s="10" t="n">
        <v>0</v>
      </c>
      <c r="T539" s="10" t="n">
        <v>0</v>
      </c>
      <c r="U539" s="10" t="n">
        <v>0</v>
      </c>
    </row>
    <row r="540" customFormat="false" ht="15" hidden="false" customHeight="false" outlineLevel="0" collapsed="false">
      <c r="A540" s="7" t="s">
        <v>394</v>
      </c>
      <c r="B540" s="7" t="s">
        <v>41</v>
      </c>
      <c r="C540" s="7" t="s">
        <v>921</v>
      </c>
      <c r="D540" s="10" t="n">
        <v>0</v>
      </c>
      <c r="E540" s="10" t="n">
        <v>0</v>
      </c>
      <c r="F540" s="10" t="n">
        <v>1472.5</v>
      </c>
      <c r="G540" s="10" t="n">
        <v>0</v>
      </c>
      <c r="H540" s="10" t="n">
        <v>0</v>
      </c>
      <c r="I540" s="10" t="n">
        <v>55166.1</v>
      </c>
      <c r="J540" s="10" t="n">
        <v>0</v>
      </c>
      <c r="K540" s="10" t="n">
        <v>0</v>
      </c>
      <c r="L540" s="10" t="n">
        <v>0</v>
      </c>
      <c r="M540" s="10" t="n">
        <v>0</v>
      </c>
      <c r="N540" s="10" t="n">
        <v>0</v>
      </c>
      <c r="O540" s="10" t="n">
        <v>0</v>
      </c>
      <c r="P540" s="10" t="n">
        <v>0</v>
      </c>
      <c r="Q540" s="10" t="n">
        <v>55166.1</v>
      </c>
      <c r="R540" s="10" t="n">
        <v>0</v>
      </c>
      <c r="S540" s="10" t="n">
        <v>0</v>
      </c>
      <c r="T540" s="10" t="n">
        <v>0</v>
      </c>
      <c r="U540" s="10" t="n">
        <v>0</v>
      </c>
    </row>
    <row r="541" customFormat="false" ht="15" hidden="false" customHeight="false" outlineLevel="0" collapsed="false">
      <c r="A541" s="7" t="s">
        <v>394</v>
      </c>
      <c r="B541" s="7" t="s">
        <v>378</v>
      </c>
      <c r="C541" s="7" t="s">
        <v>984</v>
      </c>
      <c r="D541" s="10" t="n">
        <v>0</v>
      </c>
      <c r="E541" s="10" t="n">
        <v>0</v>
      </c>
      <c r="F541" s="10" t="n">
        <v>0</v>
      </c>
      <c r="G541" s="10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0</v>
      </c>
      <c r="N541" s="10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  <c r="S541" s="10" t="n">
        <v>0</v>
      </c>
      <c r="T541" s="10" t="n">
        <v>2563.6</v>
      </c>
      <c r="U541" s="10" t="n">
        <v>0</v>
      </c>
    </row>
    <row r="542" customFormat="false" ht="15" hidden="false" customHeight="false" outlineLevel="0" collapsed="false">
      <c r="A542" s="7" t="s">
        <v>394</v>
      </c>
      <c r="B542" s="7" t="s">
        <v>380</v>
      </c>
      <c r="C542" s="7" t="s">
        <v>985</v>
      </c>
      <c r="D542" s="10" t="n">
        <v>0</v>
      </c>
      <c r="E542" s="10" t="n">
        <v>0</v>
      </c>
      <c r="F542" s="10" t="n">
        <v>0</v>
      </c>
      <c r="G542" s="10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0</v>
      </c>
      <c r="N542" s="10" t="n">
        <v>0</v>
      </c>
      <c r="O542" s="10" t="n">
        <v>0</v>
      </c>
      <c r="P542" s="10" t="n">
        <v>0</v>
      </c>
      <c r="Q542" s="10" t="n">
        <v>0</v>
      </c>
      <c r="R542" s="10" t="n">
        <v>0</v>
      </c>
      <c r="S542" s="10" t="n">
        <v>0</v>
      </c>
      <c r="T542" s="10" t="n">
        <v>1496</v>
      </c>
      <c r="U542" s="10" t="n">
        <v>0</v>
      </c>
    </row>
    <row r="543" customFormat="false" ht="15" hidden="false" customHeight="false" outlineLevel="0" collapsed="false">
      <c r="A543" s="7" t="s">
        <v>394</v>
      </c>
      <c r="B543" s="7" t="s">
        <v>384</v>
      </c>
      <c r="C543" s="7" t="s">
        <v>695</v>
      </c>
      <c r="D543" s="10" t="n">
        <v>0</v>
      </c>
      <c r="E543" s="10" t="n">
        <v>0</v>
      </c>
      <c r="F543" s="10" t="n">
        <v>0</v>
      </c>
      <c r="G543" s="10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0</v>
      </c>
      <c r="N543" s="10" t="n">
        <v>0</v>
      </c>
      <c r="O543" s="10" t="n">
        <v>0</v>
      </c>
      <c r="P543" s="10" t="n">
        <v>0</v>
      </c>
      <c r="Q543" s="10" t="n">
        <v>0</v>
      </c>
      <c r="R543" s="10" t="n">
        <v>0</v>
      </c>
      <c r="S543" s="10" t="n">
        <v>0</v>
      </c>
      <c r="T543" s="10" t="n">
        <v>61.5</v>
      </c>
      <c r="U543" s="10" t="n">
        <v>0</v>
      </c>
    </row>
    <row r="544" customFormat="false" ht="15" hidden="false" customHeight="false" outlineLevel="0" collapsed="false">
      <c r="A544" s="7" t="s">
        <v>394</v>
      </c>
      <c r="B544" s="7" t="s">
        <v>111</v>
      </c>
      <c r="C544" s="7" t="s">
        <v>986</v>
      </c>
      <c r="D544" s="10" t="n">
        <v>0</v>
      </c>
      <c r="E544" s="10" t="n">
        <v>0</v>
      </c>
      <c r="F544" s="10" t="n">
        <v>1301.1</v>
      </c>
      <c r="G544" s="10" t="n">
        <v>0</v>
      </c>
      <c r="H544" s="10" t="n">
        <v>0</v>
      </c>
      <c r="I544" s="10" t="n">
        <v>5635.8</v>
      </c>
      <c r="J544" s="10" t="n">
        <v>0</v>
      </c>
      <c r="K544" s="10" t="n">
        <v>0</v>
      </c>
      <c r="L544" s="10" t="n">
        <v>0</v>
      </c>
      <c r="M544" s="10" t="n">
        <v>0</v>
      </c>
      <c r="N544" s="10" t="n">
        <v>0</v>
      </c>
      <c r="O544" s="10" t="n">
        <v>0</v>
      </c>
      <c r="P544" s="10" t="n">
        <v>0</v>
      </c>
      <c r="Q544" s="10" t="n">
        <v>5635.8</v>
      </c>
      <c r="R544" s="10" t="n">
        <v>0</v>
      </c>
      <c r="S544" s="10" t="n">
        <v>0</v>
      </c>
      <c r="T544" s="10" t="n">
        <v>1932</v>
      </c>
      <c r="U544" s="10" t="n">
        <v>0</v>
      </c>
    </row>
    <row r="545" customFormat="false" ht="15" hidden="false" customHeight="false" outlineLevel="0" collapsed="false">
      <c r="A545" s="7" t="s">
        <v>394</v>
      </c>
      <c r="B545" s="7" t="s">
        <v>382</v>
      </c>
      <c r="C545" s="7" t="s">
        <v>987</v>
      </c>
      <c r="D545" s="10" t="n">
        <v>0</v>
      </c>
      <c r="E545" s="10" t="n">
        <v>0</v>
      </c>
      <c r="F545" s="10" t="n">
        <v>0</v>
      </c>
      <c r="G545" s="10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0</v>
      </c>
      <c r="N545" s="10" t="n">
        <v>0</v>
      </c>
      <c r="O545" s="10" t="n">
        <v>0</v>
      </c>
      <c r="P545" s="10" t="n">
        <v>0</v>
      </c>
      <c r="Q545" s="10" t="n">
        <v>0</v>
      </c>
      <c r="R545" s="10" t="n">
        <v>0</v>
      </c>
      <c r="S545" s="10" t="n">
        <v>0</v>
      </c>
      <c r="T545" s="10" t="n">
        <v>800</v>
      </c>
      <c r="U545" s="10" t="n">
        <v>0</v>
      </c>
    </row>
    <row r="546" customFormat="false" ht="15" hidden="false" customHeight="false" outlineLevel="0" collapsed="false">
      <c r="A546" s="7" t="s">
        <v>394</v>
      </c>
      <c r="B546" s="7" t="s">
        <v>132</v>
      </c>
      <c r="C546" s="7" t="s">
        <v>923</v>
      </c>
      <c r="D546" s="10" t="n">
        <v>0</v>
      </c>
      <c r="E546" s="10" t="n">
        <v>0</v>
      </c>
      <c r="F546" s="10" t="n">
        <v>1132.5</v>
      </c>
      <c r="G546" s="10" t="n">
        <v>0</v>
      </c>
      <c r="H546" s="10" t="n">
        <v>0</v>
      </c>
      <c r="I546" s="10" t="n">
        <v>1293.3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n">
        <v>0</v>
      </c>
      <c r="O546" s="10" t="n">
        <v>0</v>
      </c>
      <c r="P546" s="10" t="n">
        <v>0</v>
      </c>
      <c r="Q546" s="10" t="n">
        <v>1293.3</v>
      </c>
      <c r="R546" s="10" t="n">
        <v>0</v>
      </c>
      <c r="S546" s="10" t="n">
        <v>0</v>
      </c>
      <c r="T546" s="10" t="n">
        <v>672</v>
      </c>
      <c r="U546" s="10" t="n">
        <v>0</v>
      </c>
    </row>
    <row r="547" customFormat="false" ht="15" hidden="false" customHeight="false" outlineLevel="0" collapsed="false">
      <c r="A547" s="7" t="s">
        <v>394</v>
      </c>
      <c r="B547" s="7" t="s">
        <v>132</v>
      </c>
      <c r="C547" s="7" t="s">
        <v>924</v>
      </c>
      <c r="D547" s="10" t="n">
        <v>0</v>
      </c>
      <c r="E547" s="10" t="n">
        <v>0</v>
      </c>
      <c r="F547" s="10" t="n">
        <v>1147.2</v>
      </c>
      <c r="G547" s="10" t="n">
        <v>0</v>
      </c>
      <c r="H547" s="10" t="n">
        <v>0</v>
      </c>
      <c r="I547" s="10" t="n">
        <v>1278</v>
      </c>
      <c r="J547" s="10" t="n">
        <v>0</v>
      </c>
      <c r="K547" s="10" t="n">
        <v>0</v>
      </c>
      <c r="L547" s="10" t="n">
        <v>0</v>
      </c>
      <c r="M547" s="10" t="n">
        <v>0</v>
      </c>
      <c r="N547" s="10" t="n">
        <v>0</v>
      </c>
      <c r="O547" s="10" t="n">
        <v>0</v>
      </c>
      <c r="P547" s="10" t="n">
        <v>0</v>
      </c>
      <c r="Q547" s="10" t="n">
        <v>1278</v>
      </c>
      <c r="R547" s="10" t="n">
        <v>0</v>
      </c>
      <c r="S547" s="10" t="n">
        <v>0</v>
      </c>
      <c r="T547" s="10" t="n">
        <v>1134</v>
      </c>
      <c r="U547" s="10" t="n">
        <v>0</v>
      </c>
    </row>
    <row r="548" customFormat="false" ht="15" hidden="false" customHeight="false" outlineLevel="0" collapsed="false">
      <c r="A548" s="7" t="s">
        <v>394</v>
      </c>
      <c r="B548" s="7" t="s">
        <v>295</v>
      </c>
      <c r="C548" s="7" t="s">
        <v>988</v>
      </c>
      <c r="D548" s="10" t="n">
        <v>0</v>
      </c>
      <c r="E548" s="10" t="n">
        <v>0</v>
      </c>
      <c r="F548" s="10" t="n">
        <v>646.3</v>
      </c>
      <c r="G548" s="10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0</v>
      </c>
      <c r="N548" s="10" t="n">
        <v>0</v>
      </c>
      <c r="O548" s="10" t="n">
        <v>0</v>
      </c>
      <c r="P548" s="10" t="n">
        <v>0</v>
      </c>
      <c r="Q548" s="10" t="n">
        <v>0</v>
      </c>
      <c r="R548" s="10" t="n">
        <v>0</v>
      </c>
      <c r="S548" s="10" t="n">
        <v>0</v>
      </c>
      <c r="T548" s="10" t="n">
        <v>0</v>
      </c>
      <c r="U548" s="10" t="n">
        <v>0</v>
      </c>
    </row>
    <row r="549" customFormat="false" ht="15" hidden="false" customHeight="false" outlineLevel="0" collapsed="false">
      <c r="A549" s="7" t="s">
        <v>394</v>
      </c>
      <c r="B549" s="7" t="s">
        <v>144</v>
      </c>
      <c r="C549" s="7" t="s">
        <v>925</v>
      </c>
      <c r="D549" s="10" t="n">
        <v>0</v>
      </c>
      <c r="E549" s="10" t="n">
        <v>0</v>
      </c>
      <c r="F549" s="10" t="n">
        <v>9873.9</v>
      </c>
      <c r="G549" s="10" t="n">
        <v>0</v>
      </c>
      <c r="H549" s="10" t="n">
        <v>0</v>
      </c>
      <c r="I549" s="10" t="n">
        <v>10680.7</v>
      </c>
      <c r="J549" s="10" t="n">
        <v>0</v>
      </c>
      <c r="K549" s="10" t="n">
        <v>0</v>
      </c>
      <c r="L549" s="10" t="n">
        <v>0</v>
      </c>
      <c r="M549" s="10" t="n">
        <v>0</v>
      </c>
      <c r="N549" s="10" t="n">
        <v>0</v>
      </c>
      <c r="O549" s="10" t="n">
        <v>0</v>
      </c>
      <c r="P549" s="10" t="n">
        <v>0</v>
      </c>
      <c r="Q549" s="10" t="n">
        <v>10680.7</v>
      </c>
      <c r="R549" s="10" t="n">
        <v>0</v>
      </c>
      <c r="S549" s="10" t="n">
        <v>0</v>
      </c>
      <c r="T549" s="10" t="n">
        <v>429.2</v>
      </c>
      <c r="U549" s="10" t="n">
        <v>0</v>
      </c>
    </row>
    <row r="550" customFormat="false" ht="15" hidden="false" customHeight="false" outlineLevel="0" collapsed="false">
      <c r="A550" s="7" t="s">
        <v>394</v>
      </c>
      <c r="B550" s="7" t="s">
        <v>64</v>
      </c>
      <c r="C550" s="7" t="s">
        <v>926</v>
      </c>
      <c r="D550" s="10" t="n">
        <v>0</v>
      </c>
      <c r="E550" s="10" t="n">
        <v>0</v>
      </c>
      <c r="F550" s="10" t="n">
        <v>2943.4</v>
      </c>
      <c r="G550" s="10" t="n">
        <v>0</v>
      </c>
      <c r="H550" s="10" t="n">
        <v>0</v>
      </c>
      <c r="I550" s="10" t="n">
        <v>3043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0</v>
      </c>
      <c r="O550" s="10" t="n">
        <v>0</v>
      </c>
      <c r="P550" s="10" t="n">
        <v>0</v>
      </c>
      <c r="Q550" s="10" t="n">
        <v>3043</v>
      </c>
      <c r="R550" s="10" t="n">
        <v>0</v>
      </c>
      <c r="S550" s="10" t="n">
        <v>0</v>
      </c>
      <c r="T550" s="10" t="n">
        <v>1500</v>
      </c>
      <c r="U550" s="10" t="n">
        <v>0</v>
      </c>
    </row>
    <row r="551" customFormat="false" ht="15" hidden="false" customHeight="false" outlineLevel="0" collapsed="false">
      <c r="A551" s="7" t="s">
        <v>394</v>
      </c>
      <c r="B551" s="7" t="s">
        <v>64</v>
      </c>
      <c r="C551" s="7" t="s">
        <v>927</v>
      </c>
      <c r="D551" s="10" t="n">
        <v>0</v>
      </c>
      <c r="E551" s="10" t="n">
        <v>0</v>
      </c>
      <c r="F551" s="10" t="n">
        <v>4149.5</v>
      </c>
      <c r="G551" s="10" t="n">
        <v>0</v>
      </c>
      <c r="H551" s="10" t="n">
        <v>0</v>
      </c>
      <c r="I551" s="10" t="n">
        <v>3627.8</v>
      </c>
      <c r="J551" s="10" t="n">
        <v>0</v>
      </c>
      <c r="K551" s="10" t="n">
        <v>0</v>
      </c>
      <c r="L551" s="10" t="n">
        <v>0</v>
      </c>
      <c r="M551" s="10" t="n">
        <v>0</v>
      </c>
      <c r="N551" s="10" t="n">
        <v>0</v>
      </c>
      <c r="O551" s="10" t="n">
        <v>0</v>
      </c>
      <c r="P551" s="10" t="n">
        <v>0</v>
      </c>
      <c r="Q551" s="10" t="n">
        <v>3627.8</v>
      </c>
      <c r="R551" s="10" t="n">
        <v>0</v>
      </c>
      <c r="S551" s="10" t="n">
        <v>0</v>
      </c>
      <c r="T551" s="10" t="n">
        <v>0</v>
      </c>
      <c r="U551" s="10" t="n">
        <v>0</v>
      </c>
    </row>
    <row r="552" customFormat="false" ht="15" hidden="false" customHeight="false" outlineLevel="0" collapsed="false">
      <c r="A552" s="7" t="s">
        <v>394</v>
      </c>
      <c r="B552" s="7" t="s">
        <v>64</v>
      </c>
      <c r="C552" s="7" t="s">
        <v>928</v>
      </c>
      <c r="D552" s="10" t="n">
        <v>0</v>
      </c>
      <c r="E552" s="10" t="n">
        <v>0</v>
      </c>
      <c r="F552" s="10" t="n">
        <v>4393.6</v>
      </c>
      <c r="G552" s="10" t="n">
        <v>0</v>
      </c>
      <c r="H552" s="10" t="n">
        <v>0</v>
      </c>
      <c r="I552" s="10" t="n">
        <v>4687.8</v>
      </c>
      <c r="J552" s="10" t="n">
        <v>0</v>
      </c>
      <c r="K552" s="10" t="n">
        <v>0</v>
      </c>
      <c r="L552" s="10" t="n">
        <v>0</v>
      </c>
      <c r="M552" s="10" t="n">
        <v>0</v>
      </c>
      <c r="N552" s="10" t="n">
        <v>0</v>
      </c>
      <c r="O552" s="10" t="n">
        <v>0</v>
      </c>
      <c r="P552" s="10" t="n">
        <v>0</v>
      </c>
      <c r="Q552" s="10" t="n">
        <v>4687.8</v>
      </c>
      <c r="R552" s="10" t="n">
        <v>0</v>
      </c>
      <c r="S552" s="10" t="n">
        <v>0</v>
      </c>
      <c r="T552" s="10" t="n">
        <v>2125</v>
      </c>
      <c r="U552" s="10" t="n">
        <v>0</v>
      </c>
    </row>
    <row r="553" customFormat="false" ht="15" hidden="false" customHeight="false" outlineLevel="0" collapsed="false">
      <c r="A553" s="7" t="s">
        <v>394</v>
      </c>
      <c r="B553" s="7" t="s">
        <v>64</v>
      </c>
      <c r="C553" s="7" t="s">
        <v>929</v>
      </c>
      <c r="D553" s="10" t="n">
        <v>0</v>
      </c>
      <c r="E553" s="10" t="n">
        <v>0</v>
      </c>
      <c r="F553" s="10" t="n">
        <v>5212</v>
      </c>
      <c r="G553" s="10" t="n">
        <v>0</v>
      </c>
      <c r="H553" s="10" t="n">
        <v>0</v>
      </c>
      <c r="I553" s="10" t="n">
        <v>7611.9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n">
        <v>0</v>
      </c>
      <c r="O553" s="10" t="n">
        <v>0</v>
      </c>
      <c r="P553" s="10" t="n">
        <v>0</v>
      </c>
      <c r="Q553" s="10" t="n">
        <v>7611.9</v>
      </c>
      <c r="R553" s="10" t="n">
        <v>0</v>
      </c>
      <c r="S553" s="10" t="n">
        <v>0</v>
      </c>
      <c r="T553" s="10" t="n">
        <v>3125</v>
      </c>
      <c r="U553" s="10" t="n">
        <v>0</v>
      </c>
    </row>
    <row r="554" customFormat="false" ht="15" hidden="false" customHeight="false" outlineLevel="0" collapsed="false">
      <c r="A554" s="7" t="s">
        <v>394</v>
      </c>
      <c r="B554" s="7" t="s">
        <v>64</v>
      </c>
      <c r="C554" s="7" t="s">
        <v>930</v>
      </c>
      <c r="D554" s="10" t="n">
        <v>0</v>
      </c>
      <c r="E554" s="10" t="n">
        <v>0</v>
      </c>
      <c r="F554" s="10" t="n">
        <v>4082.8</v>
      </c>
      <c r="G554" s="10" t="n">
        <v>0</v>
      </c>
      <c r="H554" s="10" t="n">
        <v>0</v>
      </c>
      <c r="I554" s="10" t="n">
        <v>5400.5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n">
        <v>0</v>
      </c>
      <c r="O554" s="10" t="n">
        <v>0</v>
      </c>
      <c r="P554" s="10" t="n">
        <v>0</v>
      </c>
      <c r="Q554" s="10" t="n">
        <v>5400.5</v>
      </c>
      <c r="R554" s="10" t="n">
        <v>0</v>
      </c>
      <c r="S554" s="10" t="n">
        <v>0</v>
      </c>
      <c r="T554" s="10" t="n">
        <v>3250</v>
      </c>
      <c r="U554" s="10" t="n">
        <v>0</v>
      </c>
    </row>
    <row r="555" customFormat="false" ht="15" hidden="false" customHeight="false" outlineLevel="0" collapsed="false">
      <c r="A555" s="7" t="s">
        <v>394</v>
      </c>
      <c r="B555" s="7" t="s">
        <v>64</v>
      </c>
      <c r="C555" s="7" t="s">
        <v>989</v>
      </c>
      <c r="D555" s="10" t="n">
        <v>0</v>
      </c>
      <c r="E555" s="10" t="n">
        <v>0</v>
      </c>
      <c r="F555" s="10" t="n">
        <v>2498.3</v>
      </c>
      <c r="G555" s="10" t="n">
        <v>0</v>
      </c>
      <c r="H555" s="10" t="n">
        <v>0</v>
      </c>
      <c r="I555" s="10" t="n">
        <v>2522.1</v>
      </c>
      <c r="J555" s="10" t="n">
        <v>0</v>
      </c>
      <c r="K555" s="10" t="n">
        <v>0</v>
      </c>
      <c r="L555" s="10" t="n">
        <v>0</v>
      </c>
      <c r="M555" s="10" t="n">
        <v>0</v>
      </c>
      <c r="N555" s="10" t="n">
        <v>0</v>
      </c>
      <c r="O555" s="10" t="n">
        <v>0</v>
      </c>
      <c r="P555" s="10" t="n">
        <v>0</v>
      </c>
      <c r="Q555" s="10" t="n">
        <v>2522.1</v>
      </c>
      <c r="R555" s="10" t="n">
        <v>0</v>
      </c>
      <c r="S555" s="10" t="n">
        <v>0</v>
      </c>
      <c r="T555" s="10" t="n">
        <v>2125</v>
      </c>
      <c r="U555" s="10" t="n">
        <v>0</v>
      </c>
    </row>
    <row r="556" customFormat="false" ht="15" hidden="false" customHeight="false" outlineLevel="0" collapsed="false">
      <c r="A556" s="7" t="s">
        <v>931</v>
      </c>
      <c r="B556" s="7" t="s">
        <v>82</v>
      </c>
      <c r="C556" s="7" t="s">
        <v>395</v>
      </c>
      <c r="D556" s="10" t="n">
        <v>0</v>
      </c>
      <c r="E556" s="10" t="n">
        <v>0</v>
      </c>
      <c r="F556" s="10" t="n">
        <v>239</v>
      </c>
      <c r="G556" s="10" t="n">
        <v>0</v>
      </c>
      <c r="H556" s="10" t="n">
        <v>1</v>
      </c>
      <c r="I556" s="10" t="n">
        <v>839</v>
      </c>
      <c r="J556" s="10" t="n">
        <v>0</v>
      </c>
      <c r="K556" s="10" t="n">
        <v>8</v>
      </c>
      <c r="L556" s="10" t="n">
        <v>0</v>
      </c>
      <c r="M556" s="10" t="n">
        <v>0</v>
      </c>
      <c r="N556" s="10" t="n">
        <v>6</v>
      </c>
      <c r="O556" s="10" t="n">
        <v>0</v>
      </c>
      <c r="P556" s="10" t="n">
        <v>-1</v>
      </c>
      <c r="Q556" s="10" t="n">
        <v>742</v>
      </c>
      <c r="R556" s="10" t="n">
        <v>84</v>
      </c>
      <c r="S556" s="10" t="n">
        <v>0</v>
      </c>
      <c r="T556" s="10" t="n">
        <v>61</v>
      </c>
      <c r="U556" s="10" t="n">
        <v>0</v>
      </c>
    </row>
    <row r="557" customFormat="false" ht="15" hidden="false" customHeight="false" outlineLevel="0" collapsed="false">
      <c r="A557" s="7" t="s">
        <v>931</v>
      </c>
      <c r="B557" s="7" t="s">
        <v>82</v>
      </c>
      <c r="C557" s="7" t="s">
        <v>396</v>
      </c>
      <c r="D557" s="10" t="n">
        <v>0</v>
      </c>
      <c r="E557" s="10" t="n">
        <v>0</v>
      </c>
      <c r="F557" s="10" t="n">
        <v>277</v>
      </c>
      <c r="G557" s="10" t="n">
        <v>0</v>
      </c>
      <c r="H557" s="10" t="n">
        <v>0</v>
      </c>
      <c r="I557" s="10" t="n">
        <v>908</v>
      </c>
      <c r="J557" s="10" t="n">
        <v>0</v>
      </c>
      <c r="K557" s="10" t="n">
        <v>15</v>
      </c>
      <c r="L557" s="10" t="n">
        <v>0</v>
      </c>
      <c r="M557" s="10" t="n">
        <v>0</v>
      </c>
      <c r="N557" s="10" t="n">
        <v>11</v>
      </c>
      <c r="O557" s="10" t="n">
        <v>0</v>
      </c>
      <c r="P557" s="10" t="n">
        <v>-2</v>
      </c>
      <c r="Q557" s="10" t="n">
        <v>807</v>
      </c>
      <c r="R557" s="10" t="n">
        <v>77</v>
      </c>
      <c r="S557" s="10" t="n">
        <v>0</v>
      </c>
      <c r="T557" s="10" t="n">
        <v>86</v>
      </c>
      <c r="U557" s="10" t="n">
        <v>0</v>
      </c>
    </row>
    <row r="558" customFormat="false" ht="15" hidden="false" customHeight="false" outlineLevel="0" collapsed="false">
      <c r="A558" s="7" t="s">
        <v>931</v>
      </c>
      <c r="B558" s="7" t="s">
        <v>293</v>
      </c>
      <c r="C558" s="7" t="s">
        <v>397</v>
      </c>
      <c r="D558" s="10" t="n">
        <v>0</v>
      </c>
      <c r="E558" s="10" t="n">
        <v>0</v>
      </c>
      <c r="F558" s="10" t="n">
        <v>181</v>
      </c>
      <c r="G558" s="10" t="n">
        <v>0</v>
      </c>
      <c r="H558" s="10" t="n">
        <v>0</v>
      </c>
      <c r="I558" s="10" t="n">
        <v>163</v>
      </c>
      <c r="J558" s="10" t="n">
        <v>0</v>
      </c>
      <c r="K558" s="10" t="n">
        <v>5</v>
      </c>
      <c r="L558" s="10" t="n">
        <v>0</v>
      </c>
      <c r="M558" s="10" t="n">
        <v>0</v>
      </c>
      <c r="N558" s="10" t="n">
        <v>3</v>
      </c>
      <c r="O558" s="10" t="n">
        <v>6</v>
      </c>
      <c r="P558" s="10" t="n">
        <v>-2</v>
      </c>
      <c r="Q558" s="10" t="n">
        <v>0</v>
      </c>
      <c r="R558" s="10" t="n">
        <v>151</v>
      </c>
      <c r="S558" s="10" t="n">
        <v>0</v>
      </c>
      <c r="T558" s="10" t="n">
        <v>138</v>
      </c>
      <c r="U558" s="10" t="n">
        <v>0</v>
      </c>
    </row>
    <row r="559" customFormat="false" ht="15" hidden="false" customHeight="false" outlineLevel="0" collapsed="false">
      <c r="A559" s="7" t="s">
        <v>931</v>
      </c>
      <c r="B559" s="7" t="s">
        <v>308</v>
      </c>
      <c r="C559" s="7" t="s">
        <v>398</v>
      </c>
      <c r="D559" s="10" t="n">
        <v>0</v>
      </c>
      <c r="E559" s="10" t="n">
        <v>0</v>
      </c>
      <c r="F559" s="10" t="n">
        <v>48</v>
      </c>
      <c r="G559" s="10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0</v>
      </c>
      <c r="N559" s="10" t="n">
        <v>0</v>
      </c>
      <c r="O559" s="10" t="n">
        <v>0</v>
      </c>
      <c r="P559" s="10" t="n">
        <v>0</v>
      </c>
      <c r="Q559" s="10" t="n">
        <v>0</v>
      </c>
      <c r="R559" s="10" t="n">
        <v>0</v>
      </c>
      <c r="S559" s="10" t="n">
        <v>0</v>
      </c>
      <c r="T559" s="10" t="n">
        <v>0</v>
      </c>
      <c r="U559" s="10" t="n">
        <v>0</v>
      </c>
    </row>
    <row r="560" customFormat="false" ht="15" hidden="false" customHeight="false" outlineLevel="0" collapsed="false">
      <c r="A560" s="7" t="s">
        <v>931</v>
      </c>
      <c r="B560" s="7" t="s">
        <v>337</v>
      </c>
      <c r="C560" s="7" t="s">
        <v>399</v>
      </c>
      <c r="D560" s="10" t="n">
        <v>0</v>
      </c>
      <c r="E560" s="10" t="n">
        <v>0</v>
      </c>
      <c r="F560" s="10" t="n">
        <v>21</v>
      </c>
      <c r="G560" s="10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0</v>
      </c>
      <c r="O560" s="10" t="n">
        <v>0</v>
      </c>
      <c r="P560" s="10" t="n">
        <v>0</v>
      </c>
      <c r="Q560" s="10" t="n">
        <v>0</v>
      </c>
      <c r="R560" s="10" t="n">
        <v>0</v>
      </c>
      <c r="S560" s="10" t="n">
        <v>0</v>
      </c>
      <c r="T560" s="10" t="n">
        <v>0</v>
      </c>
      <c r="U560" s="10" t="n">
        <v>0</v>
      </c>
    </row>
    <row r="561" customFormat="false" ht="15" hidden="false" customHeight="false" outlineLevel="0" collapsed="false">
      <c r="A561" s="7" t="s">
        <v>931</v>
      </c>
      <c r="B561" s="7" t="s">
        <v>341</v>
      </c>
      <c r="C561" s="7" t="s">
        <v>400</v>
      </c>
      <c r="D561" s="10" t="n">
        <v>0</v>
      </c>
      <c r="E561" s="10" t="n">
        <v>0</v>
      </c>
      <c r="F561" s="10" t="n">
        <v>19</v>
      </c>
      <c r="G561" s="10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0</v>
      </c>
      <c r="O561" s="10" t="n">
        <v>0</v>
      </c>
      <c r="P561" s="10" t="n">
        <v>0</v>
      </c>
      <c r="Q561" s="10" t="n">
        <v>0</v>
      </c>
      <c r="R561" s="10" t="n">
        <v>0</v>
      </c>
      <c r="S561" s="10" t="n">
        <v>0</v>
      </c>
      <c r="T561" s="10" t="n">
        <v>0</v>
      </c>
      <c r="U561" s="10" t="n">
        <v>0</v>
      </c>
    </row>
    <row r="562" customFormat="false" ht="15" hidden="false" customHeight="false" outlineLevel="0" collapsed="false">
      <c r="A562" s="7" t="s">
        <v>931</v>
      </c>
      <c r="B562" s="7" t="s">
        <v>336</v>
      </c>
      <c r="C562" s="7" t="s">
        <v>401</v>
      </c>
      <c r="D562" s="10" t="n">
        <v>0</v>
      </c>
      <c r="E562" s="10" t="n">
        <v>0</v>
      </c>
      <c r="F562" s="10" t="n">
        <v>41</v>
      </c>
      <c r="G562" s="10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0</v>
      </c>
      <c r="N562" s="10" t="n">
        <v>0</v>
      </c>
      <c r="O562" s="10" t="n">
        <v>0</v>
      </c>
      <c r="P562" s="10" t="n">
        <v>0</v>
      </c>
      <c r="Q562" s="10" t="n">
        <v>0</v>
      </c>
      <c r="R562" s="10" t="n">
        <v>0</v>
      </c>
      <c r="S562" s="10" t="n">
        <v>0</v>
      </c>
      <c r="T562" s="10" t="n">
        <v>0</v>
      </c>
      <c r="U562" s="10" t="n">
        <v>0</v>
      </c>
    </row>
    <row r="563" customFormat="false" ht="15" hidden="false" customHeight="false" outlineLevel="0" collapsed="false">
      <c r="A563" s="7" t="s">
        <v>931</v>
      </c>
      <c r="B563" s="7" t="s">
        <v>143</v>
      </c>
      <c r="C563" s="7" t="s">
        <v>402</v>
      </c>
      <c r="D563" s="10" t="n">
        <v>0</v>
      </c>
      <c r="E563" s="10" t="n">
        <v>0</v>
      </c>
      <c r="F563" s="10" t="n">
        <v>105</v>
      </c>
      <c r="G563" s="10" t="n">
        <v>0</v>
      </c>
      <c r="H563" s="10" t="n">
        <v>0</v>
      </c>
      <c r="I563" s="10" t="n">
        <v>125</v>
      </c>
      <c r="J563" s="10" t="n">
        <v>0</v>
      </c>
      <c r="K563" s="10" t="n">
        <v>2</v>
      </c>
      <c r="L563" s="10" t="n">
        <v>0</v>
      </c>
      <c r="M563" s="10" t="n">
        <v>0</v>
      </c>
      <c r="N563" s="10" t="n">
        <v>0</v>
      </c>
      <c r="O563" s="10" t="n">
        <v>0</v>
      </c>
      <c r="P563" s="10" t="n">
        <v>-2</v>
      </c>
      <c r="Q563" s="10" t="n">
        <v>101</v>
      </c>
      <c r="R563" s="10" t="n">
        <v>24</v>
      </c>
      <c r="S563" s="10" t="n">
        <v>0</v>
      </c>
      <c r="T563" s="10" t="n">
        <v>41</v>
      </c>
      <c r="U563" s="10" t="n">
        <v>0</v>
      </c>
    </row>
    <row r="564" customFormat="false" ht="15" hidden="false" customHeight="false" outlineLevel="0" collapsed="false">
      <c r="A564" s="7" t="s">
        <v>931</v>
      </c>
      <c r="B564" s="7" t="s">
        <v>91</v>
      </c>
      <c r="C564" s="7" t="s">
        <v>403</v>
      </c>
      <c r="D564" s="10" t="n">
        <v>0</v>
      </c>
      <c r="E564" s="10" t="n">
        <v>0</v>
      </c>
      <c r="F564" s="10" t="n">
        <v>208</v>
      </c>
      <c r="G564" s="10" t="n">
        <v>0</v>
      </c>
      <c r="H564" s="10" t="n">
        <v>3</v>
      </c>
      <c r="I564" s="10" t="n">
        <v>1386</v>
      </c>
      <c r="J564" s="10" t="n">
        <v>0</v>
      </c>
      <c r="K564" s="10" t="n">
        <v>10</v>
      </c>
      <c r="L564" s="10" t="n">
        <v>0</v>
      </c>
      <c r="M564" s="10" t="n">
        <v>8</v>
      </c>
      <c r="N564" s="10" t="n">
        <v>6</v>
      </c>
      <c r="O564" s="10" t="n">
        <v>0</v>
      </c>
      <c r="P564" s="10" t="n">
        <v>-3</v>
      </c>
      <c r="Q564" s="10" t="n">
        <v>1332</v>
      </c>
      <c r="R564" s="10" t="n">
        <v>33</v>
      </c>
      <c r="S564" s="10" t="n">
        <v>0</v>
      </c>
      <c r="T564" s="10" t="n">
        <v>78</v>
      </c>
      <c r="U564" s="10" t="n">
        <v>-3</v>
      </c>
    </row>
    <row r="565" customFormat="false" ht="15" hidden="false" customHeight="false" outlineLevel="0" collapsed="false">
      <c r="A565" s="7" t="s">
        <v>931</v>
      </c>
      <c r="B565" s="7" t="s">
        <v>377</v>
      </c>
      <c r="C565" s="7" t="s">
        <v>934</v>
      </c>
      <c r="D565" s="10" t="n">
        <v>0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>
        <v>0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0</v>
      </c>
      <c r="O565" s="10" t="n">
        <v>0</v>
      </c>
      <c r="P565" s="10" t="n">
        <v>0</v>
      </c>
      <c r="Q565" s="10" t="n">
        <v>0</v>
      </c>
      <c r="R565" s="10" t="n">
        <v>0</v>
      </c>
      <c r="S565" s="10" t="n">
        <v>0</v>
      </c>
      <c r="T565" s="10" t="n">
        <v>56</v>
      </c>
      <c r="U565" s="10" t="n">
        <v>0</v>
      </c>
    </row>
    <row r="566" customFormat="false" ht="15" hidden="false" customHeight="false" outlineLevel="0" collapsed="false">
      <c r="A566" s="7" t="s">
        <v>931</v>
      </c>
      <c r="B566" s="7" t="s">
        <v>119</v>
      </c>
      <c r="C566" s="7" t="s">
        <v>404</v>
      </c>
      <c r="D566" s="10" t="n">
        <v>0</v>
      </c>
      <c r="E566" s="10" t="n">
        <v>0</v>
      </c>
      <c r="F566" s="10" t="n">
        <v>11</v>
      </c>
      <c r="G566" s="10" t="n">
        <v>0</v>
      </c>
      <c r="H566" s="10" t="n">
        <v>0</v>
      </c>
      <c r="I566" s="10" t="n">
        <v>11</v>
      </c>
      <c r="J566" s="10" t="n">
        <v>0</v>
      </c>
      <c r="K566" s="10" t="n">
        <v>0</v>
      </c>
      <c r="L566" s="10" t="n">
        <v>0</v>
      </c>
      <c r="M566" s="10" t="n">
        <v>0</v>
      </c>
      <c r="N566" s="10" t="n">
        <v>0</v>
      </c>
      <c r="O566" s="10" t="n">
        <v>0</v>
      </c>
      <c r="P566" s="10" t="n">
        <v>-1</v>
      </c>
      <c r="Q566" s="10" t="n">
        <v>7</v>
      </c>
      <c r="R566" s="10" t="n">
        <v>5</v>
      </c>
      <c r="S566" s="10" t="n">
        <v>0</v>
      </c>
      <c r="T566" s="10" t="n">
        <v>2</v>
      </c>
      <c r="U566" s="10" t="n">
        <v>0</v>
      </c>
    </row>
    <row r="567" customFormat="false" ht="15" hidden="false" customHeight="false" outlineLevel="0" collapsed="false">
      <c r="A567" s="7" t="s">
        <v>931</v>
      </c>
      <c r="B567" s="7" t="s">
        <v>119</v>
      </c>
      <c r="C567" s="7" t="s">
        <v>405</v>
      </c>
      <c r="D567" s="10" t="n">
        <v>0</v>
      </c>
      <c r="E567" s="10" t="n">
        <v>0</v>
      </c>
      <c r="F567" s="10" t="n">
        <v>15</v>
      </c>
      <c r="G567" s="10" t="n">
        <v>0</v>
      </c>
      <c r="H567" s="10" t="n">
        <v>0</v>
      </c>
      <c r="I567" s="10" t="n">
        <v>30</v>
      </c>
      <c r="J567" s="10" t="n">
        <v>0</v>
      </c>
      <c r="K567" s="10" t="n">
        <v>0</v>
      </c>
      <c r="L567" s="10" t="n">
        <v>0</v>
      </c>
      <c r="M567" s="10" t="n">
        <v>0</v>
      </c>
      <c r="N567" s="10" t="n">
        <v>0</v>
      </c>
      <c r="O567" s="10" t="n">
        <v>0</v>
      </c>
      <c r="P567" s="10" t="n">
        <v>-2</v>
      </c>
      <c r="Q567" s="10" t="n">
        <v>28</v>
      </c>
      <c r="R567" s="10" t="n">
        <v>4</v>
      </c>
      <c r="S567" s="10" t="n">
        <v>0</v>
      </c>
      <c r="T567" s="10" t="n">
        <v>6</v>
      </c>
      <c r="U567" s="10" t="n">
        <v>0</v>
      </c>
    </row>
    <row r="568" customFormat="false" ht="15" hidden="false" customHeight="false" outlineLevel="0" collapsed="false">
      <c r="A568" s="7" t="s">
        <v>931</v>
      </c>
      <c r="B568" s="7" t="s">
        <v>119</v>
      </c>
      <c r="C568" s="7" t="s">
        <v>406</v>
      </c>
      <c r="D568" s="10" t="n">
        <v>0</v>
      </c>
      <c r="E568" s="10" t="n">
        <v>0</v>
      </c>
      <c r="F568" s="10" t="n">
        <v>23</v>
      </c>
      <c r="G568" s="10" t="n">
        <v>0</v>
      </c>
      <c r="H568" s="10" t="n">
        <v>0</v>
      </c>
      <c r="I568" s="10" t="n">
        <v>32</v>
      </c>
      <c r="J568" s="10" t="n">
        <v>0</v>
      </c>
      <c r="K568" s="10" t="n">
        <v>0</v>
      </c>
      <c r="L568" s="10" t="n">
        <v>0</v>
      </c>
      <c r="M568" s="10" t="n">
        <v>0</v>
      </c>
      <c r="N568" s="10" t="n">
        <v>0</v>
      </c>
      <c r="O568" s="10" t="n">
        <v>0</v>
      </c>
      <c r="P568" s="10" t="n">
        <v>-1</v>
      </c>
      <c r="Q568" s="10" t="n">
        <v>30</v>
      </c>
      <c r="R568" s="10" t="n">
        <v>3</v>
      </c>
      <c r="S568" s="10" t="n">
        <v>0</v>
      </c>
      <c r="T568" s="10" t="n">
        <v>18</v>
      </c>
      <c r="U568" s="10" t="n">
        <v>0</v>
      </c>
    </row>
    <row r="569" customFormat="false" ht="15" hidden="false" customHeight="false" outlineLevel="0" collapsed="false">
      <c r="A569" s="7" t="s">
        <v>931</v>
      </c>
      <c r="B569" s="7" t="s">
        <v>141</v>
      </c>
      <c r="C569" s="7" t="s">
        <v>407</v>
      </c>
      <c r="D569" s="10" t="n">
        <v>0</v>
      </c>
      <c r="E569" s="10" t="n">
        <v>0</v>
      </c>
      <c r="F569" s="10" t="n">
        <v>11</v>
      </c>
      <c r="G569" s="10" t="n">
        <v>0</v>
      </c>
      <c r="H569" s="10" t="n">
        <v>0</v>
      </c>
      <c r="I569" s="10" t="n">
        <v>8</v>
      </c>
      <c r="J569" s="10" t="n">
        <v>0</v>
      </c>
      <c r="K569" s="10" t="n">
        <v>0</v>
      </c>
      <c r="L569" s="10" t="n">
        <v>0</v>
      </c>
      <c r="M569" s="10" t="n">
        <v>0</v>
      </c>
      <c r="N569" s="10" t="n">
        <v>0</v>
      </c>
      <c r="O569" s="10" t="n">
        <v>0</v>
      </c>
      <c r="P569" s="10" t="n">
        <v>0</v>
      </c>
      <c r="Q569" s="10" t="n">
        <v>8</v>
      </c>
      <c r="R569" s="10" t="n">
        <v>0</v>
      </c>
      <c r="S569" s="10" t="n">
        <v>0</v>
      </c>
      <c r="T569" s="10" t="n">
        <v>5</v>
      </c>
      <c r="U569" s="10" t="n">
        <v>0</v>
      </c>
    </row>
    <row r="570" customFormat="false" ht="15" hidden="false" customHeight="false" outlineLevel="0" collapsed="false">
      <c r="A570" s="7" t="s">
        <v>931</v>
      </c>
      <c r="B570" s="7" t="s">
        <v>141</v>
      </c>
      <c r="C570" s="7" t="s">
        <v>408</v>
      </c>
      <c r="D570" s="10" t="n">
        <v>0</v>
      </c>
      <c r="E570" s="10" t="n">
        <v>0</v>
      </c>
      <c r="F570" s="10" t="n">
        <v>4</v>
      </c>
      <c r="G570" s="10" t="n">
        <v>0</v>
      </c>
      <c r="H570" s="10" t="n">
        <v>0</v>
      </c>
      <c r="I570" s="10" t="n">
        <v>-7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n">
        <v>0</v>
      </c>
      <c r="O570" s="10" t="n">
        <v>0</v>
      </c>
      <c r="P570" s="10" t="n">
        <v>0</v>
      </c>
      <c r="Q570" s="10" t="n">
        <v>-7</v>
      </c>
      <c r="R570" s="10" t="n">
        <v>0</v>
      </c>
      <c r="S570" s="10" t="n">
        <v>0</v>
      </c>
      <c r="T570" s="10" t="n">
        <v>0</v>
      </c>
      <c r="U570" s="10" t="n">
        <v>0</v>
      </c>
    </row>
    <row r="571" customFormat="false" ht="15" hidden="false" customHeight="false" outlineLevel="0" collapsed="false">
      <c r="A571" s="7" t="s">
        <v>931</v>
      </c>
      <c r="B571" s="7" t="s">
        <v>183</v>
      </c>
      <c r="C571" s="7" t="s">
        <v>409</v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>
        <v>18</v>
      </c>
      <c r="J571" s="10" t="n">
        <v>0</v>
      </c>
      <c r="K571" s="10" t="n">
        <v>0</v>
      </c>
      <c r="L571" s="10" t="n">
        <v>0</v>
      </c>
      <c r="M571" s="10" t="n">
        <v>0</v>
      </c>
      <c r="N571" s="10" t="n">
        <v>0</v>
      </c>
      <c r="O571" s="10" t="n">
        <v>0</v>
      </c>
      <c r="P571" s="10" t="n">
        <v>0</v>
      </c>
      <c r="Q571" s="10" t="n">
        <v>18</v>
      </c>
      <c r="R571" s="10" t="n">
        <v>0</v>
      </c>
      <c r="S571" s="10" t="n">
        <v>0</v>
      </c>
      <c r="T571" s="10" t="n">
        <v>3</v>
      </c>
      <c r="U571" s="10" t="n">
        <v>0</v>
      </c>
    </row>
    <row r="572" customFormat="false" ht="15" hidden="false" customHeight="false" outlineLevel="0" collapsed="false">
      <c r="A572" s="7" t="s">
        <v>931</v>
      </c>
      <c r="B572" s="7" t="s">
        <v>168</v>
      </c>
      <c r="C572" s="7" t="s">
        <v>410</v>
      </c>
      <c r="D572" s="10" t="n">
        <v>0</v>
      </c>
      <c r="E572" s="10" t="n">
        <v>0</v>
      </c>
      <c r="F572" s="10" t="n">
        <v>12</v>
      </c>
      <c r="G572" s="10" t="n">
        <v>0</v>
      </c>
      <c r="H572" s="10" t="n">
        <v>0</v>
      </c>
      <c r="I572" s="10" t="n">
        <v>16</v>
      </c>
      <c r="J572" s="10" t="n">
        <v>0</v>
      </c>
      <c r="K572" s="10" t="n">
        <v>0</v>
      </c>
      <c r="L572" s="10" t="n">
        <v>0</v>
      </c>
      <c r="M572" s="10" t="n">
        <v>0</v>
      </c>
      <c r="N572" s="10" t="n">
        <v>0</v>
      </c>
      <c r="O572" s="10" t="n">
        <v>0</v>
      </c>
      <c r="P572" s="10" t="n">
        <v>0</v>
      </c>
      <c r="Q572" s="10" t="n">
        <v>9</v>
      </c>
      <c r="R572" s="10" t="n">
        <v>7</v>
      </c>
      <c r="S572" s="10" t="n">
        <v>0</v>
      </c>
      <c r="T572" s="10" t="n">
        <v>0</v>
      </c>
      <c r="U572" s="10" t="n">
        <v>0</v>
      </c>
    </row>
    <row r="573" customFormat="false" ht="15" hidden="false" customHeight="false" outlineLevel="0" collapsed="false">
      <c r="A573" s="7" t="s">
        <v>931</v>
      </c>
      <c r="B573" s="7" t="s">
        <v>168</v>
      </c>
      <c r="C573" s="7" t="s">
        <v>411</v>
      </c>
      <c r="D573" s="10" t="n">
        <v>0</v>
      </c>
      <c r="E573" s="10" t="n">
        <v>0</v>
      </c>
      <c r="F573" s="10" t="n">
        <v>13</v>
      </c>
      <c r="G573" s="10" t="n">
        <v>0</v>
      </c>
      <c r="H573" s="10" t="n">
        <v>0</v>
      </c>
      <c r="I573" s="10" t="n">
        <v>23</v>
      </c>
      <c r="J573" s="10" t="n">
        <v>0</v>
      </c>
      <c r="K573" s="10" t="n">
        <v>0</v>
      </c>
      <c r="L573" s="10" t="n">
        <v>0</v>
      </c>
      <c r="M573" s="10" t="n">
        <v>0</v>
      </c>
      <c r="N573" s="10" t="n">
        <v>0</v>
      </c>
      <c r="O573" s="10" t="n">
        <v>0</v>
      </c>
      <c r="P573" s="10" t="n">
        <v>-2</v>
      </c>
      <c r="Q573" s="10" t="n">
        <v>17</v>
      </c>
      <c r="R573" s="10" t="n">
        <v>8</v>
      </c>
      <c r="S573" s="10" t="n">
        <v>0</v>
      </c>
      <c r="T573" s="10" t="n">
        <v>0</v>
      </c>
      <c r="U573" s="10" t="n">
        <v>0</v>
      </c>
    </row>
    <row r="574" customFormat="false" ht="15" hidden="false" customHeight="false" outlineLevel="0" collapsed="false">
      <c r="A574" s="7" t="s">
        <v>931</v>
      </c>
      <c r="B574" s="7" t="s">
        <v>168</v>
      </c>
      <c r="C574" s="7" t="s">
        <v>412</v>
      </c>
      <c r="D574" s="10" t="n">
        <v>0</v>
      </c>
      <c r="E574" s="10" t="n">
        <v>0</v>
      </c>
      <c r="F574" s="10" t="n">
        <v>13</v>
      </c>
      <c r="G574" s="10" t="n">
        <v>0</v>
      </c>
      <c r="H574" s="10" t="n">
        <v>0</v>
      </c>
      <c r="I574" s="10" t="n">
        <v>28</v>
      </c>
      <c r="J574" s="10" t="n">
        <v>0</v>
      </c>
      <c r="K574" s="10" t="n">
        <v>0</v>
      </c>
      <c r="L574" s="10" t="n">
        <v>0</v>
      </c>
      <c r="M574" s="10" t="n">
        <v>0</v>
      </c>
      <c r="N574" s="10" t="n">
        <v>0</v>
      </c>
      <c r="O574" s="10" t="n">
        <v>0</v>
      </c>
      <c r="P574" s="10" t="n">
        <v>0</v>
      </c>
      <c r="Q574" s="10" t="n">
        <v>28</v>
      </c>
      <c r="R574" s="10" t="n">
        <v>0</v>
      </c>
      <c r="S574" s="10" t="n">
        <v>0</v>
      </c>
      <c r="T574" s="10" t="n">
        <v>0</v>
      </c>
      <c r="U574" s="10" t="n">
        <v>0</v>
      </c>
    </row>
    <row r="575" customFormat="false" ht="15" hidden="false" customHeight="false" outlineLevel="0" collapsed="false">
      <c r="A575" s="7" t="s">
        <v>931</v>
      </c>
      <c r="B575" s="7" t="s">
        <v>248</v>
      </c>
      <c r="C575" s="7" t="s">
        <v>413</v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>
        <v>-1</v>
      </c>
      <c r="J575" s="10" t="n">
        <v>0</v>
      </c>
      <c r="K575" s="10" t="n">
        <v>0</v>
      </c>
      <c r="L575" s="10" t="n">
        <v>0</v>
      </c>
      <c r="M575" s="10" t="n">
        <v>0</v>
      </c>
      <c r="N575" s="10" t="n">
        <v>0</v>
      </c>
      <c r="O575" s="10" t="n">
        <v>0</v>
      </c>
      <c r="P575" s="10" t="n">
        <v>0</v>
      </c>
      <c r="Q575" s="10" t="n">
        <v>-1</v>
      </c>
      <c r="R575" s="10" t="n">
        <v>0</v>
      </c>
      <c r="S575" s="10" t="n">
        <v>0</v>
      </c>
      <c r="T575" s="10" t="n">
        <v>0</v>
      </c>
      <c r="U575" s="10" t="n">
        <v>0</v>
      </c>
    </row>
    <row r="576" customFormat="false" ht="15" hidden="false" customHeight="false" outlineLevel="0" collapsed="false">
      <c r="A576" s="7" t="s">
        <v>931</v>
      </c>
      <c r="B576" s="7" t="s">
        <v>109</v>
      </c>
      <c r="C576" s="7" t="s">
        <v>404</v>
      </c>
      <c r="D576" s="10" t="n">
        <v>0</v>
      </c>
      <c r="E576" s="10" t="n">
        <v>0</v>
      </c>
      <c r="F576" s="10" t="n">
        <v>27</v>
      </c>
      <c r="G576" s="10" t="n">
        <v>0</v>
      </c>
      <c r="H576" s="10" t="n">
        <v>0</v>
      </c>
      <c r="I576" s="10" t="n">
        <v>35</v>
      </c>
      <c r="J576" s="10" t="n">
        <v>0</v>
      </c>
      <c r="K576" s="10" t="n">
        <v>0</v>
      </c>
      <c r="L576" s="10" t="n">
        <v>0</v>
      </c>
      <c r="M576" s="10" t="n">
        <v>0</v>
      </c>
      <c r="N576" s="10" t="n">
        <v>0</v>
      </c>
      <c r="O576" s="10" t="n">
        <v>0</v>
      </c>
      <c r="P576" s="10" t="n">
        <v>-2</v>
      </c>
      <c r="Q576" s="10" t="n">
        <v>37</v>
      </c>
      <c r="R576" s="10" t="n">
        <v>0</v>
      </c>
      <c r="S576" s="10" t="n">
        <v>0</v>
      </c>
      <c r="T576" s="10" t="n">
        <v>7</v>
      </c>
      <c r="U576" s="10" t="n">
        <v>0</v>
      </c>
    </row>
    <row r="577" customFormat="false" ht="15" hidden="false" customHeight="false" outlineLevel="0" collapsed="false">
      <c r="A577" s="7" t="s">
        <v>931</v>
      </c>
      <c r="B577" s="7" t="s">
        <v>109</v>
      </c>
      <c r="C577" s="7" t="s">
        <v>414</v>
      </c>
      <c r="D577" s="10" t="n">
        <v>0</v>
      </c>
      <c r="E577" s="10" t="n">
        <v>0</v>
      </c>
      <c r="F577" s="10" t="n">
        <v>30</v>
      </c>
      <c r="G577" s="10" t="n">
        <v>0</v>
      </c>
      <c r="H577" s="10" t="n">
        <v>31</v>
      </c>
      <c r="I577" s="10" t="n">
        <v>61</v>
      </c>
      <c r="J577" s="10" t="n">
        <v>0</v>
      </c>
      <c r="K577" s="10" t="n">
        <v>0</v>
      </c>
      <c r="L577" s="10" t="n">
        <v>0</v>
      </c>
      <c r="M577" s="10" t="n">
        <v>0</v>
      </c>
      <c r="N577" s="10" t="n">
        <v>0</v>
      </c>
      <c r="O577" s="10" t="n">
        <v>0</v>
      </c>
      <c r="P577" s="10" t="n">
        <v>-3</v>
      </c>
      <c r="Q577" s="10" t="n">
        <v>57</v>
      </c>
      <c r="R577" s="10" t="n">
        <v>7</v>
      </c>
      <c r="S577" s="10" t="n">
        <v>0</v>
      </c>
      <c r="T577" s="10" t="n">
        <v>0</v>
      </c>
      <c r="U577" s="10" t="n">
        <v>0</v>
      </c>
    </row>
    <row r="578" customFormat="false" ht="15" hidden="false" customHeight="false" outlineLevel="0" collapsed="false">
      <c r="A578" s="7" t="s">
        <v>931</v>
      </c>
      <c r="B578" s="7" t="s">
        <v>109</v>
      </c>
      <c r="C578" s="7" t="s">
        <v>415</v>
      </c>
      <c r="D578" s="10" t="n">
        <v>0</v>
      </c>
      <c r="E578" s="10" t="n">
        <v>0</v>
      </c>
      <c r="F578" s="10" t="n">
        <v>47</v>
      </c>
      <c r="G578" s="10" t="n">
        <v>0</v>
      </c>
      <c r="H578" s="10" t="n">
        <v>18</v>
      </c>
      <c r="I578" s="10" t="n">
        <v>82</v>
      </c>
      <c r="J578" s="10" t="n">
        <v>0</v>
      </c>
      <c r="K578" s="10" t="n">
        <v>0</v>
      </c>
      <c r="L578" s="10" t="n">
        <v>0</v>
      </c>
      <c r="M578" s="10" t="n">
        <v>0</v>
      </c>
      <c r="N578" s="10" t="n">
        <v>0</v>
      </c>
      <c r="O578" s="10" t="n">
        <v>0</v>
      </c>
      <c r="P578" s="10" t="n">
        <v>0</v>
      </c>
      <c r="Q578" s="10" t="n">
        <v>82</v>
      </c>
      <c r="R578" s="10" t="n">
        <v>0</v>
      </c>
      <c r="S578" s="10" t="n">
        <v>0</v>
      </c>
      <c r="T578" s="10" t="n">
        <v>18</v>
      </c>
      <c r="U578" s="10" t="n">
        <v>0</v>
      </c>
    </row>
    <row r="579" customFormat="false" ht="15" hidden="false" customHeight="false" outlineLevel="0" collapsed="false">
      <c r="A579" s="7" t="s">
        <v>931</v>
      </c>
      <c r="B579" s="7" t="s">
        <v>120</v>
      </c>
      <c r="C579" s="7" t="s">
        <v>416</v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>
        <v>-5</v>
      </c>
      <c r="J579" s="10" t="n">
        <v>0</v>
      </c>
      <c r="K579" s="10" t="n">
        <v>0</v>
      </c>
      <c r="L579" s="10" t="n">
        <v>0</v>
      </c>
      <c r="M579" s="10" t="n">
        <v>0</v>
      </c>
      <c r="N579" s="10" t="n">
        <v>0</v>
      </c>
      <c r="O579" s="10" t="n">
        <v>0</v>
      </c>
      <c r="P579" s="10" t="n">
        <v>0</v>
      </c>
      <c r="Q579" s="10" t="n">
        <v>-5</v>
      </c>
      <c r="R579" s="10" t="n">
        <v>0</v>
      </c>
      <c r="S579" s="10" t="n">
        <v>0</v>
      </c>
      <c r="T579" s="10" t="n">
        <v>0</v>
      </c>
      <c r="U579" s="10" t="n">
        <v>0</v>
      </c>
    </row>
    <row r="580" customFormat="false" ht="15" hidden="false" customHeight="false" outlineLevel="0" collapsed="false">
      <c r="A580" s="7" t="s">
        <v>931</v>
      </c>
      <c r="B580" s="7" t="s">
        <v>120</v>
      </c>
      <c r="C580" s="7" t="s">
        <v>417</v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>
        <v>-7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n">
        <v>0</v>
      </c>
      <c r="O580" s="10" t="n">
        <v>0</v>
      </c>
      <c r="P580" s="10" t="n">
        <v>-3</v>
      </c>
      <c r="Q580" s="10" t="n">
        <v>-4</v>
      </c>
      <c r="R580" s="10" t="n">
        <v>0</v>
      </c>
      <c r="S580" s="10" t="n">
        <v>0</v>
      </c>
      <c r="T580" s="10" t="n">
        <v>0</v>
      </c>
      <c r="U580" s="10" t="n">
        <v>0</v>
      </c>
    </row>
    <row r="581" customFormat="false" ht="15" hidden="false" customHeight="false" outlineLevel="0" collapsed="false">
      <c r="A581" s="7" t="s">
        <v>931</v>
      </c>
      <c r="B581" s="7" t="s">
        <v>120</v>
      </c>
      <c r="C581" s="7" t="s">
        <v>418</v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>
        <v>-1</v>
      </c>
      <c r="J581" s="10" t="n">
        <v>0</v>
      </c>
      <c r="K581" s="10" t="n">
        <v>0</v>
      </c>
      <c r="L581" s="10" t="n">
        <v>0</v>
      </c>
      <c r="M581" s="10" t="n">
        <v>0</v>
      </c>
      <c r="N581" s="10" t="n">
        <v>0</v>
      </c>
      <c r="O581" s="10" t="n">
        <v>0</v>
      </c>
      <c r="P581" s="10" t="n">
        <v>-1</v>
      </c>
      <c r="Q581" s="10" t="n">
        <v>0</v>
      </c>
      <c r="R581" s="10" t="n">
        <v>0</v>
      </c>
      <c r="S581" s="10" t="n">
        <v>0</v>
      </c>
      <c r="T581" s="10" t="n">
        <v>0</v>
      </c>
      <c r="U581" s="10" t="n">
        <v>0</v>
      </c>
    </row>
    <row r="582" customFormat="false" ht="15" hidden="false" customHeight="false" outlineLevel="0" collapsed="false">
      <c r="A582" s="7" t="s">
        <v>931</v>
      </c>
      <c r="B582" s="7" t="s">
        <v>177</v>
      </c>
      <c r="C582" s="7" t="s">
        <v>419</v>
      </c>
      <c r="D582" s="10" t="n">
        <v>0</v>
      </c>
      <c r="E582" s="10" t="n">
        <v>0</v>
      </c>
      <c r="F582" s="10" t="n">
        <v>22</v>
      </c>
      <c r="G582" s="10" t="n">
        <v>0</v>
      </c>
      <c r="H582" s="10" t="n">
        <v>0</v>
      </c>
      <c r="I582" s="10" t="n">
        <v>27</v>
      </c>
      <c r="J582" s="10" t="n">
        <v>0</v>
      </c>
      <c r="K582" s="10" t="n">
        <v>0</v>
      </c>
      <c r="L582" s="10" t="n">
        <v>0</v>
      </c>
      <c r="M582" s="10" t="n">
        <v>0</v>
      </c>
      <c r="N582" s="10" t="n">
        <v>0</v>
      </c>
      <c r="O582" s="10" t="n">
        <v>0</v>
      </c>
      <c r="P582" s="10" t="n">
        <v>0</v>
      </c>
      <c r="Q582" s="10" t="n">
        <v>20</v>
      </c>
      <c r="R582" s="10" t="n">
        <v>7</v>
      </c>
      <c r="S582" s="10" t="n">
        <v>0</v>
      </c>
      <c r="T582" s="10" t="n">
        <v>7</v>
      </c>
      <c r="U582" s="10" t="n">
        <v>0</v>
      </c>
    </row>
    <row r="583" customFormat="false" ht="15" hidden="false" customHeight="false" outlineLevel="0" collapsed="false">
      <c r="A583" s="7" t="s">
        <v>931</v>
      </c>
      <c r="B583" s="7" t="s">
        <v>177</v>
      </c>
      <c r="C583" s="7" t="s">
        <v>420</v>
      </c>
      <c r="D583" s="10" t="n">
        <v>0</v>
      </c>
      <c r="E583" s="10" t="n">
        <v>0</v>
      </c>
      <c r="F583" s="10" t="n">
        <v>44</v>
      </c>
      <c r="G583" s="10" t="n">
        <v>0</v>
      </c>
      <c r="H583" s="10" t="n">
        <v>0</v>
      </c>
      <c r="I583" s="10" t="n">
        <v>71</v>
      </c>
      <c r="J583" s="10" t="n">
        <v>0</v>
      </c>
      <c r="K583" s="10" t="n">
        <v>0</v>
      </c>
      <c r="L583" s="10" t="n">
        <v>0</v>
      </c>
      <c r="M583" s="10" t="n">
        <v>0</v>
      </c>
      <c r="N583" s="10" t="n">
        <v>0</v>
      </c>
      <c r="O583" s="10" t="n">
        <v>0</v>
      </c>
      <c r="P583" s="10" t="n">
        <v>-3</v>
      </c>
      <c r="Q583" s="10" t="n">
        <v>64</v>
      </c>
      <c r="R583" s="10" t="n">
        <v>10</v>
      </c>
      <c r="S583" s="10" t="n">
        <v>0</v>
      </c>
      <c r="T583" s="10" t="n">
        <v>15</v>
      </c>
      <c r="U583" s="10" t="n">
        <v>0</v>
      </c>
    </row>
    <row r="584" customFormat="false" ht="15" hidden="false" customHeight="false" outlineLevel="0" collapsed="false">
      <c r="A584" s="7" t="s">
        <v>931</v>
      </c>
      <c r="B584" s="7" t="s">
        <v>177</v>
      </c>
      <c r="C584" s="7" t="s">
        <v>421</v>
      </c>
      <c r="D584" s="10" t="n">
        <v>0</v>
      </c>
      <c r="E584" s="10" t="n">
        <v>0</v>
      </c>
      <c r="F584" s="10" t="n">
        <v>34</v>
      </c>
      <c r="G584" s="10" t="n">
        <v>0</v>
      </c>
      <c r="H584" s="10" t="n">
        <v>11</v>
      </c>
      <c r="I584" s="10" t="n">
        <v>75</v>
      </c>
      <c r="J584" s="10" t="n">
        <v>0</v>
      </c>
      <c r="K584" s="10" t="n">
        <v>0</v>
      </c>
      <c r="L584" s="10" t="n">
        <v>0</v>
      </c>
      <c r="M584" s="10" t="n">
        <v>0</v>
      </c>
      <c r="N584" s="10" t="n">
        <v>0</v>
      </c>
      <c r="O584" s="10" t="n">
        <v>0</v>
      </c>
      <c r="P584" s="10" t="n">
        <v>0</v>
      </c>
      <c r="Q584" s="10" t="n">
        <v>68</v>
      </c>
      <c r="R584" s="10" t="n">
        <v>7</v>
      </c>
      <c r="S584" s="10" t="n">
        <v>0</v>
      </c>
      <c r="T584" s="10" t="n">
        <v>19</v>
      </c>
      <c r="U584" s="10" t="n">
        <v>0</v>
      </c>
    </row>
    <row r="585" customFormat="false" ht="15" hidden="false" customHeight="false" outlineLevel="0" collapsed="false">
      <c r="A585" s="7" t="s">
        <v>931</v>
      </c>
      <c r="B585" s="7" t="s">
        <v>173</v>
      </c>
      <c r="C585" s="7" t="s">
        <v>427</v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>
        <v>-8</v>
      </c>
      <c r="J585" s="10" t="n">
        <v>0</v>
      </c>
      <c r="K585" s="10" t="n">
        <v>0</v>
      </c>
      <c r="L585" s="10" t="n">
        <v>0</v>
      </c>
      <c r="M585" s="10" t="n">
        <v>0</v>
      </c>
      <c r="N585" s="10" t="n">
        <v>0</v>
      </c>
      <c r="O585" s="10" t="n">
        <v>0</v>
      </c>
      <c r="P585" s="10" t="n">
        <v>-2</v>
      </c>
      <c r="Q585" s="10" t="n">
        <v>-6</v>
      </c>
      <c r="R585" s="10" t="n">
        <v>0</v>
      </c>
      <c r="S585" s="10" t="n">
        <v>0</v>
      </c>
      <c r="T585" s="10" t="n">
        <v>0</v>
      </c>
      <c r="U585" s="10" t="n">
        <v>0</v>
      </c>
    </row>
    <row r="586" customFormat="false" ht="15" hidden="false" customHeight="false" outlineLevel="0" collapsed="false">
      <c r="A586" s="7" t="s">
        <v>931</v>
      </c>
      <c r="B586" s="7" t="s">
        <v>173</v>
      </c>
      <c r="C586" s="7" t="s">
        <v>428</v>
      </c>
      <c r="D586" s="10" t="n">
        <v>0</v>
      </c>
      <c r="E586" s="10" t="n">
        <v>0</v>
      </c>
      <c r="F586" s="10" t="n">
        <v>1</v>
      </c>
      <c r="G586" s="10" t="n">
        <v>0</v>
      </c>
      <c r="H586" s="10" t="n">
        <v>0</v>
      </c>
      <c r="I586" s="10" t="n">
        <v>-4</v>
      </c>
      <c r="J586" s="10" t="n">
        <v>0</v>
      </c>
      <c r="K586" s="10" t="n">
        <v>0</v>
      </c>
      <c r="L586" s="10" t="n">
        <v>0</v>
      </c>
      <c r="M586" s="10" t="n">
        <v>0</v>
      </c>
      <c r="N586" s="10" t="n">
        <v>0</v>
      </c>
      <c r="O586" s="10" t="n">
        <v>0</v>
      </c>
      <c r="P586" s="10" t="n">
        <v>-1</v>
      </c>
      <c r="Q586" s="10" t="n">
        <v>-3</v>
      </c>
      <c r="R586" s="10" t="n">
        <v>0</v>
      </c>
      <c r="S586" s="10" t="n">
        <v>0</v>
      </c>
      <c r="T586" s="10" t="n">
        <v>0</v>
      </c>
      <c r="U586" s="10" t="n">
        <v>0</v>
      </c>
    </row>
    <row r="587" customFormat="false" ht="15" hidden="false" customHeight="false" outlineLevel="0" collapsed="false">
      <c r="A587" s="7" t="s">
        <v>931</v>
      </c>
      <c r="B587" s="7" t="s">
        <v>173</v>
      </c>
      <c r="C587" s="7" t="s">
        <v>429</v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>
        <v>-3</v>
      </c>
      <c r="J587" s="10" t="n">
        <v>0</v>
      </c>
      <c r="K587" s="10" t="n">
        <v>0</v>
      </c>
      <c r="L587" s="10" t="n">
        <v>0</v>
      </c>
      <c r="M587" s="10" t="n">
        <v>0</v>
      </c>
      <c r="N587" s="10" t="n">
        <v>0</v>
      </c>
      <c r="O587" s="10" t="n">
        <v>0</v>
      </c>
      <c r="P587" s="10" t="n">
        <v>-1</v>
      </c>
      <c r="Q587" s="10" t="n">
        <v>-2</v>
      </c>
      <c r="R587" s="10" t="n">
        <v>0</v>
      </c>
      <c r="S587" s="10" t="n">
        <v>0</v>
      </c>
      <c r="T587" s="10" t="n">
        <v>0</v>
      </c>
      <c r="U587" s="10" t="n">
        <v>0</v>
      </c>
    </row>
    <row r="588" customFormat="false" ht="15" hidden="false" customHeight="false" outlineLevel="0" collapsed="false">
      <c r="A588" s="7" t="s">
        <v>931</v>
      </c>
      <c r="B588" s="7" t="s">
        <v>173</v>
      </c>
      <c r="C588" s="7" t="s">
        <v>430</v>
      </c>
      <c r="D588" s="10" t="n">
        <v>0</v>
      </c>
      <c r="E588" s="10" t="n">
        <v>0</v>
      </c>
      <c r="F588" s="10" t="n">
        <v>1</v>
      </c>
      <c r="G588" s="10" t="n">
        <v>0</v>
      </c>
      <c r="H588" s="10" t="n">
        <v>0</v>
      </c>
      <c r="I588" s="10" t="n">
        <v>-3</v>
      </c>
      <c r="J588" s="10" t="n">
        <v>0</v>
      </c>
      <c r="K588" s="10" t="n">
        <v>0</v>
      </c>
      <c r="L588" s="10" t="n">
        <v>0</v>
      </c>
      <c r="M588" s="10" t="n">
        <v>0</v>
      </c>
      <c r="N588" s="10" t="n">
        <v>0</v>
      </c>
      <c r="O588" s="10" t="n">
        <v>0</v>
      </c>
      <c r="P588" s="10" t="n">
        <v>0</v>
      </c>
      <c r="Q588" s="10" t="n">
        <v>-3</v>
      </c>
      <c r="R588" s="10" t="n">
        <v>0</v>
      </c>
      <c r="S588" s="10" t="n">
        <v>0</v>
      </c>
      <c r="T588" s="10" t="n">
        <v>0</v>
      </c>
      <c r="U588" s="10" t="n">
        <v>0</v>
      </c>
    </row>
    <row r="589" customFormat="false" ht="15" hidden="false" customHeight="false" outlineLevel="0" collapsed="false">
      <c r="A589" s="7" t="s">
        <v>931</v>
      </c>
      <c r="B589" s="7" t="s">
        <v>249</v>
      </c>
      <c r="C589" s="7" t="s">
        <v>432</v>
      </c>
      <c r="D589" s="10" t="n">
        <v>0</v>
      </c>
      <c r="E589" s="10" t="n">
        <v>0</v>
      </c>
      <c r="F589" s="10" t="n">
        <v>1</v>
      </c>
      <c r="G589" s="10" t="n">
        <v>0</v>
      </c>
      <c r="H589" s="10" t="n">
        <v>0</v>
      </c>
      <c r="I589" s="10" t="n">
        <v>0</v>
      </c>
      <c r="J589" s="10" t="n">
        <v>0</v>
      </c>
      <c r="K589" s="10" t="n">
        <v>0</v>
      </c>
      <c r="L589" s="10" t="n">
        <v>0</v>
      </c>
      <c r="M589" s="10" t="n">
        <v>0</v>
      </c>
      <c r="N589" s="10" t="n">
        <v>0</v>
      </c>
      <c r="O589" s="10" t="n">
        <v>0</v>
      </c>
      <c r="P589" s="10" t="n">
        <v>0</v>
      </c>
      <c r="Q589" s="10" t="n">
        <v>0</v>
      </c>
      <c r="R589" s="10" t="n">
        <v>0</v>
      </c>
      <c r="S589" s="10" t="n">
        <v>0</v>
      </c>
      <c r="T589" s="10" t="n">
        <v>0</v>
      </c>
      <c r="U589" s="10" t="n">
        <v>0</v>
      </c>
    </row>
    <row r="590" customFormat="false" ht="15" hidden="false" customHeight="false" outlineLevel="0" collapsed="false">
      <c r="A590" s="7" t="s">
        <v>931</v>
      </c>
      <c r="B590" s="7" t="s">
        <v>249</v>
      </c>
      <c r="C590" s="7" t="s">
        <v>433</v>
      </c>
      <c r="D590" s="10" t="n">
        <v>0</v>
      </c>
      <c r="E590" s="10" t="n">
        <v>0</v>
      </c>
      <c r="F590" s="10" t="n">
        <v>-3</v>
      </c>
      <c r="G590" s="10" t="n">
        <v>0</v>
      </c>
      <c r="H590" s="10" t="n">
        <v>0</v>
      </c>
      <c r="I590" s="10" t="n">
        <v>0</v>
      </c>
      <c r="J590" s="10" t="n">
        <v>0</v>
      </c>
      <c r="K590" s="10" t="n">
        <v>0</v>
      </c>
      <c r="L590" s="10" t="n">
        <v>0</v>
      </c>
      <c r="M590" s="10" t="n">
        <v>0</v>
      </c>
      <c r="N590" s="10" t="n">
        <v>0</v>
      </c>
      <c r="O590" s="10" t="n">
        <v>0</v>
      </c>
      <c r="P590" s="10" t="n">
        <v>0</v>
      </c>
      <c r="Q590" s="10" t="n">
        <v>0</v>
      </c>
      <c r="R590" s="10" t="n">
        <v>0</v>
      </c>
      <c r="S590" s="10" t="n">
        <v>0</v>
      </c>
      <c r="T590" s="10" t="n">
        <v>7</v>
      </c>
      <c r="U590" s="10" t="n">
        <v>0</v>
      </c>
    </row>
    <row r="591" customFormat="false" ht="15" hidden="false" customHeight="false" outlineLevel="0" collapsed="false">
      <c r="A591" s="7" t="s">
        <v>931</v>
      </c>
      <c r="B591" s="7" t="s">
        <v>249</v>
      </c>
      <c r="C591" s="7" t="s">
        <v>434</v>
      </c>
      <c r="D591" s="10" t="n">
        <v>0</v>
      </c>
      <c r="E591" s="10" t="n">
        <v>0</v>
      </c>
      <c r="F591" s="10" t="n">
        <v>-2</v>
      </c>
      <c r="G591" s="10" t="n">
        <v>0</v>
      </c>
      <c r="H591" s="10" t="n">
        <v>0</v>
      </c>
      <c r="I591" s="10" t="n">
        <v>0</v>
      </c>
      <c r="J591" s="10" t="n">
        <v>0</v>
      </c>
      <c r="K591" s="10" t="n">
        <v>0</v>
      </c>
      <c r="L591" s="10" t="n">
        <v>0</v>
      </c>
      <c r="M591" s="10" t="n">
        <v>0</v>
      </c>
      <c r="N591" s="10" t="n">
        <v>0</v>
      </c>
      <c r="O591" s="10" t="n">
        <v>0</v>
      </c>
      <c r="P591" s="10" t="n">
        <v>0</v>
      </c>
      <c r="Q591" s="10" t="n">
        <v>0</v>
      </c>
      <c r="R591" s="10" t="n">
        <v>0</v>
      </c>
      <c r="S591" s="10" t="n">
        <v>0</v>
      </c>
      <c r="T591" s="10" t="n">
        <v>2</v>
      </c>
      <c r="U591" s="10" t="n">
        <v>0</v>
      </c>
    </row>
    <row r="592" customFormat="false" ht="15" hidden="false" customHeight="false" outlineLevel="0" collapsed="false">
      <c r="A592" s="7" t="s">
        <v>931</v>
      </c>
      <c r="B592" s="7" t="s">
        <v>249</v>
      </c>
      <c r="C592" s="7" t="s">
        <v>435</v>
      </c>
      <c r="D592" s="10" t="n">
        <v>0</v>
      </c>
      <c r="E592" s="10" t="n">
        <v>0</v>
      </c>
      <c r="F592" s="10" t="n">
        <v>2</v>
      </c>
      <c r="G592" s="10" t="n">
        <v>0</v>
      </c>
      <c r="H592" s="10" t="n">
        <v>0</v>
      </c>
      <c r="I592" s="10" t="n">
        <v>-1</v>
      </c>
      <c r="J592" s="10" t="n">
        <v>0</v>
      </c>
      <c r="K592" s="10" t="n">
        <v>0</v>
      </c>
      <c r="L592" s="10" t="n">
        <v>0</v>
      </c>
      <c r="M592" s="10" t="n">
        <v>0</v>
      </c>
      <c r="N592" s="10" t="n">
        <v>0</v>
      </c>
      <c r="O592" s="10" t="n">
        <v>0</v>
      </c>
      <c r="P592" s="10" t="n">
        <v>0</v>
      </c>
      <c r="Q592" s="10" t="n">
        <v>-1</v>
      </c>
      <c r="R592" s="10" t="n">
        <v>0</v>
      </c>
      <c r="S592" s="10" t="n">
        <v>0</v>
      </c>
      <c r="T592" s="10" t="n">
        <v>5</v>
      </c>
      <c r="U592" s="10" t="n">
        <v>0</v>
      </c>
    </row>
    <row r="593" customFormat="false" ht="15" hidden="false" customHeight="false" outlineLevel="0" collapsed="false">
      <c r="A593" s="7" t="s">
        <v>931</v>
      </c>
      <c r="B593" s="7" t="s">
        <v>249</v>
      </c>
      <c r="C593" s="7" t="s">
        <v>436</v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>
        <v>0</v>
      </c>
      <c r="J593" s="10" t="n">
        <v>0</v>
      </c>
      <c r="K593" s="10" t="n">
        <v>0</v>
      </c>
      <c r="L593" s="10" t="n">
        <v>0</v>
      </c>
      <c r="M593" s="10" t="n">
        <v>0</v>
      </c>
      <c r="N593" s="10" t="n">
        <v>0</v>
      </c>
      <c r="O593" s="10" t="n">
        <v>0</v>
      </c>
      <c r="P593" s="10" t="n">
        <v>0</v>
      </c>
      <c r="Q593" s="10" t="n">
        <v>0</v>
      </c>
      <c r="R593" s="10" t="n">
        <v>0</v>
      </c>
      <c r="S593" s="10" t="n">
        <v>0</v>
      </c>
      <c r="T593" s="10" t="n">
        <v>7</v>
      </c>
      <c r="U593" s="10" t="n">
        <v>0</v>
      </c>
    </row>
    <row r="594" customFormat="false" ht="15" hidden="false" customHeight="false" outlineLevel="0" collapsed="false">
      <c r="A594" s="7" t="s">
        <v>931</v>
      </c>
      <c r="B594" s="7" t="s">
        <v>79</v>
      </c>
      <c r="C594" s="7" t="s">
        <v>438</v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>
        <v>-4</v>
      </c>
      <c r="J594" s="10" t="n">
        <v>0</v>
      </c>
      <c r="K594" s="10" t="n">
        <v>0</v>
      </c>
      <c r="L594" s="10" t="n">
        <v>0</v>
      </c>
      <c r="M594" s="10" t="n">
        <v>0</v>
      </c>
      <c r="N594" s="10" t="n">
        <v>0</v>
      </c>
      <c r="O594" s="10" t="n">
        <v>0</v>
      </c>
      <c r="P594" s="10" t="n">
        <v>0</v>
      </c>
      <c r="Q594" s="10" t="n">
        <v>-4</v>
      </c>
      <c r="R594" s="10" t="n">
        <v>0</v>
      </c>
      <c r="S594" s="10" t="n">
        <v>0</v>
      </c>
      <c r="T594" s="10" t="n">
        <v>0</v>
      </c>
      <c r="U594" s="10" t="n">
        <v>0</v>
      </c>
    </row>
    <row r="595" customFormat="false" ht="15" hidden="false" customHeight="false" outlineLevel="0" collapsed="false">
      <c r="A595" s="7" t="s">
        <v>931</v>
      </c>
      <c r="B595" s="7" t="s">
        <v>79</v>
      </c>
      <c r="C595" s="7" t="s">
        <v>439</v>
      </c>
      <c r="D595" s="10" t="n">
        <v>0</v>
      </c>
      <c r="E595" s="10" t="n">
        <v>0</v>
      </c>
      <c r="F595" s="10" t="n">
        <v>16</v>
      </c>
      <c r="G595" s="10" t="n">
        <v>0</v>
      </c>
      <c r="H595" s="10" t="n">
        <v>1</v>
      </c>
      <c r="I595" s="10" t="n">
        <v>17</v>
      </c>
      <c r="J595" s="10" t="n">
        <v>0</v>
      </c>
      <c r="K595" s="10" t="n">
        <v>0</v>
      </c>
      <c r="L595" s="10" t="n">
        <v>0</v>
      </c>
      <c r="M595" s="10" t="n">
        <v>0</v>
      </c>
      <c r="N595" s="10" t="n">
        <v>0</v>
      </c>
      <c r="O595" s="10" t="n">
        <v>0</v>
      </c>
      <c r="P595" s="10" t="n">
        <v>0</v>
      </c>
      <c r="Q595" s="10" t="n">
        <v>14</v>
      </c>
      <c r="R595" s="10" t="n">
        <v>3</v>
      </c>
      <c r="S595" s="10" t="n">
        <v>0</v>
      </c>
      <c r="T595" s="10" t="n">
        <v>0</v>
      </c>
      <c r="U595" s="10" t="n">
        <v>0</v>
      </c>
    </row>
    <row r="596" customFormat="false" ht="15" hidden="false" customHeight="false" outlineLevel="0" collapsed="false">
      <c r="A596" s="7" t="s">
        <v>931</v>
      </c>
      <c r="B596" s="7" t="s">
        <v>79</v>
      </c>
      <c r="C596" s="7" t="s">
        <v>440</v>
      </c>
      <c r="D596" s="10" t="n">
        <v>0</v>
      </c>
      <c r="E596" s="10" t="n">
        <v>0</v>
      </c>
      <c r="F596" s="10" t="n">
        <v>7</v>
      </c>
      <c r="G596" s="10" t="n">
        <v>0</v>
      </c>
      <c r="H596" s="10" t="n">
        <v>1</v>
      </c>
      <c r="I596" s="10" t="n">
        <v>11</v>
      </c>
      <c r="J596" s="10" t="n">
        <v>0</v>
      </c>
      <c r="K596" s="10" t="n">
        <v>0</v>
      </c>
      <c r="L596" s="10" t="n">
        <v>0</v>
      </c>
      <c r="M596" s="10" t="n">
        <v>0</v>
      </c>
      <c r="N596" s="10" t="n">
        <v>0</v>
      </c>
      <c r="O596" s="10" t="n">
        <v>0</v>
      </c>
      <c r="P596" s="10" t="n">
        <v>-1</v>
      </c>
      <c r="Q596" s="10" t="n">
        <v>8</v>
      </c>
      <c r="R596" s="10" t="n">
        <v>4</v>
      </c>
      <c r="S596" s="10" t="n">
        <v>0</v>
      </c>
      <c r="T596" s="10" t="n">
        <v>0</v>
      </c>
      <c r="U596" s="10" t="n">
        <v>0</v>
      </c>
    </row>
    <row r="597" customFormat="false" ht="15" hidden="false" customHeight="false" outlineLevel="0" collapsed="false">
      <c r="A597" s="7" t="s">
        <v>931</v>
      </c>
      <c r="B597" s="7" t="s">
        <v>79</v>
      </c>
      <c r="C597" s="7" t="s">
        <v>441</v>
      </c>
      <c r="D597" s="10" t="n">
        <v>0</v>
      </c>
      <c r="E597" s="10" t="n">
        <v>0</v>
      </c>
      <c r="F597" s="10" t="n">
        <v>12</v>
      </c>
      <c r="G597" s="10" t="n">
        <v>0</v>
      </c>
      <c r="H597" s="10" t="n">
        <v>1</v>
      </c>
      <c r="I597" s="10" t="n">
        <v>33</v>
      </c>
      <c r="J597" s="10" t="n">
        <v>0</v>
      </c>
      <c r="K597" s="10" t="n">
        <v>0</v>
      </c>
      <c r="L597" s="10" t="n">
        <v>0</v>
      </c>
      <c r="M597" s="10" t="n">
        <v>0</v>
      </c>
      <c r="N597" s="10" t="n">
        <v>0</v>
      </c>
      <c r="O597" s="10" t="n">
        <v>0</v>
      </c>
      <c r="P597" s="10" t="n">
        <v>0</v>
      </c>
      <c r="Q597" s="10" t="n">
        <v>27</v>
      </c>
      <c r="R597" s="10" t="n">
        <v>6</v>
      </c>
      <c r="S597" s="10" t="n">
        <v>0</v>
      </c>
      <c r="T597" s="10" t="n">
        <v>0</v>
      </c>
      <c r="U597" s="10" t="n">
        <v>0</v>
      </c>
    </row>
    <row r="598" customFormat="false" ht="15" hidden="false" customHeight="false" outlineLevel="0" collapsed="false">
      <c r="A598" s="7" t="s">
        <v>931</v>
      </c>
      <c r="B598" s="7" t="s">
        <v>79</v>
      </c>
      <c r="C598" s="7" t="s">
        <v>442</v>
      </c>
      <c r="D598" s="10" t="n">
        <v>0</v>
      </c>
      <c r="E598" s="10" t="n">
        <v>0</v>
      </c>
      <c r="F598" s="10" t="n">
        <v>1</v>
      </c>
      <c r="G598" s="10" t="n">
        <v>0</v>
      </c>
      <c r="H598" s="10" t="n">
        <v>0</v>
      </c>
      <c r="I598" s="10" t="n">
        <v>0</v>
      </c>
      <c r="J598" s="10" t="n">
        <v>0</v>
      </c>
      <c r="K598" s="10" t="n">
        <v>0</v>
      </c>
      <c r="L598" s="10" t="n">
        <v>0</v>
      </c>
      <c r="M598" s="10" t="n">
        <v>0</v>
      </c>
      <c r="N598" s="10" t="n">
        <v>0</v>
      </c>
      <c r="O598" s="10" t="n">
        <v>0</v>
      </c>
      <c r="P598" s="10" t="n">
        <v>0</v>
      </c>
      <c r="Q598" s="10" t="n">
        <v>0</v>
      </c>
      <c r="R598" s="10" t="n">
        <v>0</v>
      </c>
      <c r="S598" s="10" t="n">
        <v>0</v>
      </c>
      <c r="T598" s="10" t="n">
        <v>0</v>
      </c>
      <c r="U598" s="10" t="n">
        <v>0</v>
      </c>
    </row>
    <row r="599" customFormat="false" ht="15" hidden="false" customHeight="false" outlineLevel="0" collapsed="false">
      <c r="A599" s="7" t="s">
        <v>931</v>
      </c>
      <c r="B599" s="7" t="s">
        <v>57</v>
      </c>
      <c r="C599" s="7" t="s">
        <v>443</v>
      </c>
      <c r="D599" s="10" t="n">
        <v>0</v>
      </c>
      <c r="E599" s="10" t="n">
        <v>0</v>
      </c>
      <c r="F599" s="10" t="n">
        <v>5</v>
      </c>
      <c r="G599" s="10" t="n">
        <v>0</v>
      </c>
      <c r="H599" s="10" t="n">
        <v>0</v>
      </c>
      <c r="I599" s="10" t="n">
        <v>111</v>
      </c>
      <c r="J599" s="10" t="n">
        <v>0</v>
      </c>
      <c r="K599" s="10" t="n">
        <v>2</v>
      </c>
      <c r="L599" s="10" t="n">
        <v>0</v>
      </c>
      <c r="M599" s="10" t="n">
        <v>0</v>
      </c>
      <c r="N599" s="10" t="n">
        <v>0</v>
      </c>
      <c r="O599" s="10" t="n">
        <v>0</v>
      </c>
      <c r="P599" s="10" t="n">
        <v>-2</v>
      </c>
      <c r="Q599" s="10" t="n">
        <v>92</v>
      </c>
      <c r="R599" s="10" t="n">
        <v>19</v>
      </c>
      <c r="S599" s="10" t="n">
        <v>0</v>
      </c>
      <c r="T599" s="10" t="n">
        <v>2</v>
      </c>
      <c r="U599" s="10" t="n">
        <v>0</v>
      </c>
    </row>
    <row r="600" customFormat="false" ht="15" hidden="false" customHeight="false" outlineLevel="0" collapsed="false">
      <c r="A600" s="7" t="s">
        <v>931</v>
      </c>
      <c r="B600" s="7" t="s">
        <v>57</v>
      </c>
      <c r="C600" s="7" t="s">
        <v>444</v>
      </c>
      <c r="D600" s="10" t="n">
        <v>0</v>
      </c>
      <c r="E600" s="10" t="n">
        <v>0</v>
      </c>
      <c r="F600" s="10" t="n">
        <v>26</v>
      </c>
      <c r="G600" s="10" t="n">
        <v>0</v>
      </c>
      <c r="H600" s="10" t="n">
        <v>0</v>
      </c>
      <c r="I600" s="10" t="n">
        <v>298</v>
      </c>
      <c r="J600" s="10" t="n">
        <v>0</v>
      </c>
      <c r="K600" s="10" t="n">
        <v>2</v>
      </c>
      <c r="L600" s="10" t="n">
        <v>0</v>
      </c>
      <c r="M600" s="10" t="n">
        <v>0</v>
      </c>
      <c r="N600" s="10" t="n">
        <v>0</v>
      </c>
      <c r="O600" s="10" t="n">
        <v>0</v>
      </c>
      <c r="P600" s="10" t="n">
        <v>-6</v>
      </c>
      <c r="Q600" s="10" t="n">
        <v>249</v>
      </c>
      <c r="R600" s="10" t="n">
        <v>53</v>
      </c>
      <c r="S600" s="10" t="n">
        <v>0</v>
      </c>
      <c r="T600" s="10" t="n">
        <v>29</v>
      </c>
      <c r="U600" s="10" t="n">
        <v>-1</v>
      </c>
    </row>
    <row r="601" customFormat="false" ht="15" hidden="false" customHeight="false" outlineLevel="0" collapsed="false">
      <c r="A601" s="7" t="s">
        <v>931</v>
      </c>
      <c r="B601" s="7" t="s">
        <v>57</v>
      </c>
      <c r="C601" s="7" t="s">
        <v>445</v>
      </c>
      <c r="D601" s="10" t="n">
        <v>0</v>
      </c>
      <c r="E601" s="10" t="n">
        <v>0</v>
      </c>
      <c r="F601" s="10" t="n">
        <v>26</v>
      </c>
      <c r="G601" s="10" t="n">
        <v>0</v>
      </c>
      <c r="H601" s="10" t="n">
        <v>0</v>
      </c>
      <c r="I601" s="10" t="n">
        <v>210</v>
      </c>
      <c r="J601" s="10" t="n">
        <v>0</v>
      </c>
      <c r="K601" s="10" t="n">
        <v>2</v>
      </c>
      <c r="L601" s="10" t="n">
        <v>0</v>
      </c>
      <c r="M601" s="10" t="n">
        <v>0</v>
      </c>
      <c r="N601" s="10" t="n">
        <v>0</v>
      </c>
      <c r="O601" s="10" t="n">
        <v>0</v>
      </c>
      <c r="P601" s="10" t="n">
        <v>-4</v>
      </c>
      <c r="Q601" s="10" t="n">
        <v>177</v>
      </c>
      <c r="R601" s="10" t="n">
        <v>35</v>
      </c>
      <c r="S601" s="10" t="n">
        <v>0</v>
      </c>
      <c r="T601" s="10" t="n">
        <v>20</v>
      </c>
      <c r="U601" s="10" t="n">
        <v>-2</v>
      </c>
    </row>
    <row r="602" customFormat="false" ht="15" hidden="false" customHeight="false" outlineLevel="0" collapsed="false">
      <c r="A602" s="7" t="s">
        <v>931</v>
      </c>
      <c r="B602" s="7" t="s">
        <v>57</v>
      </c>
      <c r="C602" s="7" t="s">
        <v>446</v>
      </c>
      <c r="D602" s="10" t="n">
        <v>0</v>
      </c>
      <c r="E602" s="10" t="n">
        <v>0</v>
      </c>
      <c r="F602" s="10" t="n">
        <v>25</v>
      </c>
      <c r="G602" s="10" t="n">
        <v>0</v>
      </c>
      <c r="H602" s="10" t="n">
        <v>0</v>
      </c>
      <c r="I602" s="10" t="n">
        <v>298</v>
      </c>
      <c r="J602" s="10" t="n">
        <v>0</v>
      </c>
      <c r="K602" s="10" t="n">
        <v>1</v>
      </c>
      <c r="L602" s="10" t="n">
        <v>0</v>
      </c>
      <c r="M602" s="10" t="n">
        <v>0</v>
      </c>
      <c r="N602" s="10" t="n">
        <v>0</v>
      </c>
      <c r="O602" s="10" t="n">
        <v>0</v>
      </c>
      <c r="P602" s="10" t="n">
        <v>-5</v>
      </c>
      <c r="Q602" s="10" t="n">
        <v>241</v>
      </c>
      <c r="R602" s="10" t="n">
        <v>61</v>
      </c>
      <c r="S602" s="10" t="n">
        <v>0</v>
      </c>
      <c r="T602" s="10" t="n">
        <v>36</v>
      </c>
      <c r="U602" s="10" t="n">
        <v>-1</v>
      </c>
    </row>
    <row r="603" customFormat="false" ht="15" hidden="false" customHeight="false" outlineLevel="0" collapsed="false">
      <c r="A603" s="7" t="s">
        <v>931</v>
      </c>
      <c r="B603" s="7" t="s">
        <v>57</v>
      </c>
      <c r="C603" s="7" t="s">
        <v>447</v>
      </c>
      <c r="D603" s="10" t="n">
        <v>0</v>
      </c>
      <c r="E603" s="10" t="n">
        <v>0</v>
      </c>
      <c r="F603" s="10" t="n">
        <v>10</v>
      </c>
      <c r="G603" s="10" t="n">
        <v>0</v>
      </c>
      <c r="H603" s="10" t="n">
        <v>0</v>
      </c>
      <c r="I603" s="10" t="n">
        <v>83</v>
      </c>
      <c r="J603" s="10" t="n">
        <v>0</v>
      </c>
      <c r="K603" s="10" t="n">
        <v>1</v>
      </c>
      <c r="L603" s="10" t="n">
        <v>0</v>
      </c>
      <c r="M603" s="10" t="n">
        <v>0</v>
      </c>
      <c r="N603" s="10" t="n">
        <v>0</v>
      </c>
      <c r="O603" s="10" t="n">
        <v>0</v>
      </c>
      <c r="P603" s="10" t="n">
        <v>-3</v>
      </c>
      <c r="Q603" s="10" t="n">
        <v>46</v>
      </c>
      <c r="R603" s="10" t="n">
        <v>39</v>
      </c>
      <c r="S603" s="10" t="n">
        <v>0</v>
      </c>
      <c r="T603" s="10" t="n">
        <v>20</v>
      </c>
      <c r="U603" s="10" t="n">
        <v>0</v>
      </c>
    </row>
    <row r="604" customFormat="false" ht="15" hidden="false" customHeight="false" outlineLevel="0" collapsed="false">
      <c r="A604" s="7" t="s">
        <v>931</v>
      </c>
      <c r="B604" s="7" t="s">
        <v>256</v>
      </c>
      <c r="C604" s="7" t="s">
        <v>935</v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>
        <v>-1</v>
      </c>
      <c r="J604" s="10" t="n">
        <v>0</v>
      </c>
      <c r="K604" s="10" t="n">
        <v>0</v>
      </c>
      <c r="L604" s="10" t="n">
        <v>0</v>
      </c>
      <c r="M604" s="10" t="n">
        <v>0</v>
      </c>
      <c r="N604" s="10" t="n">
        <v>0</v>
      </c>
      <c r="O604" s="10" t="n">
        <v>0</v>
      </c>
      <c r="P604" s="10" t="n">
        <v>0</v>
      </c>
      <c r="Q604" s="10" t="n">
        <v>-1</v>
      </c>
      <c r="R604" s="10" t="n">
        <v>0</v>
      </c>
      <c r="S604" s="10" t="n">
        <v>0</v>
      </c>
      <c r="T604" s="10" t="n">
        <v>0</v>
      </c>
      <c r="U604" s="10" t="n">
        <v>0</v>
      </c>
    </row>
    <row r="605" customFormat="false" ht="15" hidden="false" customHeight="false" outlineLevel="0" collapsed="false">
      <c r="A605" s="7" t="s">
        <v>931</v>
      </c>
      <c r="B605" s="7" t="s">
        <v>202</v>
      </c>
      <c r="C605" s="7" t="s">
        <v>936</v>
      </c>
      <c r="D605" s="10" t="n">
        <v>0</v>
      </c>
      <c r="E605" s="10" t="n">
        <v>0</v>
      </c>
      <c r="F605" s="10" t="n">
        <v>-1</v>
      </c>
      <c r="G605" s="10" t="n">
        <v>0</v>
      </c>
      <c r="H605" s="10" t="n">
        <v>0</v>
      </c>
      <c r="I605" s="10" t="n">
        <v>0</v>
      </c>
      <c r="J605" s="10" t="n">
        <v>0</v>
      </c>
      <c r="K605" s="10" t="n">
        <v>0</v>
      </c>
      <c r="L605" s="10" t="n">
        <v>0</v>
      </c>
      <c r="M605" s="10" t="n">
        <v>0</v>
      </c>
      <c r="N605" s="10" t="n">
        <v>0</v>
      </c>
      <c r="O605" s="10" t="n">
        <v>0</v>
      </c>
      <c r="P605" s="10" t="n">
        <v>0</v>
      </c>
      <c r="Q605" s="10" t="n">
        <v>0</v>
      </c>
      <c r="R605" s="10" t="n">
        <v>0</v>
      </c>
      <c r="S605" s="10" t="n">
        <v>0</v>
      </c>
      <c r="T605" s="10" t="n">
        <v>0</v>
      </c>
      <c r="U605" s="10" t="n">
        <v>0</v>
      </c>
    </row>
    <row r="606" customFormat="false" ht="15" hidden="false" customHeight="false" outlineLevel="0" collapsed="false">
      <c r="A606" s="7" t="s">
        <v>931</v>
      </c>
      <c r="B606" s="7" t="s">
        <v>202</v>
      </c>
      <c r="C606" s="7" t="s">
        <v>449</v>
      </c>
      <c r="D606" s="10" t="n">
        <v>0</v>
      </c>
      <c r="E606" s="10" t="n">
        <v>0</v>
      </c>
      <c r="F606" s="10" t="n">
        <v>-1</v>
      </c>
      <c r="G606" s="10" t="n">
        <v>0</v>
      </c>
      <c r="H606" s="10" t="n">
        <v>0</v>
      </c>
      <c r="I606" s="10" t="n">
        <v>-1</v>
      </c>
      <c r="J606" s="10" t="n">
        <v>0</v>
      </c>
      <c r="K606" s="10" t="n">
        <v>0</v>
      </c>
      <c r="L606" s="10" t="n">
        <v>0</v>
      </c>
      <c r="M606" s="10" t="n">
        <v>0</v>
      </c>
      <c r="N606" s="10" t="n">
        <v>0</v>
      </c>
      <c r="O606" s="10" t="n">
        <v>0</v>
      </c>
      <c r="P606" s="10" t="n">
        <v>0</v>
      </c>
      <c r="Q606" s="10" t="n">
        <v>-1</v>
      </c>
      <c r="R606" s="10" t="n">
        <v>0</v>
      </c>
      <c r="S606" s="10" t="n">
        <v>0</v>
      </c>
      <c r="T606" s="10" t="n">
        <v>0</v>
      </c>
      <c r="U606" s="10" t="n">
        <v>0</v>
      </c>
    </row>
    <row r="607" customFormat="false" ht="15" hidden="false" customHeight="false" outlineLevel="0" collapsed="false">
      <c r="A607" s="7" t="s">
        <v>931</v>
      </c>
      <c r="B607" s="7" t="s">
        <v>202</v>
      </c>
      <c r="C607" s="7" t="s">
        <v>937</v>
      </c>
      <c r="D607" s="10" t="n">
        <v>0</v>
      </c>
      <c r="E607" s="10" t="n">
        <v>0</v>
      </c>
      <c r="F607" s="10" t="n">
        <v>-1</v>
      </c>
      <c r="G607" s="10" t="n">
        <v>0</v>
      </c>
      <c r="H607" s="10" t="n">
        <v>0</v>
      </c>
      <c r="I607" s="10" t="n">
        <v>0</v>
      </c>
      <c r="J607" s="10" t="n">
        <v>0</v>
      </c>
      <c r="K607" s="10" t="n">
        <v>0</v>
      </c>
      <c r="L607" s="10" t="n">
        <v>0</v>
      </c>
      <c r="M607" s="10" t="n">
        <v>0</v>
      </c>
      <c r="N607" s="10" t="n">
        <v>0</v>
      </c>
      <c r="O607" s="10" t="n">
        <v>0</v>
      </c>
      <c r="P607" s="10" t="n">
        <v>0</v>
      </c>
      <c r="Q607" s="10" t="n">
        <v>0</v>
      </c>
      <c r="R607" s="10" t="n">
        <v>0</v>
      </c>
      <c r="S607" s="10" t="n">
        <v>0</v>
      </c>
      <c r="T607" s="10" t="n">
        <v>0</v>
      </c>
      <c r="U607" s="10" t="n">
        <v>0</v>
      </c>
    </row>
    <row r="608" customFormat="false" ht="15" hidden="false" customHeight="false" outlineLevel="0" collapsed="false">
      <c r="A608" s="7" t="s">
        <v>931</v>
      </c>
      <c r="B608" s="7" t="s">
        <v>202</v>
      </c>
      <c r="C608" s="7" t="s">
        <v>450</v>
      </c>
      <c r="D608" s="10" t="n">
        <v>0</v>
      </c>
      <c r="E608" s="10" t="n">
        <v>0</v>
      </c>
      <c r="F608" s="10" t="n">
        <v>-1</v>
      </c>
      <c r="G608" s="10" t="n">
        <v>0</v>
      </c>
      <c r="H608" s="10" t="n">
        <v>0</v>
      </c>
      <c r="I608" s="10" t="n">
        <v>-1</v>
      </c>
      <c r="J608" s="10" t="n">
        <v>0</v>
      </c>
      <c r="K608" s="10" t="n">
        <v>0</v>
      </c>
      <c r="L608" s="10" t="n">
        <v>0</v>
      </c>
      <c r="M608" s="10" t="n">
        <v>0</v>
      </c>
      <c r="N608" s="10" t="n">
        <v>0</v>
      </c>
      <c r="O608" s="10" t="n">
        <v>0</v>
      </c>
      <c r="P608" s="10" t="n">
        <v>-1</v>
      </c>
      <c r="Q608" s="10" t="n">
        <v>0</v>
      </c>
      <c r="R608" s="10" t="n">
        <v>0</v>
      </c>
      <c r="S608" s="10" t="n">
        <v>0</v>
      </c>
      <c r="T608" s="10" t="n">
        <v>0</v>
      </c>
      <c r="U608" s="10" t="n">
        <v>0</v>
      </c>
    </row>
    <row r="609" customFormat="false" ht="15" hidden="false" customHeight="false" outlineLevel="0" collapsed="false">
      <c r="A609" s="7" t="s">
        <v>931</v>
      </c>
      <c r="B609" s="7" t="s">
        <v>100</v>
      </c>
      <c r="C609" s="7" t="s">
        <v>451</v>
      </c>
      <c r="D609" s="10" t="n">
        <v>0</v>
      </c>
      <c r="E609" s="10" t="n">
        <v>0</v>
      </c>
      <c r="F609" s="10" t="n">
        <v>94</v>
      </c>
      <c r="G609" s="10" t="n">
        <v>0</v>
      </c>
      <c r="H609" s="10" t="n">
        <v>0</v>
      </c>
      <c r="I609" s="10" t="n">
        <v>207</v>
      </c>
      <c r="J609" s="10" t="n">
        <v>0</v>
      </c>
      <c r="K609" s="10" t="n">
        <v>3</v>
      </c>
      <c r="L609" s="10" t="n">
        <v>0</v>
      </c>
      <c r="M609" s="10" t="n">
        <v>2</v>
      </c>
      <c r="N609" s="10" t="n">
        <v>0</v>
      </c>
      <c r="O609" s="10" t="n">
        <v>2</v>
      </c>
      <c r="P609" s="10" t="n">
        <v>-2</v>
      </c>
      <c r="Q609" s="10" t="n">
        <v>123</v>
      </c>
      <c r="R609" s="10" t="n">
        <v>79</v>
      </c>
      <c r="S609" s="10" t="n">
        <v>0</v>
      </c>
      <c r="T609" s="10" t="n">
        <v>0</v>
      </c>
      <c r="U609" s="10" t="n">
        <v>-1</v>
      </c>
    </row>
    <row r="610" customFormat="false" ht="15" hidden="false" customHeight="false" outlineLevel="0" collapsed="false">
      <c r="A610" s="7" t="s">
        <v>931</v>
      </c>
      <c r="B610" s="7" t="s">
        <v>100</v>
      </c>
      <c r="C610" s="7" t="s">
        <v>452</v>
      </c>
      <c r="D610" s="10" t="n">
        <v>0</v>
      </c>
      <c r="E610" s="10" t="n">
        <v>0</v>
      </c>
      <c r="F610" s="10" t="n">
        <v>103</v>
      </c>
      <c r="G610" s="10" t="n">
        <v>0</v>
      </c>
      <c r="H610" s="10" t="n">
        <v>0</v>
      </c>
      <c r="I610" s="10" t="n">
        <v>240</v>
      </c>
      <c r="J610" s="10" t="n">
        <v>0</v>
      </c>
      <c r="K610" s="10" t="n">
        <v>5</v>
      </c>
      <c r="L610" s="10" t="n">
        <v>0</v>
      </c>
      <c r="M610" s="10" t="n">
        <v>0</v>
      </c>
      <c r="N610" s="10" t="n">
        <v>2</v>
      </c>
      <c r="O610" s="10" t="n">
        <v>1</v>
      </c>
      <c r="P610" s="10" t="n">
        <v>-6</v>
      </c>
      <c r="Q610" s="10" t="n">
        <v>138</v>
      </c>
      <c r="R610" s="10" t="n">
        <v>100</v>
      </c>
      <c r="S610" s="10" t="n">
        <v>0</v>
      </c>
      <c r="T610" s="10" t="n">
        <v>0</v>
      </c>
      <c r="U610" s="10" t="n">
        <v>-2</v>
      </c>
    </row>
    <row r="611" customFormat="false" ht="15" hidden="false" customHeight="false" outlineLevel="0" collapsed="false">
      <c r="A611" s="7" t="s">
        <v>931</v>
      </c>
      <c r="B611" s="7" t="s">
        <v>100</v>
      </c>
      <c r="C611" s="7" t="s">
        <v>453</v>
      </c>
      <c r="D611" s="10" t="n">
        <v>0</v>
      </c>
      <c r="E611" s="10" t="n">
        <v>0</v>
      </c>
      <c r="F611" s="10" t="n">
        <v>52</v>
      </c>
      <c r="G611" s="10" t="n">
        <v>0</v>
      </c>
      <c r="H611" s="10" t="n">
        <v>0</v>
      </c>
      <c r="I611" s="10" t="n">
        <v>169</v>
      </c>
      <c r="J611" s="10" t="n">
        <v>0</v>
      </c>
      <c r="K611" s="10" t="n">
        <v>2</v>
      </c>
      <c r="L611" s="10" t="n">
        <v>0</v>
      </c>
      <c r="M611" s="10" t="n">
        <v>2</v>
      </c>
      <c r="N611" s="10" t="n">
        <v>3</v>
      </c>
      <c r="O611" s="10" t="n">
        <v>1</v>
      </c>
      <c r="P611" s="10" t="n">
        <v>-3</v>
      </c>
      <c r="Q611" s="10" t="n">
        <v>102</v>
      </c>
      <c r="R611" s="10" t="n">
        <v>62</v>
      </c>
      <c r="S611" s="10" t="n">
        <v>0</v>
      </c>
      <c r="T611" s="10" t="n">
        <v>0</v>
      </c>
      <c r="U611" s="10" t="n">
        <v>0</v>
      </c>
    </row>
    <row r="612" customFormat="false" ht="15" hidden="false" customHeight="false" outlineLevel="0" collapsed="false">
      <c r="A612" s="7" t="s">
        <v>931</v>
      </c>
      <c r="B612" s="7" t="s">
        <v>100</v>
      </c>
      <c r="C612" s="7" t="s">
        <v>454</v>
      </c>
      <c r="D612" s="10" t="n">
        <v>0</v>
      </c>
      <c r="E612" s="10" t="n">
        <v>0</v>
      </c>
      <c r="F612" s="10" t="n">
        <v>26</v>
      </c>
      <c r="G612" s="10" t="n">
        <v>0</v>
      </c>
      <c r="H612" s="10" t="n">
        <v>0</v>
      </c>
      <c r="I612" s="10" t="n">
        <v>74</v>
      </c>
      <c r="J612" s="10" t="n">
        <v>0</v>
      </c>
      <c r="K612" s="10" t="n">
        <v>1</v>
      </c>
      <c r="L612" s="10" t="n">
        <v>0</v>
      </c>
      <c r="M612" s="10" t="n">
        <v>2</v>
      </c>
      <c r="N612" s="10" t="n">
        <v>2</v>
      </c>
      <c r="O612" s="10" t="n">
        <v>1</v>
      </c>
      <c r="P612" s="10" t="n">
        <v>-1</v>
      </c>
      <c r="Q612" s="10" t="n">
        <v>37</v>
      </c>
      <c r="R612" s="10" t="n">
        <v>32</v>
      </c>
      <c r="S612" s="10" t="n">
        <v>0</v>
      </c>
      <c r="T612" s="10" t="n">
        <v>0</v>
      </c>
      <c r="U612" s="10" t="n">
        <v>0</v>
      </c>
    </row>
    <row r="613" customFormat="false" ht="15" hidden="false" customHeight="false" outlineLevel="0" collapsed="false">
      <c r="A613" s="7" t="s">
        <v>931</v>
      </c>
      <c r="B613" s="7" t="s">
        <v>100</v>
      </c>
      <c r="C613" s="7" t="s">
        <v>455</v>
      </c>
      <c r="D613" s="10" t="n">
        <v>0</v>
      </c>
      <c r="E613" s="10" t="n">
        <v>0</v>
      </c>
      <c r="F613" s="10" t="n">
        <v>2</v>
      </c>
      <c r="G613" s="10" t="n">
        <v>0</v>
      </c>
      <c r="H613" s="10" t="n">
        <v>0</v>
      </c>
      <c r="I613" s="10" t="n">
        <v>-2</v>
      </c>
      <c r="J613" s="10" t="n">
        <v>0</v>
      </c>
      <c r="K613" s="10" t="n">
        <v>0</v>
      </c>
      <c r="L613" s="10" t="n">
        <v>0</v>
      </c>
      <c r="M613" s="10" t="n">
        <v>0</v>
      </c>
      <c r="N613" s="10" t="n">
        <v>0</v>
      </c>
      <c r="O613" s="10" t="n">
        <v>0</v>
      </c>
      <c r="P613" s="10" t="n">
        <v>0</v>
      </c>
      <c r="Q613" s="10" t="n">
        <v>-2</v>
      </c>
      <c r="R613" s="10" t="n">
        <v>0</v>
      </c>
      <c r="S613" s="10" t="n">
        <v>0</v>
      </c>
      <c r="T613" s="10" t="n">
        <v>0</v>
      </c>
      <c r="U613" s="10" t="n">
        <v>0</v>
      </c>
    </row>
    <row r="614" customFormat="false" ht="15" hidden="false" customHeight="false" outlineLevel="0" collapsed="false">
      <c r="A614" s="7" t="s">
        <v>931</v>
      </c>
      <c r="B614" s="7" t="s">
        <v>44</v>
      </c>
      <c r="C614" s="7" t="s">
        <v>456</v>
      </c>
      <c r="D614" s="10" t="n">
        <v>0</v>
      </c>
      <c r="E614" s="10" t="n">
        <v>0</v>
      </c>
      <c r="F614" s="10" t="n">
        <v>160</v>
      </c>
      <c r="G614" s="10" t="n">
        <v>0</v>
      </c>
      <c r="H614" s="10" t="n">
        <v>0</v>
      </c>
      <c r="I614" s="10" t="n">
        <v>1597</v>
      </c>
      <c r="J614" s="10" t="n">
        <v>0</v>
      </c>
      <c r="K614" s="10" t="n">
        <v>10</v>
      </c>
      <c r="L614" s="10" t="n">
        <v>0</v>
      </c>
      <c r="M614" s="10" t="n">
        <v>0</v>
      </c>
      <c r="N614" s="10" t="n">
        <v>3</v>
      </c>
      <c r="O614" s="10" t="n">
        <v>2</v>
      </c>
      <c r="P614" s="10" t="n">
        <v>-5</v>
      </c>
      <c r="Q614" s="10" t="n">
        <v>1476</v>
      </c>
      <c r="R614" s="10" t="n">
        <v>111</v>
      </c>
      <c r="S614" s="10" t="n">
        <v>0</v>
      </c>
      <c r="T614" s="10" t="n">
        <v>62</v>
      </c>
      <c r="U614" s="10" t="n">
        <v>-1</v>
      </c>
    </row>
    <row r="615" customFormat="false" ht="15" hidden="false" customHeight="false" outlineLevel="0" collapsed="false">
      <c r="A615" s="7" t="s">
        <v>931</v>
      </c>
      <c r="B615" s="7" t="s">
        <v>44</v>
      </c>
      <c r="C615" s="7" t="s">
        <v>457</v>
      </c>
      <c r="D615" s="10" t="n">
        <v>0</v>
      </c>
      <c r="E615" s="10" t="n">
        <v>0</v>
      </c>
      <c r="F615" s="10" t="n">
        <v>289</v>
      </c>
      <c r="G615" s="10" t="n">
        <v>0</v>
      </c>
      <c r="H615" s="10" t="n">
        <v>0</v>
      </c>
      <c r="I615" s="10" t="n">
        <v>1554</v>
      </c>
      <c r="J615" s="10" t="n">
        <v>0</v>
      </c>
      <c r="K615" s="10" t="n">
        <v>9</v>
      </c>
      <c r="L615" s="10" t="n">
        <v>0</v>
      </c>
      <c r="M615" s="10" t="n">
        <v>0</v>
      </c>
      <c r="N615" s="10" t="n">
        <v>3</v>
      </c>
      <c r="O615" s="10" t="n">
        <v>1</v>
      </c>
      <c r="P615" s="10" t="n">
        <v>-1</v>
      </c>
      <c r="Q615" s="10" t="n">
        <v>1439</v>
      </c>
      <c r="R615" s="10" t="n">
        <v>103</v>
      </c>
      <c r="S615" s="10" t="n">
        <v>0</v>
      </c>
      <c r="T615" s="10" t="n">
        <v>120</v>
      </c>
      <c r="U615" s="10" t="n">
        <v>-2</v>
      </c>
    </row>
    <row r="616" customFormat="false" ht="15" hidden="false" customHeight="false" outlineLevel="0" collapsed="false">
      <c r="A616" s="7" t="s">
        <v>931</v>
      </c>
      <c r="B616" s="7" t="s">
        <v>44</v>
      </c>
      <c r="C616" s="7" t="s">
        <v>458</v>
      </c>
      <c r="D616" s="10" t="n">
        <v>0</v>
      </c>
      <c r="E616" s="10" t="n">
        <v>0</v>
      </c>
      <c r="F616" s="10" t="n">
        <v>378</v>
      </c>
      <c r="G616" s="10" t="n">
        <v>0</v>
      </c>
      <c r="H616" s="10" t="n">
        <v>0</v>
      </c>
      <c r="I616" s="10" t="n">
        <v>2188</v>
      </c>
      <c r="J616" s="10" t="n">
        <v>0</v>
      </c>
      <c r="K616" s="10" t="n">
        <v>5</v>
      </c>
      <c r="L616" s="10" t="n">
        <v>0</v>
      </c>
      <c r="M616" s="10" t="n">
        <v>0</v>
      </c>
      <c r="N616" s="10" t="n">
        <v>3</v>
      </c>
      <c r="O616" s="10" t="n">
        <v>1</v>
      </c>
      <c r="P616" s="10" t="n">
        <v>-6</v>
      </c>
      <c r="Q616" s="10" t="n">
        <v>1964</v>
      </c>
      <c r="R616" s="10" t="n">
        <v>221</v>
      </c>
      <c r="S616" s="10" t="n">
        <v>0</v>
      </c>
      <c r="T616" s="10" t="n">
        <v>154</v>
      </c>
      <c r="U616" s="10" t="n">
        <v>-1</v>
      </c>
    </row>
    <row r="617" customFormat="false" ht="15" hidden="false" customHeight="false" outlineLevel="0" collapsed="false">
      <c r="A617" s="7" t="s">
        <v>931</v>
      </c>
      <c r="B617" s="7" t="s">
        <v>44</v>
      </c>
      <c r="C617" s="7" t="s">
        <v>459</v>
      </c>
      <c r="D617" s="10" t="n">
        <v>0</v>
      </c>
      <c r="E617" s="10" t="n">
        <v>0</v>
      </c>
      <c r="F617" s="10" t="n">
        <v>115</v>
      </c>
      <c r="G617" s="10" t="n">
        <v>0</v>
      </c>
      <c r="H617" s="10" t="n">
        <v>0</v>
      </c>
      <c r="I617" s="10" t="n">
        <v>666</v>
      </c>
      <c r="J617" s="10" t="n">
        <v>0</v>
      </c>
      <c r="K617" s="10" t="n">
        <v>11</v>
      </c>
      <c r="L617" s="10" t="n">
        <v>0</v>
      </c>
      <c r="M617" s="10" t="n">
        <v>0</v>
      </c>
      <c r="N617" s="10" t="n">
        <v>3</v>
      </c>
      <c r="O617" s="10" t="n">
        <v>2</v>
      </c>
      <c r="P617" s="10" t="n">
        <v>-4</v>
      </c>
      <c r="Q617" s="10" t="n">
        <v>579</v>
      </c>
      <c r="R617" s="10" t="n">
        <v>75</v>
      </c>
      <c r="S617" s="10" t="n">
        <v>0</v>
      </c>
      <c r="T617" s="10" t="n">
        <v>46</v>
      </c>
      <c r="U617" s="10" t="n">
        <v>-5</v>
      </c>
    </row>
    <row r="618" customFormat="false" ht="15" hidden="false" customHeight="false" outlineLevel="0" collapsed="false">
      <c r="A618" s="7" t="s">
        <v>931</v>
      </c>
      <c r="B618" s="7" t="s">
        <v>187</v>
      </c>
      <c r="C618" s="7" t="s">
        <v>461</v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>
        <v>-1</v>
      </c>
      <c r="J618" s="10" t="n">
        <v>0</v>
      </c>
      <c r="K618" s="10" t="n">
        <v>0</v>
      </c>
      <c r="L618" s="10" t="n">
        <v>0</v>
      </c>
      <c r="M618" s="10" t="n">
        <v>0</v>
      </c>
      <c r="N618" s="10" t="n">
        <v>0</v>
      </c>
      <c r="O618" s="10" t="n">
        <v>0</v>
      </c>
      <c r="P618" s="10" t="n">
        <v>0</v>
      </c>
      <c r="Q618" s="10" t="n">
        <v>-1</v>
      </c>
      <c r="R618" s="10" t="n">
        <v>0</v>
      </c>
      <c r="S618" s="10" t="n">
        <v>0</v>
      </c>
      <c r="T618" s="10" t="n">
        <v>0</v>
      </c>
      <c r="U618" s="10" t="n">
        <v>0</v>
      </c>
    </row>
    <row r="619" customFormat="false" ht="15" hidden="false" customHeight="false" outlineLevel="0" collapsed="false">
      <c r="A619" s="7" t="s">
        <v>931</v>
      </c>
      <c r="B619" s="7" t="s">
        <v>187</v>
      </c>
      <c r="C619" s="7" t="s">
        <v>463</v>
      </c>
      <c r="D619" s="10" t="n">
        <v>0</v>
      </c>
      <c r="E619" s="10" t="n">
        <v>0</v>
      </c>
      <c r="F619" s="10" t="n">
        <v>-1</v>
      </c>
      <c r="G619" s="10" t="n">
        <v>0</v>
      </c>
      <c r="H619" s="10" t="n">
        <v>0</v>
      </c>
      <c r="I619" s="10" t="n">
        <v>-2</v>
      </c>
      <c r="J619" s="10" t="n">
        <v>0</v>
      </c>
      <c r="K619" s="10" t="n">
        <v>0</v>
      </c>
      <c r="L619" s="10" t="n">
        <v>0</v>
      </c>
      <c r="M619" s="10" t="n">
        <v>0</v>
      </c>
      <c r="N619" s="10" t="n">
        <v>0</v>
      </c>
      <c r="O619" s="10" t="n">
        <v>0</v>
      </c>
      <c r="P619" s="10" t="n">
        <v>-1</v>
      </c>
      <c r="Q619" s="10" t="n">
        <v>-1</v>
      </c>
      <c r="R619" s="10" t="n">
        <v>0</v>
      </c>
      <c r="S619" s="10" t="n">
        <v>0</v>
      </c>
      <c r="T619" s="10" t="n">
        <v>0</v>
      </c>
      <c r="U619" s="10" t="n">
        <v>0</v>
      </c>
    </row>
    <row r="620" customFormat="false" ht="15" hidden="false" customHeight="false" outlineLevel="0" collapsed="false">
      <c r="A620" s="7" t="s">
        <v>931</v>
      </c>
      <c r="B620" s="7" t="s">
        <v>215</v>
      </c>
      <c r="C620" s="7" t="s">
        <v>464</v>
      </c>
      <c r="D620" s="10" t="n">
        <v>0</v>
      </c>
      <c r="E620" s="10" t="n">
        <v>0</v>
      </c>
      <c r="F620" s="10" t="n">
        <v>2</v>
      </c>
      <c r="G620" s="10" t="n">
        <v>0</v>
      </c>
      <c r="H620" s="10" t="n">
        <v>0</v>
      </c>
      <c r="I620" s="10" t="n">
        <v>0</v>
      </c>
      <c r="J620" s="10" t="n">
        <v>0</v>
      </c>
      <c r="K620" s="10" t="n">
        <v>0</v>
      </c>
      <c r="L620" s="10" t="n">
        <v>0</v>
      </c>
      <c r="M620" s="10" t="n">
        <v>0</v>
      </c>
      <c r="N620" s="10" t="n">
        <v>0</v>
      </c>
      <c r="O620" s="10" t="n">
        <v>0</v>
      </c>
      <c r="P620" s="10" t="n">
        <v>0</v>
      </c>
      <c r="Q620" s="10" t="n">
        <v>0</v>
      </c>
      <c r="R620" s="10" t="n">
        <v>0</v>
      </c>
      <c r="S620" s="10" t="n">
        <v>0</v>
      </c>
      <c r="T620" s="10" t="n">
        <v>0</v>
      </c>
      <c r="U620" s="10" t="n">
        <v>0</v>
      </c>
    </row>
    <row r="621" customFormat="false" ht="15" hidden="false" customHeight="false" outlineLevel="0" collapsed="false">
      <c r="A621" s="7" t="s">
        <v>931</v>
      </c>
      <c r="B621" s="7" t="s">
        <v>303</v>
      </c>
      <c r="C621" s="7" t="s">
        <v>465</v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>
        <v>6</v>
      </c>
      <c r="J621" s="10" t="n">
        <v>0</v>
      </c>
      <c r="K621" s="10" t="n">
        <v>0</v>
      </c>
      <c r="L621" s="10" t="n">
        <v>0</v>
      </c>
      <c r="M621" s="10" t="n">
        <v>0</v>
      </c>
      <c r="N621" s="10" t="n">
        <v>0</v>
      </c>
      <c r="O621" s="10" t="n">
        <v>0</v>
      </c>
      <c r="P621" s="10" t="n">
        <v>0</v>
      </c>
      <c r="Q621" s="10" t="n">
        <v>0</v>
      </c>
      <c r="R621" s="10" t="n">
        <v>6</v>
      </c>
      <c r="S621" s="10" t="n">
        <v>0</v>
      </c>
      <c r="T621" s="10" t="n">
        <v>0</v>
      </c>
      <c r="U621" s="10" t="n">
        <v>0</v>
      </c>
    </row>
    <row r="622" customFormat="false" ht="15" hidden="false" customHeight="false" outlineLevel="0" collapsed="false">
      <c r="A622" s="7" t="s">
        <v>931</v>
      </c>
      <c r="B622" s="7" t="s">
        <v>303</v>
      </c>
      <c r="C622" s="7" t="s">
        <v>466</v>
      </c>
      <c r="D622" s="10" t="n">
        <v>0</v>
      </c>
      <c r="E622" s="10" t="n">
        <v>0</v>
      </c>
      <c r="F622" s="10" t="n">
        <v>3</v>
      </c>
      <c r="G622" s="10" t="n">
        <v>0</v>
      </c>
      <c r="H622" s="10" t="n">
        <v>0</v>
      </c>
      <c r="I622" s="10" t="n">
        <v>0</v>
      </c>
      <c r="J622" s="10" t="n">
        <v>0</v>
      </c>
      <c r="K622" s="10" t="n">
        <v>0</v>
      </c>
      <c r="L622" s="10" t="n">
        <v>0</v>
      </c>
      <c r="M622" s="10" t="n">
        <v>0</v>
      </c>
      <c r="N622" s="10" t="n">
        <v>0</v>
      </c>
      <c r="O622" s="10" t="n">
        <v>0</v>
      </c>
      <c r="P622" s="10" t="n">
        <v>0</v>
      </c>
      <c r="Q622" s="10" t="n">
        <v>0</v>
      </c>
      <c r="R622" s="10" t="n">
        <v>0</v>
      </c>
      <c r="S622" s="10" t="n">
        <v>0</v>
      </c>
      <c r="T622" s="10" t="n">
        <v>2</v>
      </c>
      <c r="U622" s="10" t="n">
        <v>0</v>
      </c>
    </row>
    <row r="623" customFormat="false" ht="15" hidden="false" customHeight="false" outlineLevel="0" collapsed="false">
      <c r="A623" s="7" t="s">
        <v>931</v>
      </c>
      <c r="B623" s="7" t="s">
        <v>303</v>
      </c>
      <c r="C623" s="7" t="s">
        <v>467</v>
      </c>
      <c r="D623" s="10" t="n">
        <v>0</v>
      </c>
      <c r="E623" s="10" t="n">
        <v>0</v>
      </c>
      <c r="F623" s="10" t="n">
        <v>1</v>
      </c>
      <c r="G623" s="10" t="n">
        <v>0</v>
      </c>
      <c r="H623" s="10" t="n">
        <v>0</v>
      </c>
      <c r="I623" s="10" t="n">
        <v>2</v>
      </c>
      <c r="J623" s="10" t="n">
        <v>0</v>
      </c>
      <c r="K623" s="10" t="n">
        <v>0</v>
      </c>
      <c r="L623" s="10" t="n">
        <v>0</v>
      </c>
      <c r="M623" s="10" t="n">
        <v>0</v>
      </c>
      <c r="N623" s="10" t="n">
        <v>0</v>
      </c>
      <c r="O623" s="10" t="n">
        <v>0</v>
      </c>
      <c r="P623" s="10" t="n">
        <v>0</v>
      </c>
      <c r="Q623" s="10" t="n">
        <v>0</v>
      </c>
      <c r="R623" s="10" t="n">
        <v>2</v>
      </c>
      <c r="S623" s="10" t="n">
        <v>0</v>
      </c>
      <c r="T623" s="10" t="n">
        <v>3</v>
      </c>
      <c r="U623" s="10" t="n">
        <v>0</v>
      </c>
    </row>
    <row r="624" customFormat="false" ht="15" hidden="false" customHeight="false" outlineLevel="0" collapsed="false">
      <c r="A624" s="7" t="s">
        <v>931</v>
      </c>
      <c r="B624" s="7" t="s">
        <v>303</v>
      </c>
      <c r="C624" s="7" t="s">
        <v>468</v>
      </c>
      <c r="D624" s="10" t="n">
        <v>0</v>
      </c>
      <c r="E624" s="10" t="n">
        <v>0</v>
      </c>
      <c r="F624" s="10" t="n">
        <v>1</v>
      </c>
      <c r="G624" s="10" t="n">
        <v>0</v>
      </c>
      <c r="H624" s="10" t="n">
        <v>0</v>
      </c>
      <c r="I624" s="10" t="n">
        <v>1</v>
      </c>
      <c r="J624" s="10" t="n">
        <v>0</v>
      </c>
      <c r="K624" s="10" t="n">
        <v>0</v>
      </c>
      <c r="L624" s="10" t="n">
        <v>0</v>
      </c>
      <c r="M624" s="10" t="n">
        <v>0</v>
      </c>
      <c r="N624" s="10" t="n">
        <v>0</v>
      </c>
      <c r="O624" s="10" t="n">
        <v>0</v>
      </c>
      <c r="P624" s="10" t="n">
        <v>0</v>
      </c>
      <c r="Q624" s="10" t="n">
        <v>0</v>
      </c>
      <c r="R624" s="10" t="n">
        <v>1</v>
      </c>
      <c r="S624" s="10" t="n">
        <v>0</v>
      </c>
      <c r="T624" s="10" t="n">
        <v>2</v>
      </c>
      <c r="U624" s="10" t="n">
        <v>0</v>
      </c>
    </row>
    <row r="625" customFormat="false" ht="15" hidden="false" customHeight="false" outlineLevel="0" collapsed="false">
      <c r="A625" s="7" t="s">
        <v>931</v>
      </c>
      <c r="B625" s="7" t="s">
        <v>201</v>
      </c>
      <c r="C625" s="7" t="s">
        <v>938</v>
      </c>
      <c r="D625" s="10" t="n">
        <v>0</v>
      </c>
      <c r="E625" s="10" t="n">
        <v>0</v>
      </c>
      <c r="F625" s="10" t="n">
        <v>1</v>
      </c>
      <c r="G625" s="10" t="n">
        <v>0</v>
      </c>
      <c r="H625" s="10" t="n">
        <v>0</v>
      </c>
      <c r="I625" s="10" t="n">
        <v>-1</v>
      </c>
      <c r="J625" s="10" t="n">
        <v>0</v>
      </c>
      <c r="K625" s="10" t="n">
        <v>0</v>
      </c>
      <c r="L625" s="10" t="n">
        <v>0</v>
      </c>
      <c r="M625" s="10" t="n">
        <v>0</v>
      </c>
      <c r="N625" s="10" t="n">
        <v>0</v>
      </c>
      <c r="O625" s="10" t="n">
        <v>0</v>
      </c>
      <c r="P625" s="10" t="n">
        <v>0</v>
      </c>
      <c r="Q625" s="10" t="n">
        <v>-1</v>
      </c>
      <c r="R625" s="10" t="n">
        <v>0</v>
      </c>
      <c r="S625" s="10" t="n">
        <v>0</v>
      </c>
      <c r="T625" s="10" t="n">
        <v>2</v>
      </c>
      <c r="U625" s="10" t="n">
        <v>0</v>
      </c>
    </row>
    <row r="626" customFormat="false" ht="15" hidden="false" customHeight="false" outlineLevel="0" collapsed="false">
      <c r="A626" s="7" t="s">
        <v>931</v>
      </c>
      <c r="B626" s="7" t="s">
        <v>201</v>
      </c>
      <c r="C626" s="7" t="s">
        <v>469</v>
      </c>
      <c r="D626" s="10" t="n">
        <v>0</v>
      </c>
      <c r="E626" s="10" t="n">
        <v>0</v>
      </c>
      <c r="F626" s="10" t="n">
        <v>3</v>
      </c>
      <c r="G626" s="10" t="n">
        <v>0</v>
      </c>
      <c r="H626" s="10" t="n">
        <v>0</v>
      </c>
      <c r="I626" s="10" t="n">
        <v>1</v>
      </c>
      <c r="J626" s="10" t="n">
        <v>0</v>
      </c>
      <c r="K626" s="10" t="n">
        <v>0</v>
      </c>
      <c r="L626" s="10" t="n">
        <v>0</v>
      </c>
      <c r="M626" s="10" t="n">
        <v>0</v>
      </c>
      <c r="N626" s="10" t="n">
        <v>0</v>
      </c>
      <c r="O626" s="10" t="n">
        <v>0</v>
      </c>
      <c r="P626" s="10" t="n">
        <v>0</v>
      </c>
      <c r="Q626" s="10" t="n">
        <v>1</v>
      </c>
      <c r="R626" s="10" t="n">
        <v>0</v>
      </c>
      <c r="S626" s="10" t="n">
        <v>0</v>
      </c>
      <c r="T626" s="10" t="n">
        <v>7</v>
      </c>
      <c r="U626" s="10" t="n">
        <v>0</v>
      </c>
    </row>
    <row r="627" customFormat="false" ht="15" hidden="false" customHeight="false" outlineLevel="0" collapsed="false">
      <c r="A627" s="7" t="s">
        <v>931</v>
      </c>
      <c r="B627" s="7" t="s">
        <v>201</v>
      </c>
      <c r="C627" s="7" t="s">
        <v>470</v>
      </c>
      <c r="D627" s="10" t="n">
        <v>0</v>
      </c>
      <c r="E627" s="10" t="n">
        <v>0</v>
      </c>
      <c r="F627" s="10" t="n">
        <v>2</v>
      </c>
      <c r="G627" s="10" t="n">
        <v>0</v>
      </c>
      <c r="H627" s="10" t="n">
        <v>0</v>
      </c>
      <c r="I627" s="10" t="n">
        <v>0</v>
      </c>
      <c r="J627" s="10" t="n">
        <v>0</v>
      </c>
      <c r="K627" s="10" t="n">
        <v>0</v>
      </c>
      <c r="L627" s="10" t="n">
        <v>0</v>
      </c>
      <c r="M627" s="10" t="n">
        <v>0</v>
      </c>
      <c r="N627" s="10" t="n">
        <v>0</v>
      </c>
      <c r="O627" s="10" t="n">
        <v>0</v>
      </c>
      <c r="P627" s="10" t="n">
        <v>0</v>
      </c>
      <c r="Q627" s="10" t="n">
        <v>0</v>
      </c>
      <c r="R627" s="10" t="n">
        <v>0</v>
      </c>
      <c r="S627" s="10" t="n">
        <v>0</v>
      </c>
      <c r="T627" s="10" t="n">
        <v>1</v>
      </c>
      <c r="U627" s="10" t="n">
        <v>0</v>
      </c>
    </row>
    <row r="628" customFormat="false" ht="15" hidden="false" customHeight="false" outlineLevel="0" collapsed="false">
      <c r="A628" s="7" t="s">
        <v>931</v>
      </c>
      <c r="B628" s="7" t="s">
        <v>201</v>
      </c>
      <c r="C628" s="7" t="s">
        <v>939</v>
      </c>
      <c r="D628" s="10" t="n">
        <v>0</v>
      </c>
      <c r="E628" s="10" t="n">
        <v>0</v>
      </c>
      <c r="F628" s="10" t="n">
        <v>1</v>
      </c>
      <c r="G628" s="10" t="n">
        <v>0</v>
      </c>
      <c r="H628" s="10" t="n">
        <v>0</v>
      </c>
      <c r="I628" s="10" t="n">
        <v>1</v>
      </c>
      <c r="J628" s="10" t="n">
        <v>0</v>
      </c>
      <c r="K628" s="10" t="n">
        <v>0</v>
      </c>
      <c r="L628" s="10" t="n">
        <v>0</v>
      </c>
      <c r="M628" s="10" t="n">
        <v>0</v>
      </c>
      <c r="N628" s="10" t="n">
        <v>0</v>
      </c>
      <c r="O628" s="10" t="n">
        <v>0</v>
      </c>
      <c r="P628" s="10" t="n">
        <v>0</v>
      </c>
      <c r="Q628" s="10" t="n">
        <v>0</v>
      </c>
      <c r="R628" s="10" t="n">
        <v>1</v>
      </c>
      <c r="S628" s="10" t="n">
        <v>0</v>
      </c>
      <c r="T628" s="10" t="n">
        <v>0</v>
      </c>
      <c r="U628" s="10" t="n">
        <v>0</v>
      </c>
    </row>
    <row r="629" customFormat="false" ht="15" hidden="false" customHeight="false" outlineLevel="0" collapsed="false">
      <c r="A629" s="7" t="s">
        <v>931</v>
      </c>
      <c r="B629" s="7" t="s">
        <v>200</v>
      </c>
      <c r="C629" s="7" t="s">
        <v>472</v>
      </c>
      <c r="D629" s="10" t="n">
        <v>0</v>
      </c>
      <c r="E629" s="10" t="n">
        <v>0</v>
      </c>
      <c r="F629" s="10" t="n">
        <v>4</v>
      </c>
      <c r="G629" s="10" t="n">
        <v>0</v>
      </c>
      <c r="H629" s="10" t="n">
        <v>0</v>
      </c>
      <c r="I629" s="10" t="n">
        <v>0</v>
      </c>
      <c r="J629" s="10" t="n">
        <v>0</v>
      </c>
      <c r="K629" s="10" t="n">
        <v>0</v>
      </c>
      <c r="L629" s="10" t="n">
        <v>0</v>
      </c>
      <c r="M629" s="10" t="n">
        <v>0</v>
      </c>
      <c r="N629" s="10" t="n">
        <v>0</v>
      </c>
      <c r="O629" s="10" t="n">
        <v>0</v>
      </c>
      <c r="P629" s="10" t="n">
        <v>0</v>
      </c>
      <c r="Q629" s="10" t="n">
        <v>0</v>
      </c>
      <c r="R629" s="10" t="n">
        <v>0</v>
      </c>
      <c r="S629" s="10" t="n">
        <v>0</v>
      </c>
      <c r="T629" s="10" t="n">
        <v>3</v>
      </c>
      <c r="U629" s="10" t="n">
        <v>0</v>
      </c>
    </row>
    <row r="630" customFormat="false" ht="15" hidden="false" customHeight="false" outlineLevel="0" collapsed="false">
      <c r="A630" s="7" t="s">
        <v>931</v>
      </c>
      <c r="B630" s="7" t="s">
        <v>200</v>
      </c>
      <c r="C630" s="7" t="s">
        <v>473</v>
      </c>
      <c r="D630" s="10" t="n">
        <v>0</v>
      </c>
      <c r="E630" s="10" t="n">
        <v>0</v>
      </c>
      <c r="F630" s="10" t="n">
        <v>6</v>
      </c>
      <c r="G630" s="10" t="n">
        <v>0</v>
      </c>
      <c r="H630" s="10" t="n">
        <v>0</v>
      </c>
      <c r="I630" s="10" t="n">
        <v>1</v>
      </c>
      <c r="J630" s="10" t="n">
        <v>0</v>
      </c>
      <c r="K630" s="10" t="n">
        <v>0</v>
      </c>
      <c r="L630" s="10" t="n">
        <v>0</v>
      </c>
      <c r="M630" s="10" t="n">
        <v>0</v>
      </c>
      <c r="N630" s="10" t="n">
        <v>0</v>
      </c>
      <c r="O630" s="10" t="n">
        <v>0</v>
      </c>
      <c r="P630" s="10" t="n">
        <v>0</v>
      </c>
      <c r="Q630" s="10" t="n">
        <v>0</v>
      </c>
      <c r="R630" s="10" t="n">
        <v>1</v>
      </c>
      <c r="S630" s="10" t="n">
        <v>0</v>
      </c>
      <c r="T630" s="10" t="n">
        <v>10</v>
      </c>
      <c r="U630" s="10" t="n">
        <v>0</v>
      </c>
    </row>
    <row r="631" customFormat="false" ht="15" hidden="false" customHeight="false" outlineLevel="0" collapsed="false">
      <c r="A631" s="7" t="s">
        <v>931</v>
      </c>
      <c r="B631" s="7" t="s">
        <v>200</v>
      </c>
      <c r="C631" s="7" t="s">
        <v>474</v>
      </c>
      <c r="D631" s="10" t="n">
        <v>0</v>
      </c>
      <c r="E631" s="10" t="n">
        <v>0</v>
      </c>
      <c r="F631" s="10" t="n">
        <v>2</v>
      </c>
      <c r="G631" s="10" t="n">
        <v>0</v>
      </c>
      <c r="H631" s="10" t="n">
        <v>0</v>
      </c>
      <c r="I631" s="10" t="n">
        <v>0</v>
      </c>
      <c r="J631" s="10" t="n">
        <v>0</v>
      </c>
      <c r="K631" s="10" t="n">
        <v>0</v>
      </c>
      <c r="L631" s="10" t="n">
        <v>0</v>
      </c>
      <c r="M631" s="10" t="n">
        <v>0</v>
      </c>
      <c r="N631" s="10" t="n">
        <v>0</v>
      </c>
      <c r="O631" s="10" t="n">
        <v>0</v>
      </c>
      <c r="P631" s="10" t="n">
        <v>0</v>
      </c>
      <c r="Q631" s="10" t="n">
        <v>0</v>
      </c>
      <c r="R631" s="10" t="n">
        <v>0</v>
      </c>
      <c r="S631" s="10" t="n">
        <v>0</v>
      </c>
      <c r="T631" s="10" t="n">
        <v>0</v>
      </c>
      <c r="U631" s="10" t="n">
        <v>0</v>
      </c>
    </row>
    <row r="632" customFormat="false" ht="15" hidden="false" customHeight="false" outlineLevel="0" collapsed="false">
      <c r="A632" s="7" t="s">
        <v>931</v>
      </c>
      <c r="B632" s="7" t="s">
        <v>319</v>
      </c>
      <c r="C632" s="7" t="s">
        <v>475</v>
      </c>
      <c r="D632" s="10" t="n">
        <v>0</v>
      </c>
      <c r="E632" s="10" t="n">
        <v>0</v>
      </c>
      <c r="F632" s="10" t="n">
        <v>2</v>
      </c>
      <c r="G632" s="10" t="n">
        <v>0</v>
      </c>
      <c r="H632" s="10" t="n">
        <v>0</v>
      </c>
      <c r="I632" s="10" t="n">
        <v>0</v>
      </c>
      <c r="J632" s="10" t="n">
        <v>0</v>
      </c>
      <c r="K632" s="10" t="n">
        <v>0</v>
      </c>
      <c r="L632" s="10" t="n">
        <v>0</v>
      </c>
      <c r="M632" s="10" t="n">
        <v>0</v>
      </c>
      <c r="N632" s="10" t="n">
        <v>0</v>
      </c>
      <c r="O632" s="10" t="n">
        <v>0</v>
      </c>
      <c r="P632" s="10" t="n">
        <v>0</v>
      </c>
      <c r="Q632" s="10" t="n">
        <v>0</v>
      </c>
      <c r="R632" s="10" t="n">
        <v>0</v>
      </c>
      <c r="S632" s="10" t="n">
        <v>0</v>
      </c>
      <c r="T632" s="10" t="n">
        <v>0</v>
      </c>
      <c r="U632" s="10" t="n">
        <v>0</v>
      </c>
    </row>
    <row r="633" customFormat="false" ht="15" hidden="false" customHeight="false" outlineLevel="0" collapsed="false">
      <c r="A633" s="7" t="s">
        <v>931</v>
      </c>
      <c r="B633" s="7" t="s">
        <v>250</v>
      </c>
      <c r="C633" s="7" t="s">
        <v>475</v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>
        <v>-1</v>
      </c>
      <c r="J633" s="10" t="n">
        <v>0</v>
      </c>
      <c r="K633" s="10" t="n">
        <v>0</v>
      </c>
      <c r="L633" s="10" t="n">
        <v>0</v>
      </c>
      <c r="M633" s="10" t="n">
        <v>0</v>
      </c>
      <c r="N633" s="10" t="n">
        <v>0</v>
      </c>
      <c r="O633" s="10" t="n">
        <v>0</v>
      </c>
      <c r="P633" s="10" t="n">
        <v>0</v>
      </c>
      <c r="Q633" s="10" t="n">
        <v>-1</v>
      </c>
      <c r="R633" s="10" t="n">
        <v>0</v>
      </c>
      <c r="S633" s="10" t="n">
        <v>0</v>
      </c>
      <c r="T633" s="10" t="n">
        <v>0</v>
      </c>
      <c r="U633" s="10" t="n">
        <v>0</v>
      </c>
    </row>
    <row r="634" customFormat="false" ht="15" hidden="false" customHeight="false" outlineLevel="0" collapsed="false">
      <c r="A634" s="7" t="s">
        <v>931</v>
      </c>
      <c r="B634" s="7" t="s">
        <v>320</v>
      </c>
      <c r="C634" s="7" t="s">
        <v>475</v>
      </c>
      <c r="D634" s="10" t="n">
        <v>0</v>
      </c>
      <c r="E634" s="10" t="n">
        <v>0</v>
      </c>
      <c r="F634" s="10" t="n">
        <v>1</v>
      </c>
      <c r="G634" s="10" t="n">
        <v>0</v>
      </c>
      <c r="H634" s="10" t="n">
        <v>0</v>
      </c>
      <c r="I634" s="10" t="n">
        <v>0</v>
      </c>
      <c r="J634" s="10" t="n">
        <v>0</v>
      </c>
      <c r="K634" s="10" t="n">
        <v>0</v>
      </c>
      <c r="L634" s="10" t="n">
        <v>0</v>
      </c>
      <c r="M634" s="10" t="n">
        <v>0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0</v>
      </c>
      <c r="S634" s="10" t="n">
        <v>0</v>
      </c>
      <c r="T634" s="10" t="n">
        <v>0</v>
      </c>
      <c r="U634" s="10" t="n">
        <v>0</v>
      </c>
    </row>
    <row r="635" customFormat="false" ht="15" hidden="false" customHeight="false" outlineLevel="0" collapsed="false">
      <c r="A635" s="7" t="s">
        <v>931</v>
      </c>
      <c r="B635" s="7" t="s">
        <v>75</v>
      </c>
      <c r="C635" s="7" t="s">
        <v>477</v>
      </c>
      <c r="D635" s="10" t="n">
        <v>0</v>
      </c>
      <c r="E635" s="10" t="n">
        <v>0</v>
      </c>
      <c r="F635" s="10" t="n">
        <v>11</v>
      </c>
      <c r="G635" s="10" t="n">
        <v>0</v>
      </c>
      <c r="H635" s="10" t="n">
        <v>0</v>
      </c>
      <c r="I635" s="10" t="n">
        <v>-31</v>
      </c>
      <c r="J635" s="10" t="n">
        <v>0</v>
      </c>
      <c r="K635" s="10" t="n">
        <v>0</v>
      </c>
      <c r="L635" s="10" t="n">
        <v>0</v>
      </c>
      <c r="M635" s="10" t="n">
        <v>0</v>
      </c>
      <c r="N635" s="10" t="n">
        <v>0</v>
      </c>
      <c r="O635" s="10" t="n">
        <v>0</v>
      </c>
      <c r="P635" s="10" t="n">
        <v>-6</v>
      </c>
      <c r="Q635" s="10" t="n">
        <v>-25</v>
      </c>
      <c r="R635" s="10" t="n">
        <v>0</v>
      </c>
      <c r="S635" s="10" t="n">
        <v>0</v>
      </c>
      <c r="T635" s="10" t="n">
        <v>0</v>
      </c>
      <c r="U635" s="10" t="n">
        <v>0</v>
      </c>
    </row>
    <row r="636" customFormat="false" ht="15" hidden="false" customHeight="false" outlineLevel="0" collapsed="false">
      <c r="A636" s="7" t="s">
        <v>931</v>
      </c>
      <c r="B636" s="7" t="s">
        <v>152</v>
      </c>
      <c r="C636" s="7" t="s">
        <v>478</v>
      </c>
      <c r="D636" s="10" t="n">
        <v>0</v>
      </c>
      <c r="E636" s="10" t="n">
        <v>0</v>
      </c>
      <c r="F636" s="10" t="n">
        <v>1</v>
      </c>
      <c r="G636" s="10" t="n">
        <v>0</v>
      </c>
      <c r="H636" s="10" t="n">
        <v>0</v>
      </c>
      <c r="I636" s="10" t="n">
        <v>0</v>
      </c>
      <c r="J636" s="10" t="n">
        <v>0</v>
      </c>
      <c r="K636" s="10" t="n">
        <v>0</v>
      </c>
      <c r="L636" s="10" t="n">
        <v>0</v>
      </c>
      <c r="M636" s="10" t="n">
        <v>0</v>
      </c>
      <c r="N636" s="10" t="n">
        <v>0</v>
      </c>
      <c r="O636" s="10" t="n">
        <v>0</v>
      </c>
      <c r="P636" s="10" t="n">
        <v>0</v>
      </c>
      <c r="Q636" s="10" t="n">
        <v>-1</v>
      </c>
      <c r="R636" s="10" t="n">
        <v>1</v>
      </c>
      <c r="S636" s="10" t="n">
        <v>0</v>
      </c>
      <c r="T636" s="10" t="n">
        <v>0</v>
      </c>
      <c r="U636" s="10" t="n">
        <v>0</v>
      </c>
    </row>
    <row r="637" customFormat="false" ht="15" hidden="false" customHeight="false" outlineLevel="0" collapsed="false">
      <c r="A637" s="7" t="s">
        <v>931</v>
      </c>
      <c r="B637" s="7" t="s">
        <v>152</v>
      </c>
      <c r="C637" s="7" t="s">
        <v>479</v>
      </c>
      <c r="D637" s="10" t="n">
        <v>0</v>
      </c>
      <c r="E637" s="10" t="n">
        <v>0</v>
      </c>
      <c r="F637" s="10" t="n">
        <v>4</v>
      </c>
      <c r="G637" s="10" t="n">
        <v>0</v>
      </c>
      <c r="H637" s="10" t="n">
        <v>0</v>
      </c>
      <c r="I637" s="10" t="n">
        <v>4</v>
      </c>
      <c r="J637" s="10" t="n">
        <v>0</v>
      </c>
      <c r="K637" s="10" t="n">
        <v>0</v>
      </c>
      <c r="L637" s="10" t="n">
        <v>0</v>
      </c>
      <c r="M637" s="10" t="n">
        <v>0</v>
      </c>
      <c r="N637" s="10" t="n">
        <v>0</v>
      </c>
      <c r="O637" s="10" t="n">
        <v>0</v>
      </c>
      <c r="P637" s="10" t="n">
        <v>0</v>
      </c>
      <c r="Q637" s="10" t="n">
        <v>2</v>
      </c>
      <c r="R637" s="10" t="n">
        <v>2</v>
      </c>
      <c r="S637" s="10" t="n">
        <v>0</v>
      </c>
      <c r="T637" s="10" t="n">
        <v>0</v>
      </c>
      <c r="U637" s="10" t="n">
        <v>0</v>
      </c>
    </row>
    <row r="638" customFormat="false" ht="15" hidden="false" customHeight="false" outlineLevel="0" collapsed="false">
      <c r="A638" s="7" t="s">
        <v>931</v>
      </c>
      <c r="B638" s="7" t="s">
        <v>152</v>
      </c>
      <c r="C638" s="7" t="s">
        <v>480</v>
      </c>
      <c r="D638" s="10" t="n">
        <v>0</v>
      </c>
      <c r="E638" s="10" t="n">
        <v>0</v>
      </c>
      <c r="F638" s="10" t="n">
        <v>2</v>
      </c>
      <c r="G638" s="10" t="n">
        <v>0</v>
      </c>
      <c r="H638" s="10" t="n">
        <v>0</v>
      </c>
      <c r="I638" s="10" t="n">
        <v>7</v>
      </c>
      <c r="J638" s="10" t="n">
        <v>0</v>
      </c>
      <c r="K638" s="10" t="n">
        <v>0</v>
      </c>
      <c r="L638" s="10" t="n">
        <v>0</v>
      </c>
      <c r="M638" s="10" t="n">
        <v>0</v>
      </c>
      <c r="N638" s="10" t="n">
        <v>0</v>
      </c>
      <c r="O638" s="10" t="n">
        <v>0</v>
      </c>
      <c r="P638" s="10" t="n">
        <v>0</v>
      </c>
      <c r="Q638" s="10" t="n">
        <v>5</v>
      </c>
      <c r="R638" s="10" t="n">
        <v>2</v>
      </c>
      <c r="S638" s="10" t="n">
        <v>0</v>
      </c>
      <c r="T638" s="10" t="n">
        <v>0</v>
      </c>
      <c r="U638" s="10" t="n">
        <v>0</v>
      </c>
    </row>
    <row r="639" customFormat="false" ht="15" hidden="false" customHeight="false" outlineLevel="0" collapsed="false">
      <c r="A639" s="7" t="s">
        <v>931</v>
      </c>
      <c r="B639" s="7" t="s">
        <v>152</v>
      </c>
      <c r="C639" s="7" t="s">
        <v>481</v>
      </c>
      <c r="D639" s="10" t="n">
        <v>0</v>
      </c>
      <c r="E639" s="10" t="n">
        <v>0</v>
      </c>
      <c r="F639" s="10" t="n">
        <v>5</v>
      </c>
      <c r="G639" s="10" t="n">
        <v>0</v>
      </c>
      <c r="H639" s="10" t="n">
        <v>2</v>
      </c>
      <c r="I639" s="10" t="n">
        <v>5</v>
      </c>
      <c r="J639" s="10" t="n">
        <v>0</v>
      </c>
      <c r="K639" s="10" t="n">
        <v>0</v>
      </c>
      <c r="L639" s="10" t="n">
        <v>0</v>
      </c>
      <c r="M639" s="10" t="n">
        <v>0</v>
      </c>
      <c r="N639" s="10" t="n">
        <v>0</v>
      </c>
      <c r="O639" s="10" t="n">
        <v>0</v>
      </c>
      <c r="P639" s="10" t="n">
        <v>0</v>
      </c>
      <c r="Q639" s="10" t="n">
        <v>3</v>
      </c>
      <c r="R639" s="10" t="n">
        <v>2</v>
      </c>
      <c r="S639" s="10" t="n">
        <v>0</v>
      </c>
      <c r="T639" s="10" t="n">
        <v>0</v>
      </c>
      <c r="U639" s="10" t="n">
        <v>0</v>
      </c>
    </row>
    <row r="640" customFormat="false" ht="15" hidden="false" customHeight="false" outlineLevel="0" collapsed="false">
      <c r="A640" s="7" t="s">
        <v>931</v>
      </c>
      <c r="B640" s="7" t="s">
        <v>152</v>
      </c>
      <c r="C640" s="7" t="s">
        <v>482</v>
      </c>
      <c r="D640" s="10" t="n">
        <v>0</v>
      </c>
      <c r="E640" s="10" t="n">
        <v>0</v>
      </c>
      <c r="F640" s="10" t="n">
        <v>4</v>
      </c>
      <c r="G640" s="10" t="n">
        <v>0</v>
      </c>
      <c r="H640" s="10" t="n">
        <v>1</v>
      </c>
      <c r="I640" s="10" t="n">
        <v>0</v>
      </c>
      <c r="J640" s="10" t="n">
        <v>0</v>
      </c>
      <c r="K640" s="10" t="n">
        <v>0</v>
      </c>
      <c r="L640" s="10" t="n">
        <v>0</v>
      </c>
      <c r="M640" s="10" t="n">
        <v>0</v>
      </c>
      <c r="N640" s="10" t="n">
        <v>0</v>
      </c>
      <c r="O640" s="10" t="n">
        <v>0</v>
      </c>
      <c r="P640" s="10" t="n">
        <v>-1</v>
      </c>
      <c r="Q640" s="10" t="n">
        <v>-1</v>
      </c>
      <c r="R640" s="10" t="n">
        <v>2</v>
      </c>
      <c r="S640" s="10" t="n">
        <v>0</v>
      </c>
      <c r="T640" s="10" t="n">
        <v>0</v>
      </c>
      <c r="U640" s="10" t="n">
        <v>0</v>
      </c>
    </row>
    <row r="641" customFormat="false" ht="15" hidden="false" customHeight="false" outlineLevel="0" collapsed="false">
      <c r="A641" s="7" t="s">
        <v>931</v>
      </c>
      <c r="B641" s="7" t="s">
        <v>118</v>
      </c>
      <c r="C641" s="7" t="s">
        <v>483</v>
      </c>
      <c r="D641" s="10" t="n">
        <v>0</v>
      </c>
      <c r="E641" s="10" t="n">
        <v>0</v>
      </c>
      <c r="F641" s="10" t="n">
        <v>60</v>
      </c>
      <c r="G641" s="10" t="n">
        <v>0</v>
      </c>
      <c r="H641" s="10" t="n">
        <v>0</v>
      </c>
      <c r="I641" s="10" t="n">
        <v>136</v>
      </c>
      <c r="J641" s="10" t="n">
        <v>0</v>
      </c>
      <c r="K641" s="10" t="n">
        <v>10</v>
      </c>
      <c r="L641" s="10" t="n">
        <v>0</v>
      </c>
      <c r="M641" s="10" t="n">
        <v>0</v>
      </c>
      <c r="N641" s="10" t="n">
        <v>1</v>
      </c>
      <c r="O641" s="10" t="n">
        <v>0</v>
      </c>
      <c r="P641" s="10" t="n">
        <v>-1</v>
      </c>
      <c r="Q641" s="10" t="n">
        <v>108</v>
      </c>
      <c r="R641" s="10" t="n">
        <v>18</v>
      </c>
      <c r="S641" s="10" t="n">
        <v>0</v>
      </c>
      <c r="T641" s="10" t="n">
        <v>0</v>
      </c>
      <c r="U641" s="10" t="n">
        <v>0</v>
      </c>
    </row>
    <row r="642" customFormat="false" ht="15" hidden="false" customHeight="false" outlineLevel="0" collapsed="false">
      <c r="A642" s="7" t="s">
        <v>931</v>
      </c>
      <c r="B642" s="7" t="s">
        <v>118</v>
      </c>
      <c r="C642" s="7" t="s">
        <v>484</v>
      </c>
      <c r="D642" s="10" t="n">
        <v>0</v>
      </c>
      <c r="E642" s="10" t="n">
        <v>0</v>
      </c>
      <c r="F642" s="10" t="n">
        <v>60</v>
      </c>
      <c r="G642" s="10" t="n">
        <v>0</v>
      </c>
      <c r="H642" s="10" t="n">
        <v>0</v>
      </c>
      <c r="I642" s="10" t="n">
        <v>99</v>
      </c>
      <c r="J642" s="10" t="n">
        <v>0</v>
      </c>
      <c r="K642" s="10" t="n">
        <v>2</v>
      </c>
      <c r="L642" s="10" t="n">
        <v>0</v>
      </c>
      <c r="M642" s="10" t="n">
        <v>0</v>
      </c>
      <c r="N642" s="10" t="n">
        <v>1</v>
      </c>
      <c r="O642" s="10" t="n">
        <v>1</v>
      </c>
      <c r="P642" s="10" t="n">
        <v>-1</v>
      </c>
      <c r="Q642" s="10" t="n">
        <v>77</v>
      </c>
      <c r="R642" s="10" t="n">
        <v>19</v>
      </c>
      <c r="S642" s="10" t="n">
        <v>0</v>
      </c>
      <c r="T642" s="10" t="n">
        <v>0</v>
      </c>
      <c r="U642" s="10" t="n">
        <v>0</v>
      </c>
    </row>
    <row r="643" customFormat="false" ht="15" hidden="false" customHeight="false" outlineLevel="0" collapsed="false">
      <c r="A643" s="7" t="s">
        <v>931</v>
      </c>
      <c r="B643" s="7" t="s">
        <v>124</v>
      </c>
      <c r="C643" s="7" t="s">
        <v>485</v>
      </c>
      <c r="D643" s="10" t="n">
        <v>0</v>
      </c>
      <c r="E643" s="10" t="n">
        <v>0</v>
      </c>
      <c r="F643" s="10" t="n">
        <v>52</v>
      </c>
      <c r="G643" s="10" t="n">
        <v>0</v>
      </c>
      <c r="H643" s="10" t="n">
        <v>0</v>
      </c>
      <c r="I643" s="10" t="n">
        <v>58</v>
      </c>
      <c r="J643" s="10" t="n">
        <v>0</v>
      </c>
      <c r="K643" s="10" t="n">
        <v>0</v>
      </c>
      <c r="L643" s="10" t="n">
        <v>0</v>
      </c>
      <c r="M643" s="10" t="n">
        <v>0</v>
      </c>
      <c r="N643" s="10" t="n">
        <v>0</v>
      </c>
      <c r="O643" s="10" t="n">
        <v>0</v>
      </c>
      <c r="P643" s="10" t="n">
        <v>0</v>
      </c>
      <c r="Q643" s="10" t="n">
        <v>58</v>
      </c>
      <c r="R643" s="10" t="n">
        <v>0</v>
      </c>
      <c r="S643" s="10" t="n">
        <v>0</v>
      </c>
      <c r="T643" s="10" t="n">
        <v>0</v>
      </c>
      <c r="U643" s="10" t="n">
        <v>-20</v>
      </c>
    </row>
    <row r="644" customFormat="false" ht="15" hidden="false" customHeight="false" outlineLevel="0" collapsed="false">
      <c r="A644" s="7" t="s">
        <v>931</v>
      </c>
      <c r="B644" s="7" t="s">
        <v>124</v>
      </c>
      <c r="C644" s="7" t="s">
        <v>486</v>
      </c>
      <c r="D644" s="10" t="n">
        <v>0</v>
      </c>
      <c r="E644" s="10" t="n">
        <v>0</v>
      </c>
      <c r="F644" s="10" t="n">
        <v>37</v>
      </c>
      <c r="G644" s="10" t="n">
        <v>0</v>
      </c>
      <c r="H644" s="10" t="n">
        <v>0</v>
      </c>
      <c r="I644" s="10" t="n">
        <v>60</v>
      </c>
      <c r="J644" s="10" t="n">
        <v>0</v>
      </c>
      <c r="K644" s="10" t="n">
        <v>0</v>
      </c>
      <c r="L644" s="10" t="n">
        <v>0</v>
      </c>
      <c r="M644" s="10" t="n">
        <v>0</v>
      </c>
      <c r="N644" s="10" t="n">
        <v>0</v>
      </c>
      <c r="O644" s="10" t="n">
        <v>0</v>
      </c>
      <c r="P644" s="10" t="n">
        <v>0</v>
      </c>
      <c r="Q644" s="10" t="n">
        <v>60</v>
      </c>
      <c r="R644" s="10" t="n">
        <v>0</v>
      </c>
      <c r="S644" s="10" t="n">
        <v>0</v>
      </c>
      <c r="T644" s="10" t="n">
        <v>0</v>
      </c>
      <c r="U644" s="10" t="n">
        <v>0</v>
      </c>
    </row>
    <row r="645" customFormat="false" ht="15" hidden="false" customHeight="false" outlineLevel="0" collapsed="false">
      <c r="A645" s="7" t="s">
        <v>931</v>
      </c>
      <c r="B645" s="7" t="s">
        <v>60</v>
      </c>
      <c r="C645" s="7" t="s">
        <v>487</v>
      </c>
      <c r="D645" s="10" t="n">
        <v>0</v>
      </c>
      <c r="E645" s="10" t="n">
        <v>0</v>
      </c>
      <c r="F645" s="10" t="n">
        <v>295</v>
      </c>
      <c r="G645" s="10" t="n">
        <v>0</v>
      </c>
      <c r="H645" s="10" t="n">
        <v>0</v>
      </c>
      <c r="I645" s="10" t="n">
        <v>3578</v>
      </c>
      <c r="J645" s="10" t="n">
        <v>0</v>
      </c>
      <c r="K645" s="10" t="n">
        <v>13</v>
      </c>
      <c r="L645" s="10" t="n">
        <v>0</v>
      </c>
      <c r="M645" s="10" t="n">
        <v>3</v>
      </c>
      <c r="N645" s="10" t="n">
        <v>2</v>
      </c>
      <c r="O645" s="10" t="n">
        <v>6</v>
      </c>
      <c r="P645" s="10" t="n">
        <v>-5</v>
      </c>
      <c r="Q645" s="10" t="n">
        <v>3316</v>
      </c>
      <c r="R645" s="10" t="n">
        <v>243</v>
      </c>
      <c r="S645" s="10" t="n">
        <v>0</v>
      </c>
      <c r="T645" s="10" t="n">
        <v>0</v>
      </c>
      <c r="U645" s="10" t="n">
        <v>-1</v>
      </c>
    </row>
    <row r="646" customFormat="false" ht="15" hidden="false" customHeight="false" outlineLevel="0" collapsed="false">
      <c r="A646" s="7" t="s">
        <v>931</v>
      </c>
      <c r="B646" s="7" t="s">
        <v>59</v>
      </c>
      <c r="C646" s="7" t="s">
        <v>487</v>
      </c>
      <c r="D646" s="10" t="n">
        <v>0</v>
      </c>
      <c r="E646" s="10" t="n">
        <v>0</v>
      </c>
      <c r="F646" s="10" t="n">
        <v>338</v>
      </c>
      <c r="G646" s="10" t="n">
        <v>0</v>
      </c>
      <c r="H646" s="10" t="n">
        <v>0</v>
      </c>
      <c r="I646" s="10" t="n">
        <v>4378</v>
      </c>
      <c r="J646" s="10" t="n">
        <v>0</v>
      </c>
      <c r="K646" s="10" t="n">
        <v>22</v>
      </c>
      <c r="L646" s="10" t="n">
        <v>0</v>
      </c>
      <c r="M646" s="10" t="n">
        <v>5</v>
      </c>
      <c r="N646" s="10" t="n">
        <v>3</v>
      </c>
      <c r="O646" s="10" t="n">
        <v>6</v>
      </c>
      <c r="P646" s="10" t="n">
        <v>-3</v>
      </c>
      <c r="Q646" s="10" t="n">
        <v>4087</v>
      </c>
      <c r="R646" s="10" t="n">
        <v>258</v>
      </c>
      <c r="S646" s="10" t="n">
        <v>3</v>
      </c>
      <c r="T646" s="10" t="n">
        <v>0</v>
      </c>
      <c r="U646" s="10" t="n">
        <v>-2</v>
      </c>
    </row>
    <row r="647" customFormat="false" ht="15" hidden="false" customHeight="false" outlineLevel="0" collapsed="false">
      <c r="A647" s="7" t="s">
        <v>931</v>
      </c>
      <c r="B647" s="7" t="s">
        <v>207</v>
      </c>
      <c r="C647" s="7" t="s">
        <v>940</v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>
        <v>-2</v>
      </c>
      <c r="J647" s="10" t="n">
        <v>0</v>
      </c>
      <c r="K647" s="10" t="n">
        <v>0</v>
      </c>
      <c r="L647" s="10" t="n">
        <v>0</v>
      </c>
      <c r="M647" s="10" t="n">
        <v>0</v>
      </c>
      <c r="N647" s="10" t="n">
        <v>0</v>
      </c>
      <c r="O647" s="10" t="n">
        <v>0</v>
      </c>
      <c r="P647" s="10" t="n">
        <v>-1</v>
      </c>
      <c r="Q647" s="10" t="n">
        <v>-1</v>
      </c>
      <c r="R647" s="10" t="n">
        <v>0</v>
      </c>
      <c r="S647" s="10" t="n">
        <v>0</v>
      </c>
      <c r="T647" s="10" t="n">
        <v>0</v>
      </c>
      <c r="U647" s="10" t="n">
        <v>0</v>
      </c>
    </row>
    <row r="648" customFormat="false" ht="15" hidden="false" customHeight="false" outlineLevel="0" collapsed="false">
      <c r="A648" s="7" t="s">
        <v>931</v>
      </c>
      <c r="B648" s="7" t="s">
        <v>197</v>
      </c>
      <c r="C648" s="7" t="s">
        <v>490</v>
      </c>
      <c r="D648" s="10" t="n">
        <v>0</v>
      </c>
      <c r="E648" s="10" t="n">
        <v>0</v>
      </c>
      <c r="F648" s="10" t="n">
        <v>1</v>
      </c>
      <c r="G648" s="10" t="n">
        <v>0</v>
      </c>
      <c r="H648" s="10" t="n">
        <v>0</v>
      </c>
      <c r="I648" s="10" t="n">
        <v>0</v>
      </c>
      <c r="J648" s="10" t="n">
        <v>0</v>
      </c>
      <c r="K648" s="10" t="n">
        <v>0</v>
      </c>
      <c r="L648" s="10" t="n">
        <v>0</v>
      </c>
      <c r="M648" s="10" t="n">
        <v>0</v>
      </c>
      <c r="N648" s="10" t="n">
        <v>0</v>
      </c>
      <c r="O648" s="10" t="n">
        <v>0</v>
      </c>
      <c r="P648" s="10" t="n">
        <v>0</v>
      </c>
      <c r="Q648" s="10" t="n">
        <v>0</v>
      </c>
      <c r="R648" s="10" t="n">
        <v>0</v>
      </c>
      <c r="S648" s="10" t="n">
        <v>0</v>
      </c>
      <c r="T648" s="10" t="n">
        <v>0</v>
      </c>
      <c r="U648" s="10" t="n">
        <v>0</v>
      </c>
    </row>
    <row r="649" customFormat="false" ht="15" hidden="false" customHeight="false" outlineLevel="0" collapsed="false">
      <c r="A649" s="7" t="s">
        <v>931</v>
      </c>
      <c r="B649" s="7" t="s">
        <v>197</v>
      </c>
      <c r="C649" s="7" t="s">
        <v>491</v>
      </c>
      <c r="D649" s="10" t="n">
        <v>0</v>
      </c>
      <c r="E649" s="10" t="n">
        <v>0</v>
      </c>
      <c r="F649" s="10" t="n">
        <v>6</v>
      </c>
      <c r="G649" s="10" t="n">
        <v>0</v>
      </c>
      <c r="H649" s="10" t="n">
        <v>0</v>
      </c>
      <c r="I649" s="10" t="n">
        <v>14</v>
      </c>
      <c r="J649" s="10" t="n">
        <v>0</v>
      </c>
      <c r="K649" s="10" t="n">
        <v>0</v>
      </c>
      <c r="L649" s="10" t="n">
        <v>0</v>
      </c>
      <c r="M649" s="10" t="n">
        <v>0</v>
      </c>
      <c r="N649" s="10" t="n">
        <v>0</v>
      </c>
      <c r="O649" s="10" t="n">
        <v>0</v>
      </c>
      <c r="P649" s="10" t="n">
        <v>0</v>
      </c>
      <c r="Q649" s="10" t="n">
        <v>14</v>
      </c>
      <c r="R649" s="10" t="n">
        <v>0</v>
      </c>
      <c r="S649" s="10" t="n">
        <v>0</v>
      </c>
      <c r="T649" s="10" t="n">
        <v>0</v>
      </c>
      <c r="U649" s="10" t="n">
        <v>0</v>
      </c>
    </row>
    <row r="650" customFormat="false" ht="15" hidden="false" customHeight="false" outlineLevel="0" collapsed="false">
      <c r="A650" s="7" t="s">
        <v>931</v>
      </c>
      <c r="B650" s="7" t="s">
        <v>197</v>
      </c>
      <c r="C650" s="7" t="s">
        <v>492</v>
      </c>
      <c r="D650" s="10" t="n">
        <v>0</v>
      </c>
      <c r="E650" s="10" t="n">
        <v>0</v>
      </c>
      <c r="F650" s="10" t="n">
        <v>10</v>
      </c>
      <c r="G650" s="10" t="n">
        <v>0</v>
      </c>
      <c r="H650" s="10" t="n">
        <v>0</v>
      </c>
      <c r="I650" s="10" t="n">
        <v>24</v>
      </c>
      <c r="J650" s="10" t="n">
        <v>0</v>
      </c>
      <c r="K650" s="10" t="n">
        <v>0</v>
      </c>
      <c r="L650" s="10" t="n">
        <v>0</v>
      </c>
      <c r="M650" s="10" t="n">
        <v>0</v>
      </c>
      <c r="N650" s="10" t="n">
        <v>0</v>
      </c>
      <c r="O650" s="10" t="n">
        <v>0</v>
      </c>
      <c r="P650" s="10" t="n">
        <v>-1</v>
      </c>
      <c r="Q650" s="10" t="n">
        <v>0</v>
      </c>
      <c r="R650" s="10" t="n">
        <v>25</v>
      </c>
      <c r="S650" s="10" t="n">
        <v>0</v>
      </c>
      <c r="T650" s="10" t="n">
        <v>0</v>
      </c>
      <c r="U650" s="10" t="n">
        <v>0</v>
      </c>
    </row>
    <row r="651" customFormat="false" ht="15" hidden="false" customHeight="false" outlineLevel="0" collapsed="false">
      <c r="A651" s="7" t="s">
        <v>931</v>
      </c>
      <c r="B651" s="7" t="s">
        <v>197</v>
      </c>
      <c r="C651" s="7" t="s">
        <v>493</v>
      </c>
      <c r="D651" s="10" t="n">
        <v>0</v>
      </c>
      <c r="E651" s="10" t="n">
        <v>0</v>
      </c>
      <c r="F651" s="10" t="n">
        <v>9</v>
      </c>
      <c r="G651" s="10" t="n">
        <v>0</v>
      </c>
      <c r="H651" s="10" t="n">
        <v>0</v>
      </c>
      <c r="I651" s="10" t="n">
        <v>0</v>
      </c>
      <c r="J651" s="10" t="n">
        <v>0</v>
      </c>
      <c r="K651" s="10" t="n">
        <v>0</v>
      </c>
      <c r="L651" s="10" t="n">
        <v>0</v>
      </c>
      <c r="M651" s="10" t="n">
        <v>0</v>
      </c>
      <c r="N651" s="10" t="n">
        <v>0</v>
      </c>
      <c r="O651" s="10" t="n">
        <v>0</v>
      </c>
      <c r="P651" s="10" t="n">
        <v>0</v>
      </c>
      <c r="Q651" s="10" t="n">
        <v>0</v>
      </c>
      <c r="R651" s="10" t="n">
        <v>0</v>
      </c>
      <c r="S651" s="10" t="n">
        <v>0</v>
      </c>
      <c r="T651" s="10" t="n">
        <v>0</v>
      </c>
      <c r="U651" s="10" t="n">
        <v>0</v>
      </c>
    </row>
    <row r="652" customFormat="false" ht="15" hidden="false" customHeight="false" outlineLevel="0" collapsed="false">
      <c r="A652" s="7" t="s">
        <v>931</v>
      </c>
      <c r="B652" s="7" t="s">
        <v>307</v>
      </c>
      <c r="C652" s="7" t="s">
        <v>494</v>
      </c>
      <c r="D652" s="10" t="n">
        <v>0</v>
      </c>
      <c r="E652" s="10" t="n">
        <v>0</v>
      </c>
      <c r="F652" s="10" t="n">
        <v>1</v>
      </c>
      <c r="G652" s="10" t="n">
        <v>0</v>
      </c>
      <c r="H652" s="10" t="n">
        <v>0</v>
      </c>
      <c r="I652" s="10" t="n">
        <v>0</v>
      </c>
      <c r="J652" s="10" t="n">
        <v>0</v>
      </c>
      <c r="K652" s="10" t="n">
        <v>0</v>
      </c>
      <c r="L652" s="10" t="n">
        <v>0</v>
      </c>
      <c r="M652" s="10" t="n">
        <v>0</v>
      </c>
      <c r="N652" s="10" t="n">
        <v>0</v>
      </c>
      <c r="O652" s="10" t="n">
        <v>0</v>
      </c>
      <c r="P652" s="10" t="n">
        <v>0</v>
      </c>
      <c r="Q652" s="10" t="n">
        <v>0</v>
      </c>
      <c r="R652" s="10" t="n">
        <v>0</v>
      </c>
      <c r="S652" s="10" t="n">
        <v>0</v>
      </c>
      <c r="T652" s="10" t="n">
        <v>0</v>
      </c>
      <c r="U652" s="10" t="n">
        <v>0</v>
      </c>
    </row>
    <row r="653" customFormat="false" ht="15" hidden="false" customHeight="false" outlineLevel="0" collapsed="false">
      <c r="A653" s="7" t="s">
        <v>931</v>
      </c>
      <c r="B653" s="7" t="s">
        <v>307</v>
      </c>
      <c r="C653" s="7" t="s">
        <v>495</v>
      </c>
      <c r="D653" s="10" t="n">
        <v>0</v>
      </c>
      <c r="E653" s="10" t="n">
        <v>0</v>
      </c>
      <c r="F653" s="10" t="n">
        <v>1</v>
      </c>
      <c r="G653" s="10" t="n">
        <v>0</v>
      </c>
      <c r="H653" s="10" t="n">
        <v>0</v>
      </c>
      <c r="I653" s="10" t="n">
        <v>0</v>
      </c>
      <c r="J653" s="10" t="n">
        <v>0</v>
      </c>
      <c r="K653" s="10" t="n">
        <v>0</v>
      </c>
      <c r="L653" s="10" t="n">
        <v>0</v>
      </c>
      <c r="M653" s="10" t="n">
        <v>0</v>
      </c>
      <c r="N653" s="10" t="n">
        <v>0</v>
      </c>
      <c r="O653" s="10" t="n">
        <v>0</v>
      </c>
      <c r="P653" s="10" t="n">
        <v>0</v>
      </c>
      <c r="Q653" s="10" t="n">
        <v>0</v>
      </c>
      <c r="R653" s="10" t="n">
        <v>0</v>
      </c>
      <c r="S653" s="10" t="n">
        <v>0</v>
      </c>
      <c r="T653" s="10" t="n">
        <v>0</v>
      </c>
      <c r="U653" s="10" t="n">
        <v>0</v>
      </c>
    </row>
    <row r="654" customFormat="false" ht="15" hidden="false" customHeight="false" outlineLevel="0" collapsed="false">
      <c r="A654" s="7" t="s">
        <v>931</v>
      </c>
      <c r="B654" s="7" t="s">
        <v>321</v>
      </c>
      <c r="C654" s="7" t="s">
        <v>941</v>
      </c>
      <c r="D654" s="10" t="n">
        <v>0</v>
      </c>
      <c r="E654" s="10" t="n">
        <v>0</v>
      </c>
      <c r="F654" s="10" t="n">
        <v>-1</v>
      </c>
      <c r="G654" s="10" t="n">
        <v>0</v>
      </c>
      <c r="H654" s="10" t="n">
        <v>0</v>
      </c>
      <c r="I654" s="10" t="n">
        <v>0</v>
      </c>
      <c r="J654" s="10" t="n">
        <v>0</v>
      </c>
      <c r="K654" s="10" t="n">
        <v>0</v>
      </c>
      <c r="L654" s="10" t="n">
        <v>0</v>
      </c>
      <c r="M654" s="10" t="n">
        <v>0</v>
      </c>
      <c r="N654" s="10" t="n">
        <v>0</v>
      </c>
      <c r="O654" s="10" t="n">
        <v>0</v>
      </c>
      <c r="P654" s="10" t="n">
        <v>0</v>
      </c>
      <c r="Q654" s="10" t="n">
        <v>0</v>
      </c>
      <c r="R654" s="10" t="n">
        <v>0</v>
      </c>
      <c r="S654" s="10" t="n">
        <v>0</v>
      </c>
      <c r="T654" s="10" t="n">
        <v>0</v>
      </c>
      <c r="U654" s="10" t="n">
        <v>0</v>
      </c>
    </row>
    <row r="655" customFormat="false" ht="15" hidden="false" customHeight="false" outlineLevel="0" collapsed="false">
      <c r="A655" s="7" t="s">
        <v>931</v>
      </c>
      <c r="B655" s="7" t="s">
        <v>321</v>
      </c>
      <c r="C655" s="7" t="s">
        <v>942</v>
      </c>
      <c r="D655" s="10" t="n">
        <v>0</v>
      </c>
      <c r="E655" s="10" t="n">
        <v>0</v>
      </c>
      <c r="F655" s="10" t="n">
        <v>1</v>
      </c>
      <c r="G655" s="10" t="n">
        <v>0</v>
      </c>
      <c r="H655" s="10" t="n">
        <v>0</v>
      </c>
      <c r="I655" s="10" t="n">
        <v>0</v>
      </c>
      <c r="J655" s="10" t="n">
        <v>0</v>
      </c>
      <c r="K655" s="10" t="n">
        <v>0</v>
      </c>
      <c r="L655" s="10" t="n">
        <v>0</v>
      </c>
      <c r="M655" s="10" t="n">
        <v>0</v>
      </c>
      <c r="N655" s="10" t="n">
        <v>0</v>
      </c>
      <c r="O655" s="10" t="n">
        <v>0</v>
      </c>
      <c r="P655" s="10" t="n">
        <v>0</v>
      </c>
      <c r="Q655" s="10" t="n">
        <v>0</v>
      </c>
      <c r="R655" s="10" t="n">
        <v>0</v>
      </c>
      <c r="S655" s="10" t="n">
        <v>0</v>
      </c>
      <c r="T655" s="10" t="n">
        <v>0</v>
      </c>
      <c r="U655" s="10" t="n">
        <v>0</v>
      </c>
    </row>
    <row r="656" customFormat="false" ht="15" hidden="false" customHeight="false" outlineLevel="0" collapsed="false">
      <c r="A656" s="7" t="s">
        <v>931</v>
      </c>
      <c r="B656" s="7" t="s">
        <v>197</v>
      </c>
      <c r="C656" s="7" t="s">
        <v>499</v>
      </c>
      <c r="D656" s="10" t="n">
        <v>0</v>
      </c>
      <c r="E656" s="10" t="n">
        <v>0</v>
      </c>
      <c r="F656" s="10" t="n">
        <v>18</v>
      </c>
      <c r="G656" s="10" t="n">
        <v>0</v>
      </c>
      <c r="H656" s="10" t="n">
        <v>0</v>
      </c>
      <c r="I656" s="10" t="n">
        <v>65</v>
      </c>
      <c r="J656" s="10" t="n">
        <v>0</v>
      </c>
      <c r="K656" s="10" t="n">
        <v>0</v>
      </c>
      <c r="L656" s="10" t="n">
        <v>0</v>
      </c>
      <c r="M656" s="10" t="n">
        <v>0</v>
      </c>
      <c r="N656" s="10" t="n">
        <v>0</v>
      </c>
      <c r="O656" s="10" t="n">
        <v>0</v>
      </c>
      <c r="P656" s="10" t="n">
        <v>-2</v>
      </c>
      <c r="Q656" s="10" t="n">
        <v>0</v>
      </c>
      <c r="R656" s="10" t="n">
        <v>67</v>
      </c>
      <c r="S656" s="10" t="n">
        <v>0</v>
      </c>
      <c r="T656" s="10" t="n">
        <v>0</v>
      </c>
      <c r="U656" s="10" t="n">
        <v>0</v>
      </c>
    </row>
    <row r="657" customFormat="false" ht="15" hidden="false" customHeight="false" outlineLevel="0" collapsed="false">
      <c r="A657" s="7" t="s">
        <v>931</v>
      </c>
      <c r="B657" s="7" t="s">
        <v>280</v>
      </c>
      <c r="C657" s="7" t="s">
        <v>500</v>
      </c>
      <c r="D657" s="10" t="n">
        <v>0</v>
      </c>
      <c r="E657" s="10" t="n">
        <v>0</v>
      </c>
      <c r="F657" s="10" t="n">
        <v>8</v>
      </c>
      <c r="G657" s="10" t="n">
        <v>0</v>
      </c>
      <c r="H657" s="10" t="n">
        <v>0</v>
      </c>
      <c r="I657" s="10" t="n">
        <v>0</v>
      </c>
      <c r="J657" s="10" t="n">
        <v>0</v>
      </c>
      <c r="K657" s="10" t="n">
        <v>0</v>
      </c>
      <c r="L657" s="10" t="n">
        <v>0</v>
      </c>
      <c r="M657" s="10" t="n">
        <v>0</v>
      </c>
      <c r="N657" s="10" t="n">
        <v>0</v>
      </c>
      <c r="O657" s="10" t="n">
        <v>0</v>
      </c>
      <c r="P657" s="10" t="n">
        <v>0</v>
      </c>
      <c r="Q657" s="10" t="n">
        <v>0</v>
      </c>
      <c r="R657" s="10" t="n">
        <v>0</v>
      </c>
      <c r="S657" s="10" t="n">
        <v>0</v>
      </c>
      <c r="T657" s="10" t="n">
        <v>0</v>
      </c>
      <c r="U657" s="10" t="n">
        <v>0</v>
      </c>
    </row>
    <row r="658" customFormat="false" ht="15" hidden="false" customHeight="false" outlineLevel="0" collapsed="false">
      <c r="A658" s="7" t="s">
        <v>931</v>
      </c>
      <c r="B658" s="7" t="s">
        <v>280</v>
      </c>
      <c r="C658" s="7" t="s">
        <v>501</v>
      </c>
      <c r="D658" s="10" t="n">
        <v>0</v>
      </c>
      <c r="E658" s="10" t="n">
        <v>0</v>
      </c>
      <c r="F658" s="10" t="n">
        <v>8</v>
      </c>
      <c r="G658" s="10" t="n">
        <v>0</v>
      </c>
      <c r="H658" s="10" t="n">
        <v>0</v>
      </c>
      <c r="I658" s="10" t="n">
        <v>0</v>
      </c>
      <c r="J658" s="10" t="n">
        <v>0</v>
      </c>
      <c r="K658" s="10" t="n">
        <v>0</v>
      </c>
      <c r="L658" s="10" t="n">
        <v>0</v>
      </c>
      <c r="M658" s="10" t="n">
        <v>0</v>
      </c>
      <c r="N658" s="10" t="n">
        <v>0</v>
      </c>
      <c r="O658" s="10" t="n">
        <v>0</v>
      </c>
      <c r="P658" s="10" t="n">
        <v>0</v>
      </c>
      <c r="Q658" s="10" t="n">
        <v>0</v>
      </c>
      <c r="R658" s="10" t="n">
        <v>0</v>
      </c>
      <c r="S658" s="10" t="n">
        <v>0</v>
      </c>
      <c r="T658" s="10" t="n">
        <v>0</v>
      </c>
      <c r="U658" s="10" t="n">
        <v>0</v>
      </c>
    </row>
    <row r="659" customFormat="false" ht="15" hidden="false" customHeight="false" outlineLevel="0" collapsed="false">
      <c r="A659" s="7" t="s">
        <v>931</v>
      </c>
      <c r="B659" s="7" t="s">
        <v>188</v>
      </c>
      <c r="C659" s="7" t="s">
        <v>505</v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>
        <v>1</v>
      </c>
      <c r="J659" s="10" t="n">
        <v>0</v>
      </c>
      <c r="K659" s="10" t="n">
        <v>0</v>
      </c>
      <c r="L659" s="10" t="n">
        <v>0</v>
      </c>
      <c r="M659" s="10" t="n">
        <v>0</v>
      </c>
      <c r="N659" s="10" t="n">
        <v>0</v>
      </c>
      <c r="O659" s="10" t="n">
        <v>0</v>
      </c>
      <c r="P659" s="10" t="n">
        <v>0</v>
      </c>
      <c r="Q659" s="10" t="n">
        <v>1</v>
      </c>
      <c r="R659" s="10" t="n">
        <v>0</v>
      </c>
      <c r="S659" s="10" t="n">
        <v>0</v>
      </c>
      <c r="T659" s="10" t="n">
        <v>0</v>
      </c>
      <c r="U659" s="10" t="n">
        <v>0</v>
      </c>
    </row>
    <row r="660" customFormat="false" ht="15" hidden="false" customHeight="false" outlineLevel="0" collapsed="false">
      <c r="A660" s="7" t="s">
        <v>931</v>
      </c>
      <c r="B660" s="7" t="s">
        <v>188</v>
      </c>
      <c r="C660" s="7" t="s">
        <v>507</v>
      </c>
      <c r="D660" s="10" t="n">
        <v>0</v>
      </c>
      <c r="E660" s="10" t="n">
        <v>0</v>
      </c>
      <c r="F660" s="10" t="n">
        <v>1</v>
      </c>
      <c r="G660" s="10" t="n">
        <v>0</v>
      </c>
      <c r="H660" s="10" t="n">
        <v>0</v>
      </c>
      <c r="I660" s="10" t="n">
        <v>0</v>
      </c>
      <c r="J660" s="10" t="n">
        <v>0</v>
      </c>
      <c r="K660" s="10" t="n">
        <v>0</v>
      </c>
      <c r="L660" s="10" t="n">
        <v>0</v>
      </c>
      <c r="M660" s="10" t="n">
        <v>0</v>
      </c>
      <c r="N660" s="10" t="n">
        <v>0</v>
      </c>
      <c r="O660" s="10" t="n">
        <v>0</v>
      </c>
      <c r="P660" s="10" t="n">
        <v>0</v>
      </c>
      <c r="Q660" s="10" t="n">
        <v>0</v>
      </c>
      <c r="R660" s="10" t="n">
        <v>0</v>
      </c>
      <c r="S660" s="10" t="n">
        <v>0</v>
      </c>
      <c r="T660" s="10" t="n">
        <v>0</v>
      </c>
      <c r="U660" s="10" t="n">
        <v>0</v>
      </c>
    </row>
    <row r="661" customFormat="false" ht="15" hidden="false" customHeight="false" outlineLevel="0" collapsed="false">
      <c r="A661" s="7" t="s">
        <v>931</v>
      </c>
      <c r="B661" s="7" t="s">
        <v>188</v>
      </c>
      <c r="C661" s="7" t="s">
        <v>509</v>
      </c>
      <c r="D661" s="10" t="n">
        <v>0</v>
      </c>
      <c r="E661" s="10" t="n">
        <v>0</v>
      </c>
      <c r="F661" s="10" t="n">
        <v>1</v>
      </c>
      <c r="G661" s="10" t="n">
        <v>0</v>
      </c>
      <c r="H661" s="10" t="n">
        <v>0</v>
      </c>
      <c r="I661" s="10" t="n">
        <v>3</v>
      </c>
      <c r="J661" s="10" t="n">
        <v>0</v>
      </c>
      <c r="K661" s="10" t="n">
        <v>0</v>
      </c>
      <c r="L661" s="10" t="n">
        <v>0</v>
      </c>
      <c r="M661" s="10" t="n">
        <v>0</v>
      </c>
      <c r="N661" s="10" t="n">
        <v>0</v>
      </c>
      <c r="O661" s="10" t="n">
        <v>0</v>
      </c>
      <c r="P661" s="10" t="n">
        <v>0</v>
      </c>
      <c r="Q661" s="10" t="n">
        <v>0</v>
      </c>
      <c r="R661" s="10" t="n">
        <v>3</v>
      </c>
      <c r="S661" s="10" t="n">
        <v>0</v>
      </c>
      <c r="T661" s="10" t="n">
        <v>0</v>
      </c>
      <c r="U661" s="10" t="n">
        <v>0</v>
      </c>
    </row>
    <row r="662" customFormat="false" ht="15" hidden="false" customHeight="false" outlineLevel="0" collapsed="false">
      <c r="A662" s="7" t="s">
        <v>931</v>
      </c>
      <c r="B662" s="7" t="s">
        <v>116</v>
      </c>
      <c r="C662" s="7" t="s">
        <v>510</v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>
        <v>11</v>
      </c>
      <c r="J662" s="10" t="n">
        <v>0</v>
      </c>
      <c r="K662" s="10" t="n">
        <v>1</v>
      </c>
      <c r="L662" s="10" t="n">
        <v>0</v>
      </c>
      <c r="M662" s="10" t="n">
        <v>0</v>
      </c>
      <c r="N662" s="10" t="n">
        <v>0</v>
      </c>
      <c r="O662" s="10" t="n">
        <v>0</v>
      </c>
      <c r="P662" s="10" t="n">
        <v>-2</v>
      </c>
      <c r="Q662" s="10" t="n">
        <v>-1</v>
      </c>
      <c r="R662" s="10" t="n">
        <v>13</v>
      </c>
      <c r="S662" s="10" t="n">
        <v>0</v>
      </c>
      <c r="T662" s="10" t="n">
        <v>0</v>
      </c>
      <c r="U662" s="10" t="n">
        <v>0</v>
      </c>
    </row>
    <row r="663" customFormat="false" ht="15" hidden="false" customHeight="false" outlineLevel="0" collapsed="false">
      <c r="A663" s="7" t="s">
        <v>931</v>
      </c>
      <c r="B663" s="7" t="s">
        <v>116</v>
      </c>
      <c r="C663" s="7" t="s">
        <v>511</v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>
        <v>36</v>
      </c>
      <c r="J663" s="10" t="n">
        <v>0</v>
      </c>
      <c r="K663" s="10" t="n">
        <v>1</v>
      </c>
      <c r="L663" s="10" t="n">
        <v>0</v>
      </c>
      <c r="M663" s="10" t="n">
        <v>0</v>
      </c>
      <c r="N663" s="10" t="n">
        <v>0</v>
      </c>
      <c r="O663" s="10" t="n">
        <v>0</v>
      </c>
      <c r="P663" s="10" t="n">
        <v>-2</v>
      </c>
      <c r="Q663" s="10" t="n">
        <v>9</v>
      </c>
      <c r="R663" s="10" t="n">
        <v>28</v>
      </c>
      <c r="S663" s="10" t="n">
        <v>0</v>
      </c>
      <c r="T663" s="10" t="n">
        <v>1</v>
      </c>
      <c r="U663" s="10" t="n">
        <v>0</v>
      </c>
    </row>
    <row r="664" customFormat="false" ht="15" hidden="false" customHeight="false" outlineLevel="0" collapsed="false">
      <c r="A664" s="7" t="s">
        <v>931</v>
      </c>
      <c r="B664" s="7" t="s">
        <v>116</v>
      </c>
      <c r="C664" s="7" t="s">
        <v>512</v>
      </c>
      <c r="D664" s="10" t="n">
        <v>0</v>
      </c>
      <c r="E664" s="10" t="n">
        <v>0</v>
      </c>
      <c r="F664" s="10" t="n">
        <v>6</v>
      </c>
      <c r="G664" s="10" t="n">
        <v>0</v>
      </c>
      <c r="H664" s="10" t="n">
        <v>0</v>
      </c>
      <c r="I664" s="10" t="n">
        <v>72</v>
      </c>
      <c r="J664" s="10" t="n">
        <v>0</v>
      </c>
      <c r="K664" s="10" t="n">
        <v>0</v>
      </c>
      <c r="L664" s="10" t="n">
        <v>0</v>
      </c>
      <c r="M664" s="10" t="n">
        <v>0</v>
      </c>
      <c r="N664" s="10" t="n">
        <v>0</v>
      </c>
      <c r="O664" s="10" t="n">
        <v>0</v>
      </c>
      <c r="P664" s="10" t="n">
        <v>-2</v>
      </c>
      <c r="Q664" s="10" t="n">
        <v>23</v>
      </c>
      <c r="R664" s="10" t="n">
        <v>51</v>
      </c>
      <c r="S664" s="10" t="n">
        <v>0</v>
      </c>
      <c r="T664" s="10" t="n">
        <v>10</v>
      </c>
      <c r="U664" s="10" t="n">
        <v>0</v>
      </c>
    </row>
    <row r="665" customFormat="false" ht="15" hidden="false" customHeight="false" outlineLevel="0" collapsed="false">
      <c r="A665" s="7" t="s">
        <v>931</v>
      </c>
      <c r="B665" s="7" t="s">
        <v>116</v>
      </c>
      <c r="C665" s="7" t="s">
        <v>513</v>
      </c>
      <c r="D665" s="10" t="n">
        <v>0</v>
      </c>
      <c r="E665" s="10" t="n">
        <v>0</v>
      </c>
      <c r="F665" s="10" t="n">
        <v>11</v>
      </c>
      <c r="G665" s="10" t="n">
        <v>0</v>
      </c>
      <c r="H665" s="10" t="n">
        <v>0</v>
      </c>
      <c r="I665" s="10" t="n">
        <v>81</v>
      </c>
      <c r="J665" s="10" t="n">
        <v>0</v>
      </c>
      <c r="K665" s="10" t="n">
        <v>4</v>
      </c>
      <c r="L665" s="10" t="n">
        <v>0</v>
      </c>
      <c r="M665" s="10" t="n">
        <v>0</v>
      </c>
      <c r="N665" s="10" t="n">
        <v>0</v>
      </c>
      <c r="O665" s="10" t="n">
        <v>0</v>
      </c>
      <c r="P665" s="10" t="n">
        <v>-3</v>
      </c>
      <c r="Q665" s="10" t="n">
        <v>22</v>
      </c>
      <c r="R665" s="10" t="n">
        <v>58</v>
      </c>
      <c r="S665" s="10" t="n">
        <v>0</v>
      </c>
      <c r="T665" s="10" t="n">
        <v>4</v>
      </c>
      <c r="U665" s="10" t="n">
        <v>0</v>
      </c>
    </row>
    <row r="666" customFormat="false" ht="15" hidden="false" customHeight="false" outlineLevel="0" collapsed="false">
      <c r="A666" s="7" t="s">
        <v>931</v>
      </c>
      <c r="B666" s="7" t="s">
        <v>116</v>
      </c>
      <c r="C666" s="7" t="s">
        <v>514</v>
      </c>
      <c r="D666" s="10" t="n">
        <v>0</v>
      </c>
      <c r="E666" s="10" t="n">
        <v>0</v>
      </c>
      <c r="F666" s="10" t="n">
        <v>5</v>
      </c>
      <c r="G666" s="10" t="n">
        <v>0</v>
      </c>
      <c r="H666" s="10" t="n">
        <v>0</v>
      </c>
      <c r="I666" s="10" t="n">
        <v>124</v>
      </c>
      <c r="J666" s="10" t="n">
        <v>0</v>
      </c>
      <c r="K666" s="10" t="n">
        <v>1</v>
      </c>
      <c r="L666" s="10" t="n">
        <v>0</v>
      </c>
      <c r="M666" s="10" t="n">
        <v>0</v>
      </c>
      <c r="N666" s="10" t="n">
        <v>0</v>
      </c>
      <c r="O666" s="10" t="n">
        <v>0</v>
      </c>
      <c r="P666" s="10" t="n">
        <v>-5</v>
      </c>
      <c r="Q666" s="10" t="n">
        <v>41</v>
      </c>
      <c r="R666" s="10" t="n">
        <v>87</v>
      </c>
      <c r="S666" s="10" t="n">
        <v>0</v>
      </c>
      <c r="T666" s="10" t="n">
        <v>7</v>
      </c>
      <c r="U666" s="10" t="n">
        <v>0</v>
      </c>
    </row>
    <row r="667" customFormat="false" ht="15" hidden="false" customHeight="false" outlineLevel="0" collapsed="false">
      <c r="A667" s="7" t="s">
        <v>931</v>
      </c>
      <c r="B667" s="7" t="s">
        <v>251</v>
      </c>
      <c r="C667" s="7" t="s">
        <v>517</v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>
        <v>-1</v>
      </c>
      <c r="J667" s="10" t="n">
        <v>0</v>
      </c>
      <c r="K667" s="10" t="n">
        <v>0</v>
      </c>
      <c r="L667" s="10" t="n">
        <v>0</v>
      </c>
      <c r="M667" s="10" t="n">
        <v>0</v>
      </c>
      <c r="N667" s="10" t="n">
        <v>0</v>
      </c>
      <c r="O667" s="10" t="n">
        <v>0</v>
      </c>
      <c r="P667" s="10" t="n">
        <v>0</v>
      </c>
      <c r="Q667" s="10" t="n">
        <v>-1</v>
      </c>
      <c r="R667" s="10" t="n">
        <v>0</v>
      </c>
      <c r="S667" s="10" t="n">
        <v>0</v>
      </c>
      <c r="T667" s="10" t="n">
        <v>0</v>
      </c>
      <c r="U667" s="10" t="n">
        <v>0</v>
      </c>
    </row>
    <row r="668" customFormat="false" ht="15" hidden="false" customHeight="false" outlineLevel="0" collapsed="false">
      <c r="A668" s="7" t="s">
        <v>931</v>
      </c>
      <c r="B668" s="7" t="s">
        <v>251</v>
      </c>
      <c r="C668" s="7" t="s">
        <v>518</v>
      </c>
      <c r="D668" s="10" t="n">
        <v>0</v>
      </c>
      <c r="E668" s="10" t="n">
        <v>0</v>
      </c>
      <c r="F668" s="10" t="n">
        <v>1</v>
      </c>
      <c r="G668" s="10" t="n">
        <v>0</v>
      </c>
      <c r="H668" s="10" t="n">
        <v>0</v>
      </c>
      <c r="I668" s="10" t="n">
        <v>0</v>
      </c>
      <c r="J668" s="10" t="n">
        <v>0</v>
      </c>
      <c r="K668" s="10" t="n">
        <v>0</v>
      </c>
      <c r="L668" s="10" t="n">
        <v>0</v>
      </c>
      <c r="M668" s="10" t="n">
        <v>0</v>
      </c>
      <c r="N668" s="10" t="n">
        <v>0</v>
      </c>
      <c r="O668" s="10" t="n">
        <v>0</v>
      </c>
      <c r="P668" s="10" t="n">
        <v>0</v>
      </c>
      <c r="Q668" s="10" t="n">
        <v>0</v>
      </c>
      <c r="R668" s="10" t="n">
        <v>0</v>
      </c>
      <c r="S668" s="10" t="n">
        <v>0</v>
      </c>
      <c r="T668" s="10" t="n">
        <v>0</v>
      </c>
      <c r="U668" s="10" t="n">
        <v>0</v>
      </c>
    </row>
    <row r="669" customFormat="false" ht="15" hidden="false" customHeight="false" outlineLevel="0" collapsed="false">
      <c r="A669" s="7" t="s">
        <v>931</v>
      </c>
      <c r="B669" s="7" t="s">
        <v>251</v>
      </c>
      <c r="C669" s="7" t="s">
        <v>519</v>
      </c>
      <c r="D669" s="10" t="n">
        <v>0</v>
      </c>
      <c r="E669" s="10" t="n">
        <v>0</v>
      </c>
      <c r="F669" s="10" t="n">
        <v>1</v>
      </c>
      <c r="G669" s="10" t="n">
        <v>0</v>
      </c>
      <c r="H669" s="10" t="n">
        <v>0</v>
      </c>
      <c r="I669" s="10" t="n">
        <v>0</v>
      </c>
      <c r="J669" s="10" t="n">
        <v>0</v>
      </c>
      <c r="K669" s="10" t="n">
        <v>0</v>
      </c>
      <c r="L669" s="10" t="n">
        <v>0</v>
      </c>
      <c r="M669" s="10" t="n">
        <v>0</v>
      </c>
      <c r="N669" s="10" t="n">
        <v>0</v>
      </c>
      <c r="O669" s="10" t="n">
        <v>0</v>
      </c>
      <c r="P669" s="10" t="n">
        <v>0</v>
      </c>
      <c r="Q669" s="10" t="n">
        <v>0</v>
      </c>
      <c r="R669" s="10" t="n">
        <v>0</v>
      </c>
      <c r="S669" s="10" t="n">
        <v>0</v>
      </c>
      <c r="T669" s="10" t="n">
        <v>0</v>
      </c>
      <c r="U669" s="10" t="n">
        <v>0</v>
      </c>
    </row>
    <row r="670" customFormat="false" ht="15" hidden="false" customHeight="false" outlineLevel="0" collapsed="false">
      <c r="A670" s="7" t="s">
        <v>931</v>
      </c>
      <c r="B670" s="7" t="s">
        <v>133</v>
      </c>
      <c r="C670" s="7" t="s">
        <v>520</v>
      </c>
      <c r="D670" s="10" t="n">
        <v>0</v>
      </c>
      <c r="E670" s="10" t="n">
        <v>0</v>
      </c>
      <c r="F670" s="10" t="n">
        <v>32</v>
      </c>
      <c r="G670" s="10" t="n">
        <v>0</v>
      </c>
      <c r="H670" s="10" t="n">
        <v>1</v>
      </c>
      <c r="I670" s="10" t="n">
        <v>36</v>
      </c>
      <c r="J670" s="10" t="n">
        <v>0</v>
      </c>
      <c r="K670" s="10" t="n">
        <v>0</v>
      </c>
      <c r="L670" s="10" t="n">
        <v>0</v>
      </c>
      <c r="M670" s="10" t="n">
        <v>0</v>
      </c>
      <c r="N670" s="10" t="n">
        <v>0</v>
      </c>
      <c r="O670" s="10" t="n">
        <v>0</v>
      </c>
      <c r="P670" s="10" t="n">
        <v>0</v>
      </c>
      <c r="Q670" s="10" t="n">
        <v>36</v>
      </c>
      <c r="R670" s="10" t="n">
        <v>0</v>
      </c>
      <c r="S670" s="10" t="n">
        <v>0</v>
      </c>
      <c r="T670" s="10" t="n">
        <v>35</v>
      </c>
      <c r="U670" s="10" t="n">
        <v>0</v>
      </c>
    </row>
    <row r="671" customFormat="false" ht="15" hidden="false" customHeight="false" outlineLevel="0" collapsed="false">
      <c r="A671" s="7" t="s">
        <v>931</v>
      </c>
      <c r="B671" s="7" t="s">
        <v>103</v>
      </c>
      <c r="C671" s="7" t="s">
        <v>521</v>
      </c>
      <c r="D671" s="10" t="n">
        <v>0</v>
      </c>
      <c r="E671" s="10" t="n">
        <v>0</v>
      </c>
      <c r="F671" s="10" t="n">
        <v>55</v>
      </c>
      <c r="G671" s="10" t="n">
        <v>0</v>
      </c>
      <c r="H671" s="10" t="n">
        <v>0</v>
      </c>
      <c r="I671" s="10" t="n">
        <v>82</v>
      </c>
      <c r="J671" s="10" t="n">
        <v>0</v>
      </c>
      <c r="K671" s="10" t="n">
        <v>0</v>
      </c>
      <c r="L671" s="10" t="n">
        <v>0</v>
      </c>
      <c r="M671" s="10" t="n">
        <v>0</v>
      </c>
      <c r="N671" s="10" t="n">
        <v>0</v>
      </c>
      <c r="O671" s="10" t="n">
        <v>0</v>
      </c>
      <c r="P671" s="10" t="n">
        <v>0</v>
      </c>
      <c r="Q671" s="10" t="n">
        <v>82</v>
      </c>
      <c r="R671" s="10" t="n">
        <v>0</v>
      </c>
      <c r="S671" s="10" t="n">
        <v>0</v>
      </c>
      <c r="T671" s="10" t="n">
        <v>69</v>
      </c>
      <c r="U671" s="10" t="n">
        <v>0</v>
      </c>
    </row>
    <row r="672" customFormat="false" ht="15" hidden="false" customHeight="false" outlineLevel="0" collapsed="false">
      <c r="A672" s="7" t="s">
        <v>931</v>
      </c>
      <c r="B672" s="7" t="s">
        <v>155</v>
      </c>
      <c r="C672" s="7" t="s">
        <v>522</v>
      </c>
      <c r="D672" s="10" t="n">
        <v>0</v>
      </c>
      <c r="E672" s="10" t="n">
        <v>0</v>
      </c>
      <c r="F672" s="10" t="n">
        <v>3</v>
      </c>
      <c r="G672" s="10" t="n">
        <v>0</v>
      </c>
      <c r="H672" s="10" t="n">
        <v>0</v>
      </c>
      <c r="I672" s="10" t="n">
        <v>13</v>
      </c>
      <c r="J672" s="10" t="n">
        <v>0</v>
      </c>
      <c r="K672" s="10" t="n">
        <v>0</v>
      </c>
      <c r="L672" s="10" t="n">
        <v>0</v>
      </c>
      <c r="M672" s="10" t="n">
        <v>0</v>
      </c>
      <c r="N672" s="10" t="n">
        <v>0</v>
      </c>
      <c r="O672" s="10" t="n">
        <v>0</v>
      </c>
      <c r="P672" s="10" t="n">
        <v>0</v>
      </c>
      <c r="Q672" s="10" t="n">
        <v>11</v>
      </c>
      <c r="R672" s="10" t="n">
        <v>2</v>
      </c>
      <c r="S672" s="10" t="n">
        <v>0</v>
      </c>
      <c r="T672" s="10" t="n">
        <v>3</v>
      </c>
      <c r="U672" s="10" t="n">
        <v>0</v>
      </c>
    </row>
    <row r="673" customFormat="false" ht="15" hidden="false" customHeight="false" outlineLevel="0" collapsed="false">
      <c r="A673" s="7" t="s">
        <v>931</v>
      </c>
      <c r="B673" s="7" t="s">
        <v>266</v>
      </c>
      <c r="C673" s="7" t="s">
        <v>523</v>
      </c>
      <c r="D673" s="10" t="n">
        <v>0</v>
      </c>
      <c r="E673" s="10" t="n">
        <v>0</v>
      </c>
      <c r="F673" s="10" t="n">
        <v>797</v>
      </c>
      <c r="G673" s="10" t="n">
        <v>0</v>
      </c>
      <c r="H673" s="10" t="n">
        <v>0</v>
      </c>
      <c r="I673" s="10" t="n">
        <v>27</v>
      </c>
      <c r="J673" s="10" t="n">
        <v>0</v>
      </c>
      <c r="K673" s="10" t="n">
        <v>4</v>
      </c>
      <c r="L673" s="10" t="n">
        <v>0</v>
      </c>
      <c r="M673" s="10" t="n">
        <v>5</v>
      </c>
      <c r="N673" s="10" t="n">
        <v>0</v>
      </c>
      <c r="O673" s="10" t="n">
        <v>4</v>
      </c>
      <c r="P673" s="10" t="n">
        <v>0</v>
      </c>
      <c r="Q673" s="10" t="n">
        <v>0</v>
      </c>
      <c r="R673" s="10" t="n">
        <v>14</v>
      </c>
      <c r="S673" s="10" t="n">
        <v>0</v>
      </c>
      <c r="T673" s="10" t="n">
        <v>0</v>
      </c>
      <c r="U673" s="10" t="n">
        <v>0</v>
      </c>
    </row>
    <row r="674" customFormat="false" ht="15" hidden="false" customHeight="false" outlineLevel="0" collapsed="false">
      <c r="A674" s="7" t="s">
        <v>931</v>
      </c>
      <c r="B674" s="7" t="s">
        <v>275</v>
      </c>
      <c r="C674" s="7" t="s">
        <v>524</v>
      </c>
      <c r="D674" s="10" t="n">
        <v>0</v>
      </c>
      <c r="E674" s="10" t="n">
        <v>0</v>
      </c>
      <c r="F674" s="10" t="n">
        <v>161</v>
      </c>
      <c r="G674" s="10" t="n">
        <v>0</v>
      </c>
      <c r="H674" s="10" t="n">
        <v>0</v>
      </c>
      <c r="I674" s="10" t="n">
        <v>2</v>
      </c>
      <c r="J674" s="10" t="n">
        <v>0</v>
      </c>
      <c r="K674" s="10" t="n">
        <v>0</v>
      </c>
      <c r="L674" s="10" t="n">
        <v>0</v>
      </c>
      <c r="M674" s="10" t="n">
        <v>0</v>
      </c>
      <c r="N674" s="10" t="n">
        <v>0</v>
      </c>
      <c r="O674" s="10" t="n">
        <v>2</v>
      </c>
      <c r="P674" s="10" t="n">
        <v>0</v>
      </c>
      <c r="Q674" s="10" t="n">
        <v>0</v>
      </c>
      <c r="R674" s="10" t="n">
        <v>0</v>
      </c>
      <c r="S674" s="10" t="n">
        <v>0</v>
      </c>
      <c r="T674" s="10" t="n">
        <v>0</v>
      </c>
      <c r="U674" s="10" t="n">
        <v>0</v>
      </c>
    </row>
    <row r="675" customFormat="false" ht="15" hidden="false" customHeight="false" outlineLevel="0" collapsed="false">
      <c r="A675" s="7" t="s">
        <v>931</v>
      </c>
      <c r="B675" s="7" t="s">
        <v>270</v>
      </c>
      <c r="C675" s="7" t="s">
        <v>525</v>
      </c>
      <c r="D675" s="10" t="n">
        <v>0</v>
      </c>
      <c r="E675" s="10" t="n">
        <v>0</v>
      </c>
      <c r="F675" s="10" t="n">
        <v>792</v>
      </c>
      <c r="G675" s="10" t="n">
        <v>0</v>
      </c>
      <c r="H675" s="10" t="n">
        <v>0</v>
      </c>
      <c r="I675" s="10" t="n">
        <v>54</v>
      </c>
      <c r="J675" s="10" t="n">
        <v>0</v>
      </c>
      <c r="K675" s="10" t="n">
        <v>0</v>
      </c>
      <c r="L675" s="10" t="n">
        <v>0</v>
      </c>
      <c r="M675" s="10" t="n">
        <v>7</v>
      </c>
      <c r="N675" s="10" t="n">
        <v>2</v>
      </c>
      <c r="O675" s="10" t="n">
        <v>0</v>
      </c>
      <c r="P675" s="10" t="n">
        <v>0</v>
      </c>
      <c r="Q675" s="10" t="n">
        <v>0</v>
      </c>
      <c r="R675" s="10" t="n">
        <v>45</v>
      </c>
      <c r="S675" s="10" t="n">
        <v>0</v>
      </c>
      <c r="T675" s="10" t="n">
        <v>0</v>
      </c>
      <c r="U675" s="10" t="n">
        <v>0</v>
      </c>
    </row>
    <row r="676" customFormat="false" ht="15" hidden="false" customHeight="false" outlineLevel="0" collapsed="false">
      <c r="A676" s="7" t="s">
        <v>931</v>
      </c>
      <c r="B676" s="7" t="s">
        <v>110</v>
      </c>
      <c r="C676" s="7" t="s">
        <v>526</v>
      </c>
      <c r="D676" s="10" t="n">
        <v>0</v>
      </c>
      <c r="E676" s="10" t="n">
        <v>0</v>
      </c>
      <c r="F676" s="10" t="n">
        <v>316</v>
      </c>
      <c r="G676" s="10" t="n">
        <v>0</v>
      </c>
      <c r="H676" s="10" t="n">
        <v>0</v>
      </c>
      <c r="I676" s="10" t="n">
        <v>687</v>
      </c>
      <c r="J676" s="10" t="n">
        <v>0</v>
      </c>
      <c r="K676" s="10" t="n">
        <v>19</v>
      </c>
      <c r="L676" s="10" t="n">
        <v>0</v>
      </c>
      <c r="M676" s="10" t="n">
        <v>0</v>
      </c>
      <c r="N676" s="10" t="n">
        <v>0</v>
      </c>
      <c r="O676" s="10" t="n">
        <v>4</v>
      </c>
      <c r="P676" s="10" t="n">
        <v>0</v>
      </c>
      <c r="Q676" s="10" t="n">
        <v>571</v>
      </c>
      <c r="R676" s="10" t="n">
        <v>93</v>
      </c>
      <c r="S676" s="10" t="n">
        <v>0</v>
      </c>
      <c r="T676" s="10" t="n">
        <v>0</v>
      </c>
      <c r="U676" s="10" t="n">
        <v>-2</v>
      </c>
    </row>
    <row r="677" customFormat="false" ht="15" hidden="false" customHeight="false" outlineLevel="0" collapsed="false">
      <c r="A677" s="7" t="s">
        <v>931</v>
      </c>
      <c r="B677" s="7" t="s">
        <v>179</v>
      </c>
      <c r="C677" s="7" t="s">
        <v>520</v>
      </c>
      <c r="D677" s="10" t="n">
        <v>0</v>
      </c>
      <c r="E677" s="10" t="n">
        <v>0</v>
      </c>
      <c r="F677" s="10" t="n">
        <v>8</v>
      </c>
      <c r="G677" s="10" t="n">
        <v>0</v>
      </c>
      <c r="H677" s="10" t="n">
        <v>0</v>
      </c>
      <c r="I677" s="10" t="n">
        <v>3</v>
      </c>
      <c r="J677" s="10" t="n">
        <v>0</v>
      </c>
      <c r="K677" s="10" t="n">
        <v>0</v>
      </c>
      <c r="L677" s="10" t="n">
        <v>0</v>
      </c>
      <c r="M677" s="10" t="n">
        <v>0</v>
      </c>
      <c r="N677" s="10" t="n">
        <v>0</v>
      </c>
      <c r="O677" s="10" t="n">
        <v>0</v>
      </c>
      <c r="P677" s="10" t="n">
        <v>0</v>
      </c>
      <c r="Q677" s="10" t="n">
        <v>3</v>
      </c>
      <c r="R677" s="10" t="n">
        <v>0</v>
      </c>
      <c r="S677" s="10" t="n">
        <v>0</v>
      </c>
      <c r="T677" s="10" t="n">
        <v>4</v>
      </c>
      <c r="U677" s="10" t="n">
        <v>0</v>
      </c>
    </row>
    <row r="678" customFormat="false" ht="15" hidden="false" customHeight="false" outlineLevel="0" collapsed="false">
      <c r="A678" s="7" t="s">
        <v>931</v>
      </c>
      <c r="B678" s="7" t="s">
        <v>99</v>
      </c>
      <c r="C678" s="7" t="s">
        <v>520</v>
      </c>
      <c r="D678" s="10" t="n">
        <v>0</v>
      </c>
      <c r="E678" s="10" t="n">
        <v>0</v>
      </c>
      <c r="F678" s="10" t="n">
        <v>52</v>
      </c>
      <c r="G678" s="10" t="n">
        <v>0</v>
      </c>
      <c r="H678" s="10" t="n">
        <v>0</v>
      </c>
      <c r="I678" s="10" t="n">
        <v>42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n">
        <v>0</v>
      </c>
      <c r="O678" s="10" t="n">
        <v>0</v>
      </c>
      <c r="P678" s="10" t="n">
        <v>0</v>
      </c>
      <c r="Q678" s="10" t="n">
        <v>42</v>
      </c>
      <c r="R678" s="10" t="n">
        <v>0</v>
      </c>
      <c r="S678" s="10" t="n">
        <v>0</v>
      </c>
      <c r="T678" s="10" t="n">
        <v>54</v>
      </c>
      <c r="U678" s="10" t="n">
        <v>0</v>
      </c>
    </row>
    <row r="679" customFormat="false" ht="15" hidden="false" customHeight="false" outlineLevel="0" collapsed="false">
      <c r="A679" s="7" t="s">
        <v>931</v>
      </c>
      <c r="B679" s="7" t="s">
        <v>169</v>
      </c>
      <c r="C679" s="7" t="s">
        <v>527</v>
      </c>
      <c r="D679" s="10" t="n">
        <v>0</v>
      </c>
      <c r="E679" s="10" t="n">
        <v>0</v>
      </c>
      <c r="F679" s="10" t="n">
        <v>325</v>
      </c>
      <c r="G679" s="10" t="n">
        <v>0</v>
      </c>
      <c r="H679" s="10" t="n">
        <v>0</v>
      </c>
      <c r="I679" s="10" t="n">
        <v>111</v>
      </c>
      <c r="J679" s="10" t="n">
        <v>0</v>
      </c>
      <c r="K679" s="10" t="n">
        <v>19</v>
      </c>
      <c r="L679" s="10" t="n">
        <v>0</v>
      </c>
      <c r="M679" s="10" t="n">
        <v>0</v>
      </c>
      <c r="N679" s="10" t="n">
        <v>12</v>
      </c>
      <c r="O679" s="10" t="n">
        <v>3</v>
      </c>
      <c r="P679" s="10" t="n">
        <v>-1</v>
      </c>
      <c r="Q679" s="10" t="n">
        <v>-2</v>
      </c>
      <c r="R679" s="10" t="n">
        <v>80</v>
      </c>
      <c r="S679" s="10" t="n">
        <v>0</v>
      </c>
      <c r="T679" s="10" t="n">
        <v>138</v>
      </c>
      <c r="U679" s="10" t="n">
        <v>0</v>
      </c>
    </row>
    <row r="680" customFormat="false" ht="15" hidden="false" customHeight="false" outlineLevel="0" collapsed="false">
      <c r="A680" s="7" t="s">
        <v>931</v>
      </c>
      <c r="B680" s="7" t="s">
        <v>169</v>
      </c>
      <c r="C680" s="7" t="s">
        <v>528</v>
      </c>
      <c r="D680" s="10" t="n">
        <v>0</v>
      </c>
      <c r="E680" s="10" t="n">
        <v>0</v>
      </c>
      <c r="F680" s="10" t="n">
        <v>134</v>
      </c>
      <c r="G680" s="10" t="n">
        <v>0</v>
      </c>
      <c r="H680" s="10" t="n">
        <v>0</v>
      </c>
      <c r="I680" s="10" t="n">
        <v>217</v>
      </c>
      <c r="J680" s="10" t="n">
        <v>0</v>
      </c>
      <c r="K680" s="10" t="n">
        <v>9</v>
      </c>
      <c r="L680" s="10" t="n">
        <v>0</v>
      </c>
      <c r="M680" s="10" t="n">
        <v>0</v>
      </c>
      <c r="N680" s="10" t="n">
        <v>9</v>
      </c>
      <c r="O680" s="10" t="n">
        <v>2</v>
      </c>
      <c r="P680" s="10" t="n">
        <v>0</v>
      </c>
      <c r="Q680" s="10" t="n">
        <v>133</v>
      </c>
      <c r="R680" s="10" t="n">
        <v>64</v>
      </c>
      <c r="S680" s="10" t="n">
        <v>0</v>
      </c>
      <c r="T680" s="10" t="n">
        <v>26</v>
      </c>
      <c r="U680" s="10" t="n">
        <v>-3</v>
      </c>
    </row>
    <row r="681" customFormat="false" ht="15" hidden="false" customHeight="false" outlineLevel="0" collapsed="false">
      <c r="A681" s="7" t="s">
        <v>931</v>
      </c>
      <c r="B681" s="7" t="s">
        <v>211</v>
      </c>
      <c r="C681" s="7" t="s">
        <v>529</v>
      </c>
      <c r="D681" s="10" t="n">
        <v>0</v>
      </c>
      <c r="E681" s="10" t="n">
        <v>0</v>
      </c>
      <c r="F681" s="10" t="n">
        <v>-4</v>
      </c>
      <c r="G681" s="10" t="n">
        <v>0</v>
      </c>
      <c r="H681" s="10" t="n">
        <v>0</v>
      </c>
      <c r="I681" s="10" t="n">
        <v>-8</v>
      </c>
      <c r="J681" s="10" t="n">
        <v>0</v>
      </c>
      <c r="K681" s="10" t="n">
        <v>0</v>
      </c>
      <c r="L681" s="10" t="n">
        <v>0</v>
      </c>
      <c r="M681" s="10" t="n">
        <v>0</v>
      </c>
      <c r="N681" s="10" t="n">
        <v>0</v>
      </c>
      <c r="O681" s="10" t="n">
        <v>0</v>
      </c>
      <c r="P681" s="10" t="n">
        <v>-6</v>
      </c>
      <c r="Q681" s="10" t="n">
        <v>-2</v>
      </c>
      <c r="R681" s="10" t="n">
        <v>0</v>
      </c>
      <c r="S681" s="10" t="n">
        <v>0</v>
      </c>
      <c r="T681" s="10" t="n">
        <v>0</v>
      </c>
      <c r="U681" s="10" t="n">
        <v>0</v>
      </c>
    </row>
    <row r="682" customFormat="false" ht="15" hidden="false" customHeight="false" outlineLevel="0" collapsed="false">
      <c r="A682" s="7" t="s">
        <v>931</v>
      </c>
      <c r="B682" s="7" t="s">
        <v>87</v>
      </c>
      <c r="C682" s="7" t="s">
        <v>531</v>
      </c>
      <c r="D682" s="10" t="n">
        <v>0</v>
      </c>
      <c r="E682" s="10" t="n">
        <v>0</v>
      </c>
      <c r="F682" s="10" t="n">
        <v>261</v>
      </c>
      <c r="G682" s="10" t="n">
        <v>0</v>
      </c>
      <c r="H682" s="10" t="n">
        <v>11</v>
      </c>
      <c r="I682" s="10" t="n">
        <v>1303</v>
      </c>
      <c r="J682" s="10" t="n">
        <v>0</v>
      </c>
      <c r="K682" s="10" t="n">
        <v>79</v>
      </c>
      <c r="L682" s="10" t="n">
        <v>0</v>
      </c>
      <c r="M682" s="10" t="n">
        <v>3</v>
      </c>
      <c r="N682" s="10" t="n">
        <v>3</v>
      </c>
      <c r="O682" s="10" t="n">
        <v>29</v>
      </c>
      <c r="P682" s="10" t="n">
        <v>-15</v>
      </c>
      <c r="Q682" s="10" t="n">
        <v>562</v>
      </c>
      <c r="R682" s="10" t="n">
        <v>642</v>
      </c>
      <c r="S682" s="10" t="n">
        <v>0</v>
      </c>
      <c r="T682" s="10" t="n">
        <v>276</v>
      </c>
      <c r="U682" s="10" t="n">
        <v>0</v>
      </c>
    </row>
    <row r="683" customFormat="false" ht="15" hidden="false" customHeight="false" outlineLevel="0" collapsed="false">
      <c r="A683" s="7" t="s">
        <v>931</v>
      </c>
      <c r="B683" s="7" t="s">
        <v>90</v>
      </c>
      <c r="C683" s="7" t="s">
        <v>532</v>
      </c>
      <c r="D683" s="10" t="n">
        <v>0</v>
      </c>
      <c r="E683" s="10" t="n">
        <v>0</v>
      </c>
      <c r="F683" s="10" t="n">
        <v>164</v>
      </c>
      <c r="G683" s="10" t="n">
        <v>0</v>
      </c>
      <c r="H683" s="10" t="n">
        <v>0</v>
      </c>
      <c r="I683" s="10" t="n">
        <v>1832</v>
      </c>
      <c r="J683" s="10" t="n">
        <v>0</v>
      </c>
      <c r="K683" s="10" t="n">
        <v>16</v>
      </c>
      <c r="L683" s="10" t="n">
        <v>0</v>
      </c>
      <c r="M683" s="10" t="n">
        <v>0</v>
      </c>
      <c r="N683" s="10" t="n">
        <v>0</v>
      </c>
      <c r="O683" s="10" t="n">
        <v>2</v>
      </c>
      <c r="P683" s="10" t="n">
        <v>0</v>
      </c>
      <c r="Q683" s="10" t="n">
        <v>1727</v>
      </c>
      <c r="R683" s="10" t="n">
        <v>87</v>
      </c>
      <c r="S683" s="10" t="n">
        <v>0</v>
      </c>
      <c r="T683" s="10" t="n">
        <v>76</v>
      </c>
      <c r="U683" s="10" t="n">
        <v>0</v>
      </c>
    </row>
    <row r="684" customFormat="false" ht="15" hidden="false" customHeight="false" outlineLevel="0" collapsed="false">
      <c r="A684" s="7" t="s">
        <v>931</v>
      </c>
      <c r="B684" s="7" t="s">
        <v>156</v>
      </c>
      <c r="C684" s="7" t="s">
        <v>533</v>
      </c>
      <c r="D684" s="10" t="n">
        <v>0</v>
      </c>
      <c r="E684" s="10" t="n">
        <v>0</v>
      </c>
      <c r="F684" s="10" t="n">
        <v>133</v>
      </c>
      <c r="G684" s="10" t="n">
        <v>0</v>
      </c>
      <c r="H684" s="10" t="n">
        <v>0</v>
      </c>
      <c r="I684" s="10" t="n">
        <v>261</v>
      </c>
      <c r="J684" s="10" t="n">
        <v>0</v>
      </c>
      <c r="K684" s="10" t="n">
        <v>20</v>
      </c>
      <c r="L684" s="10" t="n">
        <v>0</v>
      </c>
      <c r="M684" s="10" t="n">
        <v>2</v>
      </c>
      <c r="N684" s="10" t="n">
        <v>1</v>
      </c>
      <c r="O684" s="10" t="n">
        <v>2</v>
      </c>
      <c r="P684" s="10" t="n">
        <v>-2</v>
      </c>
      <c r="Q684" s="10" t="n">
        <v>177</v>
      </c>
      <c r="R684" s="10" t="n">
        <v>61</v>
      </c>
      <c r="S684" s="10" t="n">
        <v>0</v>
      </c>
      <c r="T684" s="10" t="n">
        <v>57</v>
      </c>
      <c r="U684" s="10" t="n">
        <v>0</v>
      </c>
    </row>
    <row r="685" customFormat="false" ht="15" hidden="false" customHeight="false" outlineLevel="0" collapsed="false">
      <c r="A685" s="7" t="s">
        <v>931</v>
      </c>
      <c r="B685" s="7" t="s">
        <v>148</v>
      </c>
      <c r="C685" s="7" t="s">
        <v>535</v>
      </c>
      <c r="D685" s="10" t="n">
        <v>0</v>
      </c>
      <c r="E685" s="10" t="n">
        <v>0</v>
      </c>
      <c r="F685" s="10" t="n">
        <v>36</v>
      </c>
      <c r="G685" s="10" t="n">
        <v>0</v>
      </c>
      <c r="H685" s="10" t="n">
        <v>0</v>
      </c>
      <c r="I685" s="10" t="n">
        <v>67</v>
      </c>
      <c r="J685" s="10" t="n">
        <v>0</v>
      </c>
      <c r="K685" s="10" t="n">
        <v>0</v>
      </c>
      <c r="L685" s="10" t="n">
        <v>0</v>
      </c>
      <c r="M685" s="10" t="n">
        <v>0</v>
      </c>
      <c r="N685" s="10" t="n">
        <v>0</v>
      </c>
      <c r="O685" s="10" t="n">
        <v>0</v>
      </c>
      <c r="P685" s="10" t="n">
        <v>0</v>
      </c>
      <c r="Q685" s="10" t="n">
        <v>67</v>
      </c>
      <c r="R685" s="10" t="n">
        <v>0</v>
      </c>
      <c r="S685" s="10" t="n">
        <v>0</v>
      </c>
      <c r="T685" s="10" t="n">
        <v>18</v>
      </c>
      <c r="U685" s="10" t="n">
        <v>0</v>
      </c>
    </row>
    <row r="686" customFormat="false" ht="15" hidden="false" customHeight="false" outlineLevel="0" collapsed="false">
      <c r="A686" s="7" t="s">
        <v>931</v>
      </c>
      <c r="B686" s="7" t="s">
        <v>101</v>
      </c>
      <c r="C686" s="7" t="s">
        <v>536</v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>
        <v>-11</v>
      </c>
      <c r="J686" s="10" t="n">
        <v>0</v>
      </c>
      <c r="K686" s="10" t="n">
        <v>0</v>
      </c>
      <c r="L686" s="10" t="n">
        <v>0</v>
      </c>
      <c r="M686" s="10" t="n">
        <v>0</v>
      </c>
      <c r="N686" s="10" t="n">
        <v>0</v>
      </c>
      <c r="O686" s="10" t="n">
        <v>0</v>
      </c>
      <c r="P686" s="10" t="n">
        <v>-3</v>
      </c>
      <c r="Q686" s="10" t="n">
        <v>-8</v>
      </c>
      <c r="R686" s="10" t="n">
        <v>0</v>
      </c>
      <c r="S686" s="10" t="n">
        <v>0</v>
      </c>
      <c r="T686" s="10" t="n">
        <v>0</v>
      </c>
      <c r="U686" s="10" t="n">
        <v>0</v>
      </c>
    </row>
    <row r="687" customFormat="false" ht="15" hidden="false" customHeight="false" outlineLevel="0" collapsed="false">
      <c r="A687" s="7" t="s">
        <v>931</v>
      </c>
      <c r="B687" s="7" t="s">
        <v>101</v>
      </c>
      <c r="C687" s="7" t="s">
        <v>537</v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>
        <v>-9</v>
      </c>
      <c r="J687" s="10" t="n">
        <v>0</v>
      </c>
      <c r="K687" s="10" t="n">
        <v>0</v>
      </c>
      <c r="L687" s="10" t="n">
        <v>0</v>
      </c>
      <c r="M687" s="10" t="n">
        <v>0</v>
      </c>
      <c r="N687" s="10" t="n">
        <v>0</v>
      </c>
      <c r="O687" s="10" t="n">
        <v>0</v>
      </c>
      <c r="P687" s="10" t="n">
        <v>-2</v>
      </c>
      <c r="Q687" s="10" t="n">
        <v>-7</v>
      </c>
      <c r="R687" s="10" t="n">
        <v>0</v>
      </c>
      <c r="S687" s="10" t="n">
        <v>0</v>
      </c>
      <c r="T687" s="10" t="n">
        <v>0</v>
      </c>
      <c r="U687" s="10" t="n">
        <v>0</v>
      </c>
    </row>
    <row r="688" customFormat="false" ht="15" hidden="false" customHeight="false" outlineLevel="0" collapsed="false">
      <c r="A688" s="7" t="s">
        <v>931</v>
      </c>
      <c r="B688" s="7" t="s">
        <v>101</v>
      </c>
      <c r="C688" s="7" t="s">
        <v>538</v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>
        <v>-11</v>
      </c>
      <c r="J688" s="10" t="n">
        <v>0</v>
      </c>
      <c r="K688" s="10" t="n">
        <v>0</v>
      </c>
      <c r="L688" s="10" t="n">
        <v>0</v>
      </c>
      <c r="M688" s="10" t="n">
        <v>0</v>
      </c>
      <c r="N688" s="10" t="n">
        <v>0</v>
      </c>
      <c r="O688" s="10" t="n">
        <v>0</v>
      </c>
      <c r="P688" s="10" t="n">
        <v>-2</v>
      </c>
      <c r="Q688" s="10" t="n">
        <v>-9</v>
      </c>
      <c r="R688" s="10" t="n">
        <v>0</v>
      </c>
      <c r="S688" s="10" t="n">
        <v>0</v>
      </c>
      <c r="T688" s="10" t="n">
        <v>0</v>
      </c>
      <c r="U688" s="10" t="n">
        <v>0</v>
      </c>
    </row>
    <row r="689" customFormat="false" ht="15" hidden="false" customHeight="false" outlineLevel="0" collapsed="false">
      <c r="A689" s="7" t="s">
        <v>931</v>
      </c>
      <c r="B689" s="7" t="s">
        <v>101</v>
      </c>
      <c r="C689" s="7" t="s">
        <v>539</v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>
        <v>-12</v>
      </c>
      <c r="J689" s="10" t="n">
        <v>0</v>
      </c>
      <c r="K689" s="10" t="n">
        <v>0</v>
      </c>
      <c r="L689" s="10" t="n">
        <v>0</v>
      </c>
      <c r="M689" s="10" t="n">
        <v>0</v>
      </c>
      <c r="N689" s="10" t="n">
        <v>0</v>
      </c>
      <c r="O689" s="10" t="n">
        <v>0</v>
      </c>
      <c r="P689" s="10" t="n">
        <v>-1</v>
      </c>
      <c r="Q689" s="10" t="n">
        <v>-11</v>
      </c>
      <c r="R689" s="10" t="n">
        <v>0</v>
      </c>
      <c r="S689" s="10" t="n">
        <v>0</v>
      </c>
      <c r="T689" s="10" t="n">
        <v>0</v>
      </c>
      <c r="U689" s="10" t="n">
        <v>0</v>
      </c>
    </row>
    <row r="690" customFormat="false" ht="15" hidden="false" customHeight="false" outlineLevel="0" collapsed="false">
      <c r="A690" s="7" t="s">
        <v>931</v>
      </c>
      <c r="B690" s="7" t="s">
        <v>101</v>
      </c>
      <c r="C690" s="7" t="s">
        <v>540</v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>
        <v>-2</v>
      </c>
      <c r="J690" s="10" t="n">
        <v>0</v>
      </c>
      <c r="K690" s="10" t="n">
        <v>0</v>
      </c>
      <c r="L690" s="10" t="n">
        <v>0</v>
      </c>
      <c r="M690" s="10" t="n">
        <v>0</v>
      </c>
      <c r="N690" s="10" t="n">
        <v>0</v>
      </c>
      <c r="O690" s="10" t="n">
        <v>0</v>
      </c>
      <c r="P690" s="10" t="n">
        <v>-1</v>
      </c>
      <c r="Q690" s="10" t="n">
        <v>-1</v>
      </c>
      <c r="R690" s="10" t="n">
        <v>0</v>
      </c>
      <c r="S690" s="10" t="n">
        <v>0</v>
      </c>
      <c r="T690" s="10" t="n">
        <v>0</v>
      </c>
      <c r="U690" s="10" t="n">
        <v>0</v>
      </c>
    </row>
    <row r="691" customFormat="false" ht="15" hidden="false" customHeight="false" outlineLevel="0" collapsed="false">
      <c r="A691" s="7" t="s">
        <v>931</v>
      </c>
      <c r="B691" s="7" t="s">
        <v>353</v>
      </c>
      <c r="C691" s="7" t="s">
        <v>541</v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>
        <v>-1</v>
      </c>
      <c r="J691" s="10" t="n">
        <v>0</v>
      </c>
      <c r="K691" s="10" t="n">
        <v>0</v>
      </c>
      <c r="L691" s="10" t="n">
        <v>0</v>
      </c>
      <c r="M691" s="10" t="n">
        <v>0</v>
      </c>
      <c r="N691" s="10" t="n">
        <v>0</v>
      </c>
      <c r="O691" s="10" t="n">
        <v>0</v>
      </c>
      <c r="P691" s="10" t="n">
        <v>-1</v>
      </c>
      <c r="Q691" s="10" t="n">
        <v>0</v>
      </c>
      <c r="R691" s="10" t="n">
        <v>0</v>
      </c>
      <c r="S691" s="10" t="n">
        <v>0</v>
      </c>
      <c r="T691" s="10" t="n">
        <v>0</v>
      </c>
      <c r="U691" s="10" t="n">
        <v>0</v>
      </c>
    </row>
    <row r="692" customFormat="false" ht="15" hidden="false" customHeight="false" outlineLevel="0" collapsed="false">
      <c r="A692" s="7" t="s">
        <v>931</v>
      </c>
      <c r="B692" s="7" t="s">
        <v>184</v>
      </c>
      <c r="C692" s="7" t="s">
        <v>543</v>
      </c>
      <c r="D692" s="10" t="n">
        <v>0</v>
      </c>
      <c r="E692" s="10" t="n">
        <v>0</v>
      </c>
      <c r="F692" s="10" t="n">
        <v>3</v>
      </c>
      <c r="G692" s="10" t="n">
        <v>0</v>
      </c>
      <c r="H692" s="10" t="n">
        <v>0</v>
      </c>
      <c r="I692" s="10" t="n">
        <v>0</v>
      </c>
      <c r="J692" s="10" t="n">
        <v>0</v>
      </c>
      <c r="K692" s="10" t="n">
        <v>0</v>
      </c>
      <c r="L692" s="10" t="n">
        <v>0</v>
      </c>
      <c r="M692" s="10" t="n">
        <v>0</v>
      </c>
      <c r="N692" s="10" t="n">
        <v>0</v>
      </c>
      <c r="O692" s="10" t="n">
        <v>0</v>
      </c>
      <c r="P692" s="10" t="n">
        <v>0</v>
      </c>
      <c r="Q692" s="10" t="n">
        <v>0</v>
      </c>
      <c r="R692" s="10" t="n">
        <v>0</v>
      </c>
      <c r="S692" s="10" t="n">
        <v>0</v>
      </c>
      <c r="T692" s="10" t="n">
        <v>0</v>
      </c>
      <c r="U692" s="10" t="n">
        <v>0</v>
      </c>
    </row>
    <row r="693" customFormat="false" ht="15" hidden="false" customHeight="false" outlineLevel="0" collapsed="false">
      <c r="A693" s="7" t="s">
        <v>931</v>
      </c>
      <c r="B693" s="7" t="s">
        <v>184</v>
      </c>
      <c r="C693" s="7" t="s">
        <v>544</v>
      </c>
      <c r="D693" s="10" t="n">
        <v>0</v>
      </c>
      <c r="E693" s="10" t="n">
        <v>0</v>
      </c>
      <c r="F693" s="10" t="n">
        <v>-1</v>
      </c>
      <c r="G693" s="10" t="n">
        <v>0</v>
      </c>
      <c r="H693" s="10" t="n">
        <v>0</v>
      </c>
      <c r="I693" s="10" t="n">
        <v>0</v>
      </c>
      <c r="J693" s="10" t="n">
        <v>0</v>
      </c>
      <c r="K693" s="10" t="n">
        <v>0</v>
      </c>
      <c r="L693" s="10" t="n">
        <v>0</v>
      </c>
      <c r="M693" s="10" t="n">
        <v>0</v>
      </c>
      <c r="N693" s="10" t="n">
        <v>0</v>
      </c>
      <c r="O693" s="10" t="n">
        <v>0</v>
      </c>
      <c r="P693" s="10" t="n">
        <v>0</v>
      </c>
      <c r="Q693" s="10" t="n">
        <v>0</v>
      </c>
      <c r="R693" s="10" t="n">
        <v>0</v>
      </c>
      <c r="S693" s="10" t="n">
        <v>0</v>
      </c>
      <c r="T693" s="10" t="n">
        <v>0</v>
      </c>
      <c r="U693" s="10" t="n">
        <v>0</v>
      </c>
    </row>
    <row r="694" customFormat="false" ht="15" hidden="false" customHeight="false" outlineLevel="0" collapsed="false">
      <c r="A694" s="7" t="s">
        <v>931</v>
      </c>
      <c r="B694" s="7" t="s">
        <v>184</v>
      </c>
      <c r="C694" s="7" t="s">
        <v>545</v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>
        <v>1</v>
      </c>
      <c r="J694" s="10" t="n">
        <v>0</v>
      </c>
      <c r="K694" s="10" t="n">
        <v>0</v>
      </c>
      <c r="L694" s="10" t="n">
        <v>0</v>
      </c>
      <c r="M694" s="10" t="n">
        <v>0</v>
      </c>
      <c r="N694" s="10" t="n">
        <v>0</v>
      </c>
      <c r="O694" s="10" t="n">
        <v>0</v>
      </c>
      <c r="P694" s="10" t="n">
        <v>0</v>
      </c>
      <c r="Q694" s="10" t="n">
        <v>0</v>
      </c>
      <c r="R694" s="10" t="n">
        <v>1</v>
      </c>
      <c r="S694" s="10" t="n">
        <v>0</v>
      </c>
      <c r="T694" s="10" t="n">
        <v>0</v>
      </c>
      <c r="U694" s="10" t="n">
        <v>0</v>
      </c>
    </row>
    <row r="695" customFormat="false" ht="15" hidden="false" customHeight="false" outlineLevel="0" collapsed="false">
      <c r="A695" s="7" t="s">
        <v>931</v>
      </c>
      <c r="B695" s="7" t="s">
        <v>184</v>
      </c>
      <c r="C695" s="7" t="s">
        <v>546</v>
      </c>
      <c r="D695" s="10" t="n">
        <v>0</v>
      </c>
      <c r="E695" s="10" t="n">
        <v>0</v>
      </c>
      <c r="F695" s="10" t="n">
        <v>-1</v>
      </c>
      <c r="G695" s="10" t="n">
        <v>0</v>
      </c>
      <c r="H695" s="10" t="n">
        <v>0</v>
      </c>
      <c r="I695" s="10" t="n">
        <v>0</v>
      </c>
      <c r="J695" s="10" t="n">
        <v>0</v>
      </c>
      <c r="K695" s="10" t="n">
        <v>0</v>
      </c>
      <c r="L695" s="10" t="n">
        <v>0</v>
      </c>
      <c r="M695" s="10" t="n">
        <v>0</v>
      </c>
      <c r="N695" s="10" t="n">
        <v>0</v>
      </c>
      <c r="O695" s="10" t="n">
        <v>0</v>
      </c>
      <c r="P695" s="10" t="n">
        <v>0</v>
      </c>
      <c r="Q695" s="10" t="n">
        <v>0</v>
      </c>
      <c r="R695" s="10" t="n">
        <v>0</v>
      </c>
      <c r="S695" s="10" t="n">
        <v>0</v>
      </c>
      <c r="T695" s="10" t="n">
        <v>0</v>
      </c>
      <c r="U695" s="10" t="n">
        <v>0</v>
      </c>
    </row>
    <row r="696" customFormat="false" ht="15" hidden="false" customHeight="false" outlineLevel="0" collapsed="false">
      <c r="A696" s="7" t="s">
        <v>931</v>
      </c>
      <c r="B696" s="7" t="s">
        <v>184</v>
      </c>
      <c r="C696" s="7" t="s">
        <v>547</v>
      </c>
      <c r="D696" s="10" t="n">
        <v>0</v>
      </c>
      <c r="E696" s="10" t="n">
        <v>0</v>
      </c>
      <c r="F696" s="10" t="n">
        <v>2</v>
      </c>
      <c r="G696" s="10" t="n">
        <v>0</v>
      </c>
      <c r="H696" s="10" t="n">
        <v>0</v>
      </c>
      <c r="I696" s="10" t="n">
        <v>0</v>
      </c>
      <c r="J696" s="10" t="n">
        <v>0</v>
      </c>
      <c r="K696" s="10" t="n">
        <v>0</v>
      </c>
      <c r="L696" s="10" t="n">
        <v>0</v>
      </c>
      <c r="M696" s="10" t="n">
        <v>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  <c r="S696" s="10" t="n">
        <v>0</v>
      </c>
      <c r="T696" s="10" t="n">
        <v>0</v>
      </c>
      <c r="U696" s="10" t="n">
        <v>0</v>
      </c>
    </row>
    <row r="697" customFormat="false" ht="15" hidden="false" customHeight="false" outlineLevel="0" collapsed="false">
      <c r="A697" s="7" t="s">
        <v>931</v>
      </c>
      <c r="B697" s="7" t="s">
        <v>88</v>
      </c>
      <c r="C697" s="7" t="s">
        <v>548</v>
      </c>
      <c r="D697" s="10" t="n">
        <v>0</v>
      </c>
      <c r="E697" s="10" t="n">
        <v>0</v>
      </c>
      <c r="F697" s="10" t="n">
        <v>433</v>
      </c>
      <c r="G697" s="10" t="n">
        <v>0</v>
      </c>
      <c r="H697" s="10" t="n">
        <v>0</v>
      </c>
      <c r="I697" s="10" t="n">
        <v>3276</v>
      </c>
      <c r="J697" s="10" t="n">
        <v>0</v>
      </c>
      <c r="K697" s="10" t="n">
        <v>18</v>
      </c>
      <c r="L697" s="10" t="n">
        <v>0</v>
      </c>
      <c r="M697" s="10" t="n">
        <v>5</v>
      </c>
      <c r="N697" s="10" t="n">
        <v>5</v>
      </c>
      <c r="O697" s="10" t="n">
        <v>3</v>
      </c>
      <c r="P697" s="10" t="n">
        <v>-3</v>
      </c>
      <c r="Q697" s="10" t="n">
        <v>2898</v>
      </c>
      <c r="R697" s="10" t="n">
        <v>350</v>
      </c>
      <c r="S697" s="10" t="n">
        <v>0</v>
      </c>
      <c r="T697" s="10" t="n">
        <v>90</v>
      </c>
      <c r="U697" s="10" t="n">
        <v>0</v>
      </c>
    </row>
    <row r="698" customFormat="false" ht="15" hidden="false" customHeight="false" outlineLevel="0" collapsed="false">
      <c r="A698" s="7" t="s">
        <v>931</v>
      </c>
      <c r="B698" s="7" t="s">
        <v>142</v>
      </c>
      <c r="C698" s="7" t="s">
        <v>549</v>
      </c>
      <c r="D698" s="10" t="n">
        <v>0</v>
      </c>
      <c r="E698" s="10" t="n">
        <v>0</v>
      </c>
      <c r="F698" s="10" t="n">
        <v>56</v>
      </c>
      <c r="G698" s="10" t="n">
        <v>0</v>
      </c>
      <c r="H698" s="10" t="n">
        <v>0</v>
      </c>
      <c r="I698" s="10" t="n">
        <v>143</v>
      </c>
      <c r="J698" s="10" t="n">
        <v>0</v>
      </c>
      <c r="K698" s="10" t="n">
        <v>1</v>
      </c>
      <c r="L698" s="10" t="n">
        <v>0</v>
      </c>
      <c r="M698" s="10" t="n">
        <v>0</v>
      </c>
      <c r="N698" s="10" t="n">
        <v>3</v>
      </c>
      <c r="O698" s="10" t="n">
        <v>3</v>
      </c>
      <c r="P698" s="10" t="n">
        <v>-2</v>
      </c>
      <c r="Q698" s="10" t="n">
        <v>102</v>
      </c>
      <c r="R698" s="10" t="n">
        <v>36</v>
      </c>
      <c r="S698" s="10" t="n">
        <v>0</v>
      </c>
      <c r="T698" s="10" t="n">
        <v>43</v>
      </c>
      <c r="U698" s="10" t="n">
        <v>0</v>
      </c>
    </row>
    <row r="699" customFormat="false" ht="15" hidden="false" customHeight="false" outlineLevel="0" collapsed="false">
      <c r="A699" s="7" t="s">
        <v>931</v>
      </c>
      <c r="B699" s="7" t="s">
        <v>47</v>
      </c>
      <c r="C699" s="7" t="s">
        <v>550</v>
      </c>
      <c r="D699" s="10" t="n">
        <v>0</v>
      </c>
      <c r="E699" s="10" t="n">
        <v>0</v>
      </c>
      <c r="F699" s="10" t="n">
        <v>95</v>
      </c>
      <c r="G699" s="10" t="n">
        <v>0</v>
      </c>
      <c r="H699" s="10" t="n">
        <v>0</v>
      </c>
      <c r="I699" s="10" t="n">
        <v>1388</v>
      </c>
      <c r="J699" s="10" t="n">
        <v>0</v>
      </c>
      <c r="K699" s="10" t="n">
        <v>2</v>
      </c>
      <c r="L699" s="10" t="n">
        <v>0</v>
      </c>
      <c r="M699" s="10" t="n">
        <v>0</v>
      </c>
      <c r="N699" s="10" t="n">
        <v>1</v>
      </c>
      <c r="O699" s="10" t="n">
        <v>0</v>
      </c>
      <c r="P699" s="10" t="n">
        <v>-3</v>
      </c>
      <c r="Q699" s="10" t="n">
        <v>1281</v>
      </c>
      <c r="R699" s="10" t="n">
        <v>107</v>
      </c>
      <c r="S699" s="10" t="n">
        <v>0</v>
      </c>
      <c r="T699" s="10" t="n">
        <v>124</v>
      </c>
      <c r="U699" s="10" t="n">
        <v>-2</v>
      </c>
    </row>
    <row r="700" customFormat="false" ht="15" hidden="false" customHeight="false" outlineLevel="0" collapsed="false">
      <c r="A700" s="7" t="s">
        <v>931</v>
      </c>
      <c r="B700" s="7" t="s">
        <v>47</v>
      </c>
      <c r="C700" s="7" t="s">
        <v>551</v>
      </c>
      <c r="D700" s="10" t="n">
        <v>0</v>
      </c>
      <c r="E700" s="10" t="n">
        <v>0</v>
      </c>
      <c r="F700" s="10" t="n">
        <v>45</v>
      </c>
      <c r="G700" s="10" t="n">
        <v>0</v>
      </c>
      <c r="H700" s="10" t="n">
        <v>0</v>
      </c>
      <c r="I700" s="10" t="n">
        <v>892</v>
      </c>
      <c r="J700" s="10" t="n">
        <v>0</v>
      </c>
      <c r="K700" s="10" t="n">
        <v>8</v>
      </c>
      <c r="L700" s="10" t="n">
        <v>0</v>
      </c>
      <c r="M700" s="10" t="n">
        <v>0</v>
      </c>
      <c r="N700" s="10" t="n">
        <v>4</v>
      </c>
      <c r="O700" s="10" t="n">
        <v>0</v>
      </c>
      <c r="P700" s="10" t="n">
        <v>-5</v>
      </c>
      <c r="Q700" s="10" t="n">
        <v>817</v>
      </c>
      <c r="R700" s="10" t="n">
        <v>68</v>
      </c>
      <c r="S700" s="10" t="n">
        <v>0</v>
      </c>
      <c r="T700" s="10" t="n">
        <v>47</v>
      </c>
      <c r="U700" s="10" t="n">
        <v>0</v>
      </c>
    </row>
    <row r="701" customFormat="false" ht="15" hidden="false" customHeight="false" outlineLevel="0" collapsed="false">
      <c r="A701" s="7" t="s">
        <v>931</v>
      </c>
      <c r="B701" s="7" t="s">
        <v>47</v>
      </c>
      <c r="C701" s="7" t="s">
        <v>552</v>
      </c>
      <c r="D701" s="10" t="n">
        <v>0</v>
      </c>
      <c r="E701" s="10" t="n">
        <v>0</v>
      </c>
      <c r="F701" s="10" t="n">
        <v>117</v>
      </c>
      <c r="G701" s="10" t="n">
        <v>0</v>
      </c>
      <c r="H701" s="10" t="n">
        <v>0</v>
      </c>
      <c r="I701" s="10" t="n">
        <v>1371</v>
      </c>
      <c r="J701" s="10" t="n">
        <v>0</v>
      </c>
      <c r="K701" s="10" t="n">
        <v>9</v>
      </c>
      <c r="L701" s="10" t="n">
        <v>0</v>
      </c>
      <c r="M701" s="10" t="n">
        <v>0</v>
      </c>
      <c r="N701" s="10" t="n">
        <v>1</v>
      </c>
      <c r="O701" s="10" t="n">
        <v>5</v>
      </c>
      <c r="P701" s="10" t="n">
        <v>-4</v>
      </c>
      <c r="Q701" s="10" t="n">
        <v>1253</v>
      </c>
      <c r="R701" s="10" t="n">
        <v>107</v>
      </c>
      <c r="S701" s="10" t="n">
        <v>0</v>
      </c>
      <c r="T701" s="10" t="n">
        <v>106</v>
      </c>
      <c r="U701" s="10" t="n">
        <v>0</v>
      </c>
    </row>
    <row r="702" customFormat="false" ht="15" hidden="false" customHeight="false" outlineLevel="0" collapsed="false">
      <c r="A702" s="7" t="s">
        <v>931</v>
      </c>
      <c r="B702" s="7" t="s">
        <v>47</v>
      </c>
      <c r="C702" s="7" t="s">
        <v>553</v>
      </c>
      <c r="D702" s="10" t="n">
        <v>0</v>
      </c>
      <c r="E702" s="10" t="n">
        <v>0</v>
      </c>
      <c r="F702" s="10" t="n">
        <v>71</v>
      </c>
      <c r="G702" s="10" t="n">
        <v>0</v>
      </c>
      <c r="H702" s="10" t="n">
        <v>0</v>
      </c>
      <c r="I702" s="10" t="n">
        <v>876</v>
      </c>
      <c r="J702" s="10" t="n">
        <v>0</v>
      </c>
      <c r="K702" s="10" t="n">
        <v>4</v>
      </c>
      <c r="L702" s="10" t="n">
        <v>0</v>
      </c>
      <c r="M702" s="10" t="n">
        <v>0</v>
      </c>
      <c r="N702" s="10" t="n">
        <v>0</v>
      </c>
      <c r="O702" s="10" t="n">
        <v>4</v>
      </c>
      <c r="P702" s="10" t="n">
        <v>-4</v>
      </c>
      <c r="Q702" s="10" t="n">
        <v>813</v>
      </c>
      <c r="R702" s="10" t="n">
        <v>59</v>
      </c>
      <c r="S702" s="10" t="n">
        <v>0</v>
      </c>
      <c r="T702" s="10" t="n">
        <v>87</v>
      </c>
      <c r="U702" s="10" t="n">
        <v>-1</v>
      </c>
    </row>
    <row r="703" customFormat="false" ht="15" hidden="false" customHeight="false" outlineLevel="0" collapsed="false">
      <c r="A703" s="7" t="s">
        <v>931</v>
      </c>
      <c r="B703" s="7" t="s">
        <v>47</v>
      </c>
      <c r="C703" s="7" t="s">
        <v>555</v>
      </c>
      <c r="D703" s="10" t="n">
        <v>0</v>
      </c>
      <c r="E703" s="10" t="n">
        <v>0</v>
      </c>
      <c r="F703" s="10" t="n">
        <v>17</v>
      </c>
      <c r="G703" s="10" t="n">
        <v>0</v>
      </c>
      <c r="H703" s="10" t="n">
        <v>0</v>
      </c>
      <c r="I703" s="10" t="n">
        <v>82</v>
      </c>
      <c r="J703" s="10" t="n">
        <v>0</v>
      </c>
      <c r="K703" s="10" t="n">
        <v>6</v>
      </c>
      <c r="L703" s="10" t="n">
        <v>0</v>
      </c>
      <c r="M703" s="10" t="n">
        <v>0</v>
      </c>
      <c r="N703" s="10" t="n">
        <v>0</v>
      </c>
      <c r="O703" s="10" t="n">
        <v>0</v>
      </c>
      <c r="P703" s="10" t="n">
        <v>-7</v>
      </c>
      <c r="Q703" s="10" t="n">
        <v>36</v>
      </c>
      <c r="R703" s="10" t="n">
        <v>47</v>
      </c>
      <c r="S703" s="10" t="n">
        <v>0</v>
      </c>
      <c r="T703" s="10" t="n">
        <v>27</v>
      </c>
      <c r="U703" s="10" t="n">
        <v>0</v>
      </c>
    </row>
    <row r="704" customFormat="false" ht="15" hidden="false" customHeight="false" outlineLevel="0" collapsed="false">
      <c r="A704" s="7" t="s">
        <v>931</v>
      </c>
      <c r="B704" s="7" t="s">
        <v>56</v>
      </c>
      <c r="C704" s="7" t="s">
        <v>556</v>
      </c>
      <c r="D704" s="10" t="n">
        <v>0</v>
      </c>
      <c r="E704" s="10" t="n">
        <v>0</v>
      </c>
      <c r="F704" s="10" t="n">
        <v>48</v>
      </c>
      <c r="G704" s="10" t="n">
        <v>0</v>
      </c>
      <c r="H704" s="10" t="n">
        <v>0</v>
      </c>
      <c r="I704" s="10" t="n">
        <v>898</v>
      </c>
      <c r="J704" s="10" t="n">
        <v>0</v>
      </c>
      <c r="K704" s="10" t="n">
        <v>8</v>
      </c>
      <c r="L704" s="10" t="n">
        <v>0</v>
      </c>
      <c r="M704" s="10" t="n">
        <v>0</v>
      </c>
      <c r="N704" s="10" t="n">
        <v>3</v>
      </c>
      <c r="O704" s="10" t="n">
        <v>2</v>
      </c>
      <c r="P704" s="10" t="n">
        <v>-14</v>
      </c>
      <c r="Q704" s="10" t="n">
        <v>804</v>
      </c>
      <c r="R704" s="10" t="n">
        <v>95</v>
      </c>
      <c r="S704" s="10" t="n">
        <v>0</v>
      </c>
      <c r="T704" s="10" t="n">
        <v>36</v>
      </c>
      <c r="U704" s="10" t="n">
        <v>-1</v>
      </c>
    </row>
    <row r="705" customFormat="false" ht="15" hidden="false" customHeight="false" outlineLevel="0" collapsed="false">
      <c r="A705" s="7" t="s">
        <v>931</v>
      </c>
      <c r="B705" s="7" t="s">
        <v>56</v>
      </c>
      <c r="C705" s="7" t="s">
        <v>557</v>
      </c>
      <c r="D705" s="10" t="n">
        <v>0</v>
      </c>
      <c r="E705" s="10" t="n">
        <v>0</v>
      </c>
      <c r="F705" s="10" t="n">
        <v>133</v>
      </c>
      <c r="G705" s="10" t="n">
        <v>0</v>
      </c>
      <c r="H705" s="10" t="n">
        <v>0</v>
      </c>
      <c r="I705" s="10" t="n">
        <v>1287</v>
      </c>
      <c r="J705" s="10" t="n">
        <v>0</v>
      </c>
      <c r="K705" s="10" t="n">
        <v>4</v>
      </c>
      <c r="L705" s="10" t="n">
        <v>0</v>
      </c>
      <c r="M705" s="10" t="n">
        <v>0</v>
      </c>
      <c r="N705" s="10" t="n">
        <v>3</v>
      </c>
      <c r="O705" s="10" t="n">
        <v>1</v>
      </c>
      <c r="P705" s="10" t="n">
        <v>-6</v>
      </c>
      <c r="Q705" s="10" t="n">
        <v>1121</v>
      </c>
      <c r="R705" s="10" t="n">
        <v>164</v>
      </c>
      <c r="S705" s="10" t="n">
        <v>0</v>
      </c>
      <c r="T705" s="10" t="n">
        <v>89</v>
      </c>
      <c r="U705" s="10" t="n">
        <v>-2</v>
      </c>
    </row>
    <row r="706" customFormat="false" ht="15" hidden="false" customHeight="false" outlineLevel="0" collapsed="false">
      <c r="A706" s="7" t="s">
        <v>931</v>
      </c>
      <c r="B706" s="7" t="s">
        <v>56</v>
      </c>
      <c r="C706" s="7" t="s">
        <v>558</v>
      </c>
      <c r="D706" s="10" t="n">
        <v>0</v>
      </c>
      <c r="E706" s="10" t="n">
        <v>0</v>
      </c>
      <c r="F706" s="10" t="n">
        <v>132</v>
      </c>
      <c r="G706" s="10" t="n">
        <v>0</v>
      </c>
      <c r="H706" s="10" t="n">
        <v>0</v>
      </c>
      <c r="I706" s="10" t="n">
        <v>1272</v>
      </c>
      <c r="J706" s="10" t="n">
        <v>0</v>
      </c>
      <c r="K706" s="10" t="n">
        <v>12</v>
      </c>
      <c r="L706" s="10" t="n">
        <v>0</v>
      </c>
      <c r="M706" s="10" t="n">
        <v>0</v>
      </c>
      <c r="N706" s="10" t="n">
        <v>3</v>
      </c>
      <c r="O706" s="10" t="n">
        <v>3</v>
      </c>
      <c r="P706" s="10" t="n">
        <v>-5</v>
      </c>
      <c r="Q706" s="10" t="n">
        <v>1124</v>
      </c>
      <c r="R706" s="10" t="n">
        <v>135</v>
      </c>
      <c r="S706" s="10" t="n">
        <v>0</v>
      </c>
      <c r="T706" s="10" t="n">
        <v>92</v>
      </c>
      <c r="U706" s="10" t="n">
        <v>-1</v>
      </c>
    </row>
    <row r="707" customFormat="false" ht="15" hidden="false" customHeight="false" outlineLevel="0" collapsed="false">
      <c r="A707" s="7" t="s">
        <v>931</v>
      </c>
      <c r="B707" s="7" t="s">
        <v>56</v>
      </c>
      <c r="C707" s="7" t="s">
        <v>559</v>
      </c>
      <c r="D707" s="10" t="n">
        <v>0</v>
      </c>
      <c r="E707" s="10" t="n">
        <v>0</v>
      </c>
      <c r="F707" s="10" t="n">
        <v>89</v>
      </c>
      <c r="G707" s="10" t="n">
        <v>0</v>
      </c>
      <c r="H707" s="10" t="n">
        <v>0</v>
      </c>
      <c r="I707" s="10" t="n">
        <v>887</v>
      </c>
      <c r="J707" s="10" t="n">
        <v>0</v>
      </c>
      <c r="K707" s="10" t="n">
        <v>5</v>
      </c>
      <c r="L707" s="10" t="n">
        <v>0</v>
      </c>
      <c r="M707" s="10" t="n">
        <v>0</v>
      </c>
      <c r="N707" s="10" t="n">
        <v>3</v>
      </c>
      <c r="O707" s="10" t="n">
        <v>1</v>
      </c>
      <c r="P707" s="10" t="n">
        <v>-2</v>
      </c>
      <c r="Q707" s="10" t="n">
        <v>766</v>
      </c>
      <c r="R707" s="10" t="n">
        <v>114</v>
      </c>
      <c r="S707" s="10" t="n">
        <v>0</v>
      </c>
      <c r="T707" s="10" t="n">
        <v>93</v>
      </c>
      <c r="U707" s="10" t="n">
        <v>0</v>
      </c>
    </row>
    <row r="708" customFormat="false" ht="15" hidden="false" customHeight="false" outlineLevel="0" collapsed="false">
      <c r="A708" s="7" t="s">
        <v>931</v>
      </c>
      <c r="B708" s="7" t="s">
        <v>56</v>
      </c>
      <c r="C708" s="7" t="s">
        <v>560</v>
      </c>
      <c r="D708" s="10" t="n">
        <v>0</v>
      </c>
      <c r="E708" s="10" t="n">
        <v>0</v>
      </c>
      <c r="F708" s="10" t="n">
        <v>36</v>
      </c>
      <c r="G708" s="10" t="n">
        <v>0</v>
      </c>
      <c r="H708" s="10" t="n">
        <v>1</v>
      </c>
      <c r="I708" s="10" t="n">
        <v>152</v>
      </c>
      <c r="J708" s="10" t="n">
        <v>0</v>
      </c>
      <c r="K708" s="10" t="n">
        <v>5</v>
      </c>
      <c r="L708" s="10" t="n">
        <v>0</v>
      </c>
      <c r="M708" s="10" t="n">
        <v>0</v>
      </c>
      <c r="N708" s="10" t="n">
        <v>0</v>
      </c>
      <c r="O708" s="10" t="n">
        <v>0</v>
      </c>
      <c r="P708" s="10" t="n">
        <v>-1</v>
      </c>
      <c r="Q708" s="10" t="n">
        <v>74</v>
      </c>
      <c r="R708" s="10" t="n">
        <v>74</v>
      </c>
      <c r="S708" s="10" t="n">
        <v>0</v>
      </c>
      <c r="T708" s="10" t="n">
        <v>11</v>
      </c>
      <c r="U708" s="10" t="n">
        <v>0</v>
      </c>
    </row>
    <row r="709" customFormat="false" ht="15" hidden="false" customHeight="false" outlineLevel="0" collapsed="false">
      <c r="A709" s="7" t="s">
        <v>931</v>
      </c>
      <c r="B709" s="7" t="s">
        <v>43</v>
      </c>
      <c r="C709" s="7" t="s">
        <v>561</v>
      </c>
      <c r="D709" s="10" t="n">
        <v>0</v>
      </c>
      <c r="E709" s="10" t="n">
        <v>0</v>
      </c>
      <c r="F709" s="10" t="n">
        <v>124</v>
      </c>
      <c r="G709" s="10" t="n">
        <v>0</v>
      </c>
      <c r="H709" s="10" t="n">
        <v>0</v>
      </c>
      <c r="I709" s="10" t="n">
        <v>1483</v>
      </c>
      <c r="J709" s="10" t="n">
        <v>0</v>
      </c>
      <c r="K709" s="10" t="n">
        <v>4</v>
      </c>
      <c r="L709" s="10" t="n">
        <v>0</v>
      </c>
      <c r="M709" s="10" t="n">
        <v>1</v>
      </c>
      <c r="N709" s="10" t="n">
        <v>1</v>
      </c>
      <c r="O709" s="10" t="n">
        <v>2</v>
      </c>
      <c r="P709" s="10" t="n">
        <v>-5</v>
      </c>
      <c r="Q709" s="10" t="n">
        <v>1364</v>
      </c>
      <c r="R709" s="10" t="n">
        <v>116</v>
      </c>
      <c r="S709" s="10" t="n">
        <v>0</v>
      </c>
      <c r="T709" s="10" t="n">
        <v>0</v>
      </c>
      <c r="U709" s="10" t="n">
        <v>-1</v>
      </c>
    </row>
    <row r="710" customFormat="false" ht="15" hidden="false" customHeight="false" outlineLevel="0" collapsed="false">
      <c r="A710" s="7" t="s">
        <v>931</v>
      </c>
      <c r="B710" s="7" t="s">
        <v>43</v>
      </c>
      <c r="C710" s="7" t="s">
        <v>562</v>
      </c>
      <c r="D710" s="10" t="n">
        <v>0</v>
      </c>
      <c r="E710" s="10" t="n">
        <v>0</v>
      </c>
      <c r="F710" s="10" t="n">
        <v>294</v>
      </c>
      <c r="G710" s="10" t="n">
        <v>0</v>
      </c>
      <c r="H710" s="10" t="n">
        <v>0</v>
      </c>
      <c r="I710" s="10" t="n">
        <v>2187</v>
      </c>
      <c r="J710" s="10" t="n">
        <v>0</v>
      </c>
      <c r="K710" s="10" t="n">
        <v>15</v>
      </c>
      <c r="L710" s="10" t="n">
        <v>0</v>
      </c>
      <c r="M710" s="10" t="n">
        <v>1</v>
      </c>
      <c r="N710" s="10" t="n">
        <v>1</v>
      </c>
      <c r="O710" s="10" t="n">
        <v>6</v>
      </c>
      <c r="P710" s="10" t="n">
        <v>-3</v>
      </c>
      <c r="Q710" s="10" t="n">
        <v>1979</v>
      </c>
      <c r="R710" s="10" t="n">
        <v>188</v>
      </c>
      <c r="S710" s="10" t="n">
        <v>0</v>
      </c>
      <c r="T710" s="10" t="n">
        <v>0</v>
      </c>
      <c r="U710" s="10" t="n">
        <v>-2</v>
      </c>
    </row>
    <row r="711" customFormat="false" ht="15" hidden="false" customHeight="false" outlineLevel="0" collapsed="false">
      <c r="A711" s="7" t="s">
        <v>931</v>
      </c>
      <c r="B711" s="7" t="s">
        <v>43</v>
      </c>
      <c r="C711" s="7" t="s">
        <v>563</v>
      </c>
      <c r="D711" s="10" t="n">
        <v>0</v>
      </c>
      <c r="E711" s="10" t="n">
        <v>0</v>
      </c>
      <c r="F711" s="10" t="n">
        <v>294</v>
      </c>
      <c r="G711" s="10" t="n">
        <v>0</v>
      </c>
      <c r="H711" s="10" t="n">
        <v>0</v>
      </c>
      <c r="I711" s="10" t="n">
        <v>2646</v>
      </c>
      <c r="J711" s="10" t="n">
        <v>0</v>
      </c>
      <c r="K711" s="10" t="n">
        <v>12</v>
      </c>
      <c r="L711" s="10" t="n">
        <v>0</v>
      </c>
      <c r="M711" s="10" t="n">
        <v>1</v>
      </c>
      <c r="N711" s="10" t="n">
        <v>1</v>
      </c>
      <c r="O711" s="10" t="n">
        <v>4</v>
      </c>
      <c r="P711" s="10" t="n">
        <v>-3</v>
      </c>
      <c r="Q711" s="10" t="n">
        <v>2393</v>
      </c>
      <c r="R711" s="10" t="n">
        <v>238</v>
      </c>
      <c r="S711" s="10" t="n">
        <v>0</v>
      </c>
      <c r="T711" s="10" t="n">
        <v>0</v>
      </c>
      <c r="U711" s="10" t="n">
        <v>-2</v>
      </c>
    </row>
    <row r="712" customFormat="false" ht="15" hidden="false" customHeight="false" outlineLevel="0" collapsed="false">
      <c r="A712" s="7" t="s">
        <v>931</v>
      </c>
      <c r="B712" s="7" t="s">
        <v>43</v>
      </c>
      <c r="C712" s="7" t="s">
        <v>564</v>
      </c>
      <c r="D712" s="10" t="n">
        <v>0</v>
      </c>
      <c r="E712" s="10" t="n">
        <v>0</v>
      </c>
      <c r="F712" s="10" t="n">
        <v>161</v>
      </c>
      <c r="G712" s="10" t="n">
        <v>0</v>
      </c>
      <c r="H712" s="10" t="n">
        <v>0</v>
      </c>
      <c r="I712" s="10" t="n">
        <v>1430</v>
      </c>
      <c r="J712" s="10" t="n">
        <v>0</v>
      </c>
      <c r="K712" s="10" t="n">
        <v>3</v>
      </c>
      <c r="L712" s="10" t="n">
        <v>0</v>
      </c>
      <c r="M712" s="10" t="n">
        <v>1</v>
      </c>
      <c r="N712" s="10" t="n">
        <v>1</v>
      </c>
      <c r="O712" s="10" t="n">
        <v>2</v>
      </c>
      <c r="P712" s="10" t="n">
        <v>-3</v>
      </c>
      <c r="Q712" s="10" t="n">
        <v>1271</v>
      </c>
      <c r="R712" s="10" t="n">
        <v>155</v>
      </c>
      <c r="S712" s="10" t="n">
        <v>0</v>
      </c>
      <c r="T712" s="10" t="n">
        <v>0</v>
      </c>
      <c r="U712" s="10" t="n">
        <v>-3</v>
      </c>
    </row>
    <row r="713" customFormat="false" ht="15" hidden="false" customHeight="false" outlineLevel="0" collapsed="false">
      <c r="A713" s="7" t="s">
        <v>931</v>
      </c>
      <c r="B713" s="7" t="s">
        <v>181</v>
      </c>
      <c r="C713" s="7" t="s">
        <v>565</v>
      </c>
      <c r="D713" s="10" t="n">
        <v>0</v>
      </c>
      <c r="E713" s="10" t="n">
        <v>0</v>
      </c>
      <c r="F713" s="10" t="n">
        <v>35</v>
      </c>
      <c r="G713" s="10" t="n">
        <v>0</v>
      </c>
      <c r="H713" s="10" t="n">
        <v>0</v>
      </c>
      <c r="I713" s="10" t="n">
        <v>37</v>
      </c>
      <c r="J713" s="10" t="n">
        <v>0</v>
      </c>
      <c r="K713" s="10" t="n">
        <v>5</v>
      </c>
      <c r="L713" s="10" t="n">
        <v>0</v>
      </c>
      <c r="M713" s="10" t="n">
        <v>0</v>
      </c>
      <c r="N713" s="10" t="n">
        <v>0</v>
      </c>
      <c r="O713" s="10" t="n">
        <v>0</v>
      </c>
      <c r="P713" s="10" t="n">
        <v>-1</v>
      </c>
      <c r="Q713" s="10" t="n">
        <v>13</v>
      </c>
      <c r="R713" s="10" t="n">
        <v>20</v>
      </c>
      <c r="S713" s="10" t="n">
        <v>0</v>
      </c>
      <c r="T713" s="10" t="n">
        <v>17</v>
      </c>
      <c r="U713" s="10" t="n">
        <v>0</v>
      </c>
    </row>
    <row r="714" customFormat="false" ht="15" hidden="false" customHeight="false" outlineLevel="0" collapsed="false">
      <c r="A714" s="7" t="s">
        <v>931</v>
      </c>
      <c r="B714" s="7" t="s">
        <v>114</v>
      </c>
      <c r="C714" s="7" t="s">
        <v>566</v>
      </c>
      <c r="D714" s="10" t="n">
        <v>0</v>
      </c>
      <c r="E714" s="10" t="n">
        <v>0</v>
      </c>
      <c r="F714" s="10" t="n">
        <v>80</v>
      </c>
      <c r="G714" s="10" t="n">
        <v>0</v>
      </c>
      <c r="H714" s="10" t="n">
        <v>0</v>
      </c>
      <c r="I714" s="10" t="n">
        <v>459</v>
      </c>
      <c r="J714" s="10" t="n">
        <v>0</v>
      </c>
      <c r="K714" s="10" t="n">
        <v>7</v>
      </c>
      <c r="L714" s="10" t="n">
        <v>0</v>
      </c>
      <c r="M714" s="10" t="n">
        <v>0</v>
      </c>
      <c r="N714" s="10" t="n">
        <v>3</v>
      </c>
      <c r="O714" s="10" t="n">
        <v>0</v>
      </c>
      <c r="P714" s="10" t="n">
        <v>-2</v>
      </c>
      <c r="Q714" s="10" t="n">
        <v>409</v>
      </c>
      <c r="R714" s="10" t="n">
        <v>42</v>
      </c>
      <c r="S714" s="10" t="n">
        <v>0</v>
      </c>
      <c r="T714" s="10" t="n">
        <v>36</v>
      </c>
      <c r="U714" s="10" t="n">
        <v>0</v>
      </c>
    </row>
    <row r="715" customFormat="false" ht="15" hidden="false" customHeight="false" outlineLevel="0" collapsed="false">
      <c r="A715" s="7" t="s">
        <v>931</v>
      </c>
      <c r="B715" s="7" t="s">
        <v>242</v>
      </c>
      <c r="C715" s="7" t="s">
        <v>567</v>
      </c>
      <c r="D715" s="10" t="n">
        <v>0</v>
      </c>
      <c r="E715" s="10" t="n">
        <v>0</v>
      </c>
      <c r="F715" s="10" t="n">
        <v>623</v>
      </c>
      <c r="G715" s="10" t="n">
        <v>0</v>
      </c>
      <c r="H715" s="10" t="n">
        <v>18</v>
      </c>
      <c r="I715" s="10" t="n">
        <v>545</v>
      </c>
      <c r="J715" s="10" t="n">
        <v>0</v>
      </c>
      <c r="K715" s="10" t="n">
        <v>36</v>
      </c>
      <c r="L715" s="10" t="n">
        <v>0</v>
      </c>
      <c r="M715" s="10" t="n">
        <v>3</v>
      </c>
      <c r="N715" s="10" t="n">
        <v>19</v>
      </c>
      <c r="O715" s="10" t="n">
        <v>14</v>
      </c>
      <c r="P715" s="10" t="n">
        <v>-4</v>
      </c>
      <c r="Q715" s="10" t="n">
        <v>0</v>
      </c>
      <c r="R715" s="10" t="n">
        <v>477</v>
      </c>
      <c r="S715" s="10" t="n">
        <v>0</v>
      </c>
      <c r="T715" s="10" t="n">
        <v>183</v>
      </c>
      <c r="U715" s="10" t="n">
        <v>0</v>
      </c>
    </row>
    <row r="716" customFormat="false" ht="15" hidden="false" customHeight="false" outlineLevel="0" collapsed="false">
      <c r="A716" s="7" t="s">
        <v>931</v>
      </c>
      <c r="B716" s="7" t="s">
        <v>245</v>
      </c>
      <c r="C716" s="7" t="s">
        <v>568</v>
      </c>
      <c r="D716" s="10" t="n">
        <v>0</v>
      </c>
      <c r="E716" s="10" t="n">
        <v>0</v>
      </c>
      <c r="F716" s="10" t="n">
        <v>432</v>
      </c>
      <c r="G716" s="10" t="n">
        <v>0</v>
      </c>
      <c r="H716" s="10" t="n">
        <v>0</v>
      </c>
      <c r="I716" s="10" t="n">
        <v>221</v>
      </c>
      <c r="J716" s="10" t="n">
        <v>0</v>
      </c>
      <c r="K716" s="10" t="n">
        <v>5</v>
      </c>
      <c r="L716" s="10" t="n">
        <v>0</v>
      </c>
      <c r="M716" s="10" t="n">
        <v>0</v>
      </c>
      <c r="N716" s="10" t="n">
        <v>6</v>
      </c>
      <c r="O716" s="10" t="n">
        <v>7</v>
      </c>
      <c r="P716" s="10" t="n">
        <v>-6</v>
      </c>
      <c r="Q716" s="10" t="n">
        <v>-2</v>
      </c>
      <c r="R716" s="10" t="n">
        <v>211</v>
      </c>
      <c r="S716" s="10" t="n">
        <v>0</v>
      </c>
      <c r="T716" s="10" t="n">
        <v>136</v>
      </c>
      <c r="U716" s="10" t="n">
        <v>0</v>
      </c>
    </row>
    <row r="717" customFormat="false" ht="15" hidden="false" customHeight="false" outlineLevel="0" collapsed="false">
      <c r="A717" s="7" t="s">
        <v>931</v>
      </c>
      <c r="B717" s="7" t="s">
        <v>279</v>
      </c>
      <c r="C717" s="7" t="s">
        <v>569</v>
      </c>
      <c r="D717" s="10" t="n">
        <v>0</v>
      </c>
      <c r="E717" s="10" t="n">
        <v>0</v>
      </c>
      <c r="F717" s="10" t="n">
        <v>46</v>
      </c>
      <c r="G717" s="10" t="n">
        <v>0</v>
      </c>
      <c r="H717" s="10" t="n">
        <v>0</v>
      </c>
      <c r="I717" s="10" t="n">
        <v>25</v>
      </c>
      <c r="J717" s="10" t="n">
        <v>0</v>
      </c>
      <c r="K717" s="10" t="n">
        <v>5</v>
      </c>
      <c r="L717" s="10" t="n">
        <v>0</v>
      </c>
      <c r="M717" s="10" t="n">
        <v>0</v>
      </c>
      <c r="N717" s="10" t="n">
        <v>0</v>
      </c>
      <c r="O717" s="10" t="n">
        <v>0</v>
      </c>
      <c r="P717" s="10" t="n">
        <v>0</v>
      </c>
      <c r="Q717" s="10" t="n">
        <v>0</v>
      </c>
      <c r="R717" s="10" t="n">
        <v>20</v>
      </c>
      <c r="S717" s="10" t="n">
        <v>0</v>
      </c>
      <c r="T717" s="10" t="n">
        <v>0</v>
      </c>
      <c r="U717" s="10" t="n">
        <v>0</v>
      </c>
    </row>
    <row r="718" customFormat="false" ht="15" hidden="false" customHeight="false" outlineLevel="0" collapsed="false">
      <c r="A718" s="7" t="s">
        <v>931</v>
      </c>
      <c r="B718" s="7" t="s">
        <v>284</v>
      </c>
      <c r="C718" s="7" t="s">
        <v>570</v>
      </c>
      <c r="D718" s="10" t="n">
        <v>0</v>
      </c>
      <c r="E718" s="10" t="n">
        <v>0</v>
      </c>
      <c r="F718" s="10" t="n">
        <v>178</v>
      </c>
      <c r="G718" s="10" t="n">
        <v>0</v>
      </c>
      <c r="H718" s="10" t="n">
        <v>4</v>
      </c>
      <c r="I718" s="10" t="n">
        <v>73</v>
      </c>
      <c r="J718" s="10" t="n">
        <v>0</v>
      </c>
      <c r="K718" s="10" t="n">
        <v>7</v>
      </c>
      <c r="L718" s="10" t="n">
        <v>0</v>
      </c>
      <c r="M718" s="10" t="n">
        <v>0</v>
      </c>
      <c r="N718" s="10" t="n">
        <v>6</v>
      </c>
      <c r="O718" s="10" t="n">
        <v>8</v>
      </c>
      <c r="P718" s="10" t="n">
        <v>0</v>
      </c>
      <c r="Q718" s="10" t="n">
        <v>0</v>
      </c>
      <c r="R718" s="10" t="n">
        <v>52</v>
      </c>
      <c r="S718" s="10" t="n">
        <v>0</v>
      </c>
      <c r="T718" s="10" t="n">
        <v>75</v>
      </c>
      <c r="U718" s="10" t="n">
        <v>-3</v>
      </c>
    </row>
    <row r="719" customFormat="false" ht="15" hidden="false" customHeight="false" outlineLevel="0" collapsed="false">
      <c r="A719" s="7" t="s">
        <v>931</v>
      </c>
      <c r="B719" s="7" t="s">
        <v>283</v>
      </c>
      <c r="C719" s="7" t="s">
        <v>571</v>
      </c>
      <c r="D719" s="10" t="n">
        <v>0</v>
      </c>
      <c r="E719" s="10" t="n">
        <v>0</v>
      </c>
      <c r="F719" s="10" t="n">
        <v>60</v>
      </c>
      <c r="G719" s="10" t="n">
        <v>0</v>
      </c>
      <c r="H719" s="10" t="n">
        <v>5</v>
      </c>
      <c r="I719" s="10" t="n">
        <v>29</v>
      </c>
      <c r="J719" s="10" t="n">
        <v>0</v>
      </c>
      <c r="K719" s="10" t="n">
        <v>0</v>
      </c>
      <c r="L719" s="10" t="n">
        <v>0</v>
      </c>
      <c r="M719" s="10" t="n">
        <v>0</v>
      </c>
      <c r="N719" s="10" t="n">
        <v>3</v>
      </c>
      <c r="O719" s="10" t="n">
        <v>0</v>
      </c>
      <c r="P719" s="10" t="n">
        <v>-4</v>
      </c>
      <c r="Q719" s="10" t="n">
        <v>0</v>
      </c>
      <c r="R719" s="10" t="n">
        <v>30</v>
      </c>
      <c r="S719" s="10" t="n">
        <v>0</v>
      </c>
      <c r="T719" s="10" t="n">
        <v>31</v>
      </c>
      <c r="U719" s="10" t="n">
        <v>0</v>
      </c>
    </row>
    <row r="720" customFormat="false" ht="15" hidden="false" customHeight="false" outlineLevel="0" collapsed="false">
      <c r="A720" s="7" t="s">
        <v>931</v>
      </c>
      <c r="B720" s="7" t="s">
        <v>171</v>
      </c>
      <c r="C720" s="7" t="s">
        <v>572</v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>
        <v>-3</v>
      </c>
      <c r="J720" s="10" t="n">
        <v>0</v>
      </c>
      <c r="K720" s="10" t="n">
        <v>0</v>
      </c>
      <c r="L720" s="10" t="n">
        <v>0</v>
      </c>
      <c r="M720" s="10" t="n">
        <v>0</v>
      </c>
      <c r="N720" s="10" t="n">
        <v>0</v>
      </c>
      <c r="O720" s="10" t="n">
        <v>0</v>
      </c>
      <c r="P720" s="10" t="n">
        <v>0</v>
      </c>
      <c r="Q720" s="10" t="n">
        <v>-3</v>
      </c>
      <c r="R720" s="10" t="n">
        <v>0</v>
      </c>
      <c r="S720" s="10" t="n">
        <v>0</v>
      </c>
      <c r="T720" s="10" t="n">
        <v>0</v>
      </c>
      <c r="U720" s="10" t="n">
        <v>0</v>
      </c>
    </row>
    <row r="721" customFormat="false" ht="15" hidden="false" customHeight="false" outlineLevel="0" collapsed="false">
      <c r="A721" s="7" t="s">
        <v>931</v>
      </c>
      <c r="B721" s="7" t="s">
        <v>189</v>
      </c>
      <c r="C721" s="7" t="s">
        <v>572</v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>
        <v>-4</v>
      </c>
      <c r="J721" s="10" t="n">
        <v>0</v>
      </c>
      <c r="K721" s="10" t="n">
        <v>0</v>
      </c>
      <c r="L721" s="10" t="n">
        <v>0</v>
      </c>
      <c r="M721" s="10" t="n">
        <v>0</v>
      </c>
      <c r="N721" s="10" t="n">
        <v>0</v>
      </c>
      <c r="O721" s="10" t="n">
        <v>0</v>
      </c>
      <c r="P721" s="10" t="n">
        <v>0</v>
      </c>
      <c r="Q721" s="10" t="n">
        <v>-4</v>
      </c>
      <c r="R721" s="10" t="n">
        <v>0</v>
      </c>
      <c r="S721" s="10" t="n">
        <v>0</v>
      </c>
      <c r="T721" s="10" t="n">
        <v>0</v>
      </c>
      <c r="U721" s="10" t="n">
        <v>0</v>
      </c>
    </row>
    <row r="722" customFormat="false" ht="15" hidden="false" customHeight="false" outlineLevel="0" collapsed="false">
      <c r="A722" s="7" t="s">
        <v>931</v>
      </c>
      <c r="B722" s="7" t="s">
        <v>193</v>
      </c>
      <c r="C722" s="7" t="s">
        <v>573</v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>
        <v>4</v>
      </c>
      <c r="J722" s="10" t="n">
        <v>0</v>
      </c>
      <c r="K722" s="10" t="n">
        <v>0</v>
      </c>
      <c r="L722" s="10" t="n">
        <v>0</v>
      </c>
      <c r="M722" s="10" t="n">
        <v>0</v>
      </c>
      <c r="N722" s="10" t="n">
        <v>0</v>
      </c>
      <c r="O722" s="10" t="n">
        <v>0</v>
      </c>
      <c r="P722" s="10" t="n">
        <v>0</v>
      </c>
      <c r="Q722" s="10" t="n">
        <v>0</v>
      </c>
      <c r="R722" s="10" t="n">
        <v>4</v>
      </c>
      <c r="S722" s="10" t="n">
        <v>0</v>
      </c>
      <c r="T722" s="10" t="n">
        <v>4</v>
      </c>
      <c r="U722" s="10" t="n">
        <v>0</v>
      </c>
    </row>
    <row r="723" customFormat="false" ht="15" hidden="false" customHeight="false" outlineLevel="0" collapsed="false">
      <c r="A723" s="7" t="s">
        <v>931</v>
      </c>
      <c r="B723" s="7" t="s">
        <v>193</v>
      </c>
      <c r="C723" s="7" t="s">
        <v>574</v>
      </c>
      <c r="D723" s="10" t="n">
        <v>0</v>
      </c>
      <c r="E723" s="10" t="n">
        <v>0</v>
      </c>
      <c r="F723" s="10" t="n">
        <v>7</v>
      </c>
      <c r="G723" s="10" t="n">
        <v>0</v>
      </c>
      <c r="H723" s="10" t="n">
        <v>0</v>
      </c>
      <c r="I723" s="10" t="n">
        <v>3</v>
      </c>
      <c r="J723" s="10" t="n">
        <v>0</v>
      </c>
      <c r="K723" s="10" t="n">
        <v>0</v>
      </c>
      <c r="L723" s="10" t="n">
        <v>0</v>
      </c>
      <c r="M723" s="10" t="n">
        <v>0</v>
      </c>
      <c r="N723" s="10" t="n">
        <v>0</v>
      </c>
      <c r="O723" s="10" t="n">
        <v>0</v>
      </c>
      <c r="P723" s="10" t="n">
        <v>0</v>
      </c>
      <c r="Q723" s="10" t="n">
        <v>2</v>
      </c>
      <c r="R723" s="10" t="n">
        <v>1</v>
      </c>
      <c r="S723" s="10" t="n">
        <v>0</v>
      </c>
      <c r="T723" s="10" t="n">
        <v>0</v>
      </c>
      <c r="U723" s="10" t="n">
        <v>0</v>
      </c>
    </row>
    <row r="724" customFormat="false" ht="15" hidden="false" customHeight="false" outlineLevel="0" collapsed="false">
      <c r="A724" s="7" t="s">
        <v>931</v>
      </c>
      <c r="B724" s="7" t="s">
        <v>193</v>
      </c>
      <c r="C724" s="7" t="s">
        <v>575</v>
      </c>
      <c r="D724" s="10" t="n">
        <v>0</v>
      </c>
      <c r="E724" s="10" t="n">
        <v>0</v>
      </c>
      <c r="F724" s="10" t="n">
        <v>6</v>
      </c>
      <c r="G724" s="10" t="n">
        <v>0</v>
      </c>
      <c r="H724" s="10" t="n">
        <v>0</v>
      </c>
      <c r="I724" s="10" t="n">
        <v>2</v>
      </c>
      <c r="J724" s="10" t="n">
        <v>0</v>
      </c>
      <c r="K724" s="10" t="n">
        <v>0</v>
      </c>
      <c r="L724" s="10" t="n">
        <v>0</v>
      </c>
      <c r="M724" s="10" t="n">
        <v>0</v>
      </c>
      <c r="N724" s="10" t="n">
        <v>0</v>
      </c>
      <c r="O724" s="10" t="n">
        <v>0</v>
      </c>
      <c r="P724" s="10" t="n">
        <v>-2</v>
      </c>
      <c r="Q724" s="10" t="n">
        <v>2</v>
      </c>
      <c r="R724" s="10" t="n">
        <v>2</v>
      </c>
      <c r="S724" s="10" t="n">
        <v>0</v>
      </c>
      <c r="T724" s="10" t="n">
        <v>0</v>
      </c>
      <c r="U724" s="10" t="n">
        <v>0</v>
      </c>
    </row>
    <row r="725" customFormat="false" ht="15" hidden="false" customHeight="false" outlineLevel="0" collapsed="false">
      <c r="A725" s="7" t="s">
        <v>931</v>
      </c>
      <c r="B725" s="7" t="s">
        <v>193</v>
      </c>
      <c r="C725" s="7" t="s">
        <v>576</v>
      </c>
      <c r="D725" s="10" t="n">
        <v>0</v>
      </c>
      <c r="E725" s="10" t="n">
        <v>0</v>
      </c>
      <c r="F725" s="10" t="n">
        <v>6</v>
      </c>
      <c r="G725" s="10" t="n">
        <v>0</v>
      </c>
      <c r="H725" s="10" t="n">
        <v>0</v>
      </c>
      <c r="I725" s="10" t="n">
        <v>1</v>
      </c>
      <c r="J725" s="10" t="n">
        <v>0</v>
      </c>
      <c r="K725" s="10" t="n">
        <v>0</v>
      </c>
      <c r="L725" s="10" t="n">
        <v>0</v>
      </c>
      <c r="M725" s="10" t="n">
        <v>0</v>
      </c>
      <c r="N725" s="10" t="n">
        <v>0</v>
      </c>
      <c r="O725" s="10" t="n">
        <v>0</v>
      </c>
      <c r="P725" s="10" t="n">
        <v>-1</v>
      </c>
      <c r="Q725" s="10" t="n">
        <v>-1</v>
      </c>
      <c r="R725" s="10" t="n">
        <v>3</v>
      </c>
      <c r="S725" s="10" t="n">
        <v>0</v>
      </c>
      <c r="T725" s="10" t="n">
        <v>0</v>
      </c>
      <c r="U725" s="10" t="n">
        <v>0</v>
      </c>
    </row>
    <row r="726" customFormat="false" ht="15" hidden="false" customHeight="false" outlineLevel="0" collapsed="false">
      <c r="A726" s="7" t="s">
        <v>931</v>
      </c>
      <c r="B726" s="7" t="s">
        <v>223</v>
      </c>
      <c r="C726" s="7" t="s">
        <v>577</v>
      </c>
      <c r="D726" s="10" t="n">
        <v>0</v>
      </c>
      <c r="E726" s="10" t="n">
        <v>0</v>
      </c>
      <c r="F726" s="10" t="n">
        <v>3</v>
      </c>
      <c r="G726" s="10" t="n">
        <v>0</v>
      </c>
      <c r="H726" s="10" t="n">
        <v>0</v>
      </c>
      <c r="I726" s="10" t="n">
        <v>-1</v>
      </c>
      <c r="J726" s="10" t="n">
        <v>0</v>
      </c>
      <c r="K726" s="10" t="n">
        <v>0</v>
      </c>
      <c r="L726" s="10" t="n">
        <v>0</v>
      </c>
      <c r="M726" s="10" t="n">
        <v>0</v>
      </c>
      <c r="N726" s="10" t="n">
        <v>0</v>
      </c>
      <c r="O726" s="10" t="n">
        <v>0</v>
      </c>
      <c r="P726" s="10" t="n">
        <v>-1</v>
      </c>
      <c r="Q726" s="10" t="n">
        <v>0</v>
      </c>
      <c r="R726" s="10" t="n">
        <v>0</v>
      </c>
      <c r="S726" s="10" t="n">
        <v>0</v>
      </c>
      <c r="T726" s="10" t="n">
        <v>0</v>
      </c>
      <c r="U726" s="10" t="n">
        <v>0</v>
      </c>
    </row>
    <row r="727" customFormat="false" ht="15" hidden="false" customHeight="false" outlineLevel="0" collapsed="false">
      <c r="A727" s="7" t="s">
        <v>931</v>
      </c>
      <c r="B727" s="7" t="s">
        <v>223</v>
      </c>
      <c r="C727" s="7" t="s">
        <v>943</v>
      </c>
      <c r="D727" s="10" t="n">
        <v>0</v>
      </c>
      <c r="E727" s="10" t="n">
        <v>0</v>
      </c>
      <c r="F727" s="10" t="n">
        <v>1</v>
      </c>
      <c r="G727" s="10" t="n">
        <v>0</v>
      </c>
      <c r="H727" s="10" t="n">
        <v>0</v>
      </c>
      <c r="I727" s="10" t="n">
        <v>-2</v>
      </c>
      <c r="J727" s="10" t="n">
        <v>0</v>
      </c>
      <c r="K727" s="10" t="n">
        <v>0</v>
      </c>
      <c r="L727" s="10" t="n">
        <v>0</v>
      </c>
      <c r="M727" s="10" t="n">
        <v>0</v>
      </c>
      <c r="N727" s="10" t="n">
        <v>0</v>
      </c>
      <c r="O727" s="10" t="n">
        <v>0</v>
      </c>
      <c r="P727" s="10" t="n">
        <v>-2</v>
      </c>
      <c r="Q727" s="10" t="n">
        <v>0</v>
      </c>
      <c r="R727" s="10" t="n">
        <v>0</v>
      </c>
      <c r="S727" s="10" t="n">
        <v>0</v>
      </c>
      <c r="T727" s="10" t="n">
        <v>0</v>
      </c>
      <c r="U727" s="10" t="n">
        <v>0</v>
      </c>
    </row>
    <row r="728" customFormat="false" ht="15" hidden="false" customHeight="false" outlineLevel="0" collapsed="false">
      <c r="A728" s="7" t="s">
        <v>931</v>
      </c>
      <c r="B728" s="7" t="s">
        <v>223</v>
      </c>
      <c r="C728" s="7" t="s">
        <v>578</v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>
        <v>-1</v>
      </c>
      <c r="J728" s="10" t="n">
        <v>0</v>
      </c>
      <c r="K728" s="10" t="n">
        <v>0</v>
      </c>
      <c r="L728" s="10" t="n">
        <v>0</v>
      </c>
      <c r="M728" s="10" t="n">
        <v>0</v>
      </c>
      <c r="N728" s="10" t="n">
        <v>0</v>
      </c>
      <c r="O728" s="10" t="n">
        <v>0</v>
      </c>
      <c r="P728" s="10" t="n">
        <v>0</v>
      </c>
      <c r="Q728" s="10" t="n">
        <v>-1</v>
      </c>
      <c r="R728" s="10" t="n">
        <v>0</v>
      </c>
      <c r="S728" s="10" t="n">
        <v>0</v>
      </c>
      <c r="T728" s="10" t="n">
        <v>0</v>
      </c>
      <c r="U728" s="10" t="n">
        <v>0</v>
      </c>
    </row>
    <row r="729" customFormat="false" ht="15" hidden="false" customHeight="false" outlineLevel="0" collapsed="false">
      <c r="A729" s="7" t="s">
        <v>931</v>
      </c>
      <c r="B729" s="7" t="s">
        <v>223</v>
      </c>
      <c r="C729" s="7" t="s">
        <v>579</v>
      </c>
      <c r="D729" s="10" t="n">
        <v>0</v>
      </c>
      <c r="E729" s="10" t="n">
        <v>0</v>
      </c>
      <c r="F729" s="10" t="n">
        <v>2</v>
      </c>
      <c r="G729" s="10" t="n">
        <v>0</v>
      </c>
      <c r="H729" s="10" t="n">
        <v>0</v>
      </c>
      <c r="I729" s="10" t="n">
        <v>-1</v>
      </c>
      <c r="J729" s="10" t="n">
        <v>0</v>
      </c>
      <c r="K729" s="10" t="n">
        <v>0</v>
      </c>
      <c r="L729" s="10" t="n">
        <v>0</v>
      </c>
      <c r="M729" s="10" t="n">
        <v>0</v>
      </c>
      <c r="N729" s="10" t="n">
        <v>0</v>
      </c>
      <c r="O729" s="10" t="n">
        <v>0</v>
      </c>
      <c r="P729" s="10" t="n">
        <v>0</v>
      </c>
      <c r="Q729" s="10" t="n">
        <v>-1</v>
      </c>
      <c r="R729" s="10" t="n">
        <v>0</v>
      </c>
      <c r="S729" s="10" t="n">
        <v>0</v>
      </c>
      <c r="T729" s="10" t="n">
        <v>0</v>
      </c>
      <c r="U729" s="10" t="n">
        <v>0</v>
      </c>
    </row>
    <row r="730" customFormat="false" ht="15" hidden="false" customHeight="false" outlineLevel="0" collapsed="false">
      <c r="A730" s="7" t="s">
        <v>931</v>
      </c>
      <c r="B730" s="7" t="s">
        <v>172</v>
      </c>
      <c r="C730" s="7" t="s">
        <v>580</v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>
        <v>-2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n">
        <v>0</v>
      </c>
      <c r="O730" s="10" t="n">
        <v>0</v>
      </c>
      <c r="P730" s="10" t="n">
        <v>0</v>
      </c>
      <c r="Q730" s="10" t="n">
        <v>-2</v>
      </c>
      <c r="R730" s="10" t="n">
        <v>0</v>
      </c>
      <c r="S730" s="10" t="n">
        <v>0</v>
      </c>
      <c r="T730" s="10" t="n">
        <v>0</v>
      </c>
      <c r="U730" s="10" t="n">
        <v>0</v>
      </c>
    </row>
    <row r="731" customFormat="false" ht="15" hidden="false" customHeight="false" outlineLevel="0" collapsed="false">
      <c r="A731" s="7" t="s">
        <v>931</v>
      </c>
      <c r="B731" s="7" t="s">
        <v>172</v>
      </c>
      <c r="C731" s="7" t="s">
        <v>581</v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>
        <v>-3</v>
      </c>
      <c r="J731" s="10" t="n">
        <v>0</v>
      </c>
      <c r="K731" s="10" t="n">
        <v>0</v>
      </c>
      <c r="L731" s="10" t="n">
        <v>0</v>
      </c>
      <c r="M731" s="10" t="n">
        <v>0</v>
      </c>
      <c r="N731" s="10" t="n">
        <v>0</v>
      </c>
      <c r="O731" s="10" t="n">
        <v>0</v>
      </c>
      <c r="P731" s="10" t="n">
        <v>0</v>
      </c>
      <c r="Q731" s="10" t="n">
        <v>-3</v>
      </c>
      <c r="R731" s="10" t="n">
        <v>0</v>
      </c>
      <c r="S731" s="10" t="n">
        <v>0</v>
      </c>
      <c r="T731" s="10" t="n">
        <v>0</v>
      </c>
      <c r="U731" s="10" t="n">
        <v>0</v>
      </c>
    </row>
    <row r="732" customFormat="false" ht="15" hidden="false" customHeight="false" outlineLevel="0" collapsed="false">
      <c r="A732" s="7" t="s">
        <v>931</v>
      </c>
      <c r="B732" s="7" t="s">
        <v>172</v>
      </c>
      <c r="C732" s="7" t="s">
        <v>582</v>
      </c>
      <c r="D732" s="10" t="n">
        <v>0</v>
      </c>
      <c r="E732" s="10" t="n">
        <v>0</v>
      </c>
      <c r="F732" s="10" t="n">
        <v>2</v>
      </c>
      <c r="G732" s="10" t="n">
        <v>0</v>
      </c>
      <c r="H732" s="10" t="n">
        <v>0</v>
      </c>
      <c r="I732" s="10" t="n">
        <v>-2</v>
      </c>
      <c r="J732" s="10" t="n">
        <v>0</v>
      </c>
      <c r="K732" s="10" t="n">
        <v>0</v>
      </c>
      <c r="L732" s="10" t="n">
        <v>0</v>
      </c>
      <c r="M732" s="10" t="n">
        <v>0</v>
      </c>
      <c r="N732" s="10" t="n">
        <v>0</v>
      </c>
      <c r="O732" s="10" t="n">
        <v>0</v>
      </c>
      <c r="P732" s="10" t="n">
        <v>0</v>
      </c>
      <c r="Q732" s="10" t="n">
        <v>-2</v>
      </c>
      <c r="R732" s="10" t="n">
        <v>0</v>
      </c>
      <c r="S732" s="10" t="n">
        <v>0</v>
      </c>
      <c r="T732" s="10" t="n">
        <v>0</v>
      </c>
      <c r="U732" s="10" t="n">
        <v>0</v>
      </c>
    </row>
    <row r="733" customFormat="false" ht="15" hidden="false" customHeight="false" outlineLevel="0" collapsed="false">
      <c r="A733" s="7" t="s">
        <v>931</v>
      </c>
      <c r="B733" s="7" t="s">
        <v>172</v>
      </c>
      <c r="C733" s="7" t="s">
        <v>583</v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>
        <v>-1</v>
      </c>
      <c r="J733" s="10" t="n">
        <v>0</v>
      </c>
      <c r="K733" s="10" t="n">
        <v>0</v>
      </c>
      <c r="L733" s="10" t="n">
        <v>0</v>
      </c>
      <c r="M733" s="10" t="n">
        <v>0</v>
      </c>
      <c r="N733" s="10" t="n">
        <v>0</v>
      </c>
      <c r="O733" s="10" t="n">
        <v>0</v>
      </c>
      <c r="P733" s="10" t="n">
        <v>0</v>
      </c>
      <c r="Q733" s="10" t="n">
        <v>-1</v>
      </c>
      <c r="R733" s="10" t="n">
        <v>0</v>
      </c>
      <c r="S733" s="10" t="n">
        <v>0</v>
      </c>
      <c r="T733" s="10" t="n">
        <v>0</v>
      </c>
      <c r="U733" s="10" t="n">
        <v>0</v>
      </c>
    </row>
    <row r="734" customFormat="false" ht="15" hidden="false" customHeight="false" outlineLevel="0" collapsed="false">
      <c r="A734" s="7" t="s">
        <v>931</v>
      </c>
      <c r="B734" s="7" t="s">
        <v>172</v>
      </c>
      <c r="C734" s="7" t="s">
        <v>584</v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>
        <v>-1</v>
      </c>
      <c r="J734" s="10" t="n">
        <v>0</v>
      </c>
      <c r="K734" s="10" t="n">
        <v>0</v>
      </c>
      <c r="L734" s="10" t="n">
        <v>0</v>
      </c>
      <c r="M734" s="10" t="n">
        <v>0</v>
      </c>
      <c r="N734" s="10" t="n">
        <v>0</v>
      </c>
      <c r="O734" s="10" t="n">
        <v>0</v>
      </c>
      <c r="P734" s="10" t="n">
        <v>0</v>
      </c>
      <c r="Q734" s="10" t="n">
        <v>-1</v>
      </c>
      <c r="R734" s="10" t="n">
        <v>0</v>
      </c>
      <c r="S734" s="10" t="n">
        <v>0</v>
      </c>
      <c r="T734" s="10" t="n">
        <v>0</v>
      </c>
      <c r="U734" s="10" t="n">
        <v>0</v>
      </c>
    </row>
    <row r="735" customFormat="false" ht="15" hidden="false" customHeight="false" outlineLevel="0" collapsed="false">
      <c r="A735" s="7" t="s">
        <v>931</v>
      </c>
      <c r="B735" s="7" t="s">
        <v>58</v>
      </c>
      <c r="C735" s="7" t="s">
        <v>585</v>
      </c>
      <c r="D735" s="10" t="n">
        <v>0</v>
      </c>
      <c r="E735" s="10" t="n">
        <v>0</v>
      </c>
      <c r="F735" s="10" t="n">
        <v>237</v>
      </c>
      <c r="G735" s="10" t="n">
        <v>0</v>
      </c>
      <c r="H735" s="10" t="n">
        <v>0</v>
      </c>
      <c r="I735" s="10" t="n">
        <v>1190</v>
      </c>
      <c r="J735" s="10" t="n">
        <v>0</v>
      </c>
      <c r="K735" s="10" t="n">
        <v>9</v>
      </c>
      <c r="L735" s="10" t="n">
        <v>0</v>
      </c>
      <c r="M735" s="10" t="n">
        <v>0</v>
      </c>
      <c r="N735" s="10" t="n">
        <v>3</v>
      </c>
      <c r="O735" s="10" t="n">
        <v>1</v>
      </c>
      <c r="P735" s="10" t="n">
        <v>-4</v>
      </c>
      <c r="Q735" s="10" t="n">
        <v>1045</v>
      </c>
      <c r="R735" s="10" t="n">
        <v>136</v>
      </c>
      <c r="S735" s="10" t="n">
        <v>0</v>
      </c>
      <c r="T735" s="10" t="n">
        <v>212</v>
      </c>
      <c r="U735" s="10" t="n">
        <v>0</v>
      </c>
    </row>
    <row r="736" customFormat="false" ht="15" hidden="false" customHeight="false" outlineLevel="0" collapsed="false">
      <c r="A736" s="7" t="s">
        <v>931</v>
      </c>
      <c r="B736" s="7" t="s">
        <v>58</v>
      </c>
      <c r="C736" s="7" t="s">
        <v>586</v>
      </c>
      <c r="D736" s="10" t="n">
        <v>0</v>
      </c>
      <c r="E736" s="10" t="n">
        <v>0</v>
      </c>
      <c r="F736" s="10" t="n">
        <v>182</v>
      </c>
      <c r="G736" s="10" t="n">
        <v>0</v>
      </c>
      <c r="H736" s="10" t="n">
        <v>0</v>
      </c>
      <c r="I736" s="10" t="n">
        <v>1181</v>
      </c>
      <c r="J736" s="10" t="n">
        <v>0</v>
      </c>
      <c r="K736" s="10" t="n">
        <v>13</v>
      </c>
      <c r="L736" s="10" t="n">
        <v>0</v>
      </c>
      <c r="M736" s="10" t="n">
        <v>0</v>
      </c>
      <c r="N736" s="10" t="n">
        <v>3</v>
      </c>
      <c r="O736" s="10" t="n">
        <v>1</v>
      </c>
      <c r="P736" s="10" t="n">
        <v>-2</v>
      </c>
      <c r="Q736" s="10" t="n">
        <v>1027</v>
      </c>
      <c r="R736" s="10" t="n">
        <v>139</v>
      </c>
      <c r="S736" s="10" t="n">
        <v>0</v>
      </c>
      <c r="T736" s="10" t="n">
        <v>180</v>
      </c>
      <c r="U736" s="10" t="n">
        <v>0</v>
      </c>
    </row>
    <row r="737" customFormat="false" ht="15" hidden="false" customHeight="false" outlineLevel="0" collapsed="false">
      <c r="A737" s="7" t="s">
        <v>931</v>
      </c>
      <c r="B737" s="7" t="s">
        <v>58</v>
      </c>
      <c r="C737" s="7" t="s">
        <v>587</v>
      </c>
      <c r="D737" s="10" t="n">
        <v>0</v>
      </c>
      <c r="E737" s="10" t="n">
        <v>0</v>
      </c>
      <c r="F737" s="10" t="n">
        <v>69</v>
      </c>
      <c r="G737" s="10" t="n">
        <v>0</v>
      </c>
      <c r="H737" s="10" t="n">
        <v>0</v>
      </c>
      <c r="I737" s="10" t="n">
        <v>652</v>
      </c>
      <c r="J737" s="10" t="n">
        <v>0</v>
      </c>
      <c r="K737" s="10" t="n">
        <v>3</v>
      </c>
      <c r="L737" s="10" t="n">
        <v>0</v>
      </c>
      <c r="M737" s="10" t="n">
        <v>0</v>
      </c>
      <c r="N737" s="10" t="n">
        <v>3</v>
      </c>
      <c r="O737" s="10" t="n">
        <v>1</v>
      </c>
      <c r="P737" s="10" t="n">
        <v>-5</v>
      </c>
      <c r="Q737" s="10" t="n">
        <v>589</v>
      </c>
      <c r="R737" s="10" t="n">
        <v>61</v>
      </c>
      <c r="S737" s="10" t="n">
        <v>0</v>
      </c>
      <c r="T737" s="10" t="n">
        <v>47</v>
      </c>
      <c r="U737" s="10" t="n">
        <v>0</v>
      </c>
    </row>
    <row r="738" customFormat="false" ht="15" hidden="false" customHeight="false" outlineLevel="0" collapsed="false">
      <c r="A738" s="7" t="s">
        <v>931</v>
      </c>
      <c r="B738" s="7" t="s">
        <v>58</v>
      </c>
      <c r="C738" s="7" t="s">
        <v>588</v>
      </c>
      <c r="D738" s="10" t="n">
        <v>0</v>
      </c>
      <c r="E738" s="10" t="n">
        <v>0</v>
      </c>
      <c r="F738" s="10" t="n">
        <v>169</v>
      </c>
      <c r="G738" s="10" t="n">
        <v>0</v>
      </c>
      <c r="H738" s="10" t="n">
        <v>1</v>
      </c>
      <c r="I738" s="10" t="n">
        <v>727</v>
      </c>
      <c r="J738" s="10" t="n">
        <v>0</v>
      </c>
      <c r="K738" s="10" t="n">
        <v>5</v>
      </c>
      <c r="L738" s="10" t="n">
        <v>0</v>
      </c>
      <c r="M738" s="10" t="n">
        <v>0</v>
      </c>
      <c r="N738" s="10" t="n">
        <v>3</v>
      </c>
      <c r="O738" s="10" t="n">
        <v>1</v>
      </c>
      <c r="P738" s="10" t="n">
        <v>-4</v>
      </c>
      <c r="Q738" s="10" t="n">
        <v>638</v>
      </c>
      <c r="R738" s="10" t="n">
        <v>84</v>
      </c>
      <c r="S738" s="10" t="n">
        <v>0</v>
      </c>
      <c r="T738" s="10" t="n">
        <v>131</v>
      </c>
      <c r="U738" s="10" t="n">
        <v>0</v>
      </c>
    </row>
    <row r="739" customFormat="false" ht="15" hidden="false" customHeight="false" outlineLevel="0" collapsed="false">
      <c r="A739" s="7" t="s">
        <v>931</v>
      </c>
      <c r="B739" s="7" t="s">
        <v>58</v>
      </c>
      <c r="C739" s="7" t="s">
        <v>589</v>
      </c>
      <c r="D739" s="10" t="n">
        <v>0</v>
      </c>
      <c r="E739" s="10" t="n">
        <v>0</v>
      </c>
      <c r="F739" s="10" t="n">
        <v>81</v>
      </c>
      <c r="G739" s="10" t="n">
        <v>0</v>
      </c>
      <c r="H739" s="10" t="n">
        <v>0</v>
      </c>
      <c r="I739" s="10" t="n">
        <v>256</v>
      </c>
      <c r="J739" s="10" t="n">
        <v>0</v>
      </c>
      <c r="K739" s="10" t="n">
        <v>5</v>
      </c>
      <c r="L739" s="10" t="n">
        <v>0</v>
      </c>
      <c r="M739" s="10" t="n">
        <v>0</v>
      </c>
      <c r="N739" s="10" t="n">
        <v>0</v>
      </c>
      <c r="O739" s="10" t="n">
        <v>1</v>
      </c>
      <c r="P739" s="10" t="n">
        <v>-2</v>
      </c>
      <c r="Q739" s="10" t="n">
        <v>176</v>
      </c>
      <c r="R739" s="10" t="n">
        <v>76</v>
      </c>
      <c r="S739" s="10" t="n">
        <v>0</v>
      </c>
      <c r="T739" s="10" t="n">
        <v>47</v>
      </c>
      <c r="U739" s="10" t="n">
        <v>0</v>
      </c>
    </row>
    <row r="740" customFormat="false" ht="15" hidden="false" customHeight="false" outlineLevel="0" collapsed="false">
      <c r="A740" s="7" t="s">
        <v>931</v>
      </c>
      <c r="B740" s="7" t="s">
        <v>49</v>
      </c>
      <c r="C740" s="7" t="s">
        <v>590</v>
      </c>
      <c r="D740" s="10" t="n">
        <v>0</v>
      </c>
      <c r="E740" s="10" t="n">
        <v>0</v>
      </c>
      <c r="F740" s="10" t="n">
        <v>101</v>
      </c>
      <c r="G740" s="10" t="n">
        <v>0</v>
      </c>
      <c r="H740" s="10" t="n">
        <v>0</v>
      </c>
      <c r="I740" s="10" t="n">
        <v>1365</v>
      </c>
      <c r="J740" s="10" t="n">
        <v>0</v>
      </c>
      <c r="K740" s="10" t="n">
        <v>10</v>
      </c>
      <c r="L740" s="10" t="n">
        <v>0</v>
      </c>
      <c r="M740" s="10" t="n">
        <v>1</v>
      </c>
      <c r="N740" s="10" t="n">
        <v>1</v>
      </c>
      <c r="O740" s="10" t="n">
        <v>2</v>
      </c>
      <c r="P740" s="10" t="n">
        <v>-3</v>
      </c>
      <c r="Q740" s="10" t="n">
        <v>1268</v>
      </c>
      <c r="R740" s="10" t="n">
        <v>86</v>
      </c>
      <c r="S740" s="10" t="n">
        <v>0</v>
      </c>
      <c r="T740" s="10" t="n">
        <v>0</v>
      </c>
      <c r="U740" s="10" t="n">
        <v>0</v>
      </c>
    </row>
    <row r="741" customFormat="false" ht="15" hidden="false" customHeight="false" outlineLevel="0" collapsed="false">
      <c r="A741" s="7" t="s">
        <v>931</v>
      </c>
      <c r="B741" s="7" t="s">
        <v>49</v>
      </c>
      <c r="C741" s="7" t="s">
        <v>591</v>
      </c>
      <c r="D741" s="10" t="n">
        <v>0</v>
      </c>
      <c r="E741" s="10" t="n">
        <v>0</v>
      </c>
      <c r="F741" s="10" t="n">
        <v>279</v>
      </c>
      <c r="G741" s="10" t="n">
        <v>0</v>
      </c>
      <c r="H741" s="10" t="n">
        <v>4</v>
      </c>
      <c r="I741" s="10" t="n">
        <v>2202</v>
      </c>
      <c r="J741" s="10" t="n">
        <v>0</v>
      </c>
      <c r="K741" s="10" t="n">
        <v>22</v>
      </c>
      <c r="L741" s="10" t="n">
        <v>0</v>
      </c>
      <c r="M741" s="10" t="n">
        <v>0</v>
      </c>
      <c r="N741" s="10" t="n">
        <v>1</v>
      </c>
      <c r="O741" s="10" t="n">
        <v>3</v>
      </c>
      <c r="P741" s="10" t="n">
        <v>-3</v>
      </c>
      <c r="Q741" s="10" t="n">
        <v>1997</v>
      </c>
      <c r="R741" s="10" t="n">
        <v>182</v>
      </c>
      <c r="S741" s="10" t="n">
        <v>0</v>
      </c>
      <c r="T741" s="10" t="n">
        <v>0</v>
      </c>
      <c r="U741" s="10" t="n">
        <v>0</v>
      </c>
    </row>
    <row r="742" customFormat="false" ht="15" hidden="false" customHeight="false" outlineLevel="0" collapsed="false">
      <c r="A742" s="7" t="s">
        <v>931</v>
      </c>
      <c r="B742" s="7" t="s">
        <v>49</v>
      </c>
      <c r="C742" s="7" t="s">
        <v>592</v>
      </c>
      <c r="D742" s="10" t="n">
        <v>0</v>
      </c>
      <c r="E742" s="10" t="n">
        <v>0</v>
      </c>
      <c r="F742" s="10" t="n">
        <v>240</v>
      </c>
      <c r="G742" s="10" t="n">
        <v>0</v>
      </c>
      <c r="H742" s="10" t="n">
        <v>0</v>
      </c>
      <c r="I742" s="10" t="n">
        <v>2636</v>
      </c>
      <c r="J742" s="10" t="n">
        <v>0</v>
      </c>
      <c r="K742" s="10" t="n">
        <v>25</v>
      </c>
      <c r="L742" s="10" t="n">
        <v>0</v>
      </c>
      <c r="M742" s="10" t="n">
        <v>1</v>
      </c>
      <c r="N742" s="10" t="n">
        <v>1</v>
      </c>
      <c r="O742" s="10" t="n">
        <v>3</v>
      </c>
      <c r="P742" s="10" t="n">
        <v>-7</v>
      </c>
      <c r="Q742" s="10" t="n">
        <v>2418</v>
      </c>
      <c r="R742" s="10" t="n">
        <v>195</v>
      </c>
      <c r="S742" s="10" t="n">
        <v>0</v>
      </c>
      <c r="T742" s="10" t="n">
        <v>0</v>
      </c>
      <c r="U742" s="10" t="n">
        <v>-1</v>
      </c>
    </row>
    <row r="743" customFormat="false" ht="15" hidden="false" customHeight="false" outlineLevel="0" collapsed="false">
      <c r="A743" s="7" t="s">
        <v>931</v>
      </c>
      <c r="B743" s="7" t="s">
        <v>49</v>
      </c>
      <c r="C743" s="7" t="s">
        <v>593</v>
      </c>
      <c r="D743" s="10" t="n">
        <v>0</v>
      </c>
      <c r="E743" s="10" t="n">
        <v>0</v>
      </c>
      <c r="F743" s="10" t="n">
        <v>256</v>
      </c>
      <c r="G743" s="10" t="n">
        <v>0</v>
      </c>
      <c r="H743" s="10" t="n">
        <v>2</v>
      </c>
      <c r="I743" s="10" t="n">
        <v>1810</v>
      </c>
      <c r="J743" s="10" t="n">
        <v>0</v>
      </c>
      <c r="K743" s="10" t="n">
        <v>10</v>
      </c>
      <c r="L743" s="10" t="n">
        <v>0</v>
      </c>
      <c r="M743" s="10" t="n">
        <v>1</v>
      </c>
      <c r="N743" s="10" t="n">
        <v>1</v>
      </c>
      <c r="O743" s="10" t="n">
        <v>1</v>
      </c>
      <c r="P743" s="10" t="n">
        <v>-4</v>
      </c>
      <c r="Q743" s="10" t="n">
        <v>1648</v>
      </c>
      <c r="R743" s="10" t="n">
        <v>153</v>
      </c>
      <c r="S743" s="10" t="n">
        <v>0</v>
      </c>
      <c r="T743" s="10" t="n">
        <v>0</v>
      </c>
      <c r="U743" s="10" t="n">
        <v>0</v>
      </c>
    </row>
    <row r="744" customFormat="false" ht="15" hidden="false" customHeight="false" outlineLevel="0" collapsed="false">
      <c r="A744" s="7" t="s">
        <v>931</v>
      </c>
      <c r="B744" s="7" t="s">
        <v>51</v>
      </c>
      <c r="C744" s="7" t="s">
        <v>594</v>
      </c>
      <c r="D744" s="10" t="n">
        <v>0</v>
      </c>
      <c r="E744" s="10" t="n">
        <v>0</v>
      </c>
      <c r="F744" s="10" t="n">
        <v>29</v>
      </c>
      <c r="G744" s="10" t="n">
        <v>0</v>
      </c>
      <c r="H744" s="10" t="n">
        <v>0</v>
      </c>
      <c r="I744" s="10" t="n">
        <v>365</v>
      </c>
      <c r="J744" s="10" t="n">
        <v>0</v>
      </c>
      <c r="K744" s="10" t="n">
        <v>4</v>
      </c>
      <c r="L744" s="10" t="n">
        <v>0</v>
      </c>
      <c r="M744" s="10" t="n">
        <v>0</v>
      </c>
      <c r="N744" s="10" t="n">
        <v>0</v>
      </c>
      <c r="O744" s="10" t="n">
        <v>1</v>
      </c>
      <c r="P744" s="10" t="n">
        <v>-3</v>
      </c>
      <c r="Q744" s="10" t="n">
        <v>306</v>
      </c>
      <c r="R744" s="10" t="n">
        <v>57</v>
      </c>
      <c r="S744" s="10" t="n">
        <v>0</v>
      </c>
      <c r="T744" s="10" t="n">
        <v>39</v>
      </c>
      <c r="U744" s="10" t="n">
        <v>-1</v>
      </c>
    </row>
    <row r="745" customFormat="false" ht="15" hidden="false" customHeight="false" outlineLevel="0" collapsed="false">
      <c r="A745" s="7" t="s">
        <v>931</v>
      </c>
      <c r="B745" s="7" t="s">
        <v>51</v>
      </c>
      <c r="C745" s="7" t="s">
        <v>595</v>
      </c>
      <c r="D745" s="10" t="n">
        <v>0</v>
      </c>
      <c r="E745" s="10" t="n">
        <v>0</v>
      </c>
      <c r="F745" s="10" t="n">
        <v>86</v>
      </c>
      <c r="G745" s="10" t="n">
        <v>0</v>
      </c>
      <c r="H745" s="10" t="n">
        <v>5</v>
      </c>
      <c r="I745" s="10" t="n">
        <v>1004</v>
      </c>
      <c r="J745" s="10" t="n">
        <v>0</v>
      </c>
      <c r="K745" s="10" t="n">
        <v>14</v>
      </c>
      <c r="L745" s="10" t="n">
        <v>0</v>
      </c>
      <c r="M745" s="10" t="n">
        <v>0</v>
      </c>
      <c r="N745" s="10" t="n">
        <v>0</v>
      </c>
      <c r="O745" s="10" t="n">
        <v>2</v>
      </c>
      <c r="P745" s="10" t="n">
        <v>-3</v>
      </c>
      <c r="Q745" s="10" t="n">
        <v>786</v>
      </c>
      <c r="R745" s="10" t="n">
        <v>205</v>
      </c>
      <c r="S745" s="10" t="n">
        <v>0</v>
      </c>
      <c r="T745" s="10" t="n">
        <v>104</v>
      </c>
      <c r="U745" s="10" t="n">
        <v>-1</v>
      </c>
    </row>
    <row r="746" customFormat="false" ht="15" hidden="false" customHeight="false" outlineLevel="0" collapsed="false">
      <c r="A746" s="7" t="s">
        <v>931</v>
      </c>
      <c r="B746" s="7" t="s">
        <v>51</v>
      </c>
      <c r="C746" s="7" t="s">
        <v>596</v>
      </c>
      <c r="D746" s="10" t="n">
        <v>0</v>
      </c>
      <c r="E746" s="10" t="n">
        <v>0</v>
      </c>
      <c r="F746" s="10" t="n">
        <v>62</v>
      </c>
      <c r="G746" s="10" t="n">
        <v>0</v>
      </c>
      <c r="H746" s="10" t="n">
        <v>5</v>
      </c>
      <c r="I746" s="10" t="n">
        <v>999</v>
      </c>
      <c r="J746" s="10" t="n">
        <v>0</v>
      </c>
      <c r="K746" s="10" t="n">
        <v>10</v>
      </c>
      <c r="L746" s="10" t="n">
        <v>0</v>
      </c>
      <c r="M746" s="10" t="n">
        <v>0</v>
      </c>
      <c r="N746" s="10" t="n">
        <v>0</v>
      </c>
      <c r="O746" s="10" t="n">
        <v>1</v>
      </c>
      <c r="P746" s="10" t="n">
        <v>-2</v>
      </c>
      <c r="Q746" s="10" t="n">
        <v>844</v>
      </c>
      <c r="R746" s="10" t="n">
        <v>146</v>
      </c>
      <c r="S746" s="10" t="n">
        <v>1</v>
      </c>
      <c r="T746" s="10" t="n">
        <v>140</v>
      </c>
      <c r="U746" s="10" t="n">
        <v>-1</v>
      </c>
    </row>
    <row r="747" customFormat="false" ht="15" hidden="false" customHeight="false" outlineLevel="0" collapsed="false">
      <c r="A747" s="7" t="s">
        <v>931</v>
      </c>
      <c r="B747" s="7" t="s">
        <v>51</v>
      </c>
      <c r="C747" s="7" t="s">
        <v>597</v>
      </c>
      <c r="D747" s="10" t="n">
        <v>0</v>
      </c>
      <c r="E747" s="10" t="n">
        <v>0</v>
      </c>
      <c r="F747" s="10" t="n">
        <v>67</v>
      </c>
      <c r="G747" s="10" t="n">
        <v>0</v>
      </c>
      <c r="H747" s="10" t="n">
        <v>0</v>
      </c>
      <c r="I747" s="10" t="n">
        <v>784</v>
      </c>
      <c r="J747" s="10" t="n">
        <v>0</v>
      </c>
      <c r="K747" s="10" t="n">
        <v>7</v>
      </c>
      <c r="L747" s="10" t="n">
        <v>0</v>
      </c>
      <c r="M747" s="10" t="n">
        <v>0</v>
      </c>
      <c r="N747" s="10" t="n">
        <v>0</v>
      </c>
      <c r="O747" s="10" t="n">
        <v>4</v>
      </c>
      <c r="P747" s="10" t="n">
        <v>-5</v>
      </c>
      <c r="Q747" s="10" t="n">
        <v>641</v>
      </c>
      <c r="R747" s="10" t="n">
        <v>137</v>
      </c>
      <c r="S747" s="10" t="n">
        <v>0</v>
      </c>
      <c r="T747" s="10" t="n">
        <v>118</v>
      </c>
      <c r="U747" s="10" t="n">
        <v>0</v>
      </c>
    </row>
    <row r="748" customFormat="false" ht="15" hidden="false" customHeight="false" outlineLevel="0" collapsed="false">
      <c r="A748" s="7" t="s">
        <v>931</v>
      </c>
      <c r="B748" s="7" t="s">
        <v>51</v>
      </c>
      <c r="C748" s="7" t="s">
        <v>598</v>
      </c>
      <c r="D748" s="10" t="n">
        <v>0</v>
      </c>
      <c r="E748" s="10" t="n">
        <v>0</v>
      </c>
      <c r="F748" s="10" t="n">
        <v>31</v>
      </c>
      <c r="G748" s="10" t="n">
        <v>0</v>
      </c>
      <c r="H748" s="10" t="n">
        <v>0</v>
      </c>
      <c r="I748" s="10" t="n">
        <v>172</v>
      </c>
      <c r="J748" s="10" t="n">
        <v>0</v>
      </c>
      <c r="K748" s="10" t="n">
        <v>4</v>
      </c>
      <c r="L748" s="10" t="n">
        <v>0</v>
      </c>
      <c r="M748" s="10" t="n">
        <v>0</v>
      </c>
      <c r="N748" s="10" t="n">
        <v>0</v>
      </c>
      <c r="O748" s="10" t="n">
        <v>0</v>
      </c>
      <c r="P748" s="10" t="n">
        <v>-14</v>
      </c>
      <c r="Q748" s="10" t="n">
        <v>98</v>
      </c>
      <c r="R748" s="10" t="n">
        <v>84</v>
      </c>
      <c r="S748" s="10" t="n">
        <v>0</v>
      </c>
      <c r="T748" s="10" t="n">
        <v>41</v>
      </c>
      <c r="U748" s="10" t="n">
        <v>0</v>
      </c>
    </row>
    <row r="749" customFormat="false" ht="15" hidden="false" customHeight="false" outlineLevel="0" collapsed="false">
      <c r="A749" s="7" t="s">
        <v>931</v>
      </c>
      <c r="B749" s="7" t="s">
        <v>167</v>
      </c>
      <c r="C749" s="7" t="s">
        <v>599</v>
      </c>
      <c r="D749" s="10" t="n">
        <v>0</v>
      </c>
      <c r="E749" s="10" t="n">
        <v>0</v>
      </c>
      <c r="F749" s="10" t="n">
        <v>1</v>
      </c>
      <c r="G749" s="10" t="n">
        <v>0</v>
      </c>
      <c r="H749" s="10" t="n">
        <v>0</v>
      </c>
      <c r="I749" s="10" t="n">
        <v>0</v>
      </c>
      <c r="J749" s="10" t="n">
        <v>0</v>
      </c>
      <c r="K749" s="10" t="n">
        <v>0</v>
      </c>
      <c r="L749" s="10" t="n">
        <v>0</v>
      </c>
      <c r="M749" s="10" t="n">
        <v>0</v>
      </c>
      <c r="N749" s="10" t="n">
        <v>0</v>
      </c>
      <c r="O749" s="10" t="n">
        <v>0</v>
      </c>
      <c r="P749" s="10" t="n">
        <v>0</v>
      </c>
      <c r="Q749" s="10" t="n">
        <v>0</v>
      </c>
      <c r="R749" s="10" t="n">
        <v>0</v>
      </c>
      <c r="S749" s="10" t="n">
        <v>0</v>
      </c>
      <c r="T749" s="10" t="n">
        <v>0</v>
      </c>
      <c r="U749" s="10" t="n">
        <v>0</v>
      </c>
    </row>
    <row r="750" customFormat="false" ht="15" hidden="false" customHeight="false" outlineLevel="0" collapsed="false">
      <c r="A750" s="7" t="s">
        <v>931</v>
      </c>
      <c r="B750" s="7" t="s">
        <v>167</v>
      </c>
      <c r="C750" s="7" t="s">
        <v>600</v>
      </c>
      <c r="D750" s="10" t="n">
        <v>0</v>
      </c>
      <c r="E750" s="10" t="n">
        <v>0</v>
      </c>
      <c r="F750" s="10" t="n">
        <v>3</v>
      </c>
      <c r="G750" s="10" t="n">
        <v>0</v>
      </c>
      <c r="H750" s="10" t="n">
        <v>0</v>
      </c>
      <c r="I750" s="10" t="n">
        <v>5</v>
      </c>
      <c r="J750" s="10" t="n">
        <v>0</v>
      </c>
      <c r="K750" s="10" t="n">
        <v>0</v>
      </c>
      <c r="L750" s="10" t="n">
        <v>0</v>
      </c>
      <c r="M750" s="10" t="n">
        <v>0</v>
      </c>
      <c r="N750" s="10" t="n">
        <v>0</v>
      </c>
      <c r="O750" s="10" t="n">
        <v>0</v>
      </c>
      <c r="P750" s="10" t="n">
        <v>0</v>
      </c>
      <c r="Q750" s="10" t="n">
        <v>5</v>
      </c>
      <c r="R750" s="10" t="n">
        <v>0</v>
      </c>
      <c r="S750" s="10" t="n">
        <v>0</v>
      </c>
      <c r="T750" s="10" t="n">
        <v>0</v>
      </c>
      <c r="U750" s="10" t="n">
        <v>0</v>
      </c>
    </row>
    <row r="751" customFormat="false" ht="15" hidden="false" customHeight="false" outlineLevel="0" collapsed="false">
      <c r="A751" s="7" t="s">
        <v>931</v>
      </c>
      <c r="B751" s="7" t="s">
        <v>167</v>
      </c>
      <c r="C751" s="7" t="s">
        <v>601</v>
      </c>
      <c r="D751" s="10" t="n">
        <v>0</v>
      </c>
      <c r="E751" s="10" t="n">
        <v>0</v>
      </c>
      <c r="F751" s="10" t="n">
        <v>2</v>
      </c>
      <c r="G751" s="10" t="n">
        <v>0</v>
      </c>
      <c r="H751" s="10" t="n">
        <v>0</v>
      </c>
      <c r="I751" s="10" t="n">
        <v>3</v>
      </c>
      <c r="J751" s="10" t="n">
        <v>0</v>
      </c>
      <c r="K751" s="10" t="n">
        <v>0</v>
      </c>
      <c r="L751" s="10" t="n">
        <v>0</v>
      </c>
      <c r="M751" s="10" t="n">
        <v>0</v>
      </c>
      <c r="N751" s="10" t="n">
        <v>0</v>
      </c>
      <c r="O751" s="10" t="n">
        <v>0</v>
      </c>
      <c r="P751" s="10" t="n">
        <v>0</v>
      </c>
      <c r="Q751" s="10" t="n">
        <v>3</v>
      </c>
      <c r="R751" s="10" t="n">
        <v>0</v>
      </c>
      <c r="S751" s="10" t="n">
        <v>0</v>
      </c>
      <c r="T751" s="10" t="n">
        <v>0</v>
      </c>
      <c r="U751" s="10" t="n">
        <v>0</v>
      </c>
    </row>
    <row r="752" customFormat="false" ht="15" hidden="false" customHeight="false" outlineLevel="0" collapsed="false">
      <c r="A752" s="7" t="s">
        <v>931</v>
      </c>
      <c r="B752" s="7" t="s">
        <v>167</v>
      </c>
      <c r="C752" s="7" t="s">
        <v>602</v>
      </c>
      <c r="D752" s="10" t="n">
        <v>0</v>
      </c>
      <c r="E752" s="10" t="n">
        <v>0</v>
      </c>
      <c r="F752" s="10" t="n">
        <v>1</v>
      </c>
      <c r="G752" s="10" t="n">
        <v>0</v>
      </c>
      <c r="H752" s="10" t="n">
        <v>0</v>
      </c>
      <c r="I752" s="10" t="n">
        <v>0</v>
      </c>
      <c r="J752" s="10" t="n">
        <v>0</v>
      </c>
      <c r="K752" s="10" t="n">
        <v>0</v>
      </c>
      <c r="L752" s="10" t="n">
        <v>0</v>
      </c>
      <c r="M752" s="10" t="n">
        <v>0</v>
      </c>
      <c r="N752" s="10" t="n">
        <v>0</v>
      </c>
      <c r="O752" s="10" t="n">
        <v>0</v>
      </c>
      <c r="P752" s="10" t="n">
        <v>0</v>
      </c>
      <c r="Q752" s="10" t="n">
        <v>0</v>
      </c>
      <c r="R752" s="10" t="n">
        <v>0</v>
      </c>
      <c r="S752" s="10" t="n">
        <v>0</v>
      </c>
      <c r="T752" s="10" t="n">
        <v>0</v>
      </c>
      <c r="U752" s="10" t="n">
        <v>0</v>
      </c>
    </row>
    <row r="753" customFormat="false" ht="15" hidden="false" customHeight="false" outlineLevel="0" collapsed="false">
      <c r="A753" s="7" t="s">
        <v>931</v>
      </c>
      <c r="B753" s="7" t="s">
        <v>125</v>
      </c>
      <c r="C753" s="7" t="s">
        <v>604</v>
      </c>
      <c r="D753" s="10" t="n">
        <v>0</v>
      </c>
      <c r="E753" s="10" t="n">
        <v>0</v>
      </c>
      <c r="F753" s="10" t="n">
        <v>6</v>
      </c>
      <c r="G753" s="10" t="n">
        <v>0</v>
      </c>
      <c r="H753" s="10" t="n">
        <v>0</v>
      </c>
      <c r="I753" s="10" t="n">
        <v>12</v>
      </c>
      <c r="J753" s="10" t="n">
        <v>0</v>
      </c>
      <c r="K753" s="10" t="n">
        <v>0</v>
      </c>
      <c r="L753" s="10" t="n">
        <v>0</v>
      </c>
      <c r="M753" s="10" t="n">
        <v>0</v>
      </c>
      <c r="N753" s="10" t="n">
        <v>0</v>
      </c>
      <c r="O753" s="10" t="n">
        <v>0</v>
      </c>
      <c r="P753" s="10" t="n">
        <v>0</v>
      </c>
      <c r="Q753" s="10" t="n">
        <v>12</v>
      </c>
      <c r="R753" s="10" t="n">
        <v>0</v>
      </c>
      <c r="S753" s="10" t="n">
        <v>0</v>
      </c>
      <c r="T753" s="10" t="n">
        <v>1</v>
      </c>
      <c r="U753" s="10" t="n">
        <v>0</v>
      </c>
    </row>
    <row r="754" customFormat="false" ht="15" hidden="false" customHeight="false" outlineLevel="0" collapsed="false">
      <c r="A754" s="7" t="s">
        <v>931</v>
      </c>
      <c r="B754" s="7" t="s">
        <v>125</v>
      </c>
      <c r="C754" s="7" t="s">
        <v>605</v>
      </c>
      <c r="D754" s="10" t="n">
        <v>0</v>
      </c>
      <c r="E754" s="10" t="n">
        <v>0</v>
      </c>
      <c r="F754" s="10" t="n">
        <v>23</v>
      </c>
      <c r="G754" s="10" t="n">
        <v>0</v>
      </c>
      <c r="H754" s="10" t="n">
        <v>0</v>
      </c>
      <c r="I754" s="10" t="n">
        <v>45</v>
      </c>
      <c r="J754" s="10" t="n">
        <v>0</v>
      </c>
      <c r="K754" s="10" t="n">
        <v>0</v>
      </c>
      <c r="L754" s="10" t="n">
        <v>0</v>
      </c>
      <c r="M754" s="10" t="n">
        <v>0</v>
      </c>
      <c r="N754" s="10" t="n">
        <v>0</v>
      </c>
      <c r="O754" s="10" t="n">
        <v>0</v>
      </c>
      <c r="P754" s="10" t="n">
        <v>-3</v>
      </c>
      <c r="Q754" s="10" t="n">
        <v>29</v>
      </c>
      <c r="R754" s="10" t="n">
        <v>19</v>
      </c>
      <c r="S754" s="10" t="n">
        <v>0</v>
      </c>
      <c r="T754" s="10" t="n">
        <v>9</v>
      </c>
      <c r="U754" s="10" t="n">
        <v>0</v>
      </c>
    </row>
    <row r="755" customFormat="false" ht="15" hidden="false" customHeight="false" outlineLevel="0" collapsed="false">
      <c r="A755" s="7" t="s">
        <v>931</v>
      </c>
      <c r="B755" s="7" t="s">
        <v>125</v>
      </c>
      <c r="C755" s="7" t="s">
        <v>606</v>
      </c>
      <c r="D755" s="10" t="n">
        <v>0</v>
      </c>
      <c r="E755" s="10" t="n">
        <v>0</v>
      </c>
      <c r="F755" s="10" t="n">
        <v>7</v>
      </c>
      <c r="G755" s="10" t="n">
        <v>0</v>
      </c>
      <c r="H755" s="10" t="n">
        <v>0</v>
      </c>
      <c r="I755" s="10" t="n">
        <v>35</v>
      </c>
      <c r="J755" s="10" t="n">
        <v>0</v>
      </c>
      <c r="K755" s="10" t="n">
        <v>0</v>
      </c>
      <c r="L755" s="10" t="n">
        <v>0</v>
      </c>
      <c r="M755" s="10" t="n">
        <v>0</v>
      </c>
      <c r="N755" s="10" t="n">
        <v>0</v>
      </c>
      <c r="O755" s="10" t="n">
        <v>0</v>
      </c>
      <c r="P755" s="10" t="n">
        <v>0</v>
      </c>
      <c r="Q755" s="10" t="n">
        <v>23</v>
      </c>
      <c r="R755" s="10" t="n">
        <v>12</v>
      </c>
      <c r="S755" s="10" t="n">
        <v>0</v>
      </c>
      <c r="T755" s="10" t="n">
        <v>0</v>
      </c>
      <c r="U755" s="10" t="n">
        <v>0</v>
      </c>
    </row>
    <row r="756" customFormat="false" ht="15" hidden="false" customHeight="false" outlineLevel="0" collapsed="false">
      <c r="A756" s="7" t="s">
        <v>931</v>
      </c>
      <c r="B756" s="7" t="s">
        <v>125</v>
      </c>
      <c r="C756" s="7" t="s">
        <v>607</v>
      </c>
      <c r="D756" s="10" t="n">
        <v>0</v>
      </c>
      <c r="E756" s="10" t="n">
        <v>0</v>
      </c>
      <c r="F756" s="10" t="n">
        <v>12</v>
      </c>
      <c r="G756" s="10" t="n">
        <v>0</v>
      </c>
      <c r="H756" s="10" t="n">
        <v>0</v>
      </c>
      <c r="I756" s="10" t="n">
        <v>49</v>
      </c>
      <c r="J756" s="10" t="n">
        <v>0</v>
      </c>
      <c r="K756" s="10" t="n">
        <v>0</v>
      </c>
      <c r="L756" s="10" t="n">
        <v>0</v>
      </c>
      <c r="M756" s="10" t="n">
        <v>0</v>
      </c>
      <c r="N756" s="10" t="n">
        <v>0</v>
      </c>
      <c r="O756" s="10" t="n">
        <v>0</v>
      </c>
      <c r="P756" s="10" t="n">
        <v>-1</v>
      </c>
      <c r="Q756" s="10" t="n">
        <v>37</v>
      </c>
      <c r="R756" s="10" t="n">
        <v>13</v>
      </c>
      <c r="S756" s="10" t="n">
        <v>0</v>
      </c>
      <c r="T756" s="10" t="n">
        <v>11</v>
      </c>
      <c r="U756" s="10" t="n">
        <v>0</v>
      </c>
    </row>
    <row r="757" customFormat="false" ht="15" hidden="false" customHeight="false" outlineLevel="0" collapsed="false">
      <c r="A757" s="7" t="s">
        <v>931</v>
      </c>
      <c r="B757" s="7" t="s">
        <v>125</v>
      </c>
      <c r="C757" s="7" t="s">
        <v>608</v>
      </c>
      <c r="D757" s="10" t="n">
        <v>0</v>
      </c>
      <c r="E757" s="10" t="n">
        <v>0</v>
      </c>
      <c r="F757" s="10" t="n">
        <v>5</v>
      </c>
      <c r="G757" s="10" t="n">
        <v>0</v>
      </c>
      <c r="H757" s="10" t="n">
        <v>0</v>
      </c>
      <c r="I757" s="10" t="n">
        <v>2</v>
      </c>
      <c r="J757" s="10" t="n">
        <v>0</v>
      </c>
      <c r="K757" s="10" t="n">
        <v>0</v>
      </c>
      <c r="L757" s="10" t="n">
        <v>0</v>
      </c>
      <c r="M757" s="10" t="n">
        <v>0</v>
      </c>
      <c r="N757" s="10" t="n">
        <v>0</v>
      </c>
      <c r="O757" s="10" t="n">
        <v>0</v>
      </c>
      <c r="P757" s="10" t="n">
        <v>0</v>
      </c>
      <c r="Q757" s="10" t="n">
        <v>2</v>
      </c>
      <c r="R757" s="10" t="n">
        <v>0</v>
      </c>
      <c r="S757" s="10" t="n">
        <v>0</v>
      </c>
      <c r="T757" s="10" t="n">
        <v>0</v>
      </c>
      <c r="U757" s="10" t="n">
        <v>0</v>
      </c>
    </row>
    <row r="758" customFormat="false" ht="15" hidden="false" customHeight="false" outlineLevel="0" collapsed="false">
      <c r="A758" s="7" t="s">
        <v>931</v>
      </c>
      <c r="B758" s="7" t="s">
        <v>209</v>
      </c>
      <c r="C758" s="7" t="s">
        <v>944</v>
      </c>
      <c r="D758" s="10" t="n">
        <v>0</v>
      </c>
      <c r="E758" s="10" t="n">
        <v>0</v>
      </c>
      <c r="F758" s="10" t="n">
        <v>-1</v>
      </c>
      <c r="G758" s="10" t="n">
        <v>0</v>
      </c>
      <c r="H758" s="10" t="n">
        <v>0</v>
      </c>
      <c r="I758" s="10" t="n">
        <v>0</v>
      </c>
      <c r="J758" s="10" t="n">
        <v>0</v>
      </c>
      <c r="K758" s="10" t="n">
        <v>0</v>
      </c>
      <c r="L758" s="10" t="n">
        <v>0</v>
      </c>
      <c r="M758" s="10" t="n">
        <v>0</v>
      </c>
      <c r="N758" s="10" t="n">
        <v>0</v>
      </c>
      <c r="O758" s="10" t="n">
        <v>0</v>
      </c>
      <c r="P758" s="10" t="n">
        <v>0</v>
      </c>
      <c r="Q758" s="10" t="n">
        <v>0</v>
      </c>
      <c r="R758" s="10" t="n">
        <v>0</v>
      </c>
      <c r="S758" s="10" t="n">
        <v>0</v>
      </c>
      <c r="T758" s="10" t="n">
        <v>0</v>
      </c>
      <c r="U758" s="10" t="n">
        <v>0</v>
      </c>
    </row>
    <row r="759" customFormat="false" ht="15" hidden="false" customHeight="false" outlineLevel="0" collapsed="false">
      <c r="A759" s="7" t="s">
        <v>931</v>
      </c>
      <c r="B759" s="7" t="s">
        <v>209</v>
      </c>
      <c r="C759" s="7" t="s">
        <v>609</v>
      </c>
      <c r="D759" s="10" t="n">
        <v>0</v>
      </c>
      <c r="E759" s="10" t="n">
        <v>0</v>
      </c>
      <c r="F759" s="10" t="n">
        <v>4</v>
      </c>
      <c r="G759" s="10" t="n">
        <v>0</v>
      </c>
      <c r="H759" s="10" t="n">
        <v>0</v>
      </c>
      <c r="I759" s="10" t="n">
        <v>-2</v>
      </c>
      <c r="J759" s="10" t="n">
        <v>0</v>
      </c>
      <c r="K759" s="10" t="n">
        <v>0</v>
      </c>
      <c r="L759" s="10" t="n">
        <v>-1</v>
      </c>
      <c r="M759" s="10" t="n">
        <v>0</v>
      </c>
      <c r="N759" s="10" t="n">
        <v>0</v>
      </c>
      <c r="O759" s="10" t="n">
        <v>0</v>
      </c>
      <c r="P759" s="10" t="n">
        <v>0</v>
      </c>
      <c r="Q759" s="10" t="n">
        <v>-1</v>
      </c>
      <c r="R759" s="10" t="n">
        <v>0</v>
      </c>
      <c r="S759" s="10" t="n">
        <v>0</v>
      </c>
      <c r="T759" s="10" t="n">
        <v>0</v>
      </c>
      <c r="U759" s="10" t="n">
        <v>0</v>
      </c>
    </row>
    <row r="760" customFormat="false" ht="15" hidden="false" customHeight="false" outlineLevel="0" collapsed="false">
      <c r="A760" s="7" t="s">
        <v>931</v>
      </c>
      <c r="B760" s="7" t="s">
        <v>209</v>
      </c>
      <c r="C760" s="7" t="s">
        <v>610</v>
      </c>
      <c r="D760" s="10" t="n">
        <v>0</v>
      </c>
      <c r="E760" s="10" t="n">
        <v>0</v>
      </c>
      <c r="F760" s="10" t="n">
        <v>1</v>
      </c>
      <c r="G760" s="10" t="n">
        <v>0</v>
      </c>
      <c r="H760" s="10" t="n">
        <v>0</v>
      </c>
      <c r="I760" s="10" t="n">
        <v>0</v>
      </c>
      <c r="J760" s="10" t="n">
        <v>0</v>
      </c>
      <c r="K760" s="10" t="n">
        <v>0</v>
      </c>
      <c r="L760" s="10" t="n">
        <v>0</v>
      </c>
      <c r="M760" s="10" t="n">
        <v>0</v>
      </c>
      <c r="N760" s="10" t="n">
        <v>0</v>
      </c>
      <c r="O760" s="10" t="n">
        <v>0</v>
      </c>
      <c r="P760" s="10" t="n">
        <v>0</v>
      </c>
      <c r="Q760" s="10" t="n">
        <v>0</v>
      </c>
      <c r="R760" s="10" t="n">
        <v>0</v>
      </c>
      <c r="S760" s="10" t="n">
        <v>0</v>
      </c>
      <c r="T760" s="10" t="n">
        <v>0</v>
      </c>
      <c r="U760" s="10" t="n">
        <v>0</v>
      </c>
    </row>
    <row r="761" customFormat="false" ht="15" hidden="false" customHeight="false" outlineLevel="0" collapsed="false">
      <c r="A761" s="7" t="s">
        <v>931</v>
      </c>
      <c r="B761" s="7" t="s">
        <v>209</v>
      </c>
      <c r="C761" s="7" t="s">
        <v>611</v>
      </c>
      <c r="D761" s="10" t="n">
        <v>0</v>
      </c>
      <c r="E761" s="10" t="n">
        <v>0</v>
      </c>
      <c r="F761" s="10" t="n">
        <v>1</v>
      </c>
      <c r="G761" s="10" t="n">
        <v>0</v>
      </c>
      <c r="H761" s="10" t="n">
        <v>0</v>
      </c>
      <c r="I761" s="10" t="n">
        <v>-1</v>
      </c>
      <c r="J761" s="10" t="n">
        <v>0</v>
      </c>
      <c r="K761" s="10" t="n">
        <v>0</v>
      </c>
      <c r="L761" s="10" t="n">
        <v>0</v>
      </c>
      <c r="M761" s="10" t="n">
        <v>0</v>
      </c>
      <c r="N761" s="10" t="n">
        <v>0</v>
      </c>
      <c r="O761" s="10" t="n">
        <v>0</v>
      </c>
      <c r="P761" s="10" t="n">
        <v>0</v>
      </c>
      <c r="Q761" s="10" t="n">
        <v>-1</v>
      </c>
      <c r="R761" s="10" t="n">
        <v>0</v>
      </c>
      <c r="S761" s="10" t="n">
        <v>0</v>
      </c>
      <c r="T761" s="10" t="n">
        <v>0</v>
      </c>
      <c r="U761" s="10" t="n">
        <v>0</v>
      </c>
    </row>
    <row r="762" customFormat="false" ht="15" hidden="false" customHeight="false" outlineLevel="0" collapsed="false">
      <c r="A762" s="7" t="s">
        <v>931</v>
      </c>
      <c r="B762" s="7" t="s">
        <v>237</v>
      </c>
      <c r="C762" s="7" t="s">
        <v>613</v>
      </c>
      <c r="D762" s="10" t="n">
        <v>0</v>
      </c>
      <c r="E762" s="10" t="n">
        <v>0</v>
      </c>
      <c r="F762" s="10" t="n">
        <v>3</v>
      </c>
      <c r="G762" s="10" t="n">
        <v>0</v>
      </c>
      <c r="H762" s="10" t="n">
        <v>0</v>
      </c>
      <c r="I762" s="10" t="n">
        <v>0</v>
      </c>
      <c r="J762" s="10" t="n">
        <v>0</v>
      </c>
      <c r="K762" s="10" t="n">
        <v>0</v>
      </c>
      <c r="L762" s="10" t="n">
        <v>0</v>
      </c>
      <c r="M762" s="10" t="n">
        <v>0</v>
      </c>
      <c r="N762" s="10" t="n">
        <v>0</v>
      </c>
      <c r="O762" s="10" t="n">
        <v>0</v>
      </c>
      <c r="P762" s="10" t="n">
        <v>0</v>
      </c>
      <c r="Q762" s="10" t="n">
        <v>0</v>
      </c>
      <c r="R762" s="10" t="n">
        <v>0</v>
      </c>
      <c r="S762" s="10" t="n">
        <v>0</v>
      </c>
      <c r="T762" s="10" t="n">
        <v>0</v>
      </c>
      <c r="U762" s="10" t="n">
        <v>0</v>
      </c>
    </row>
    <row r="763" customFormat="false" ht="15" hidden="false" customHeight="false" outlineLevel="0" collapsed="false">
      <c r="A763" s="7" t="s">
        <v>931</v>
      </c>
      <c r="B763" s="7" t="s">
        <v>237</v>
      </c>
      <c r="C763" s="7" t="s">
        <v>614</v>
      </c>
      <c r="D763" s="10" t="n">
        <v>0</v>
      </c>
      <c r="E763" s="10" t="n">
        <v>0</v>
      </c>
      <c r="F763" s="10" t="n">
        <v>-1</v>
      </c>
      <c r="G763" s="10" t="n">
        <v>0</v>
      </c>
      <c r="H763" s="10" t="n">
        <v>0</v>
      </c>
      <c r="I763" s="10" t="n">
        <v>0</v>
      </c>
      <c r="J763" s="10" t="n">
        <v>0</v>
      </c>
      <c r="K763" s="10" t="n">
        <v>0</v>
      </c>
      <c r="L763" s="10" t="n">
        <v>0</v>
      </c>
      <c r="M763" s="10" t="n">
        <v>0</v>
      </c>
      <c r="N763" s="10" t="n">
        <v>0</v>
      </c>
      <c r="O763" s="10" t="n">
        <v>0</v>
      </c>
      <c r="P763" s="10" t="n">
        <v>0</v>
      </c>
      <c r="Q763" s="10" t="n">
        <v>0</v>
      </c>
      <c r="R763" s="10" t="n">
        <v>0</v>
      </c>
      <c r="S763" s="10" t="n">
        <v>0</v>
      </c>
      <c r="T763" s="10" t="n">
        <v>0</v>
      </c>
      <c r="U763" s="10" t="n">
        <v>0</v>
      </c>
    </row>
    <row r="764" customFormat="false" ht="15" hidden="false" customHeight="false" outlineLevel="0" collapsed="false">
      <c r="A764" s="7" t="s">
        <v>931</v>
      </c>
      <c r="B764" s="7" t="s">
        <v>237</v>
      </c>
      <c r="C764" s="7" t="s">
        <v>945</v>
      </c>
      <c r="D764" s="10" t="n">
        <v>0</v>
      </c>
      <c r="E764" s="10" t="n">
        <v>0</v>
      </c>
      <c r="F764" s="10" t="n">
        <v>1</v>
      </c>
      <c r="G764" s="10" t="n">
        <v>0</v>
      </c>
      <c r="H764" s="10" t="n">
        <v>0</v>
      </c>
      <c r="I764" s="10" t="n">
        <v>0</v>
      </c>
      <c r="J764" s="10" t="n">
        <v>0</v>
      </c>
      <c r="K764" s="10" t="n">
        <v>0</v>
      </c>
      <c r="L764" s="10" t="n">
        <v>0</v>
      </c>
      <c r="M764" s="10" t="n">
        <v>0</v>
      </c>
      <c r="N764" s="10" t="n">
        <v>0</v>
      </c>
      <c r="O764" s="10" t="n">
        <v>0</v>
      </c>
      <c r="P764" s="10" t="n">
        <v>0</v>
      </c>
      <c r="Q764" s="10" t="n">
        <v>0</v>
      </c>
      <c r="R764" s="10" t="n">
        <v>0</v>
      </c>
      <c r="S764" s="10" t="n">
        <v>0</v>
      </c>
      <c r="T764" s="10" t="n">
        <v>0</v>
      </c>
      <c r="U764" s="10" t="n">
        <v>0</v>
      </c>
    </row>
    <row r="765" customFormat="false" ht="15" hidden="false" customHeight="false" outlineLevel="0" collapsed="false">
      <c r="A765" s="7" t="s">
        <v>931</v>
      </c>
      <c r="B765" s="7" t="s">
        <v>84</v>
      </c>
      <c r="C765" s="7" t="s">
        <v>615</v>
      </c>
      <c r="D765" s="10" t="n">
        <v>0</v>
      </c>
      <c r="E765" s="10" t="n">
        <v>0</v>
      </c>
      <c r="F765" s="10" t="n">
        <v>5</v>
      </c>
      <c r="G765" s="10" t="n">
        <v>0</v>
      </c>
      <c r="H765" s="10" t="n">
        <v>0</v>
      </c>
      <c r="I765" s="10" t="n">
        <v>22</v>
      </c>
      <c r="J765" s="10" t="n">
        <v>0</v>
      </c>
      <c r="K765" s="10" t="n">
        <v>0</v>
      </c>
      <c r="L765" s="10" t="n">
        <v>0</v>
      </c>
      <c r="M765" s="10" t="n">
        <v>0</v>
      </c>
      <c r="N765" s="10" t="n">
        <v>0</v>
      </c>
      <c r="O765" s="10" t="n">
        <v>0</v>
      </c>
      <c r="P765" s="10" t="n">
        <v>-4</v>
      </c>
      <c r="Q765" s="10" t="n">
        <v>14</v>
      </c>
      <c r="R765" s="10" t="n">
        <v>12</v>
      </c>
      <c r="S765" s="10" t="n">
        <v>0</v>
      </c>
      <c r="T765" s="10" t="n">
        <v>0</v>
      </c>
      <c r="U765" s="10" t="n">
        <v>0</v>
      </c>
    </row>
    <row r="766" customFormat="false" ht="15" hidden="false" customHeight="false" outlineLevel="0" collapsed="false">
      <c r="A766" s="7" t="s">
        <v>931</v>
      </c>
      <c r="B766" s="7" t="s">
        <v>84</v>
      </c>
      <c r="C766" s="7" t="s">
        <v>616</v>
      </c>
      <c r="D766" s="10" t="n">
        <v>0</v>
      </c>
      <c r="E766" s="10" t="n">
        <v>0</v>
      </c>
      <c r="F766" s="10" t="n">
        <v>16</v>
      </c>
      <c r="G766" s="10" t="n">
        <v>0</v>
      </c>
      <c r="H766" s="10" t="n">
        <v>0</v>
      </c>
      <c r="I766" s="10" t="n">
        <v>57</v>
      </c>
      <c r="J766" s="10" t="n">
        <v>0</v>
      </c>
      <c r="K766" s="10" t="n">
        <v>2</v>
      </c>
      <c r="L766" s="10" t="n">
        <v>0</v>
      </c>
      <c r="M766" s="10" t="n">
        <v>0</v>
      </c>
      <c r="N766" s="10" t="n">
        <v>0</v>
      </c>
      <c r="O766" s="10" t="n">
        <v>0</v>
      </c>
      <c r="P766" s="10" t="n">
        <v>-2</v>
      </c>
      <c r="Q766" s="10" t="n">
        <v>15</v>
      </c>
      <c r="R766" s="10" t="n">
        <v>42</v>
      </c>
      <c r="S766" s="10" t="n">
        <v>0</v>
      </c>
      <c r="T766" s="10" t="n">
        <v>0</v>
      </c>
      <c r="U766" s="10" t="n">
        <v>0</v>
      </c>
    </row>
    <row r="767" customFormat="false" ht="15" hidden="false" customHeight="false" outlineLevel="0" collapsed="false">
      <c r="A767" s="7" t="s">
        <v>931</v>
      </c>
      <c r="B767" s="7" t="s">
        <v>84</v>
      </c>
      <c r="C767" s="7" t="s">
        <v>617</v>
      </c>
      <c r="D767" s="10" t="n">
        <v>0</v>
      </c>
      <c r="E767" s="10" t="n">
        <v>0</v>
      </c>
      <c r="F767" s="10" t="n">
        <v>7</v>
      </c>
      <c r="G767" s="10" t="n">
        <v>0</v>
      </c>
      <c r="H767" s="10" t="n">
        <v>1</v>
      </c>
      <c r="I767" s="10" t="n">
        <v>62</v>
      </c>
      <c r="J767" s="10" t="n">
        <v>0</v>
      </c>
      <c r="K767" s="10" t="n">
        <v>1</v>
      </c>
      <c r="L767" s="10" t="n">
        <v>0</v>
      </c>
      <c r="M767" s="10" t="n">
        <v>0</v>
      </c>
      <c r="N767" s="10" t="n">
        <v>0</v>
      </c>
      <c r="O767" s="10" t="n">
        <v>0</v>
      </c>
      <c r="P767" s="10" t="n">
        <v>-4</v>
      </c>
      <c r="Q767" s="10" t="n">
        <v>25</v>
      </c>
      <c r="R767" s="10" t="n">
        <v>40</v>
      </c>
      <c r="S767" s="10" t="n">
        <v>0</v>
      </c>
      <c r="T767" s="10" t="n">
        <v>0</v>
      </c>
      <c r="U767" s="10" t="n">
        <v>-1</v>
      </c>
    </row>
    <row r="768" customFormat="false" ht="15" hidden="false" customHeight="false" outlineLevel="0" collapsed="false">
      <c r="A768" s="7" t="s">
        <v>931</v>
      </c>
      <c r="B768" s="7" t="s">
        <v>84</v>
      </c>
      <c r="C768" s="7" t="s">
        <v>618</v>
      </c>
      <c r="D768" s="10" t="n">
        <v>0</v>
      </c>
      <c r="E768" s="10" t="n">
        <v>0</v>
      </c>
      <c r="F768" s="10" t="n">
        <v>2</v>
      </c>
      <c r="G768" s="10" t="n">
        <v>0</v>
      </c>
      <c r="H768" s="10" t="n">
        <v>0</v>
      </c>
      <c r="I768" s="10" t="n">
        <v>14</v>
      </c>
      <c r="J768" s="10" t="n">
        <v>0</v>
      </c>
      <c r="K768" s="10" t="n">
        <v>0</v>
      </c>
      <c r="L768" s="10" t="n">
        <v>0</v>
      </c>
      <c r="M768" s="10" t="n">
        <v>0</v>
      </c>
      <c r="N768" s="10" t="n">
        <v>0</v>
      </c>
      <c r="O768" s="10" t="n">
        <v>0</v>
      </c>
      <c r="P768" s="10" t="n">
        <v>-6</v>
      </c>
      <c r="Q768" s="10" t="n">
        <v>-1</v>
      </c>
      <c r="R768" s="10" t="n">
        <v>21</v>
      </c>
      <c r="S768" s="10" t="n">
        <v>0</v>
      </c>
      <c r="T768" s="10" t="n">
        <v>0</v>
      </c>
      <c r="U768" s="10" t="n">
        <v>0</v>
      </c>
    </row>
    <row r="769" customFormat="false" ht="15" hidden="false" customHeight="false" outlineLevel="0" collapsed="false">
      <c r="A769" s="7" t="s">
        <v>931</v>
      </c>
      <c r="B769" s="7" t="s">
        <v>84</v>
      </c>
      <c r="C769" s="7" t="s">
        <v>619</v>
      </c>
      <c r="D769" s="10" t="n">
        <v>0</v>
      </c>
      <c r="E769" s="10" t="n">
        <v>0</v>
      </c>
      <c r="F769" s="10" t="n">
        <v>2</v>
      </c>
      <c r="G769" s="10" t="n">
        <v>0</v>
      </c>
      <c r="H769" s="10" t="n">
        <v>0</v>
      </c>
      <c r="I769" s="10" t="n">
        <v>16</v>
      </c>
      <c r="J769" s="10" t="n">
        <v>0</v>
      </c>
      <c r="K769" s="10" t="n">
        <v>2</v>
      </c>
      <c r="L769" s="10" t="n">
        <v>-2</v>
      </c>
      <c r="M769" s="10" t="n">
        <v>0</v>
      </c>
      <c r="N769" s="10" t="n">
        <v>0</v>
      </c>
      <c r="O769" s="10" t="n">
        <v>0</v>
      </c>
      <c r="P769" s="10" t="n">
        <v>-3</v>
      </c>
      <c r="Q769" s="10" t="n">
        <v>-1</v>
      </c>
      <c r="R769" s="10" t="n">
        <v>20</v>
      </c>
      <c r="S769" s="10" t="n">
        <v>0</v>
      </c>
      <c r="T769" s="10" t="n">
        <v>0</v>
      </c>
      <c r="U769" s="10" t="n">
        <v>0</v>
      </c>
    </row>
    <row r="770" customFormat="false" ht="15" hidden="false" customHeight="false" outlineLevel="0" collapsed="false">
      <c r="A770" s="7" t="s">
        <v>931</v>
      </c>
      <c r="B770" s="7" t="s">
        <v>164</v>
      </c>
      <c r="C770" s="7" t="s">
        <v>620</v>
      </c>
      <c r="D770" s="10" t="n">
        <v>0</v>
      </c>
      <c r="E770" s="10" t="n">
        <v>0</v>
      </c>
      <c r="F770" s="10" t="n">
        <v>9</v>
      </c>
      <c r="G770" s="10" t="n">
        <v>0</v>
      </c>
      <c r="H770" s="10" t="n">
        <v>0</v>
      </c>
      <c r="I770" s="10" t="n">
        <v>1</v>
      </c>
      <c r="J770" s="10" t="n">
        <v>0</v>
      </c>
      <c r="K770" s="10" t="n">
        <v>0</v>
      </c>
      <c r="L770" s="10" t="n">
        <v>0</v>
      </c>
      <c r="M770" s="10" t="n">
        <v>0</v>
      </c>
      <c r="N770" s="10" t="n">
        <v>0</v>
      </c>
      <c r="O770" s="10" t="n">
        <v>0</v>
      </c>
      <c r="P770" s="10" t="n">
        <v>0</v>
      </c>
      <c r="Q770" s="10" t="n">
        <v>1</v>
      </c>
      <c r="R770" s="10" t="n">
        <v>0</v>
      </c>
      <c r="S770" s="10" t="n">
        <v>0</v>
      </c>
      <c r="T770" s="10" t="n">
        <v>4</v>
      </c>
      <c r="U770" s="10" t="n">
        <v>0</v>
      </c>
    </row>
    <row r="771" customFormat="false" ht="15" hidden="false" customHeight="false" outlineLevel="0" collapsed="false">
      <c r="A771" s="7" t="s">
        <v>931</v>
      </c>
      <c r="B771" s="7" t="s">
        <v>164</v>
      </c>
      <c r="C771" s="7" t="s">
        <v>621</v>
      </c>
      <c r="D771" s="10" t="n">
        <v>0</v>
      </c>
      <c r="E771" s="10" t="n">
        <v>0</v>
      </c>
      <c r="F771" s="10" t="n">
        <v>20</v>
      </c>
      <c r="G771" s="10" t="n">
        <v>0</v>
      </c>
      <c r="H771" s="10" t="n">
        <v>0</v>
      </c>
      <c r="I771" s="10" t="n">
        <v>9</v>
      </c>
      <c r="J771" s="10" t="n">
        <v>0</v>
      </c>
      <c r="K771" s="10" t="n">
        <v>0</v>
      </c>
      <c r="L771" s="10" t="n">
        <v>0</v>
      </c>
      <c r="M771" s="10" t="n">
        <v>0</v>
      </c>
      <c r="N771" s="10" t="n">
        <v>0</v>
      </c>
      <c r="O771" s="10" t="n">
        <v>0</v>
      </c>
      <c r="P771" s="10" t="n">
        <v>0</v>
      </c>
      <c r="Q771" s="10" t="n">
        <v>5</v>
      </c>
      <c r="R771" s="10" t="n">
        <v>4</v>
      </c>
      <c r="S771" s="10" t="n">
        <v>0</v>
      </c>
      <c r="T771" s="10" t="n">
        <v>2</v>
      </c>
      <c r="U771" s="10" t="n">
        <v>0</v>
      </c>
    </row>
    <row r="772" customFormat="false" ht="15" hidden="false" customHeight="false" outlineLevel="0" collapsed="false">
      <c r="A772" s="7" t="s">
        <v>931</v>
      </c>
      <c r="B772" s="7" t="s">
        <v>164</v>
      </c>
      <c r="C772" s="7" t="s">
        <v>622</v>
      </c>
      <c r="D772" s="10" t="n">
        <v>0</v>
      </c>
      <c r="E772" s="10" t="n">
        <v>0</v>
      </c>
      <c r="F772" s="10" t="n">
        <v>17</v>
      </c>
      <c r="G772" s="10" t="n">
        <v>0</v>
      </c>
      <c r="H772" s="10" t="n">
        <v>0</v>
      </c>
      <c r="I772" s="10" t="n">
        <v>14</v>
      </c>
      <c r="J772" s="10" t="n">
        <v>0</v>
      </c>
      <c r="K772" s="10" t="n">
        <v>0</v>
      </c>
      <c r="L772" s="10" t="n">
        <v>0</v>
      </c>
      <c r="M772" s="10" t="n">
        <v>0</v>
      </c>
      <c r="N772" s="10" t="n">
        <v>0</v>
      </c>
      <c r="O772" s="10" t="n">
        <v>0</v>
      </c>
      <c r="P772" s="10" t="n">
        <v>0</v>
      </c>
      <c r="Q772" s="10" t="n">
        <v>12</v>
      </c>
      <c r="R772" s="10" t="n">
        <v>2</v>
      </c>
      <c r="S772" s="10" t="n">
        <v>0</v>
      </c>
      <c r="T772" s="10" t="n">
        <v>6</v>
      </c>
      <c r="U772" s="10" t="n">
        <v>0</v>
      </c>
    </row>
    <row r="773" customFormat="false" ht="15" hidden="false" customHeight="false" outlineLevel="0" collapsed="false">
      <c r="A773" s="7" t="s">
        <v>931</v>
      </c>
      <c r="B773" s="7" t="s">
        <v>164</v>
      </c>
      <c r="C773" s="7" t="s">
        <v>623</v>
      </c>
      <c r="D773" s="10" t="n">
        <v>0</v>
      </c>
      <c r="E773" s="10" t="n">
        <v>0</v>
      </c>
      <c r="F773" s="10" t="n">
        <v>14</v>
      </c>
      <c r="G773" s="10" t="n">
        <v>0</v>
      </c>
      <c r="H773" s="10" t="n">
        <v>0</v>
      </c>
      <c r="I773" s="10" t="n">
        <v>9</v>
      </c>
      <c r="J773" s="10" t="n">
        <v>0</v>
      </c>
      <c r="K773" s="10" t="n">
        <v>0</v>
      </c>
      <c r="L773" s="10" t="n">
        <v>0</v>
      </c>
      <c r="M773" s="10" t="n">
        <v>0</v>
      </c>
      <c r="N773" s="10" t="n">
        <v>0</v>
      </c>
      <c r="O773" s="10" t="n">
        <v>0</v>
      </c>
      <c r="P773" s="10" t="n">
        <v>0</v>
      </c>
      <c r="Q773" s="10" t="n">
        <v>9</v>
      </c>
      <c r="R773" s="10" t="n">
        <v>0</v>
      </c>
      <c r="S773" s="10" t="n">
        <v>0</v>
      </c>
      <c r="T773" s="10" t="n">
        <v>7</v>
      </c>
      <c r="U773" s="10" t="n">
        <v>0</v>
      </c>
    </row>
    <row r="774" customFormat="false" ht="15" hidden="false" customHeight="false" outlineLevel="0" collapsed="false">
      <c r="A774" s="7" t="s">
        <v>931</v>
      </c>
      <c r="B774" s="7" t="s">
        <v>62</v>
      </c>
      <c r="C774" s="7" t="s">
        <v>624</v>
      </c>
      <c r="D774" s="10" t="n">
        <v>0</v>
      </c>
      <c r="E774" s="10" t="n">
        <v>0</v>
      </c>
      <c r="F774" s="10" t="n">
        <v>136</v>
      </c>
      <c r="G774" s="10" t="n">
        <v>0</v>
      </c>
      <c r="H774" s="10" t="n">
        <v>1</v>
      </c>
      <c r="I774" s="10" t="n">
        <v>672</v>
      </c>
      <c r="J774" s="10" t="n">
        <v>0</v>
      </c>
      <c r="K774" s="10" t="n">
        <v>2</v>
      </c>
      <c r="L774" s="10" t="n">
        <v>0</v>
      </c>
      <c r="M774" s="10" t="n">
        <v>0</v>
      </c>
      <c r="N774" s="10" t="n">
        <v>0</v>
      </c>
      <c r="O774" s="10" t="n">
        <v>1</v>
      </c>
      <c r="P774" s="10" t="n">
        <v>-11</v>
      </c>
      <c r="Q774" s="10" t="n">
        <v>465</v>
      </c>
      <c r="R774" s="10" t="n">
        <v>215</v>
      </c>
      <c r="S774" s="10" t="n">
        <v>0</v>
      </c>
      <c r="T774" s="10" t="n">
        <v>126</v>
      </c>
      <c r="U774" s="10" t="n">
        <v>-1</v>
      </c>
    </row>
    <row r="775" customFormat="false" ht="15" hidden="false" customHeight="false" outlineLevel="0" collapsed="false">
      <c r="A775" s="7" t="s">
        <v>931</v>
      </c>
      <c r="B775" s="7" t="s">
        <v>62</v>
      </c>
      <c r="C775" s="7" t="s">
        <v>625</v>
      </c>
      <c r="D775" s="10" t="n">
        <v>0</v>
      </c>
      <c r="E775" s="10" t="n">
        <v>0</v>
      </c>
      <c r="F775" s="10" t="n">
        <v>105</v>
      </c>
      <c r="G775" s="10" t="n">
        <v>0</v>
      </c>
      <c r="H775" s="10" t="n">
        <v>0</v>
      </c>
      <c r="I775" s="10" t="n">
        <v>570</v>
      </c>
      <c r="J775" s="10" t="n">
        <v>0</v>
      </c>
      <c r="K775" s="10" t="n">
        <v>5</v>
      </c>
      <c r="L775" s="10" t="n">
        <v>0</v>
      </c>
      <c r="M775" s="10" t="n">
        <v>0</v>
      </c>
      <c r="N775" s="10" t="n">
        <v>0</v>
      </c>
      <c r="O775" s="10" t="n">
        <v>1</v>
      </c>
      <c r="P775" s="10" t="n">
        <v>-2</v>
      </c>
      <c r="Q775" s="10" t="n">
        <v>446</v>
      </c>
      <c r="R775" s="10" t="n">
        <v>120</v>
      </c>
      <c r="S775" s="10" t="n">
        <v>0</v>
      </c>
      <c r="T775" s="10" t="n">
        <v>88</v>
      </c>
      <c r="U775" s="10" t="n">
        <v>-1</v>
      </c>
    </row>
    <row r="776" customFormat="false" ht="15" hidden="false" customHeight="false" outlineLevel="0" collapsed="false">
      <c r="A776" s="7" t="s">
        <v>931</v>
      </c>
      <c r="B776" s="7" t="s">
        <v>62</v>
      </c>
      <c r="C776" s="7" t="s">
        <v>626</v>
      </c>
      <c r="D776" s="10" t="n">
        <v>0</v>
      </c>
      <c r="E776" s="10" t="n">
        <v>0</v>
      </c>
      <c r="F776" s="10" t="n">
        <v>39</v>
      </c>
      <c r="G776" s="10" t="n">
        <v>0</v>
      </c>
      <c r="H776" s="10" t="n">
        <v>0</v>
      </c>
      <c r="I776" s="10" t="n">
        <v>286</v>
      </c>
      <c r="J776" s="10" t="n">
        <v>0</v>
      </c>
      <c r="K776" s="10" t="n">
        <v>5</v>
      </c>
      <c r="L776" s="10" t="n">
        <v>0</v>
      </c>
      <c r="M776" s="10" t="n">
        <v>0</v>
      </c>
      <c r="N776" s="10" t="n">
        <v>0</v>
      </c>
      <c r="O776" s="10" t="n">
        <v>0</v>
      </c>
      <c r="P776" s="10" t="n">
        <v>-2</v>
      </c>
      <c r="Q776" s="10" t="n">
        <v>207</v>
      </c>
      <c r="R776" s="10" t="n">
        <v>76</v>
      </c>
      <c r="S776" s="10" t="n">
        <v>0</v>
      </c>
      <c r="T776" s="10" t="n">
        <v>55</v>
      </c>
      <c r="U776" s="10" t="n">
        <v>-2</v>
      </c>
    </row>
    <row r="777" customFormat="false" ht="15" hidden="false" customHeight="false" outlineLevel="0" collapsed="false">
      <c r="A777" s="7" t="s">
        <v>931</v>
      </c>
      <c r="B777" s="7" t="s">
        <v>62</v>
      </c>
      <c r="C777" s="7" t="s">
        <v>627</v>
      </c>
      <c r="D777" s="10" t="n">
        <v>0</v>
      </c>
      <c r="E777" s="10" t="n">
        <v>0</v>
      </c>
      <c r="F777" s="10" t="n">
        <v>65</v>
      </c>
      <c r="G777" s="10" t="n">
        <v>0</v>
      </c>
      <c r="H777" s="10" t="n">
        <v>1</v>
      </c>
      <c r="I777" s="10" t="n">
        <v>365</v>
      </c>
      <c r="J777" s="10" t="n">
        <v>0</v>
      </c>
      <c r="K777" s="10" t="n">
        <v>1</v>
      </c>
      <c r="L777" s="10" t="n">
        <v>0</v>
      </c>
      <c r="M777" s="10" t="n">
        <v>0</v>
      </c>
      <c r="N777" s="10" t="n">
        <v>0</v>
      </c>
      <c r="O777" s="10" t="n">
        <v>1</v>
      </c>
      <c r="P777" s="10" t="n">
        <v>-4</v>
      </c>
      <c r="Q777" s="10" t="n">
        <v>263</v>
      </c>
      <c r="R777" s="10" t="n">
        <v>104</v>
      </c>
      <c r="S777" s="10" t="n">
        <v>0</v>
      </c>
      <c r="T777" s="10" t="n">
        <v>54</v>
      </c>
      <c r="U777" s="10" t="n">
        <v>0</v>
      </c>
    </row>
    <row r="778" customFormat="false" ht="15" hidden="false" customHeight="false" outlineLevel="0" collapsed="false">
      <c r="A778" s="7" t="s">
        <v>931</v>
      </c>
      <c r="B778" s="7" t="s">
        <v>74</v>
      </c>
      <c r="C778" s="7" t="s">
        <v>628</v>
      </c>
      <c r="D778" s="10" t="n">
        <v>0</v>
      </c>
      <c r="E778" s="10" t="n">
        <v>0</v>
      </c>
      <c r="F778" s="10" t="n">
        <v>92</v>
      </c>
      <c r="G778" s="10" t="n">
        <v>0</v>
      </c>
      <c r="H778" s="10" t="n">
        <v>1</v>
      </c>
      <c r="I778" s="10" t="n">
        <v>299</v>
      </c>
      <c r="J778" s="10" t="n">
        <v>0</v>
      </c>
      <c r="K778" s="10" t="n">
        <v>11</v>
      </c>
      <c r="L778" s="10" t="n">
        <v>0</v>
      </c>
      <c r="M778" s="10" t="n">
        <v>0</v>
      </c>
      <c r="N778" s="10" t="n">
        <v>4</v>
      </c>
      <c r="O778" s="10" t="n">
        <v>1</v>
      </c>
      <c r="P778" s="10" t="n">
        <v>-4</v>
      </c>
      <c r="Q778" s="10" t="n">
        <v>214</v>
      </c>
      <c r="R778" s="10" t="n">
        <v>73</v>
      </c>
      <c r="S778" s="10" t="n">
        <v>0</v>
      </c>
      <c r="T778" s="10" t="n">
        <v>58</v>
      </c>
      <c r="U778" s="10" t="n">
        <v>0</v>
      </c>
    </row>
    <row r="779" customFormat="false" ht="15" hidden="false" customHeight="false" outlineLevel="0" collapsed="false">
      <c r="A779" s="7" t="s">
        <v>931</v>
      </c>
      <c r="B779" s="7" t="s">
        <v>74</v>
      </c>
      <c r="C779" s="7" t="s">
        <v>629</v>
      </c>
      <c r="D779" s="10" t="n">
        <v>0</v>
      </c>
      <c r="E779" s="10" t="n">
        <v>0</v>
      </c>
      <c r="F779" s="10" t="n">
        <v>106</v>
      </c>
      <c r="G779" s="10" t="n">
        <v>0</v>
      </c>
      <c r="H779" s="10" t="n">
        <v>0</v>
      </c>
      <c r="I779" s="10" t="n">
        <v>410</v>
      </c>
      <c r="J779" s="10" t="n">
        <v>0</v>
      </c>
      <c r="K779" s="10" t="n">
        <v>4</v>
      </c>
      <c r="L779" s="10" t="n">
        <v>0</v>
      </c>
      <c r="M779" s="10" t="n">
        <v>0</v>
      </c>
      <c r="N779" s="10" t="n">
        <v>4</v>
      </c>
      <c r="O779" s="10" t="n">
        <v>0</v>
      </c>
      <c r="P779" s="10" t="n">
        <v>-5</v>
      </c>
      <c r="Q779" s="10" t="n">
        <v>332</v>
      </c>
      <c r="R779" s="10" t="n">
        <v>75</v>
      </c>
      <c r="S779" s="10" t="n">
        <v>0</v>
      </c>
      <c r="T779" s="10" t="n">
        <v>82</v>
      </c>
      <c r="U779" s="10" t="n">
        <v>-1</v>
      </c>
    </row>
    <row r="780" customFormat="false" ht="15" hidden="false" customHeight="false" outlineLevel="0" collapsed="false">
      <c r="A780" s="7" t="s">
        <v>931</v>
      </c>
      <c r="B780" s="7" t="s">
        <v>74</v>
      </c>
      <c r="C780" s="7" t="s">
        <v>630</v>
      </c>
      <c r="D780" s="10" t="n">
        <v>0</v>
      </c>
      <c r="E780" s="10" t="n">
        <v>0</v>
      </c>
      <c r="F780" s="10" t="n">
        <v>81</v>
      </c>
      <c r="G780" s="10" t="n">
        <v>0</v>
      </c>
      <c r="H780" s="10" t="n">
        <v>0</v>
      </c>
      <c r="I780" s="10" t="n">
        <v>296</v>
      </c>
      <c r="J780" s="10" t="n">
        <v>0</v>
      </c>
      <c r="K780" s="10" t="n">
        <v>7</v>
      </c>
      <c r="L780" s="10" t="n">
        <v>0</v>
      </c>
      <c r="M780" s="10" t="n">
        <v>0</v>
      </c>
      <c r="N780" s="10" t="n">
        <v>3</v>
      </c>
      <c r="O780" s="10" t="n">
        <v>1</v>
      </c>
      <c r="P780" s="10" t="n">
        <v>-5</v>
      </c>
      <c r="Q780" s="10" t="n">
        <v>229</v>
      </c>
      <c r="R780" s="10" t="n">
        <v>61</v>
      </c>
      <c r="S780" s="10" t="n">
        <v>0</v>
      </c>
      <c r="T780" s="10" t="n">
        <v>98</v>
      </c>
      <c r="U780" s="10" t="n">
        <v>-20</v>
      </c>
    </row>
    <row r="781" customFormat="false" ht="15" hidden="false" customHeight="false" outlineLevel="0" collapsed="false">
      <c r="A781" s="7" t="s">
        <v>931</v>
      </c>
      <c r="B781" s="7" t="s">
        <v>74</v>
      </c>
      <c r="C781" s="7" t="s">
        <v>631</v>
      </c>
      <c r="D781" s="10" t="n">
        <v>0</v>
      </c>
      <c r="E781" s="10" t="n">
        <v>0</v>
      </c>
      <c r="F781" s="10" t="n">
        <v>30</v>
      </c>
      <c r="G781" s="10" t="n">
        <v>0</v>
      </c>
      <c r="H781" s="10" t="n">
        <v>0</v>
      </c>
      <c r="I781" s="10" t="n">
        <v>151</v>
      </c>
      <c r="J781" s="10" t="n">
        <v>0</v>
      </c>
      <c r="K781" s="10" t="n">
        <v>0</v>
      </c>
      <c r="L781" s="10" t="n">
        <v>0</v>
      </c>
      <c r="M781" s="10" t="n">
        <v>0</v>
      </c>
      <c r="N781" s="10" t="n">
        <v>4</v>
      </c>
      <c r="O781" s="10" t="n">
        <v>2</v>
      </c>
      <c r="P781" s="10" t="n">
        <v>-7</v>
      </c>
      <c r="Q781" s="10" t="n">
        <v>99</v>
      </c>
      <c r="R781" s="10" t="n">
        <v>53</v>
      </c>
      <c r="S781" s="10" t="n">
        <v>0</v>
      </c>
      <c r="T781" s="10" t="n">
        <v>30</v>
      </c>
      <c r="U781" s="10" t="n">
        <v>-2</v>
      </c>
    </row>
    <row r="782" customFormat="false" ht="15" hidden="false" customHeight="false" outlineLevel="0" collapsed="false">
      <c r="A782" s="7" t="s">
        <v>931</v>
      </c>
      <c r="B782" s="7" t="s">
        <v>74</v>
      </c>
      <c r="C782" s="7" t="s">
        <v>632</v>
      </c>
      <c r="D782" s="10" t="n">
        <v>0</v>
      </c>
      <c r="E782" s="10" t="n">
        <v>0</v>
      </c>
      <c r="F782" s="10" t="n">
        <v>23</v>
      </c>
      <c r="G782" s="10" t="n">
        <v>0</v>
      </c>
      <c r="H782" s="10" t="n">
        <v>0</v>
      </c>
      <c r="I782" s="10" t="n">
        <v>32</v>
      </c>
      <c r="J782" s="10" t="n">
        <v>0</v>
      </c>
      <c r="K782" s="10" t="n">
        <v>0</v>
      </c>
      <c r="L782" s="10" t="n">
        <v>0</v>
      </c>
      <c r="M782" s="10" t="n">
        <v>0</v>
      </c>
      <c r="N782" s="10" t="n">
        <v>0</v>
      </c>
      <c r="O782" s="10" t="n">
        <v>0</v>
      </c>
      <c r="P782" s="10" t="n">
        <v>0</v>
      </c>
      <c r="Q782" s="10" t="n">
        <v>32</v>
      </c>
      <c r="R782" s="10" t="n">
        <v>0</v>
      </c>
      <c r="S782" s="10" t="n">
        <v>0</v>
      </c>
      <c r="T782" s="10" t="n">
        <v>4</v>
      </c>
      <c r="U782" s="10" t="n">
        <v>0</v>
      </c>
    </row>
    <row r="783" customFormat="false" ht="15" hidden="false" customHeight="false" outlineLevel="0" collapsed="false">
      <c r="A783" s="7" t="s">
        <v>931</v>
      </c>
      <c r="B783" s="7" t="s">
        <v>74</v>
      </c>
      <c r="C783" s="7" t="s">
        <v>633</v>
      </c>
      <c r="D783" s="10" t="n">
        <v>0</v>
      </c>
      <c r="E783" s="10" t="n">
        <v>0</v>
      </c>
      <c r="F783" s="10" t="n">
        <v>5</v>
      </c>
      <c r="G783" s="10" t="n">
        <v>0</v>
      </c>
      <c r="H783" s="10" t="n">
        <v>0</v>
      </c>
      <c r="I783" s="10" t="n">
        <v>5</v>
      </c>
      <c r="J783" s="10" t="n">
        <v>0</v>
      </c>
      <c r="K783" s="10" t="n">
        <v>0</v>
      </c>
      <c r="L783" s="10" t="n">
        <v>0</v>
      </c>
      <c r="M783" s="10" t="n">
        <v>0</v>
      </c>
      <c r="N783" s="10" t="n">
        <v>0</v>
      </c>
      <c r="O783" s="10" t="n">
        <v>0</v>
      </c>
      <c r="P783" s="10" t="n">
        <v>0</v>
      </c>
      <c r="Q783" s="10" t="n">
        <v>5</v>
      </c>
      <c r="R783" s="10" t="n">
        <v>0</v>
      </c>
      <c r="S783" s="10" t="n">
        <v>0</v>
      </c>
      <c r="T783" s="10" t="n">
        <v>1</v>
      </c>
      <c r="U783" s="10" t="n">
        <v>0</v>
      </c>
    </row>
    <row r="784" customFormat="false" ht="15" hidden="false" customHeight="false" outlineLevel="0" collapsed="false">
      <c r="A784" s="7" t="s">
        <v>931</v>
      </c>
      <c r="B784" s="7" t="s">
        <v>255</v>
      </c>
      <c r="C784" s="7" t="s">
        <v>990</v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>
        <v>-1</v>
      </c>
      <c r="J784" s="10" t="n">
        <v>0</v>
      </c>
      <c r="K784" s="10" t="n">
        <v>0</v>
      </c>
      <c r="L784" s="10" t="n">
        <v>0</v>
      </c>
      <c r="M784" s="10" t="n">
        <v>0</v>
      </c>
      <c r="N784" s="10" t="n">
        <v>0</v>
      </c>
      <c r="O784" s="10" t="n">
        <v>0</v>
      </c>
      <c r="P784" s="10" t="n">
        <v>0</v>
      </c>
      <c r="Q784" s="10" t="n">
        <v>-1</v>
      </c>
      <c r="R784" s="10" t="n">
        <v>0</v>
      </c>
      <c r="S784" s="10" t="n">
        <v>0</v>
      </c>
      <c r="T784" s="10" t="n">
        <v>0</v>
      </c>
      <c r="U784" s="10" t="n">
        <v>0</v>
      </c>
    </row>
    <row r="785" customFormat="false" ht="15" hidden="false" customHeight="false" outlineLevel="0" collapsed="false">
      <c r="A785" s="7" t="s">
        <v>931</v>
      </c>
      <c r="B785" s="7" t="s">
        <v>112</v>
      </c>
      <c r="C785" s="7" t="s">
        <v>634</v>
      </c>
      <c r="D785" s="10" t="n">
        <v>0</v>
      </c>
      <c r="E785" s="10" t="n">
        <v>0</v>
      </c>
      <c r="F785" s="10" t="n">
        <v>95</v>
      </c>
      <c r="G785" s="10" t="n">
        <v>0</v>
      </c>
      <c r="H785" s="10" t="n">
        <v>0</v>
      </c>
      <c r="I785" s="10" t="n">
        <v>477</v>
      </c>
      <c r="J785" s="10" t="n">
        <v>0</v>
      </c>
      <c r="K785" s="10" t="n">
        <v>1</v>
      </c>
      <c r="L785" s="10" t="n">
        <v>0</v>
      </c>
      <c r="M785" s="10" t="n">
        <v>0</v>
      </c>
      <c r="N785" s="10" t="n">
        <v>0</v>
      </c>
      <c r="O785" s="10" t="n">
        <v>4</v>
      </c>
      <c r="P785" s="10" t="n">
        <v>0</v>
      </c>
      <c r="Q785" s="10" t="n">
        <v>320</v>
      </c>
      <c r="R785" s="10" t="n">
        <v>152</v>
      </c>
      <c r="S785" s="10" t="n">
        <v>0</v>
      </c>
      <c r="T785" s="10" t="n">
        <v>33</v>
      </c>
      <c r="U785" s="10" t="n">
        <v>0</v>
      </c>
    </row>
    <row r="786" customFormat="false" ht="15" hidden="false" customHeight="false" outlineLevel="0" collapsed="false">
      <c r="A786" s="7" t="s">
        <v>931</v>
      </c>
      <c r="B786" s="7" t="s">
        <v>192</v>
      </c>
      <c r="C786" s="7" t="s">
        <v>635</v>
      </c>
      <c r="D786" s="10" t="n">
        <v>0</v>
      </c>
      <c r="E786" s="10" t="n">
        <v>0</v>
      </c>
      <c r="F786" s="10" t="n">
        <v>73</v>
      </c>
      <c r="G786" s="10" t="n">
        <v>0</v>
      </c>
      <c r="H786" s="10" t="n">
        <v>0</v>
      </c>
      <c r="I786" s="10" t="n">
        <v>96</v>
      </c>
      <c r="J786" s="10" t="n">
        <v>0</v>
      </c>
      <c r="K786" s="10" t="n">
        <v>5</v>
      </c>
      <c r="L786" s="10" t="n">
        <v>0</v>
      </c>
      <c r="M786" s="10" t="n">
        <v>0</v>
      </c>
      <c r="N786" s="10" t="n">
        <v>0</v>
      </c>
      <c r="O786" s="10" t="n">
        <v>0</v>
      </c>
      <c r="P786" s="10" t="n">
        <v>-3</v>
      </c>
      <c r="Q786" s="10" t="n">
        <v>50</v>
      </c>
      <c r="R786" s="10" t="n">
        <v>44</v>
      </c>
      <c r="S786" s="10" t="n">
        <v>0</v>
      </c>
      <c r="T786" s="10" t="n">
        <v>48</v>
      </c>
      <c r="U786" s="10" t="n">
        <v>0</v>
      </c>
    </row>
    <row r="787" customFormat="false" ht="15" hidden="false" customHeight="false" outlineLevel="0" collapsed="false">
      <c r="A787" s="7" t="s">
        <v>931</v>
      </c>
      <c r="B787" s="7" t="s">
        <v>89</v>
      </c>
      <c r="C787" s="7" t="s">
        <v>636</v>
      </c>
      <c r="D787" s="10" t="n">
        <v>0</v>
      </c>
      <c r="E787" s="10" t="n">
        <v>0</v>
      </c>
      <c r="F787" s="10" t="n">
        <v>-2</v>
      </c>
      <c r="G787" s="10" t="n">
        <v>0</v>
      </c>
      <c r="H787" s="10" t="n">
        <v>0</v>
      </c>
      <c r="I787" s="10" t="n">
        <v>-11</v>
      </c>
      <c r="J787" s="10" t="n">
        <v>0</v>
      </c>
      <c r="K787" s="10" t="n">
        <v>0</v>
      </c>
      <c r="L787" s="10" t="n">
        <v>0</v>
      </c>
      <c r="M787" s="10" t="n">
        <v>0</v>
      </c>
      <c r="N787" s="10" t="n">
        <v>0</v>
      </c>
      <c r="O787" s="10" t="n">
        <v>0</v>
      </c>
      <c r="P787" s="10" t="n">
        <v>-1</v>
      </c>
      <c r="Q787" s="10" t="n">
        <v>-13</v>
      </c>
      <c r="R787" s="10" t="n">
        <v>3</v>
      </c>
      <c r="S787" s="10" t="n">
        <v>0</v>
      </c>
      <c r="T787" s="10" t="n">
        <v>0</v>
      </c>
      <c r="U787" s="10" t="n">
        <v>0</v>
      </c>
    </row>
    <row r="788" customFormat="false" ht="15" hidden="false" customHeight="false" outlineLevel="0" collapsed="false">
      <c r="A788" s="7" t="s">
        <v>931</v>
      </c>
      <c r="B788" s="7" t="s">
        <v>89</v>
      </c>
      <c r="C788" s="7" t="s">
        <v>637</v>
      </c>
      <c r="D788" s="10" t="n">
        <v>0</v>
      </c>
      <c r="E788" s="10" t="n">
        <v>0</v>
      </c>
      <c r="F788" s="10" t="n">
        <v>3</v>
      </c>
      <c r="G788" s="10" t="n">
        <v>0</v>
      </c>
      <c r="H788" s="10" t="n">
        <v>0</v>
      </c>
      <c r="I788" s="10" t="n">
        <v>20</v>
      </c>
      <c r="J788" s="10" t="n">
        <v>0</v>
      </c>
      <c r="K788" s="10" t="n">
        <v>0</v>
      </c>
      <c r="L788" s="10" t="n">
        <v>0</v>
      </c>
      <c r="M788" s="10" t="n">
        <v>0</v>
      </c>
      <c r="N788" s="10" t="n">
        <v>0</v>
      </c>
      <c r="O788" s="10" t="n">
        <v>0</v>
      </c>
      <c r="P788" s="10" t="n">
        <v>0</v>
      </c>
      <c r="Q788" s="10" t="n">
        <v>15</v>
      </c>
      <c r="R788" s="10" t="n">
        <v>5</v>
      </c>
      <c r="S788" s="10" t="n">
        <v>0</v>
      </c>
      <c r="T788" s="10" t="n">
        <v>0</v>
      </c>
      <c r="U788" s="10" t="n">
        <v>0</v>
      </c>
    </row>
    <row r="789" customFormat="false" ht="15" hidden="false" customHeight="false" outlineLevel="0" collapsed="false">
      <c r="A789" s="7" t="s">
        <v>931</v>
      </c>
      <c r="B789" s="7" t="s">
        <v>89</v>
      </c>
      <c r="C789" s="7" t="s">
        <v>638</v>
      </c>
      <c r="D789" s="10" t="n">
        <v>0</v>
      </c>
      <c r="E789" s="10" t="n">
        <v>0</v>
      </c>
      <c r="F789" s="10" t="n">
        <v>2</v>
      </c>
      <c r="G789" s="10" t="n">
        <v>0</v>
      </c>
      <c r="H789" s="10" t="n">
        <v>0</v>
      </c>
      <c r="I789" s="10" t="n">
        <v>26</v>
      </c>
      <c r="J789" s="10" t="n">
        <v>0</v>
      </c>
      <c r="K789" s="10" t="n">
        <v>0</v>
      </c>
      <c r="L789" s="10" t="n">
        <v>0</v>
      </c>
      <c r="M789" s="10" t="n">
        <v>0</v>
      </c>
      <c r="N789" s="10" t="n">
        <v>0</v>
      </c>
      <c r="O789" s="10" t="n">
        <v>0</v>
      </c>
      <c r="P789" s="10" t="n">
        <v>0</v>
      </c>
      <c r="Q789" s="10" t="n">
        <v>19</v>
      </c>
      <c r="R789" s="10" t="n">
        <v>7</v>
      </c>
      <c r="S789" s="10" t="n">
        <v>0</v>
      </c>
      <c r="T789" s="10" t="n">
        <v>0</v>
      </c>
      <c r="U789" s="10" t="n">
        <v>0</v>
      </c>
    </row>
    <row r="790" customFormat="false" ht="15" hidden="false" customHeight="false" outlineLevel="0" collapsed="false">
      <c r="A790" s="7" t="s">
        <v>931</v>
      </c>
      <c r="B790" s="7" t="s">
        <v>89</v>
      </c>
      <c r="C790" s="7" t="s">
        <v>639</v>
      </c>
      <c r="D790" s="10" t="n">
        <v>0</v>
      </c>
      <c r="E790" s="10" t="n">
        <v>0</v>
      </c>
      <c r="F790" s="10" t="n">
        <v>16</v>
      </c>
      <c r="G790" s="10" t="n">
        <v>0</v>
      </c>
      <c r="H790" s="10" t="n">
        <v>0</v>
      </c>
      <c r="I790" s="10" t="n">
        <v>103</v>
      </c>
      <c r="J790" s="10" t="n">
        <v>0</v>
      </c>
      <c r="K790" s="10" t="n">
        <v>0</v>
      </c>
      <c r="L790" s="10" t="n">
        <v>0</v>
      </c>
      <c r="M790" s="10" t="n">
        <v>0</v>
      </c>
      <c r="N790" s="10" t="n">
        <v>0</v>
      </c>
      <c r="O790" s="10" t="n">
        <v>0</v>
      </c>
      <c r="P790" s="10" t="n">
        <v>-2</v>
      </c>
      <c r="Q790" s="10" t="n">
        <v>97</v>
      </c>
      <c r="R790" s="10" t="n">
        <v>8</v>
      </c>
      <c r="S790" s="10" t="n">
        <v>0</v>
      </c>
      <c r="T790" s="10" t="n">
        <v>0</v>
      </c>
      <c r="U790" s="10" t="n">
        <v>0</v>
      </c>
    </row>
    <row r="791" customFormat="false" ht="15" hidden="false" customHeight="false" outlineLevel="0" collapsed="false">
      <c r="A791" s="7" t="s">
        <v>931</v>
      </c>
      <c r="B791" s="7" t="s">
        <v>89</v>
      </c>
      <c r="C791" s="7" t="s">
        <v>640</v>
      </c>
      <c r="D791" s="10" t="n">
        <v>0</v>
      </c>
      <c r="E791" s="10" t="n">
        <v>0</v>
      </c>
      <c r="F791" s="10" t="n">
        <v>18</v>
      </c>
      <c r="G791" s="10" t="n">
        <v>0</v>
      </c>
      <c r="H791" s="10" t="n">
        <v>0</v>
      </c>
      <c r="I791" s="10" t="n">
        <v>113</v>
      </c>
      <c r="J791" s="10" t="n">
        <v>0</v>
      </c>
      <c r="K791" s="10" t="n">
        <v>0</v>
      </c>
      <c r="L791" s="10" t="n">
        <v>0</v>
      </c>
      <c r="M791" s="10" t="n">
        <v>0</v>
      </c>
      <c r="N791" s="10" t="n">
        <v>0</v>
      </c>
      <c r="O791" s="10" t="n">
        <v>0</v>
      </c>
      <c r="P791" s="10" t="n">
        <v>0</v>
      </c>
      <c r="Q791" s="10" t="n">
        <v>105</v>
      </c>
      <c r="R791" s="10" t="n">
        <v>8</v>
      </c>
      <c r="S791" s="10" t="n">
        <v>0</v>
      </c>
      <c r="T791" s="10" t="n">
        <v>0</v>
      </c>
      <c r="U791" s="10" t="n">
        <v>0</v>
      </c>
    </row>
    <row r="792" customFormat="false" ht="15" hidden="false" customHeight="false" outlineLevel="0" collapsed="false">
      <c r="A792" s="7" t="s">
        <v>931</v>
      </c>
      <c r="B792" s="7" t="s">
        <v>89</v>
      </c>
      <c r="C792" s="7" t="s">
        <v>641</v>
      </c>
      <c r="D792" s="10" t="n">
        <v>0</v>
      </c>
      <c r="E792" s="10" t="n">
        <v>0</v>
      </c>
      <c r="F792" s="10" t="n">
        <v>19</v>
      </c>
      <c r="G792" s="10" t="n">
        <v>0</v>
      </c>
      <c r="H792" s="10" t="n">
        <v>0</v>
      </c>
      <c r="I792" s="10" t="n">
        <v>136</v>
      </c>
      <c r="J792" s="10" t="n">
        <v>0</v>
      </c>
      <c r="K792" s="10" t="n">
        <v>3</v>
      </c>
      <c r="L792" s="10" t="n">
        <v>0</v>
      </c>
      <c r="M792" s="10" t="n">
        <v>0</v>
      </c>
      <c r="N792" s="10" t="n">
        <v>0</v>
      </c>
      <c r="O792" s="10" t="n">
        <v>0</v>
      </c>
      <c r="P792" s="10" t="n">
        <v>-1</v>
      </c>
      <c r="Q792" s="10" t="n">
        <v>124</v>
      </c>
      <c r="R792" s="10" t="n">
        <v>10</v>
      </c>
      <c r="S792" s="10" t="n">
        <v>0</v>
      </c>
      <c r="T792" s="10" t="n">
        <v>0</v>
      </c>
      <c r="U792" s="10" t="n">
        <v>0</v>
      </c>
    </row>
    <row r="793" customFormat="false" ht="15" hidden="false" customHeight="false" outlineLevel="0" collapsed="false">
      <c r="A793" s="7" t="s">
        <v>931</v>
      </c>
      <c r="B793" s="7" t="s">
        <v>113</v>
      </c>
      <c r="C793" s="7" t="s">
        <v>642</v>
      </c>
      <c r="D793" s="10" t="n">
        <v>0</v>
      </c>
      <c r="E793" s="10" t="n">
        <v>0</v>
      </c>
      <c r="F793" s="10" t="n">
        <v>12</v>
      </c>
      <c r="G793" s="10" t="n">
        <v>0</v>
      </c>
      <c r="H793" s="10" t="n">
        <v>0</v>
      </c>
      <c r="I793" s="10" t="n">
        <v>38</v>
      </c>
      <c r="J793" s="10" t="n">
        <v>0</v>
      </c>
      <c r="K793" s="10" t="n">
        <v>0</v>
      </c>
      <c r="L793" s="10" t="n">
        <v>0</v>
      </c>
      <c r="M793" s="10" t="n">
        <v>0</v>
      </c>
      <c r="N793" s="10" t="n">
        <v>0</v>
      </c>
      <c r="O793" s="10" t="n">
        <v>0</v>
      </c>
      <c r="P793" s="10" t="n">
        <v>0</v>
      </c>
      <c r="Q793" s="10" t="n">
        <v>38</v>
      </c>
      <c r="R793" s="10" t="n">
        <v>0</v>
      </c>
      <c r="S793" s="10" t="n">
        <v>0</v>
      </c>
      <c r="T793" s="10" t="n">
        <v>23</v>
      </c>
      <c r="U793" s="10" t="n">
        <v>0</v>
      </c>
    </row>
    <row r="794" customFormat="false" ht="15" hidden="false" customHeight="false" outlineLevel="0" collapsed="false">
      <c r="A794" s="7" t="s">
        <v>931</v>
      </c>
      <c r="B794" s="7" t="s">
        <v>113</v>
      </c>
      <c r="C794" s="7" t="s">
        <v>643</v>
      </c>
      <c r="D794" s="10" t="n">
        <v>0</v>
      </c>
      <c r="E794" s="10" t="n">
        <v>0</v>
      </c>
      <c r="F794" s="10" t="n">
        <v>28</v>
      </c>
      <c r="G794" s="10" t="n">
        <v>0</v>
      </c>
      <c r="H794" s="10" t="n">
        <v>0</v>
      </c>
      <c r="I794" s="10" t="n">
        <v>226</v>
      </c>
      <c r="J794" s="10" t="n">
        <v>0</v>
      </c>
      <c r="K794" s="10" t="n">
        <v>11</v>
      </c>
      <c r="L794" s="10" t="n">
        <v>0</v>
      </c>
      <c r="M794" s="10" t="n">
        <v>0</v>
      </c>
      <c r="N794" s="10" t="n">
        <v>0</v>
      </c>
      <c r="O794" s="10" t="n">
        <v>0</v>
      </c>
      <c r="P794" s="10" t="n">
        <v>-1</v>
      </c>
      <c r="Q794" s="10" t="n">
        <v>83</v>
      </c>
      <c r="R794" s="10" t="n">
        <v>133</v>
      </c>
      <c r="S794" s="10" t="n">
        <v>0</v>
      </c>
      <c r="T794" s="10" t="n">
        <v>43</v>
      </c>
      <c r="U794" s="10" t="n">
        <v>0</v>
      </c>
    </row>
    <row r="795" customFormat="false" ht="15" hidden="false" customHeight="false" outlineLevel="0" collapsed="false">
      <c r="A795" s="7" t="s">
        <v>931</v>
      </c>
      <c r="B795" s="7" t="s">
        <v>113</v>
      </c>
      <c r="C795" s="7" t="s">
        <v>644</v>
      </c>
      <c r="D795" s="10" t="n">
        <v>0</v>
      </c>
      <c r="E795" s="10" t="n">
        <v>0</v>
      </c>
      <c r="F795" s="10" t="n">
        <v>59</v>
      </c>
      <c r="G795" s="10" t="n">
        <v>0</v>
      </c>
      <c r="H795" s="10" t="n">
        <v>0</v>
      </c>
      <c r="I795" s="10" t="n">
        <v>202</v>
      </c>
      <c r="J795" s="10" t="n">
        <v>0</v>
      </c>
      <c r="K795" s="10" t="n">
        <v>8</v>
      </c>
      <c r="L795" s="10" t="n">
        <v>0</v>
      </c>
      <c r="M795" s="10" t="n">
        <v>0</v>
      </c>
      <c r="N795" s="10" t="n">
        <v>0</v>
      </c>
      <c r="O795" s="10" t="n">
        <v>0</v>
      </c>
      <c r="P795" s="10" t="n">
        <v>-3</v>
      </c>
      <c r="Q795" s="10" t="n">
        <v>70</v>
      </c>
      <c r="R795" s="10" t="n">
        <v>127</v>
      </c>
      <c r="S795" s="10" t="n">
        <v>0</v>
      </c>
      <c r="T795" s="10" t="n">
        <v>53</v>
      </c>
      <c r="U795" s="10" t="n">
        <v>0</v>
      </c>
    </row>
    <row r="796" customFormat="false" ht="15" hidden="false" customHeight="false" outlineLevel="0" collapsed="false">
      <c r="A796" s="7" t="s">
        <v>931</v>
      </c>
      <c r="B796" s="7" t="s">
        <v>162</v>
      </c>
      <c r="C796" s="7" t="s">
        <v>645</v>
      </c>
      <c r="D796" s="10" t="n">
        <v>0</v>
      </c>
      <c r="E796" s="10" t="n">
        <v>0</v>
      </c>
      <c r="F796" s="10" t="n">
        <v>24</v>
      </c>
      <c r="G796" s="10" t="n">
        <v>0</v>
      </c>
      <c r="H796" s="10" t="n">
        <v>0</v>
      </c>
      <c r="I796" s="10" t="n">
        <v>169</v>
      </c>
      <c r="J796" s="10" t="n">
        <v>0</v>
      </c>
      <c r="K796" s="10" t="n">
        <v>3</v>
      </c>
      <c r="L796" s="10" t="n">
        <v>0</v>
      </c>
      <c r="M796" s="10" t="n">
        <v>0</v>
      </c>
      <c r="N796" s="10" t="n">
        <v>0</v>
      </c>
      <c r="O796" s="10" t="n">
        <v>0</v>
      </c>
      <c r="P796" s="10" t="n">
        <v>-1</v>
      </c>
      <c r="Q796" s="10" t="n">
        <v>59</v>
      </c>
      <c r="R796" s="10" t="n">
        <v>108</v>
      </c>
      <c r="S796" s="10" t="n">
        <v>0</v>
      </c>
      <c r="T796" s="10" t="n">
        <v>23</v>
      </c>
      <c r="U796" s="10" t="n">
        <v>0</v>
      </c>
    </row>
    <row r="797" customFormat="false" ht="15" hidden="false" customHeight="false" outlineLevel="0" collapsed="false">
      <c r="A797" s="7" t="s">
        <v>931</v>
      </c>
      <c r="B797" s="7" t="s">
        <v>318</v>
      </c>
      <c r="C797" s="7" t="s">
        <v>946</v>
      </c>
      <c r="D797" s="10" t="n">
        <v>0</v>
      </c>
      <c r="E797" s="10" t="n">
        <v>0</v>
      </c>
      <c r="F797" s="10" t="n">
        <v>1</v>
      </c>
      <c r="G797" s="10" t="n">
        <v>0</v>
      </c>
      <c r="H797" s="10" t="n">
        <v>0</v>
      </c>
      <c r="I797" s="10" t="n">
        <v>0</v>
      </c>
      <c r="J797" s="10" t="n">
        <v>0</v>
      </c>
      <c r="K797" s="10" t="n">
        <v>0</v>
      </c>
      <c r="L797" s="10" t="n">
        <v>0</v>
      </c>
      <c r="M797" s="10" t="n">
        <v>0</v>
      </c>
      <c r="N797" s="10" t="n">
        <v>0</v>
      </c>
      <c r="O797" s="10" t="n">
        <v>0</v>
      </c>
      <c r="P797" s="10" t="n">
        <v>0</v>
      </c>
      <c r="Q797" s="10" t="n">
        <v>0</v>
      </c>
      <c r="R797" s="10" t="n">
        <v>0</v>
      </c>
      <c r="S797" s="10" t="n">
        <v>0</v>
      </c>
      <c r="T797" s="10" t="n">
        <v>0</v>
      </c>
      <c r="U797" s="10" t="n">
        <v>0</v>
      </c>
    </row>
    <row r="798" customFormat="false" ht="15" hidden="false" customHeight="false" outlineLevel="0" collapsed="false">
      <c r="A798" s="7" t="s">
        <v>931</v>
      </c>
      <c r="B798" s="7" t="s">
        <v>254</v>
      </c>
      <c r="C798" s="7" t="s">
        <v>650</v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>
        <v>-1</v>
      </c>
      <c r="J798" s="10" t="n">
        <v>0</v>
      </c>
      <c r="K798" s="10" t="n">
        <v>0</v>
      </c>
      <c r="L798" s="10" t="n">
        <v>0</v>
      </c>
      <c r="M798" s="10" t="n">
        <v>0</v>
      </c>
      <c r="N798" s="10" t="n">
        <v>0</v>
      </c>
      <c r="O798" s="10" t="n">
        <v>0</v>
      </c>
      <c r="P798" s="10" t="n">
        <v>0</v>
      </c>
      <c r="Q798" s="10" t="n">
        <v>-1</v>
      </c>
      <c r="R798" s="10" t="n">
        <v>0</v>
      </c>
      <c r="S798" s="10" t="n">
        <v>0</v>
      </c>
      <c r="T798" s="10" t="n">
        <v>0</v>
      </c>
      <c r="U798" s="10" t="n">
        <v>0</v>
      </c>
    </row>
    <row r="799" customFormat="false" ht="15" hidden="false" customHeight="false" outlineLevel="0" collapsed="false">
      <c r="A799" s="7" t="s">
        <v>931</v>
      </c>
      <c r="B799" s="7" t="s">
        <v>204</v>
      </c>
      <c r="C799" s="7" t="s">
        <v>654</v>
      </c>
      <c r="D799" s="10" t="n">
        <v>0</v>
      </c>
      <c r="E799" s="10" t="n">
        <v>0</v>
      </c>
      <c r="F799" s="10" t="n">
        <v>1</v>
      </c>
      <c r="G799" s="10" t="n">
        <v>0</v>
      </c>
      <c r="H799" s="10" t="n">
        <v>0</v>
      </c>
      <c r="I799" s="10" t="n">
        <v>0</v>
      </c>
      <c r="J799" s="10" t="n">
        <v>0</v>
      </c>
      <c r="K799" s="10" t="n">
        <v>0</v>
      </c>
      <c r="L799" s="10" t="n">
        <v>0</v>
      </c>
      <c r="M799" s="10" t="n">
        <v>0</v>
      </c>
      <c r="N799" s="10" t="n">
        <v>0</v>
      </c>
      <c r="O799" s="10" t="n">
        <v>0</v>
      </c>
      <c r="P799" s="10" t="n">
        <v>0</v>
      </c>
      <c r="Q799" s="10" t="n">
        <v>0</v>
      </c>
      <c r="R799" s="10" t="n">
        <v>0</v>
      </c>
      <c r="S799" s="10" t="n">
        <v>0</v>
      </c>
      <c r="T799" s="10" t="n">
        <v>0</v>
      </c>
      <c r="U799" s="10" t="n">
        <v>0</v>
      </c>
    </row>
    <row r="800" customFormat="false" ht="15" hidden="false" customHeight="false" outlineLevel="0" collapsed="false">
      <c r="A800" s="7" t="s">
        <v>931</v>
      </c>
      <c r="B800" s="7" t="s">
        <v>204</v>
      </c>
      <c r="C800" s="7" t="s">
        <v>655</v>
      </c>
      <c r="D800" s="10" t="n">
        <v>0</v>
      </c>
      <c r="E800" s="10" t="n">
        <v>0</v>
      </c>
      <c r="F800" s="10" t="n">
        <v>1</v>
      </c>
      <c r="G800" s="10" t="n">
        <v>0</v>
      </c>
      <c r="H800" s="10" t="n">
        <v>0</v>
      </c>
      <c r="I800" s="10" t="n">
        <v>0</v>
      </c>
      <c r="J800" s="10" t="n">
        <v>0</v>
      </c>
      <c r="K800" s="10" t="n">
        <v>0</v>
      </c>
      <c r="L800" s="10" t="n">
        <v>0</v>
      </c>
      <c r="M800" s="10" t="n">
        <v>0</v>
      </c>
      <c r="N800" s="10" t="n">
        <v>0</v>
      </c>
      <c r="O800" s="10" t="n">
        <v>0</v>
      </c>
      <c r="P800" s="10" t="n">
        <v>0</v>
      </c>
      <c r="Q800" s="10" t="n">
        <v>0</v>
      </c>
      <c r="R800" s="10" t="n">
        <v>0</v>
      </c>
      <c r="S800" s="10" t="n">
        <v>0</v>
      </c>
      <c r="T800" s="10" t="n">
        <v>0</v>
      </c>
      <c r="U800" s="10" t="n">
        <v>0</v>
      </c>
    </row>
    <row r="801" customFormat="false" ht="15" hidden="false" customHeight="false" outlineLevel="0" collapsed="false">
      <c r="A801" s="7" t="s">
        <v>931</v>
      </c>
      <c r="B801" s="7" t="s">
        <v>204</v>
      </c>
      <c r="C801" s="7" t="s">
        <v>656</v>
      </c>
      <c r="D801" s="10" t="n">
        <v>0</v>
      </c>
      <c r="E801" s="10" t="n">
        <v>0</v>
      </c>
      <c r="F801" s="10" t="n">
        <v>2</v>
      </c>
      <c r="G801" s="10" t="n">
        <v>0</v>
      </c>
      <c r="H801" s="10" t="n">
        <v>0</v>
      </c>
      <c r="I801" s="10" t="n">
        <v>0</v>
      </c>
      <c r="J801" s="10" t="n">
        <v>0</v>
      </c>
      <c r="K801" s="10" t="n">
        <v>0</v>
      </c>
      <c r="L801" s="10" t="n">
        <v>0</v>
      </c>
      <c r="M801" s="10" t="n">
        <v>0</v>
      </c>
      <c r="N801" s="10" t="n">
        <v>0</v>
      </c>
      <c r="O801" s="10" t="n">
        <v>0</v>
      </c>
      <c r="P801" s="10" t="n">
        <v>0</v>
      </c>
      <c r="Q801" s="10" t="n">
        <v>0</v>
      </c>
      <c r="R801" s="10" t="n">
        <v>0</v>
      </c>
      <c r="S801" s="10" t="n">
        <v>0</v>
      </c>
      <c r="T801" s="10" t="n">
        <v>0</v>
      </c>
      <c r="U801" s="10" t="n">
        <v>0</v>
      </c>
    </row>
    <row r="802" customFormat="false" ht="15" hidden="false" customHeight="false" outlineLevel="0" collapsed="false">
      <c r="A802" s="7" t="s">
        <v>931</v>
      </c>
      <c r="B802" s="7" t="s">
        <v>191</v>
      </c>
      <c r="C802" s="7" t="s">
        <v>659</v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>
        <v>1</v>
      </c>
      <c r="J802" s="10" t="n">
        <v>0</v>
      </c>
      <c r="K802" s="10" t="n">
        <v>0</v>
      </c>
      <c r="L802" s="10" t="n">
        <v>0</v>
      </c>
      <c r="M802" s="10" t="n">
        <v>0</v>
      </c>
      <c r="N802" s="10" t="n">
        <v>0</v>
      </c>
      <c r="O802" s="10" t="n">
        <v>0</v>
      </c>
      <c r="P802" s="10" t="n">
        <v>0</v>
      </c>
      <c r="Q802" s="10" t="n">
        <v>0</v>
      </c>
      <c r="R802" s="10" t="n">
        <v>1</v>
      </c>
      <c r="S802" s="10" t="n">
        <v>0</v>
      </c>
      <c r="T802" s="10" t="n">
        <v>0</v>
      </c>
      <c r="U802" s="10" t="n">
        <v>0</v>
      </c>
    </row>
    <row r="803" customFormat="false" ht="15" hidden="false" customHeight="false" outlineLevel="0" collapsed="false">
      <c r="A803" s="7" t="s">
        <v>931</v>
      </c>
      <c r="B803" s="7" t="s">
        <v>230</v>
      </c>
      <c r="C803" s="7" t="s">
        <v>661</v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>
        <v>9</v>
      </c>
      <c r="J803" s="10" t="n">
        <v>0</v>
      </c>
      <c r="K803" s="10" t="n">
        <v>0</v>
      </c>
      <c r="L803" s="10" t="n">
        <v>0</v>
      </c>
      <c r="M803" s="10" t="n">
        <v>0</v>
      </c>
      <c r="N803" s="10" t="n">
        <v>0</v>
      </c>
      <c r="O803" s="10" t="n">
        <v>0</v>
      </c>
      <c r="P803" s="10" t="n">
        <v>0</v>
      </c>
      <c r="Q803" s="10" t="n">
        <v>7</v>
      </c>
      <c r="R803" s="10" t="n">
        <v>2</v>
      </c>
      <c r="S803" s="10" t="n">
        <v>0</v>
      </c>
      <c r="T803" s="10" t="n">
        <v>0</v>
      </c>
      <c r="U803" s="10" t="n">
        <v>0</v>
      </c>
    </row>
    <row r="804" customFormat="false" ht="15" hidden="false" customHeight="false" outlineLevel="0" collapsed="false">
      <c r="A804" s="7" t="s">
        <v>931</v>
      </c>
      <c r="B804" s="7" t="s">
        <v>80</v>
      </c>
      <c r="C804" s="7" t="s">
        <v>662</v>
      </c>
      <c r="D804" s="10" t="n">
        <v>0</v>
      </c>
      <c r="E804" s="10" t="n">
        <v>0</v>
      </c>
      <c r="F804" s="10" t="n">
        <v>2</v>
      </c>
      <c r="G804" s="10" t="n">
        <v>0</v>
      </c>
      <c r="H804" s="10" t="n">
        <v>0</v>
      </c>
      <c r="I804" s="10" t="n">
        <v>48</v>
      </c>
      <c r="J804" s="10" t="n">
        <v>0</v>
      </c>
      <c r="K804" s="10" t="n">
        <v>3</v>
      </c>
      <c r="L804" s="10" t="n">
        <v>0</v>
      </c>
      <c r="M804" s="10" t="n">
        <v>0</v>
      </c>
      <c r="N804" s="10" t="n">
        <v>0</v>
      </c>
      <c r="O804" s="10" t="n">
        <v>0</v>
      </c>
      <c r="P804" s="10" t="n">
        <v>0</v>
      </c>
      <c r="Q804" s="10" t="n">
        <v>33</v>
      </c>
      <c r="R804" s="10" t="n">
        <v>12</v>
      </c>
      <c r="S804" s="10" t="n">
        <v>0</v>
      </c>
      <c r="T804" s="10" t="n">
        <v>0</v>
      </c>
      <c r="U804" s="10" t="n">
        <v>0</v>
      </c>
    </row>
    <row r="805" customFormat="false" ht="15" hidden="false" customHeight="false" outlineLevel="0" collapsed="false">
      <c r="A805" s="7" t="s">
        <v>931</v>
      </c>
      <c r="B805" s="7" t="s">
        <v>80</v>
      </c>
      <c r="C805" s="7" t="s">
        <v>663</v>
      </c>
      <c r="D805" s="10" t="n">
        <v>0</v>
      </c>
      <c r="E805" s="10" t="n">
        <v>0</v>
      </c>
      <c r="F805" s="10" t="n">
        <v>1</v>
      </c>
      <c r="G805" s="10" t="n">
        <v>0</v>
      </c>
      <c r="H805" s="10" t="n">
        <v>0</v>
      </c>
      <c r="I805" s="10" t="n">
        <v>35</v>
      </c>
      <c r="J805" s="10" t="n">
        <v>0</v>
      </c>
      <c r="K805" s="10" t="n">
        <v>0</v>
      </c>
      <c r="L805" s="10" t="n">
        <v>0</v>
      </c>
      <c r="M805" s="10" t="n">
        <v>0</v>
      </c>
      <c r="N805" s="10" t="n">
        <v>0</v>
      </c>
      <c r="O805" s="10" t="n">
        <v>0</v>
      </c>
      <c r="P805" s="10" t="n">
        <v>0</v>
      </c>
      <c r="Q805" s="10" t="n">
        <v>29</v>
      </c>
      <c r="R805" s="10" t="n">
        <v>6</v>
      </c>
      <c r="S805" s="10" t="n">
        <v>0</v>
      </c>
      <c r="T805" s="10" t="n">
        <v>0</v>
      </c>
      <c r="U805" s="10" t="n">
        <v>0</v>
      </c>
    </row>
    <row r="806" customFormat="false" ht="15" hidden="false" customHeight="false" outlineLevel="0" collapsed="false">
      <c r="A806" s="7" t="s">
        <v>931</v>
      </c>
      <c r="B806" s="7" t="s">
        <v>80</v>
      </c>
      <c r="C806" s="7" t="s">
        <v>664</v>
      </c>
      <c r="D806" s="10" t="n">
        <v>0</v>
      </c>
      <c r="E806" s="10" t="n">
        <v>0</v>
      </c>
      <c r="F806" s="10" t="n">
        <v>2</v>
      </c>
      <c r="G806" s="10" t="n">
        <v>0</v>
      </c>
      <c r="H806" s="10" t="n">
        <v>0</v>
      </c>
      <c r="I806" s="10" t="n">
        <v>49</v>
      </c>
      <c r="J806" s="10" t="n">
        <v>0</v>
      </c>
      <c r="K806" s="10" t="n">
        <v>1</v>
      </c>
      <c r="L806" s="10" t="n">
        <v>0</v>
      </c>
      <c r="M806" s="10" t="n">
        <v>0</v>
      </c>
      <c r="N806" s="10" t="n">
        <v>0</v>
      </c>
      <c r="O806" s="10" t="n">
        <v>0</v>
      </c>
      <c r="P806" s="10" t="n">
        <v>0</v>
      </c>
      <c r="Q806" s="10" t="n">
        <v>40</v>
      </c>
      <c r="R806" s="10" t="n">
        <v>8</v>
      </c>
      <c r="S806" s="10" t="n">
        <v>0</v>
      </c>
      <c r="T806" s="10" t="n">
        <v>0</v>
      </c>
      <c r="U806" s="10" t="n">
        <v>0</v>
      </c>
    </row>
    <row r="807" customFormat="false" ht="15" hidden="false" customHeight="false" outlineLevel="0" collapsed="false">
      <c r="A807" s="7" t="s">
        <v>931</v>
      </c>
      <c r="B807" s="7" t="s">
        <v>208</v>
      </c>
      <c r="C807" s="7" t="s">
        <v>947</v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>
        <v>-1</v>
      </c>
      <c r="J807" s="10" t="n">
        <v>0</v>
      </c>
      <c r="K807" s="10" t="n">
        <v>0</v>
      </c>
      <c r="L807" s="10" t="n">
        <v>0</v>
      </c>
      <c r="M807" s="10" t="n">
        <v>0</v>
      </c>
      <c r="N807" s="10" t="n">
        <v>0</v>
      </c>
      <c r="O807" s="10" t="n">
        <v>0</v>
      </c>
      <c r="P807" s="10" t="n">
        <v>0</v>
      </c>
      <c r="Q807" s="10" t="n">
        <v>-1</v>
      </c>
      <c r="R807" s="10" t="n">
        <v>0</v>
      </c>
      <c r="S807" s="10" t="n">
        <v>0</v>
      </c>
      <c r="T807" s="10" t="n">
        <v>0</v>
      </c>
      <c r="U807" s="10" t="n">
        <v>0</v>
      </c>
    </row>
    <row r="808" customFormat="false" ht="15" hidden="false" customHeight="false" outlineLevel="0" collapsed="false">
      <c r="A808" s="7" t="s">
        <v>931</v>
      </c>
      <c r="B808" s="7" t="s">
        <v>77</v>
      </c>
      <c r="C808" s="7" t="s">
        <v>665</v>
      </c>
      <c r="D808" s="10" t="n">
        <v>0</v>
      </c>
      <c r="E808" s="10" t="n">
        <v>0</v>
      </c>
      <c r="F808" s="10" t="n">
        <v>4</v>
      </c>
      <c r="G808" s="10" t="n">
        <v>0</v>
      </c>
      <c r="H808" s="10" t="n">
        <v>0</v>
      </c>
      <c r="I808" s="10" t="n">
        <v>19</v>
      </c>
      <c r="J808" s="10" t="n">
        <v>0</v>
      </c>
      <c r="K808" s="10" t="n">
        <v>0</v>
      </c>
      <c r="L808" s="10" t="n">
        <v>0</v>
      </c>
      <c r="M808" s="10" t="n">
        <v>0</v>
      </c>
      <c r="N808" s="10" t="n">
        <v>0</v>
      </c>
      <c r="O808" s="10" t="n">
        <v>0</v>
      </c>
      <c r="P808" s="10" t="n">
        <v>0</v>
      </c>
      <c r="Q808" s="10" t="n">
        <v>17</v>
      </c>
      <c r="R808" s="10" t="n">
        <v>2</v>
      </c>
      <c r="S808" s="10" t="n">
        <v>0</v>
      </c>
      <c r="T808" s="10" t="n">
        <v>4</v>
      </c>
      <c r="U808" s="10" t="n">
        <v>0</v>
      </c>
    </row>
    <row r="809" customFormat="false" ht="15" hidden="false" customHeight="false" outlineLevel="0" collapsed="false">
      <c r="A809" s="7" t="s">
        <v>931</v>
      </c>
      <c r="B809" s="7" t="s">
        <v>77</v>
      </c>
      <c r="C809" s="7" t="s">
        <v>666</v>
      </c>
      <c r="D809" s="10" t="n">
        <v>0</v>
      </c>
      <c r="E809" s="10" t="n">
        <v>0</v>
      </c>
      <c r="F809" s="10" t="n">
        <v>11</v>
      </c>
      <c r="G809" s="10" t="n">
        <v>0</v>
      </c>
      <c r="H809" s="10" t="n">
        <v>0</v>
      </c>
      <c r="I809" s="10" t="n">
        <v>110</v>
      </c>
      <c r="J809" s="10" t="n">
        <v>0</v>
      </c>
      <c r="K809" s="10" t="n">
        <v>0</v>
      </c>
      <c r="L809" s="10" t="n">
        <v>0</v>
      </c>
      <c r="M809" s="10" t="n">
        <v>0</v>
      </c>
      <c r="N809" s="10" t="n">
        <v>0</v>
      </c>
      <c r="O809" s="10" t="n">
        <v>0</v>
      </c>
      <c r="P809" s="10" t="n">
        <v>0</v>
      </c>
      <c r="Q809" s="10" t="n">
        <v>105</v>
      </c>
      <c r="R809" s="10" t="n">
        <v>5</v>
      </c>
      <c r="S809" s="10" t="n">
        <v>0</v>
      </c>
      <c r="T809" s="10" t="n">
        <v>21</v>
      </c>
      <c r="U809" s="10" t="n">
        <v>0</v>
      </c>
    </row>
    <row r="810" customFormat="false" ht="15" hidden="false" customHeight="false" outlineLevel="0" collapsed="false">
      <c r="A810" s="7" t="s">
        <v>931</v>
      </c>
      <c r="B810" s="7" t="s">
        <v>77</v>
      </c>
      <c r="C810" s="7" t="s">
        <v>667</v>
      </c>
      <c r="D810" s="10" t="n">
        <v>0</v>
      </c>
      <c r="E810" s="10" t="n">
        <v>0</v>
      </c>
      <c r="F810" s="10" t="n">
        <v>27</v>
      </c>
      <c r="G810" s="10" t="n">
        <v>0</v>
      </c>
      <c r="H810" s="10" t="n">
        <v>0</v>
      </c>
      <c r="I810" s="10" t="n">
        <v>138</v>
      </c>
      <c r="J810" s="10" t="n">
        <v>0</v>
      </c>
      <c r="K810" s="10" t="n">
        <v>0</v>
      </c>
      <c r="L810" s="10" t="n">
        <v>0</v>
      </c>
      <c r="M810" s="10" t="n">
        <v>0</v>
      </c>
      <c r="N810" s="10" t="n">
        <v>0</v>
      </c>
      <c r="O810" s="10" t="n">
        <v>0</v>
      </c>
      <c r="P810" s="10" t="n">
        <v>0</v>
      </c>
      <c r="Q810" s="10" t="n">
        <v>128</v>
      </c>
      <c r="R810" s="10" t="n">
        <v>10</v>
      </c>
      <c r="S810" s="10" t="n">
        <v>0</v>
      </c>
      <c r="T810" s="10" t="n">
        <v>19</v>
      </c>
      <c r="U810" s="10" t="n">
        <v>0</v>
      </c>
    </row>
    <row r="811" customFormat="false" ht="15" hidden="false" customHeight="false" outlineLevel="0" collapsed="false">
      <c r="A811" s="7" t="s">
        <v>931</v>
      </c>
      <c r="B811" s="7" t="s">
        <v>77</v>
      </c>
      <c r="C811" s="7" t="s">
        <v>668</v>
      </c>
      <c r="D811" s="10" t="n">
        <v>0</v>
      </c>
      <c r="E811" s="10" t="n">
        <v>0</v>
      </c>
      <c r="F811" s="10" t="n">
        <v>14</v>
      </c>
      <c r="G811" s="10" t="n">
        <v>0</v>
      </c>
      <c r="H811" s="10" t="n">
        <v>0</v>
      </c>
      <c r="I811" s="10" t="n">
        <v>143</v>
      </c>
      <c r="J811" s="10" t="n">
        <v>0</v>
      </c>
      <c r="K811" s="10" t="n">
        <v>0</v>
      </c>
      <c r="L811" s="10" t="n">
        <v>0</v>
      </c>
      <c r="M811" s="10" t="n">
        <v>0</v>
      </c>
      <c r="N811" s="10" t="n">
        <v>0</v>
      </c>
      <c r="O811" s="10" t="n">
        <v>0</v>
      </c>
      <c r="P811" s="10" t="n">
        <v>0</v>
      </c>
      <c r="Q811" s="10" t="n">
        <v>134</v>
      </c>
      <c r="R811" s="10" t="n">
        <v>9</v>
      </c>
      <c r="S811" s="10" t="n">
        <v>0</v>
      </c>
      <c r="T811" s="10" t="n">
        <v>14</v>
      </c>
      <c r="U811" s="10" t="n">
        <v>0</v>
      </c>
    </row>
    <row r="812" customFormat="false" ht="15" hidden="false" customHeight="false" outlineLevel="0" collapsed="false">
      <c r="A812" s="7" t="s">
        <v>931</v>
      </c>
      <c r="B812" s="7" t="s">
        <v>77</v>
      </c>
      <c r="C812" s="7" t="s">
        <v>669</v>
      </c>
      <c r="D812" s="10" t="n">
        <v>0</v>
      </c>
      <c r="E812" s="10" t="n">
        <v>0</v>
      </c>
      <c r="F812" s="10" t="n">
        <v>7</v>
      </c>
      <c r="G812" s="10" t="n">
        <v>0</v>
      </c>
      <c r="H812" s="10" t="n">
        <v>0</v>
      </c>
      <c r="I812" s="10" t="n">
        <v>53</v>
      </c>
      <c r="J812" s="10" t="n">
        <v>0</v>
      </c>
      <c r="K812" s="10" t="n">
        <v>0</v>
      </c>
      <c r="L812" s="10" t="n">
        <v>0</v>
      </c>
      <c r="M812" s="10" t="n">
        <v>0</v>
      </c>
      <c r="N812" s="10" t="n">
        <v>0</v>
      </c>
      <c r="O812" s="10" t="n">
        <v>0</v>
      </c>
      <c r="P812" s="10" t="n">
        <v>0</v>
      </c>
      <c r="Q812" s="10" t="n">
        <v>50</v>
      </c>
      <c r="R812" s="10" t="n">
        <v>3</v>
      </c>
      <c r="S812" s="10" t="n">
        <v>0</v>
      </c>
      <c r="T812" s="10" t="n">
        <v>7</v>
      </c>
      <c r="U812" s="10" t="n">
        <v>0</v>
      </c>
    </row>
    <row r="813" customFormat="false" ht="15" hidden="false" customHeight="false" outlineLevel="0" collapsed="false">
      <c r="A813" s="7" t="s">
        <v>931</v>
      </c>
      <c r="B813" s="7" t="s">
        <v>329</v>
      </c>
      <c r="C813" s="7" t="s">
        <v>670</v>
      </c>
      <c r="D813" s="10" t="n">
        <v>0</v>
      </c>
      <c r="E813" s="10" t="n">
        <v>0</v>
      </c>
      <c r="F813" s="10" t="n">
        <v>1</v>
      </c>
      <c r="G813" s="10" t="n">
        <v>0</v>
      </c>
      <c r="H813" s="10" t="n">
        <v>0</v>
      </c>
      <c r="I813" s="10" t="n">
        <v>0</v>
      </c>
      <c r="J813" s="10" t="n">
        <v>0</v>
      </c>
      <c r="K813" s="10" t="n">
        <v>0</v>
      </c>
      <c r="L813" s="10" t="n">
        <v>0</v>
      </c>
      <c r="M813" s="10" t="n">
        <v>0</v>
      </c>
      <c r="N813" s="10" t="n">
        <v>0</v>
      </c>
      <c r="O813" s="10" t="n">
        <v>0</v>
      </c>
      <c r="P813" s="10" t="n">
        <v>0</v>
      </c>
      <c r="Q813" s="10" t="n">
        <v>0</v>
      </c>
      <c r="R813" s="10" t="n">
        <v>0</v>
      </c>
      <c r="S813" s="10" t="n">
        <v>0</v>
      </c>
      <c r="T813" s="10" t="n">
        <v>0</v>
      </c>
      <c r="U813" s="10" t="n">
        <v>0</v>
      </c>
    </row>
    <row r="814" customFormat="false" ht="15" hidden="false" customHeight="false" outlineLevel="0" collapsed="false">
      <c r="A814" s="7" t="s">
        <v>931</v>
      </c>
      <c r="B814" s="7" t="s">
        <v>298</v>
      </c>
      <c r="C814" s="7" t="s">
        <v>675</v>
      </c>
      <c r="D814" s="10" t="n">
        <v>0</v>
      </c>
      <c r="E814" s="10" t="n">
        <v>0</v>
      </c>
      <c r="F814" s="10" t="n">
        <v>1</v>
      </c>
      <c r="G814" s="10" t="n">
        <v>0</v>
      </c>
      <c r="H814" s="10" t="n">
        <v>0</v>
      </c>
      <c r="I814" s="10" t="n">
        <v>0</v>
      </c>
      <c r="J814" s="10" t="n">
        <v>0</v>
      </c>
      <c r="K814" s="10" t="n">
        <v>0</v>
      </c>
      <c r="L814" s="10" t="n">
        <v>0</v>
      </c>
      <c r="M814" s="10" t="n">
        <v>0</v>
      </c>
      <c r="N814" s="10" t="n">
        <v>0</v>
      </c>
      <c r="O814" s="10" t="n">
        <v>0</v>
      </c>
      <c r="P814" s="10" t="n">
        <v>0</v>
      </c>
      <c r="Q814" s="10" t="n">
        <v>0</v>
      </c>
      <c r="R814" s="10" t="n">
        <v>0</v>
      </c>
      <c r="S814" s="10" t="n">
        <v>0</v>
      </c>
      <c r="T814" s="10" t="n">
        <v>0</v>
      </c>
      <c r="U814" s="10" t="n">
        <v>0</v>
      </c>
    </row>
    <row r="815" customFormat="false" ht="15" hidden="false" customHeight="false" outlineLevel="0" collapsed="false">
      <c r="A815" s="7" t="s">
        <v>931</v>
      </c>
      <c r="B815" s="7" t="s">
        <v>323</v>
      </c>
      <c r="C815" s="7" t="s">
        <v>948</v>
      </c>
      <c r="D815" s="10" t="n">
        <v>0</v>
      </c>
      <c r="E815" s="10" t="n">
        <v>0</v>
      </c>
      <c r="F815" s="10" t="n">
        <v>1</v>
      </c>
      <c r="G815" s="10" t="n">
        <v>0</v>
      </c>
      <c r="H815" s="10" t="n">
        <v>0</v>
      </c>
      <c r="I815" s="10" t="n">
        <v>0</v>
      </c>
      <c r="J815" s="10" t="n">
        <v>0</v>
      </c>
      <c r="K815" s="10" t="n">
        <v>0</v>
      </c>
      <c r="L815" s="10" t="n">
        <v>0</v>
      </c>
      <c r="M815" s="10" t="n">
        <v>0</v>
      </c>
      <c r="N815" s="10" t="n">
        <v>0</v>
      </c>
      <c r="O815" s="10" t="n">
        <v>0</v>
      </c>
      <c r="P815" s="10" t="n">
        <v>0</v>
      </c>
      <c r="Q815" s="10" t="n">
        <v>0</v>
      </c>
      <c r="R815" s="10" t="n">
        <v>0</v>
      </c>
      <c r="S815" s="10" t="n">
        <v>0</v>
      </c>
      <c r="T815" s="10" t="n">
        <v>0</v>
      </c>
      <c r="U815" s="10" t="n">
        <v>0</v>
      </c>
    </row>
    <row r="816" customFormat="false" ht="15" hidden="false" customHeight="false" outlineLevel="0" collapsed="false">
      <c r="A816" s="7" t="s">
        <v>931</v>
      </c>
      <c r="B816" s="7" t="s">
        <v>210</v>
      </c>
      <c r="C816" s="7" t="s">
        <v>679</v>
      </c>
      <c r="D816" s="10" t="n">
        <v>0</v>
      </c>
      <c r="E816" s="10" t="n">
        <v>0</v>
      </c>
      <c r="F816" s="10" t="n">
        <v>4</v>
      </c>
      <c r="G816" s="10" t="n">
        <v>0</v>
      </c>
      <c r="H816" s="10" t="n">
        <v>0</v>
      </c>
      <c r="I816" s="10" t="n">
        <v>7</v>
      </c>
      <c r="J816" s="10" t="n">
        <v>0</v>
      </c>
      <c r="K816" s="10" t="n">
        <v>0</v>
      </c>
      <c r="L816" s="10" t="n">
        <v>0</v>
      </c>
      <c r="M816" s="10" t="n">
        <v>0</v>
      </c>
      <c r="N816" s="10" t="n">
        <v>0</v>
      </c>
      <c r="O816" s="10" t="n">
        <v>0</v>
      </c>
      <c r="P816" s="10" t="n">
        <v>-2</v>
      </c>
      <c r="Q816" s="10" t="n">
        <v>3</v>
      </c>
      <c r="R816" s="10" t="n">
        <v>6</v>
      </c>
      <c r="S816" s="10" t="n">
        <v>0</v>
      </c>
      <c r="T816" s="10" t="n">
        <v>0</v>
      </c>
      <c r="U816" s="10" t="n">
        <v>0</v>
      </c>
    </row>
    <row r="817" customFormat="false" ht="15" hidden="false" customHeight="false" outlineLevel="0" collapsed="false">
      <c r="A817" s="7" t="s">
        <v>931</v>
      </c>
      <c r="B817" s="7" t="s">
        <v>210</v>
      </c>
      <c r="C817" s="7" t="s">
        <v>680</v>
      </c>
      <c r="D817" s="10" t="n">
        <v>0</v>
      </c>
      <c r="E817" s="10" t="n">
        <v>0</v>
      </c>
      <c r="F817" s="10" t="n">
        <v>2</v>
      </c>
      <c r="G817" s="10" t="n">
        <v>0</v>
      </c>
      <c r="H817" s="10" t="n">
        <v>0</v>
      </c>
      <c r="I817" s="10" t="n">
        <v>1</v>
      </c>
      <c r="J817" s="10" t="n">
        <v>0</v>
      </c>
      <c r="K817" s="10" t="n">
        <v>0</v>
      </c>
      <c r="L817" s="10" t="n">
        <v>0</v>
      </c>
      <c r="M817" s="10" t="n">
        <v>0</v>
      </c>
      <c r="N817" s="10" t="n">
        <v>0</v>
      </c>
      <c r="O817" s="10" t="n">
        <v>0</v>
      </c>
      <c r="P817" s="10" t="n">
        <v>0</v>
      </c>
      <c r="Q817" s="10" t="n">
        <v>-3</v>
      </c>
      <c r="R817" s="10" t="n">
        <v>4</v>
      </c>
      <c r="S817" s="10" t="n">
        <v>0</v>
      </c>
      <c r="T817" s="10" t="n">
        <v>1</v>
      </c>
      <c r="U817" s="10" t="n">
        <v>0</v>
      </c>
    </row>
    <row r="818" customFormat="false" ht="15" hidden="false" customHeight="false" outlineLevel="0" collapsed="false">
      <c r="A818" s="7" t="s">
        <v>931</v>
      </c>
      <c r="B818" s="7" t="s">
        <v>210</v>
      </c>
      <c r="C818" s="7" t="s">
        <v>681</v>
      </c>
      <c r="D818" s="10" t="n">
        <v>0</v>
      </c>
      <c r="E818" s="10" t="n">
        <v>0</v>
      </c>
      <c r="F818" s="10" t="n">
        <v>1</v>
      </c>
      <c r="G818" s="10" t="n">
        <v>0</v>
      </c>
      <c r="H818" s="10" t="n">
        <v>0</v>
      </c>
      <c r="I818" s="10" t="n">
        <v>3</v>
      </c>
      <c r="J818" s="10" t="n">
        <v>0</v>
      </c>
      <c r="K818" s="10" t="n">
        <v>0</v>
      </c>
      <c r="L818" s="10" t="n">
        <v>0</v>
      </c>
      <c r="M818" s="10" t="n">
        <v>0</v>
      </c>
      <c r="N818" s="10" t="n">
        <v>0</v>
      </c>
      <c r="O818" s="10" t="n">
        <v>0</v>
      </c>
      <c r="P818" s="10" t="n">
        <v>0</v>
      </c>
      <c r="Q818" s="10" t="n">
        <v>3</v>
      </c>
      <c r="R818" s="10" t="n">
        <v>0</v>
      </c>
      <c r="S818" s="10" t="n">
        <v>0</v>
      </c>
      <c r="T818" s="10" t="n">
        <v>0</v>
      </c>
      <c r="U818" s="10" t="n">
        <v>0</v>
      </c>
    </row>
    <row r="819" customFormat="false" ht="15" hidden="false" customHeight="false" outlineLevel="0" collapsed="false">
      <c r="A819" s="7" t="s">
        <v>931</v>
      </c>
      <c r="B819" s="7" t="s">
        <v>178</v>
      </c>
      <c r="C819" s="7" t="s">
        <v>685</v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>
        <v>-3</v>
      </c>
      <c r="J819" s="10" t="n">
        <v>0</v>
      </c>
      <c r="K819" s="10" t="n">
        <v>0</v>
      </c>
      <c r="L819" s="10" t="n">
        <v>0</v>
      </c>
      <c r="M819" s="10" t="n">
        <v>0</v>
      </c>
      <c r="N819" s="10" t="n">
        <v>0</v>
      </c>
      <c r="O819" s="10" t="n">
        <v>0</v>
      </c>
      <c r="P819" s="10" t="n">
        <v>-3</v>
      </c>
      <c r="Q819" s="10" t="n">
        <v>0</v>
      </c>
      <c r="R819" s="10" t="n">
        <v>0</v>
      </c>
      <c r="S819" s="10" t="n">
        <v>0</v>
      </c>
      <c r="T819" s="10" t="n">
        <v>0</v>
      </c>
      <c r="U819" s="10" t="n">
        <v>0</v>
      </c>
    </row>
    <row r="820" customFormat="false" ht="15" hidden="false" customHeight="false" outlineLevel="0" collapsed="false">
      <c r="A820" s="7" t="s">
        <v>931</v>
      </c>
      <c r="B820" s="7" t="s">
        <v>178</v>
      </c>
      <c r="C820" s="7" t="s">
        <v>686</v>
      </c>
      <c r="D820" s="10" t="n">
        <v>0</v>
      </c>
      <c r="E820" s="10" t="n">
        <v>0</v>
      </c>
      <c r="F820" s="10" t="n">
        <v>2</v>
      </c>
      <c r="G820" s="10" t="n">
        <v>0</v>
      </c>
      <c r="H820" s="10" t="n">
        <v>0</v>
      </c>
      <c r="I820" s="10" t="n">
        <v>0</v>
      </c>
      <c r="J820" s="10" t="n">
        <v>0</v>
      </c>
      <c r="K820" s="10" t="n">
        <v>0</v>
      </c>
      <c r="L820" s="10" t="n">
        <v>0</v>
      </c>
      <c r="M820" s="10" t="n">
        <v>0</v>
      </c>
      <c r="N820" s="10" t="n">
        <v>0</v>
      </c>
      <c r="O820" s="10" t="n">
        <v>0</v>
      </c>
      <c r="P820" s="10" t="n">
        <v>0</v>
      </c>
      <c r="Q820" s="10" t="n">
        <v>0</v>
      </c>
      <c r="R820" s="10" t="n">
        <v>0</v>
      </c>
      <c r="S820" s="10" t="n">
        <v>0</v>
      </c>
      <c r="T820" s="10" t="n">
        <v>0</v>
      </c>
      <c r="U820" s="10" t="n">
        <v>0</v>
      </c>
    </row>
    <row r="821" customFormat="false" ht="15" hidden="false" customHeight="false" outlineLevel="0" collapsed="false">
      <c r="A821" s="7" t="s">
        <v>931</v>
      </c>
      <c r="B821" s="7" t="s">
        <v>89</v>
      </c>
      <c r="C821" s="7" t="s">
        <v>687</v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>
        <v>-1</v>
      </c>
      <c r="J821" s="10" t="n">
        <v>0</v>
      </c>
      <c r="K821" s="10" t="n">
        <v>0</v>
      </c>
      <c r="L821" s="10" t="n">
        <v>0</v>
      </c>
      <c r="M821" s="10" t="n">
        <v>0</v>
      </c>
      <c r="N821" s="10" t="n">
        <v>0</v>
      </c>
      <c r="O821" s="10" t="n">
        <v>0</v>
      </c>
      <c r="P821" s="10" t="n">
        <v>-1</v>
      </c>
      <c r="Q821" s="10" t="n">
        <v>0</v>
      </c>
      <c r="R821" s="10" t="n">
        <v>0</v>
      </c>
      <c r="S821" s="10" t="n">
        <v>0</v>
      </c>
      <c r="T821" s="10" t="n">
        <v>0</v>
      </c>
      <c r="U821" s="10" t="n">
        <v>0</v>
      </c>
    </row>
    <row r="822" customFormat="false" ht="15" hidden="false" customHeight="false" outlineLevel="0" collapsed="false">
      <c r="A822" s="7" t="s">
        <v>931</v>
      </c>
      <c r="B822" s="7" t="s">
        <v>230</v>
      </c>
      <c r="C822" s="7" t="s">
        <v>688</v>
      </c>
      <c r="D822" s="10" t="n">
        <v>0</v>
      </c>
      <c r="E822" s="10" t="n">
        <v>0</v>
      </c>
      <c r="F822" s="10" t="n">
        <v>3</v>
      </c>
      <c r="G822" s="10" t="n">
        <v>0</v>
      </c>
      <c r="H822" s="10" t="n">
        <v>0</v>
      </c>
      <c r="I822" s="10" t="n">
        <v>17</v>
      </c>
      <c r="J822" s="10" t="n">
        <v>0</v>
      </c>
      <c r="K822" s="10" t="n">
        <v>0</v>
      </c>
      <c r="L822" s="10" t="n">
        <v>0</v>
      </c>
      <c r="M822" s="10" t="n">
        <v>0</v>
      </c>
      <c r="N822" s="10" t="n">
        <v>0</v>
      </c>
      <c r="O822" s="10" t="n">
        <v>0</v>
      </c>
      <c r="P822" s="10" t="n">
        <v>0</v>
      </c>
      <c r="Q822" s="10" t="n">
        <v>17</v>
      </c>
      <c r="R822" s="10" t="n">
        <v>0</v>
      </c>
      <c r="S822" s="10" t="n">
        <v>0</v>
      </c>
      <c r="T822" s="10" t="n">
        <v>0</v>
      </c>
      <c r="U822" s="10" t="n">
        <v>0</v>
      </c>
    </row>
    <row r="823" customFormat="false" ht="15" hidden="false" customHeight="false" outlineLevel="0" collapsed="false">
      <c r="A823" s="7" t="s">
        <v>931</v>
      </c>
      <c r="B823" s="7" t="s">
        <v>305</v>
      </c>
      <c r="C823" s="7" t="s">
        <v>689</v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>
        <v>0</v>
      </c>
      <c r="J823" s="10" t="n">
        <v>0</v>
      </c>
      <c r="K823" s="10" t="n">
        <v>0</v>
      </c>
      <c r="L823" s="10" t="n">
        <v>0</v>
      </c>
      <c r="M823" s="10" t="n">
        <v>0</v>
      </c>
      <c r="N823" s="10" t="n">
        <v>0</v>
      </c>
      <c r="O823" s="10" t="n">
        <v>0</v>
      </c>
      <c r="P823" s="10" t="n">
        <v>0</v>
      </c>
      <c r="Q823" s="10" t="n">
        <v>0</v>
      </c>
      <c r="R823" s="10" t="n">
        <v>0</v>
      </c>
      <c r="S823" s="10" t="n">
        <v>0</v>
      </c>
      <c r="T823" s="10" t="n">
        <v>4</v>
      </c>
      <c r="U823" s="10" t="n">
        <v>0</v>
      </c>
    </row>
    <row r="824" customFormat="false" ht="15" hidden="false" customHeight="false" outlineLevel="0" collapsed="false">
      <c r="A824" s="7" t="s">
        <v>931</v>
      </c>
      <c r="B824" s="7" t="s">
        <v>102</v>
      </c>
      <c r="C824" s="7" t="s">
        <v>690</v>
      </c>
      <c r="D824" s="10" t="n">
        <v>0</v>
      </c>
      <c r="E824" s="10" t="n">
        <v>0</v>
      </c>
      <c r="F824" s="10" t="n">
        <v>74</v>
      </c>
      <c r="G824" s="10" t="n">
        <v>0</v>
      </c>
      <c r="H824" s="10" t="n">
        <v>0</v>
      </c>
      <c r="I824" s="10" t="n">
        <v>740</v>
      </c>
      <c r="J824" s="10" t="n">
        <v>0</v>
      </c>
      <c r="K824" s="10" t="n">
        <v>7</v>
      </c>
      <c r="L824" s="10" t="n">
        <v>0</v>
      </c>
      <c r="M824" s="10" t="n">
        <v>2</v>
      </c>
      <c r="N824" s="10" t="n">
        <v>5</v>
      </c>
      <c r="O824" s="10" t="n">
        <v>0</v>
      </c>
      <c r="P824" s="10" t="n">
        <v>-7</v>
      </c>
      <c r="Q824" s="10" t="n">
        <v>673</v>
      </c>
      <c r="R824" s="10" t="n">
        <v>60</v>
      </c>
      <c r="S824" s="10" t="n">
        <v>0</v>
      </c>
      <c r="T824" s="10" t="n">
        <v>62</v>
      </c>
      <c r="U824" s="10" t="n">
        <v>0</v>
      </c>
    </row>
    <row r="825" customFormat="false" ht="15" hidden="false" customHeight="false" outlineLevel="0" collapsed="false">
      <c r="A825" s="7" t="s">
        <v>931</v>
      </c>
      <c r="B825" s="7" t="s">
        <v>294</v>
      </c>
      <c r="C825" s="7" t="s">
        <v>692</v>
      </c>
      <c r="D825" s="10" t="n">
        <v>0</v>
      </c>
      <c r="E825" s="10" t="n">
        <v>0</v>
      </c>
      <c r="F825" s="10" t="n">
        <v>326</v>
      </c>
      <c r="G825" s="10" t="n">
        <v>0</v>
      </c>
      <c r="H825" s="10" t="n">
        <v>0</v>
      </c>
      <c r="I825" s="10" t="n">
        <v>9</v>
      </c>
      <c r="J825" s="10" t="n">
        <v>0</v>
      </c>
      <c r="K825" s="10" t="n">
        <v>0</v>
      </c>
      <c r="L825" s="10" t="n">
        <v>0</v>
      </c>
      <c r="M825" s="10" t="n">
        <v>5</v>
      </c>
      <c r="N825" s="10" t="n">
        <v>4</v>
      </c>
      <c r="O825" s="10" t="n">
        <v>0</v>
      </c>
      <c r="P825" s="10" t="n">
        <v>0</v>
      </c>
      <c r="Q825" s="10" t="n">
        <v>0</v>
      </c>
      <c r="R825" s="10" t="n">
        <v>0</v>
      </c>
      <c r="S825" s="10" t="n">
        <v>0</v>
      </c>
      <c r="T825" s="10" t="n">
        <v>0</v>
      </c>
      <c r="U825" s="10" t="n">
        <v>0</v>
      </c>
    </row>
    <row r="826" customFormat="false" ht="15" hidden="false" customHeight="false" outlineLevel="0" collapsed="false">
      <c r="A826" s="7" t="s">
        <v>931</v>
      </c>
      <c r="B826" s="7" t="s">
        <v>276</v>
      </c>
      <c r="C826" s="7" t="s">
        <v>693</v>
      </c>
      <c r="D826" s="10" t="n">
        <v>0</v>
      </c>
      <c r="E826" s="10" t="n">
        <v>0</v>
      </c>
      <c r="F826" s="10" t="n">
        <v>73</v>
      </c>
      <c r="G826" s="10" t="n">
        <v>0</v>
      </c>
      <c r="H826" s="10" t="n">
        <v>0</v>
      </c>
      <c r="I826" s="10" t="n">
        <v>22</v>
      </c>
      <c r="J826" s="10" t="n">
        <v>0</v>
      </c>
      <c r="K826" s="10" t="n">
        <v>2</v>
      </c>
      <c r="L826" s="10" t="n">
        <v>0</v>
      </c>
      <c r="M826" s="10" t="n">
        <v>0</v>
      </c>
      <c r="N826" s="10" t="n">
        <v>0</v>
      </c>
      <c r="O826" s="10" t="n">
        <v>0</v>
      </c>
      <c r="P826" s="10" t="n">
        <v>0</v>
      </c>
      <c r="Q826" s="10" t="n">
        <v>0</v>
      </c>
      <c r="R826" s="10" t="n">
        <v>20</v>
      </c>
      <c r="S826" s="10" t="n">
        <v>0</v>
      </c>
      <c r="T826" s="10" t="n">
        <v>0</v>
      </c>
      <c r="U826" s="10" t="n">
        <v>0</v>
      </c>
    </row>
    <row r="827" customFormat="false" ht="15" hidden="false" customHeight="false" outlineLevel="0" collapsed="false">
      <c r="A827" s="7" t="s">
        <v>931</v>
      </c>
      <c r="B827" s="7" t="s">
        <v>66</v>
      </c>
      <c r="C827" s="7" t="s">
        <v>694</v>
      </c>
      <c r="D827" s="10" t="n">
        <v>0</v>
      </c>
      <c r="E827" s="10" t="n">
        <v>0</v>
      </c>
      <c r="F827" s="10" t="n">
        <v>480</v>
      </c>
      <c r="G827" s="10" t="n">
        <v>0</v>
      </c>
      <c r="H827" s="10" t="n">
        <v>0</v>
      </c>
      <c r="I827" s="10" t="n">
        <v>496</v>
      </c>
      <c r="J827" s="10" t="n">
        <v>0</v>
      </c>
      <c r="K827" s="10" t="n">
        <v>0</v>
      </c>
      <c r="L827" s="10" t="n">
        <v>0</v>
      </c>
      <c r="M827" s="10" t="n">
        <v>16</v>
      </c>
      <c r="N827" s="10" t="n">
        <v>0</v>
      </c>
      <c r="O827" s="10" t="n">
        <v>0</v>
      </c>
      <c r="P827" s="10" t="n">
        <v>0</v>
      </c>
      <c r="Q827" s="10" t="n">
        <v>480</v>
      </c>
      <c r="R827" s="10" t="n">
        <v>0</v>
      </c>
      <c r="S827" s="10" t="n">
        <v>0</v>
      </c>
      <c r="T827" s="10" t="n">
        <v>0</v>
      </c>
      <c r="U827" s="10" t="n">
        <v>0</v>
      </c>
    </row>
    <row r="828" customFormat="false" ht="15" hidden="false" customHeight="false" outlineLevel="0" collapsed="false">
      <c r="A828" s="7" t="s">
        <v>931</v>
      </c>
      <c r="B828" s="7" t="s">
        <v>302</v>
      </c>
      <c r="C828" s="7" t="s">
        <v>695</v>
      </c>
      <c r="D828" s="10" t="n">
        <v>0</v>
      </c>
      <c r="E828" s="10" t="n">
        <v>0</v>
      </c>
      <c r="F828" s="10" t="n">
        <v>22</v>
      </c>
      <c r="G828" s="10" t="n">
        <v>0</v>
      </c>
      <c r="H828" s="10" t="n">
        <v>0</v>
      </c>
      <c r="I828" s="10" t="n">
        <v>0</v>
      </c>
      <c r="J828" s="10" t="n">
        <v>0</v>
      </c>
      <c r="K828" s="10" t="n">
        <v>0</v>
      </c>
      <c r="L828" s="10" t="n">
        <v>0</v>
      </c>
      <c r="M828" s="10" t="n">
        <v>0</v>
      </c>
      <c r="N828" s="10" t="n">
        <v>0</v>
      </c>
      <c r="O828" s="10" t="n">
        <v>0</v>
      </c>
      <c r="P828" s="10" t="n">
        <v>0</v>
      </c>
      <c r="Q828" s="10" t="n">
        <v>0</v>
      </c>
      <c r="R828" s="10" t="n">
        <v>0</v>
      </c>
      <c r="S828" s="10" t="n">
        <v>0</v>
      </c>
      <c r="T828" s="10" t="n">
        <v>0</v>
      </c>
      <c r="U828" s="10" t="n">
        <v>0</v>
      </c>
    </row>
    <row r="829" customFormat="false" ht="15" hidden="false" customHeight="false" outlineLevel="0" collapsed="false">
      <c r="A829" s="7" t="s">
        <v>931</v>
      </c>
      <c r="B829" s="7" t="s">
        <v>278</v>
      </c>
      <c r="C829" s="7" t="s">
        <v>696</v>
      </c>
      <c r="D829" s="10" t="n">
        <v>0</v>
      </c>
      <c r="E829" s="10" t="n">
        <v>0</v>
      </c>
      <c r="F829" s="10" t="n">
        <v>155</v>
      </c>
      <c r="G829" s="10" t="n">
        <v>0</v>
      </c>
      <c r="H829" s="10" t="n">
        <v>0</v>
      </c>
      <c r="I829" s="10" t="n">
        <v>3</v>
      </c>
      <c r="J829" s="10" t="n">
        <v>0</v>
      </c>
      <c r="K829" s="10" t="n">
        <v>0</v>
      </c>
      <c r="L829" s="10" t="n">
        <v>0</v>
      </c>
      <c r="M829" s="10" t="n">
        <v>3</v>
      </c>
      <c r="N829" s="10" t="n">
        <v>0</v>
      </c>
      <c r="O829" s="10" t="n">
        <v>0</v>
      </c>
      <c r="P829" s="10" t="n">
        <v>0</v>
      </c>
      <c r="Q829" s="10" t="n">
        <v>0</v>
      </c>
      <c r="R829" s="10" t="n">
        <v>0</v>
      </c>
      <c r="S829" s="10" t="n">
        <v>0</v>
      </c>
      <c r="T829" s="10" t="n">
        <v>0</v>
      </c>
      <c r="U829" s="10" t="n">
        <v>0</v>
      </c>
    </row>
    <row r="830" customFormat="false" ht="15" hidden="false" customHeight="false" outlineLevel="0" collapsed="false">
      <c r="A830" s="7" t="s">
        <v>931</v>
      </c>
      <c r="B830" s="7" t="s">
        <v>58</v>
      </c>
      <c r="C830" s="7" t="s">
        <v>697</v>
      </c>
      <c r="D830" s="10" t="n">
        <v>0</v>
      </c>
      <c r="E830" s="10" t="n">
        <v>0</v>
      </c>
      <c r="F830" s="10" t="n">
        <v>7</v>
      </c>
      <c r="G830" s="10" t="n">
        <v>0</v>
      </c>
      <c r="H830" s="10" t="n">
        <v>0</v>
      </c>
      <c r="I830" s="10" t="n">
        <v>0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n">
        <v>0</v>
      </c>
      <c r="O830" s="10" t="n">
        <v>0</v>
      </c>
      <c r="P830" s="10" t="n">
        <v>0</v>
      </c>
      <c r="Q830" s="10" t="n">
        <v>0</v>
      </c>
      <c r="R830" s="10" t="n">
        <v>0</v>
      </c>
      <c r="S830" s="10" t="n">
        <v>0</v>
      </c>
      <c r="T830" s="10" t="n">
        <v>0</v>
      </c>
      <c r="U830" s="10" t="n">
        <v>0</v>
      </c>
    </row>
    <row r="831" customFormat="false" ht="15" hidden="false" customHeight="false" outlineLevel="0" collapsed="false">
      <c r="A831" s="7" t="s">
        <v>931</v>
      </c>
      <c r="B831" s="7" t="s">
        <v>146</v>
      </c>
      <c r="C831" s="7" t="s">
        <v>698</v>
      </c>
      <c r="D831" s="10" t="n">
        <v>0</v>
      </c>
      <c r="E831" s="10" t="n">
        <v>0</v>
      </c>
      <c r="F831" s="10" t="n">
        <v>20</v>
      </c>
      <c r="G831" s="10" t="n">
        <v>0</v>
      </c>
      <c r="H831" s="10" t="n">
        <v>0</v>
      </c>
      <c r="I831" s="10" t="n">
        <v>65</v>
      </c>
      <c r="J831" s="10" t="n">
        <v>0</v>
      </c>
      <c r="K831" s="10" t="n">
        <v>2</v>
      </c>
      <c r="L831" s="10" t="n">
        <v>0</v>
      </c>
      <c r="M831" s="10" t="n">
        <v>0</v>
      </c>
      <c r="N831" s="10" t="n">
        <v>0</v>
      </c>
      <c r="O831" s="10" t="n">
        <v>0</v>
      </c>
      <c r="P831" s="10" t="n">
        <v>-1</v>
      </c>
      <c r="Q831" s="10" t="n">
        <v>57</v>
      </c>
      <c r="R831" s="10" t="n">
        <v>7</v>
      </c>
      <c r="S831" s="10" t="n">
        <v>0</v>
      </c>
      <c r="T831" s="10" t="n">
        <v>16</v>
      </c>
      <c r="U831" s="10" t="n">
        <v>0</v>
      </c>
    </row>
    <row r="832" customFormat="false" ht="15" hidden="false" customHeight="false" outlineLevel="0" collapsed="false">
      <c r="A832" s="7" t="s">
        <v>931</v>
      </c>
      <c r="B832" s="7" t="s">
        <v>69</v>
      </c>
      <c r="C832" s="7" t="s">
        <v>703</v>
      </c>
      <c r="D832" s="10" t="n">
        <v>0</v>
      </c>
      <c r="E832" s="10" t="n">
        <v>0</v>
      </c>
      <c r="F832" s="10" t="n">
        <v>419</v>
      </c>
      <c r="G832" s="10" t="n">
        <v>0</v>
      </c>
      <c r="H832" s="10" t="n">
        <v>0</v>
      </c>
      <c r="I832" s="10" t="n">
        <v>1600</v>
      </c>
      <c r="J832" s="10" t="n">
        <v>0</v>
      </c>
      <c r="K832" s="10" t="n">
        <v>6</v>
      </c>
      <c r="L832" s="10" t="n">
        <v>0</v>
      </c>
      <c r="M832" s="10" t="n">
        <v>0</v>
      </c>
      <c r="N832" s="10" t="n">
        <v>6</v>
      </c>
      <c r="O832" s="10" t="n">
        <v>0</v>
      </c>
      <c r="P832" s="10" t="n">
        <v>-3</v>
      </c>
      <c r="Q832" s="10" t="n">
        <v>1430</v>
      </c>
      <c r="R832" s="10" t="n">
        <v>161</v>
      </c>
      <c r="S832" s="10" t="n">
        <v>0</v>
      </c>
      <c r="T832" s="10" t="n">
        <v>0</v>
      </c>
      <c r="U832" s="10" t="n">
        <v>0</v>
      </c>
    </row>
    <row r="833" customFormat="false" ht="15" hidden="false" customHeight="false" outlineLevel="0" collapsed="false">
      <c r="A833" s="7" t="s">
        <v>931</v>
      </c>
      <c r="B833" s="7" t="s">
        <v>42</v>
      </c>
      <c r="C833" s="7" t="s">
        <v>704</v>
      </c>
      <c r="D833" s="10" t="n">
        <v>0</v>
      </c>
      <c r="E833" s="10" t="n">
        <v>0</v>
      </c>
      <c r="F833" s="10" t="n">
        <v>61</v>
      </c>
      <c r="G833" s="10" t="n">
        <v>0</v>
      </c>
      <c r="H833" s="10" t="n">
        <v>0</v>
      </c>
      <c r="I833" s="10" t="n">
        <v>369</v>
      </c>
      <c r="J833" s="10" t="n">
        <v>0</v>
      </c>
      <c r="K833" s="10" t="n">
        <v>0</v>
      </c>
      <c r="L833" s="10" t="n">
        <v>0</v>
      </c>
      <c r="M833" s="10" t="n">
        <v>0</v>
      </c>
      <c r="N833" s="10" t="n">
        <v>0</v>
      </c>
      <c r="O833" s="10" t="n">
        <v>0</v>
      </c>
      <c r="P833" s="10" t="n">
        <v>-2</v>
      </c>
      <c r="Q833" s="10" t="n">
        <v>312</v>
      </c>
      <c r="R833" s="10" t="n">
        <v>59</v>
      </c>
      <c r="S833" s="10" t="n">
        <v>0</v>
      </c>
      <c r="T833" s="10" t="n">
        <v>0</v>
      </c>
      <c r="U833" s="10" t="n">
        <v>-1</v>
      </c>
    </row>
    <row r="834" customFormat="false" ht="15" hidden="false" customHeight="false" outlineLevel="0" collapsed="false">
      <c r="A834" s="7" t="s">
        <v>931</v>
      </c>
      <c r="B834" s="7" t="s">
        <v>42</v>
      </c>
      <c r="C834" s="7" t="s">
        <v>705</v>
      </c>
      <c r="D834" s="10" t="n">
        <v>0</v>
      </c>
      <c r="E834" s="10" t="n">
        <v>0</v>
      </c>
      <c r="F834" s="10" t="n">
        <v>41</v>
      </c>
      <c r="G834" s="10" t="n">
        <v>0</v>
      </c>
      <c r="H834" s="10" t="n">
        <v>0</v>
      </c>
      <c r="I834" s="10" t="n">
        <v>444</v>
      </c>
      <c r="J834" s="10" t="n">
        <v>0</v>
      </c>
      <c r="K834" s="10" t="n">
        <v>3</v>
      </c>
      <c r="L834" s="10" t="n">
        <v>0</v>
      </c>
      <c r="M834" s="10" t="n">
        <v>0</v>
      </c>
      <c r="N834" s="10" t="n">
        <v>0</v>
      </c>
      <c r="O834" s="10" t="n">
        <v>1</v>
      </c>
      <c r="P834" s="10" t="n">
        <v>-4</v>
      </c>
      <c r="Q834" s="10" t="n">
        <v>385</v>
      </c>
      <c r="R834" s="10" t="n">
        <v>59</v>
      </c>
      <c r="S834" s="10" t="n">
        <v>0</v>
      </c>
      <c r="T834" s="10" t="n">
        <v>0</v>
      </c>
      <c r="U834" s="10" t="n">
        <v>-2</v>
      </c>
    </row>
    <row r="835" customFormat="false" ht="15" hidden="false" customHeight="false" outlineLevel="0" collapsed="false">
      <c r="A835" s="7" t="s">
        <v>931</v>
      </c>
      <c r="B835" s="7" t="s">
        <v>42</v>
      </c>
      <c r="C835" s="7" t="s">
        <v>706</v>
      </c>
      <c r="D835" s="10" t="n">
        <v>0</v>
      </c>
      <c r="E835" s="10" t="n">
        <v>0</v>
      </c>
      <c r="F835" s="10" t="n">
        <v>28</v>
      </c>
      <c r="G835" s="10" t="n">
        <v>0</v>
      </c>
      <c r="H835" s="10" t="n">
        <v>0</v>
      </c>
      <c r="I835" s="10" t="n">
        <v>318</v>
      </c>
      <c r="J835" s="10" t="n">
        <v>0</v>
      </c>
      <c r="K835" s="10" t="n">
        <v>0</v>
      </c>
      <c r="L835" s="10" t="n">
        <v>0</v>
      </c>
      <c r="M835" s="10" t="n">
        <v>0</v>
      </c>
      <c r="N835" s="10" t="n">
        <v>0</v>
      </c>
      <c r="O835" s="10" t="n">
        <v>0</v>
      </c>
      <c r="P835" s="10" t="n">
        <v>-2</v>
      </c>
      <c r="Q835" s="10" t="n">
        <v>278</v>
      </c>
      <c r="R835" s="10" t="n">
        <v>42</v>
      </c>
      <c r="S835" s="10" t="n">
        <v>0</v>
      </c>
      <c r="T835" s="10" t="n">
        <v>0</v>
      </c>
      <c r="U835" s="10" t="n">
        <v>0</v>
      </c>
    </row>
    <row r="836" customFormat="false" ht="15" hidden="false" customHeight="false" outlineLevel="0" collapsed="false">
      <c r="A836" s="7" t="s">
        <v>931</v>
      </c>
      <c r="B836" s="7" t="s">
        <v>42</v>
      </c>
      <c r="C836" s="7" t="s">
        <v>707</v>
      </c>
      <c r="D836" s="10" t="n">
        <v>0</v>
      </c>
      <c r="E836" s="10" t="n">
        <v>0</v>
      </c>
      <c r="F836" s="10" t="n">
        <v>29</v>
      </c>
      <c r="G836" s="10" t="n">
        <v>0</v>
      </c>
      <c r="H836" s="10" t="n">
        <v>0</v>
      </c>
      <c r="I836" s="10" t="n">
        <v>230</v>
      </c>
      <c r="J836" s="10" t="n">
        <v>0</v>
      </c>
      <c r="K836" s="10" t="n">
        <v>4</v>
      </c>
      <c r="L836" s="10" t="n">
        <v>0</v>
      </c>
      <c r="M836" s="10" t="n">
        <v>0</v>
      </c>
      <c r="N836" s="10" t="n">
        <v>0</v>
      </c>
      <c r="O836" s="10" t="n">
        <v>0</v>
      </c>
      <c r="P836" s="10" t="n">
        <v>-1</v>
      </c>
      <c r="Q836" s="10" t="n">
        <v>197</v>
      </c>
      <c r="R836" s="10" t="n">
        <v>30</v>
      </c>
      <c r="S836" s="10" t="n">
        <v>0</v>
      </c>
      <c r="T836" s="10" t="n">
        <v>0</v>
      </c>
      <c r="U836" s="10" t="n">
        <v>-1</v>
      </c>
    </row>
    <row r="837" customFormat="false" ht="15" hidden="false" customHeight="false" outlineLevel="0" collapsed="false">
      <c r="A837" s="7" t="s">
        <v>931</v>
      </c>
      <c r="B837" s="7" t="s">
        <v>42</v>
      </c>
      <c r="C837" s="7" t="s">
        <v>708</v>
      </c>
      <c r="D837" s="10" t="n">
        <v>0</v>
      </c>
      <c r="E837" s="10" t="n">
        <v>0</v>
      </c>
      <c r="F837" s="10" t="n">
        <v>2</v>
      </c>
      <c r="G837" s="10" t="n">
        <v>0</v>
      </c>
      <c r="H837" s="10" t="n">
        <v>0</v>
      </c>
      <c r="I837" s="10" t="n">
        <v>0</v>
      </c>
      <c r="J837" s="10" t="n">
        <v>0</v>
      </c>
      <c r="K837" s="10" t="n">
        <v>0</v>
      </c>
      <c r="L837" s="10" t="n">
        <v>0</v>
      </c>
      <c r="M837" s="10" t="n">
        <v>0</v>
      </c>
      <c r="N837" s="10" t="n">
        <v>0</v>
      </c>
      <c r="O837" s="10" t="n">
        <v>0</v>
      </c>
      <c r="P837" s="10" t="n">
        <v>0</v>
      </c>
      <c r="Q837" s="10" t="n">
        <v>0</v>
      </c>
      <c r="R837" s="10" t="n">
        <v>0</v>
      </c>
      <c r="S837" s="10" t="n">
        <v>0</v>
      </c>
      <c r="T837" s="10" t="n">
        <v>0</v>
      </c>
      <c r="U837" s="10" t="n">
        <v>0</v>
      </c>
    </row>
    <row r="838" customFormat="false" ht="15" hidden="false" customHeight="false" outlineLevel="0" collapsed="false">
      <c r="A838" s="7" t="s">
        <v>931</v>
      </c>
      <c r="B838" s="7" t="s">
        <v>52</v>
      </c>
      <c r="C838" s="7" t="s">
        <v>709</v>
      </c>
      <c r="D838" s="10" t="n">
        <v>0</v>
      </c>
      <c r="E838" s="10" t="n">
        <v>0</v>
      </c>
      <c r="F838" s="10" t="n">
        <v>32</v>
      </c>
      <c r="G838" s="10" t="n">
        <v>0</v>
      </c>
      <c r="H838" s="10" t="n">
        <v>0</v>
      </c>
      <c r="I838" s="10" t="n">
        <v>349</v>
      </c>
      <c r="J838" s="10" t="n">
        <v>0</v>
      </c>
      <c r="K838" s="10" t="n">
        <v>2</v>
      </c>
      <c r="L838" s="10" t="n">
        <v>0</v>
      </c>
      <c r="M838" s="10" t="n">
        <v>0</v>
      </c>
      <c r="N838" s="10" t="n">
        <v>0</v>
      </c>
      <c r="O838" s="10" t="n">
        <v>0</v>
      </c>
      <c r="P838" s="10" t="n">
        <v>-2</v>
      </c>
      <c r="Q838" s="10" t="n">
        <v>301</v>
      </c>
      <c r="R838" s="10" t="n">
        <v>48</v>
      </c>
      <c r="S838" s="10" t="n">
        <v>0</v>
      </c>
      <c r="T838" s="10" t="n">
        <v>0</v>
      </c>
      <c r="U838" s="10" t="n">
        <v>0</v>
      </c>
    </row>
    <row r="839" customFormat="false" ht="15" hidden="false" customHeight="false" outlineLevel="0" collapsed="false">
      <c r="A839" s="7" t="s">
        <v>931</v>
      </c>
      <c r="B839" s="7" t="s">
        <v>52</v>
      </c>
      <c r="C839" s="7" t="s">
        <v>710</v>
      </c>
      <c r="D839" s="10" t="n">
        <v>0</v>
      </c>
      <c r="E839" s="10" t="n">
        <v>0</v>
      </c>
      <c r="F839" s="10" t="n">
        <v>45</v>
      </c>
      <c r="G839" s="10" t="n">
        <v>0</v>
      </c>
      <c r="H839" s="10" t="n">
        <v>0</v>
      </c>
      <c r="I839" s="10" t="n">
        <v>528</v>
      </c>
      <c r="J839" s="10" t="n">
        <v>0</v>
      </c>
      <c r="K839" s="10" t="n">
        <v>2</v>
      </c>
      <c r="L839" s="10" t="n">
        <v>0</v>
      </c>
      <c r="M839" s="10" t="n">
        <v>0</v>
      </c>
      <c r="N839" s="10" t="n">
        <v>0</v>
      </c>
      <c r="O839" s="10" t="n">
        <v>0</v>
      </c>
      <c r="P839" s="10" t="n">
        <v>-18</v>
      </c>
      <c r="Q839" s="10" t="n">
        <v>471</v>
      </c>
      <c r="R839" s="10" t="n">
        <v>73</v>
      </c>
      <c r="S839" s="10" t="n">
        <v>0</v>
      </c>
      <c r="T839" s="10" t="n">
        <v>0</v>
      </c>
      <c r="U839" s="10" t="n">
        <v>0</v>
      </c>
    </row>
    <row r="840" customFormat="false" ht="15" hidden="false" customHeight="false" outlineLevel="0" collapsed="false">
      <c r="A840" s="7" t="s">
        <v>931</v>
      </c>
      <c r="B840" s="7" t="s">
        <v>52</v>
      </c>
      <c r="C840" s="7" t="s">
        <v>711</v>
      </c>
      <c r="D840" s="10" t="n">
        <v>0</v>
      </c>
      <c r="E840" s="10" t="n">
        <v>0</v>
      </c>
      <c r="F840" s="10" t="n">
        <v>13</v>
      </c>
      <c r="G840" s="10" t="n">
        <v>0</v>
      </c>
      <c r="H840" s="10" t="n">
        <v>0</v>
      </c>
      <c r="I840" s="10" t="n">
        <v>502</v>
      </c>
      <c r="J840" s="10" t="n">
        <v>0</v>
      </c>
      <c r="K840" s="10" t="n">
        <v>0</v>
      </c>
      <c r="L840" s="10" t="n">
        <v>0</v>
      </c>
      <c r="M840" s="10" t="n">
        <v>0</v>
      </c>
      <c r="N840" s="10" t="n">
        <v>0</v>
      </c>
      <c r="O840" s="10" t="n">
        <v>0</v>
      </c>
      <c r="P840" s="10" t="n">
        <v>-1</v>
      </c>
      <c r="Q840" s="10" t="n">
        <v>441</v>
      </c>
      <c r="R840" s="10" t="n">
        <v>62</v>
      </c>
      <c r="S840" s="10" t="n">
        <v>0</v>
      </c>
      <c r="T840" s="10" t="n">
        <v>0</v>
      </c>
      <c r="U840" s="10" t="n">
        <v>0</v>
      </c>
    </row>
    <row r="841" customFormat="false" ht="15" hidden="false" customHeight="false" outlineLevel="0" collapsed="false">
      <c r="A841" s="7" t="s">
        <v>931</v>
      </c>
      <c r="B841" s="7" t="s">
        <v>52</v>
      </c>
      <c r="C841" s="7" t="s">
        <v>712</v>
      </c>
      <c r="D841" s="10" t="n">
        <v>0</v>
      </c>
      <c r="E841" s="10" t="n">
        <v>0</v>
      </c>
      <c r="F841" s="10" t="n">
        <v>18</v>
      </c>
      <c r="G841" s="10" t="n">
        <v>0</v>
      </c>
      <c r="H841" s="10" t="n">
        <v>1</v>
      </c>
      <c r="I841" s="10" t="n">
        <v>42</v>
      </c>
      <c r="J841" s="10" t="n">
        <v>0</v>
      </c>
      <c r="K841" s="10" t="n">
        <v>0</v>
      </c>
      <c r="L841" s="10" t="n">
        <v>0</v>
      </c>
      <c r="M841" s="10" t="n">
        <v>0</v>
      </c>
      <c r="N841" s="10" t="n">
        <v>0</v>
      </c>
      <c r="O841" s="10" t="n">
        <v>0</v>
      </c>
      <c r="P841" s="10" t="n">
        <v>-3</v>
      </c>
      <c r="Q841" s="10" t="n">
        <v>27</v>
      </c>
      <c r="R841" s="10" t="n">
        <v>18</v>
      </c>
      <c r="S841" s="10" t="n">
        <v>0</v>
      </c>
      <c r="T841" s="10" t="n">
        <v>0</v>
      </c>
      <c r="U841" s="10" t="n">
        <v>0</v>
      </c>
    </row>
    <row r="842" customFormat="false" ht="15" hidden="false" customHeight="false" outlineLevel="0" collapsed="false">
      <c r="A842" s="7" t="s">
        <v>931</v>
      </c>
      <c r="B842" s="7" t="s">
        <v>312</v>
      </c>
      <c r="C842" s="7" t="s">
        <v>949</v>
      </c>
      <c r="D842" s="10" t="n">
        <v>0</v>
      </c>
      <c r="E842" s="10" t="n">
        <v>0</v>
      </c>
      <c r="F842" s="10" t="n">
        <v>2</v>
      </c>
      <c r="G842" s="10" t="n">
        <v>0</v>
      </c>
      <c r="H842" s="10" t="n">
        <v>0</v>
      </c>
      <c r="I842" s="10" t="n">
        <v>0</v>
      </c>
      <c r="J842" s="10" t="n">
        <v>0</v>
      </c>
      <c r="K842" s="10" t="n">
        <v>0</v>
      </c>
      <c r="L842" s="10" t="n">
        <v>0</v>
      </c>
      <c r="M842" s="10" t="n">
        <v>0</v>
      </c>
      <c r="N842" s="10" t="n">
        <v>0</v>
      </c>
      <c r="O842" s="10" t="n">
        <v>0</v>
      </c>
      <c r="P842" s="10" t="n">
        <v>0</v>
      </c>
      <c r="Q842" s="10" t="n">
        <v>0</v>
      </c>
      <c r="R842" s="10" t="n">
        <v>0</v>
      </c>
      <c r="S842" s="10" t="n">
        <v>0</v>
      </c>
      <c r="T842" s="10" t="n">
        <v>0</v>
      </c>
      <c r="U842" s="10" t="n">
        <v>0</v>
      </c>
    </row>
    <row r="843" customFormat="false" ht="15" hidden="false" customHeight="false" outlineLevel="0" collapsed="false">
      <c r="A843" s="7" t="s">
        <v>931</v>
      </c>
      <c r="B843" s="7" t="s">
        <v>224</v>
      </c>
      <c r="C843" s="7" t="s">
        <v>714</v>
      </c>
      <c r="D843" s="10" t="n">
        <v>2</v>
      </c>
      <c r="E843" s="10" t="n">
        <v>0</v>
      </c>
      <c r="F843" s="10" t="n">
        <v>7</v>
      </c>
      <c r="G843" s="10" t="n">
        <v>0</v>
      </c>
      <c r="H843" s="10" t="n">
        <v>0</v>
      </c>
      <c r="I843" s="10" t="n">
        <v>4</v>
      </c>
      <c r="J843" s="10" t="n">
        <v>0</v>
      </c>
      <c r="K843" s="10" t="n">
        <v>0</v>
      </c>
      <c r="L843" s="10" t="n">
        <v>0</v>
      </c>
      <c r="M843" s="10" t="n">
        <v>0</v>
      </c>
      <c r="N843" s="10" t="n">
        <v>0</v>
      </c>
      <c r="O843" s="10" t="n">
        <v>0</v>
      </c>
      <c r="P843" s="10" t="n">
        <v>0</v>
      </c>
      <c r="Q843" s="10" t="n">
        <v>4</v>
      </c>
      <c r="R843" s="10" t="n">
        <v>0</v>
      </c>
      <c r="S843" s="10" t="n">
        <v>0</v>
      </c>
      <c r="T843" s="10" t="n">
        <v>7</v>
      </c>
      <c r="U843" s="10" t="n">
        <v>0</v>
      </c>
    </row>
    <row r="844" customFormat="false" ht="15" hidden="false" customHeight="false" outlineLevel="0" collapsed="false">
      <c r="A844" s="7" t="s">
        <v>931</v>
      </c>
      <c r="B844" s="7" t="s">
        <v>317</v>
      </c>
      <c r="C844" s="7" t="s">
        <v>715</v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>
        <v>7</v>
      </c>
      <c r="J844" s="10" t="n">
        <v>0</v>
      </c>
      <c r="K844" s="10" t="n">
        <v>0</v>
      </c>
      <c r="L844" s="10" t="n">
        <v>0</v>
      </c>
      <c r="M844" s="10" t="n">
        <v>0</v>
      </c>
      <c r="N844" s="10" t="n">
        <v>0</v>
      </c>
      <c r="O844" s="10" t="n">
        <v>0</v>
      </c>
      <c r="P844" s="10" t="n">
        <v>-3</v>
      </c>
      <c r="Q844" s="10" t="n">
        <v>0</v>
      </c>
      <c r="R844" s="10" t="n">
        <v>10</v>
      </c>
      <c r="S844" s="10" t="n">
        <v>0</v>
      </c>
      <c r="T844" s="10" t="n">
        <v>0</v>
      </c>
      <c r="U844" s="10" t="n">
        <v>0</v>
      </c>
    </row>
    <row r="845" customFormat="false" ht="15" hidden="false" customHeight="false" outlineLevel="0" collapsed="false">
      <c r="A845" s="7" t="s">
        <v>931</v>
      </c>
      <c r="B845" s="7" t="s">
        <v>272</v>
      </c>
      <c r="C845" s="7" t="s">
        <v>716</v>
      </c>
      <c r="D845" s="10" t="n">
        <v>0</v>
      </c>
      <c r="E845" s="10" t="n">
        <v>0</v>
      </c>
      <c r="F845" s="10" t="n">
        <v>197</v>
      </c>
      <c r="G845" s="10" t="n">
        <v>0</v>
      </c>
      <c r="H845" s="10" t="n">
        <v>0</v>
      </c>
      <c r="I845" s="10" t="n">
        <v>24</v>
      </c>
      <c r="J845" s="10" t="n">
        <v>0</v>
      </c>
      <c r="K845" s="10" t="n">
        <v>0</v>
      </c>
      <c r="L845" s="10" t="n">
        <v>0</v>
      </c>
      <c r="M845" s="10" t="n">
        <v>2</v>
      </c>
      <c r="N845" s="10" t="n">
        <v>0</v>
      </c>
      <c r="O845" s="10" t="n">
        <v>0</v>
      </c>
      <c r="P845" s="10" t="n">
        <v>-2</v>
      </c>
      <c r="Q845" s="10" t="n">
        <v>0</v>
      </c>
      <c r="R845" s="10" t="n">
        <v>24</v>
      </c>
      <c r="S845" s="10" t="n">
        <v>0</v>
      </c>
      <c r="T845" s="10" t="n">
        <v>0</v>
      </c>
      <c r="U845" s="10" t="n">
        <v>0</v>
      </c>
    </row>
    <row r="846" customFormat="false" ht="15" hidden="false" customHeight="false" outlineLevel="0" collapsed="false">
      <c r="A846" s="7" t="s">
        <v>931</v>
      </c>
      <c r="B846" s="7" t="s">
        <v>273</v>
      </c>
      <c r="C846" s="7" t="s">
        <v>717</v>
      </c>
      <c r="D846" s="10" t="n">
        <v>0</v>
      </c>
      <c r="E846" s="10" t="n">
        <v>0</v>
      </c>
      <c r="F846" s="10" t="n">
        <v>278</v>
      </c>
      <c r="G846" s="10" t="n">
        <v>0</v>
      </c>
      <c r="H846" s="10" t="n">
        <v>0</v>
      </c>
      <c r="I846" s="10" t="n">
        <v>28</v>
      </c>
      <c r="J846" s="10" t="n">
        <v>0</v>
      </c>
      <c r="K846" s="10" t="n">
        <v>0</v>
      </c>
      <c r="L846" s="10" t="n">
        <v>0</v>
      </c>
      <c r="M846" s="10" t="n">
        <v>2</v>
      </c>
      <c r="N846" s="10" t="n">
        <v>0</v>
      </c>
      <c r="O846" s="10" t="n">
        <v>2</v>
      </c>
      <c r="P846" s="10" t="n">
        <v>0</v>
      </c>
      <c r="Q846" s="10" t="n">
        <v>0</v>
      </c>
      <c r="R846" s="10" t="n">
        <v>24</v>
      </c>
      <c r="S846" s="10" t="n">
        <v>0</v>
      </c>
      <c r="T846" s="10" t="n">
        <v>0</v>
      </c>
      <c r="U846" s="10" t="n">
        <v>0</v>
      </c>
    </row>
    <row r="847" customFormat="false" ht="15" hidden="false" customHeight="false" outlineLevel="0" collapsed="false">
      <c r="A847" s="7" t="s">
        <v>931</v>
      </c>
      <c r="B847" s="7" t="s">
        <v>176</v>
      </c>
      <c r="C847" s="7" t="s">
        <v>718</v>
      </c>
      <c r="D847" s="10" t="n">
        <v>0</v>
      </c>
      <c r="E847" s="10" t="n">
        <v>0</v>
      </c>
      <c r="F847" s="10" t="n">
        <v>446</v>
      </c>
      <c r="G847" s="10" t="n">
        <v>0</v>
      </c>
      <c r="H847" s="10" t="n">
        <v>0</v>
      </c>
      <c r="I847" s="10" t="n">
        <v>190</v>
      </c>
      <c r="J847" s="10" t="n">
        <v>0</v>
      </c>
      <c r="K847" s="10" t="n">
        <v>0</v>
      </c>
      <c r="L847" s="10" t="n">
        <v>0</v>
      </c>
      <c r="M847" s="10" t="n">
        <v>3</v>
      </c>
      <c r="N847" s="10" t="n">
        <v>1</v>
      </c>
      <c r="O847" s="10" t="n">
        <v>0</v>
      </c>
      <c r="P847" s="10" t="n">
        <v>0</v>
      </c>
      <c r="Q847" s="10" t="n">
        <v>141</v>
      </c>
      <c r="R847" s="10" t="n">
        <v>45</v>
      </c>
      <c r="S847" s="10" t="n">
        <v>1</v>
      </c>
      <c r="T847" s="10" t="n">
        <v>167</v>
      </c>
      <c r="U847" s="10" t="n">
        <v>0</v>
      </c>
    </row>
    <row r="848" customFormat="false" ht="15" hidden="false" customHeight="false" outlineLevel="0" collapsed="false">
      <c r="A848" s="7" t="s">
        <v>931</v>
      </c>
      <c r="B848" s="7" t="s">
        <v>220</v>
      </c>
      <c r="C848" s="7" t="s">
        <v>720</v>
      </c>
      <c r="D848" s="10" t="n">
        <v>0</v>
      </c>
      <c r="E848" s="10" t="n">
        <v>0</v>
      </c>
      <c r="F848" s="10" t="n">
        <v>3</v>
      </c>
      <c r="G848" s="10" t="n">
        <v>0</v>
      </c>
      <c r="H848" s="10" t="n">
        <v>0</v>
      </c>
      <c r="I848" s="10" t="n">
        <v>0</v>
      </c>
      <c r="J848" s="10" t="n">
        <v>0</v>
      </c>
      <c r="K848" s="10" t="n">
        <v>0</v>
      </c>
      <c r="L848" s="10" t="n">
        <v>0</v>
      </c>
      <c r="M848" s="10" t="n">
        <v>0</v>
      </c>
      <c r="N848" s="10" t="n">
        <v>0</v>
      </c>
      <c r="O848" s="10" t="n">
        <v>0</v>
      </c>
      <c r="P848" s="10" t="n">
        <v>0</v>
      </c>
      <c r="Q848" s="10" t="n">
        <v>0</v>
      </c>
      <c r="R848" s="10" t="n">
        <v>0</v>
      </c>
      <c r="S848" s="10" t="n">
        <v>0</v>
      </c>
      <c r="T848" s="10" t="n">
        <v>0</v>
      </c>
      <c r="U848" s="10" t="n">
        <v>0</v>
      </c>
    </row>
    <row r="849" customFormat="false" ht="15" hidden="false" customHeight="false" outlineLevel="0" collapsed="false">
      <c r="A849" s="7" t="s">
        <v>931</v>
      </c>
      <c r="B849" s="7" t="s">
        <v>239</v>
      </c>
      <c r="C849" s="7" t="s">
        <v>721</v>
      </c>
      <c r="D849" s="10" t="n">
        <v>0</v>
      </c>
      <c r="E849" s="10" t="n">
        <v>0</v>
      </c>
      <c r="F849" s="10" t="n">
        <v>5</v>
      </c>
      <c r="G849" s="10" t="n">
        <v>0</v>
      </c>
      <c r="H849" s="10" t="n">
        <v>0</v>
      </c>
      <c r="I849" s="10" t="n">
        <v>0</v>
      </c>
      <c r="J849" s="10" t="n">
        <v>0</v>
      </c>
      <c r="K849" s="10" t="n">
        <v>0</v>
      </c>
      <c r="L849" s="10" t="n">
        <v>0</v>
      </c>
      <c r="M849" s="10" t="n">
        <v>0</v>
      </c>
      <c r="N849" s="10" t="n">
        <v>0</v>
      </c>
      <c r="O849" s="10" t="n">
        <v>0</v>
      </c>
      <c r="P849" s="10" t="n">
        <v>0</v>
      </c>
      <c r="Q849" s="10" t="n">
        <v>0</v>
      </c>
      <c r="R849" s="10" t="n">
        <v>0</v>
      </c>
      <c r="S849" s="10" t="n">
        <v>0</v>
      </c>
      <c r="T849" s="10" t="n">
        <v>0</v>
      </c>
      <c r="U849" s="10" t="n">
        <v>0</v>
      </c>
    </row>
    <row r="850" customFormat="false" ht="15" hidden="false" customHeight="false" outlineLevel="0" collapsed="false">
      <c r="A850" s="7" t="s">
        <v>931</v>
      </c>
      <c r="B850" s="7" t="s">
        <v>239</v>
      </c>
      <c r="C850" s="7" t="s">
        <v>722</v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>
        <v>-1</v>
      </c>
      <c r="J850" s="10" t="n">
        <v>0</v>
      </c>
      <c r="K850" s="10" t="n">
        <v>0</v>
      </c>
      <c r="L850" s="10" t="n">
        <v>0</v>
      </c>
      <c r="M850" s="10" t="n">
        <v>0</v>
      </c>
      <c r="N850" s="10" t="n">
        <v>0</v>
      </c>
      <c r="O850" s="10" t="n">
        <v>0</v>
      </c>
      <c r="P850" s="10" t="n">
        <v>0</v>
      </c>
      <c r="Q850" s="10" t="n">
        <v>-1</v>
      </c>
      <c r="R850" s="10" t="n">
        <v>0</v>
      </c>
      <c r="S850" s="10" t="n">
        <v>0</v>
      </c>
      <c r="T850" s="10" t="n">
        <v>0</v>
      </c>
      <c r="U850" s="10" t="n">
        <v>0</v>
      </c>
    </row>
    <row r="851" customFormat="false" ht="15" hidden="false" customHeight="false" outlineLevel="0" collapsed="false">
      <c r="A851" s="7" t="s">
        <v>931</v>
      </c>
      <c r="B851" s="7" t="s">
        <v>239</v>
      </c>
      <c r="C851" s="7" t="s">
        <v>720</v>
      </c>
      <c r="D851" s="10" t="n">
        <v>0</v>
      </c>
      <c r="E851" s="10" t="n">
        <v>0</v>
      </c>
      <c r="F851" s="10" t="n">
        <v>1</v>
      </c>
      <c r="G851" s="10" t="n">
        <v>0</v>
      </c>
      <c r="H851" s="10" t="n">
        <v>0</v>
      </c>
      <c r="I851" s="10" t="n">
        <v>0</v>
      </c>
      <c r="J851" s="10" t="n">
        <v>0</v>
      </c>
      <c r="K851" s="10" t="n">
        <v>0</v>
      </c>
      <c r="L851" s="10" t="n">
        <v>0</v>
      </c>
      <c r="M851" s="10" t="n">
        <v>0</v>
      </c>
      <c r="N851" s="10" t="n">
        <v>0</v>
      </c>
      <c r="O851" s="10" t="n">
        <v>0</v>
      </c>
      <c r="P851" s="10" t="n">
        <v>0</v>
      </c>
      <c r="Q851" s="10" t="n">
        <v>0</v>
      </c>
      <c r="R851" s="10" t="n">
        <v>0</v>
      </c>
      <c r="S851" s="10" t="n">
        <v>0</v>
      </c>
      <c r="T851" s="10" t="n">
        <v>0</v>
      </c>
      <c r="U851" s="10" t="n">
        <v>0</v>
      </c>
    </row>
    <row r="852" customFormat="false" ht="15" hidden="false" customHeight="false" outlineLevel="0" collapsed="false">
      <c r="A852" s="7" t="s">
        <v>931</v>
      </c>
      <c r="B852" s="7" t="s">
        <v>153</v>
      </c>
      <c r="C852" s="7" t="s">
        <v>723</v>
      </c>
      <c r="D852" s="10" t="n">
        <v>0</v>
      </c>
      <c r="E852" s="10" t="n">
        <v>0</v>
      </c>
      <c r="F852" s="10" t="n">
        <v>39</v>
      </c>
      <c r="G852" s="10" t="n">
        <v>0</v>
      </c>
      <c r="H852" s="10" t="n">
        <v>0</v>
      </c>
      <c r="I852" s="10" t="n">
        <v>1503</v>
      </c>
      <c r="J852" s="10" t="n">
        <v>0</v>
      </c>
      <c r="K852" s="10" t="n">
        <v>1</v>
      </c>
      <c r="L852" s="10" t="n">
        <v>0</v>
      </c>
      <c r="M852" s="10" t="n">
        <v>0</v>
      </c>
      <c r="N852" s="10" t="n">
        <v>0</v>
      </c>
      <c r="O852" s="10" t="n">
        <v>0</v>
      </c>
      <c r="P852" s="10" t="n">
        <v>-10</v>
      </c>
      <c r="Q852" s="10" t="n">
        <v>1351</v>
      </c>
      <c r="R852" s="10" t="n">
        <v>161</v>
      </c>
      <c r="S852" s="10" t="n">
        <v>0</v>
      </c>
      <c r="T852" s="10" t="n">
        <v>0</v>
      </c>
      <c r="U852" s="10" t="n">
        <v>-3</v>
      </c>
    </row>
    <row r="853" customFormat="false" ht="15" hidden="false" customHeight="false" outlineLevel="0" collapsed="false">
      <c r="A853" s="7" t="s">
        <v>931</v>
      </c>
      <c r="B853" s="7" t="s">
        <v>153</v>
      </c>
      <c r="C853" s="7" t="s">
        <v>724</v>
      </c>
      <c r="D853" s="10" t="n">
        <v>0</v>
      </c>
      <c r="E853" s="10" t="n">
        <v>0</v>
      </c>
      <c r="F853" s="10" t="n">
        <v>33</v>
      </c>
      <c r="G853" s="10" t="n">
        <v>0</v>
      </c>
      <c r="H853" s="10" t="n">
        <v>0</v>
      </c>
      <c r="I853" s="10" t="n">
        <v>839</v>
      </c>
      <c r="J853" s="10" t="n">
        <v>0</v>
      </c>
      <c r="K853" s="10" t="n">
        <v>5</v>
      </c>
      <c r="L853" s="10" t="n">
        <v>0</v>
      </c>
      <c r="M853" s="10" t="n">
        <v>0</v>
      </c>
      <c r="N853" s="10" t="n">
        <v>0</v>
      </c>
      <c r="O853" s="10" t="n">
        <v>2</v>
      </c>
      <c r="P853" s="10" t="n">
        <v>0</v>
      </c>
      <c r="Q853" s="10" t="n">
        <v>819</v>
      </c>
      <c r="R853" s="10" t="n">
        <v>13</v>
      </c>
      <c r="S853" s="10" t="n">
        <v>0</v>
      </c>
      <c r="T853" s="10" t="n">
        <v>0</v>
      </c>
      <c r="U853" s="10" t="n">
        <v>0</v>
      </c>
    </row>
    <row r="854" customFormat="false" ht="15" hidden="false" customHeight="false" outlineLevel="0" collapsed="false">
      <c r="A854" s="7" t="s">
        <v>931</v>
      </c>
      <c r="B854" s="7" t="s">
        <v>105</v>
      </c>
      <c r="C854" s="7" t="s">
        <v>723</v>
      </c>
      <c r="D854" s="10" t="n">
        <v>0</v>
      </c>
      <c r="E854" s="10" t="n">
        <v>0</v>
      </c>
      <c r="F854" s="10" t="n">
        <v>63</v>
      </c>
      <c r="G854" s="10" t="n">
        <v>0</v>
      </c>
      <c r="H854" s="10" t="n">
        <v>0</v>
      </c>
      <c r="I854" s="10" t="n">
        <v>215</v>
      </c>
      <c r="J854" s="10" t="n">
        <v>0</v>
      </c>
      <c r="K854" s="10" t="n">
        <v>0</v>
      </c>
      <c r="L854" s="10" t="n">
        <v>0</v>
      </c>
      <c r="M854" s="10" t="n">
        <v>0</v>
      </c>
      <c r="N854" s="10" t="n">
        <v>0</v>
      </c>
      <c r="O854" s="10" t="n">
        <v>0</v>
      </c>
      <c r="P854" s="10" t="n">
        <v>0</v>
      </c>
      <c r="Q854" s="10" t="n">
        <v>215</v>
      </c>
      <c r="R854" s="10" t="n">
        <v>0</v>
      </c>
      <c r="S854" s="10" t="n">
        <v>0</v>
      </c>
      <c r="T854" s="10" t="n">
        <v>0</v>
      </c>
      <c r="U854" s="10" t="n">
        <v>0</v>
      </c>
    </row>
    <row r="855" customFormat="false" ht="15" hidden="false" customHeight="false" outlineLevel="0" collapsed="false">
      <c r="A855" s="7" t="s">
        <v>931</v>
      </c>
      <c r="B855" s="7" t="s">
        <v>105</v>
      </c>
      <c r="C855" s="7" t="s">
        <v>724</v>
      </c>
      <c r="D855" s="10" t="n">
        <v>0</v>
      </c>
      <c r="E855" s="10" t="n">
        <v>0</v>
      </c>
      <c r="F855" s="10" t="n">
        <v>38</v>
      </c>
      <c r="G855" s="10" t="n">
        <v>0</v>
      </c>
      <c r="H855" s="10" t="n">
        <v>0</v>
      </c>
      <c r="I855" s="10" t="n">
        <v>145</v>
      </c>
      <c r="J855" s="10" t="n">
        <v>0</v>
      </c>
      <c r="K855" s="10" t="n">
        <v>0</v>
      </c>
      <c r="L855" s="10" t="n">
        <v>0</v>
      </c>
      <c r="M855" s="10" t="n">
        <v>0</v>
      </c>
      <c r="N855" s="10" t="n">
        <v>0</v>
      </c>
      <c r="O855" s="10" t="n">
        <v>0</v>
      </c>
      <c r="P855" s="10" t="n">
        <v>0</v>
      </c>
      <c r="Q855" s="10" t="n">
        <v>145</v>
      </c>
      <c r="R855" s="10" t="n">
        <v>0</v>
      </c>
      <c r="S855" s="10" t="n">
        <v>0</v>
      </c>
      <c r="T855" s="10" t="n">
        <v>0</v>
      </c>
      <c r="U855" s="10" t="n">
        <v>0</v>
      </c>
    </row>
    <row r="856" customFormat="false" ht="15" hidden="false" customHeight="false" outlineLevel="0" collapsed="false">
      <c r="A856" s="7" t="s">
        <v>931</v>
      </c>
      <c r="B856" s="7" t="s">
        <v>194</v>
      </c>
      <c r="C856" s="7" t="s">
        <v>725</v>
      </c>
      <c r="D856" s="10" t="n">
        <v>0</v>
      </c>
      <c r="E856" s="10" t="n">
        <v>0</v>
      </c>
      <c r="F856" s="10" t="n">
        <v>109</v>
      </c>
      <c r="G856" s="10" t="n">
        <v>0</v>
      </c>
      <c r="H856" s="10" t="n">
        <v>10</v>
      </c>
      <c r="I856" s="10" t="n">
        <v>73</v>
      </c>
      <c r="J856" s="10" t="n">
        <v>0</v>
      </c>
      <c r="K856" s="10" t="n">
        <v>2</v>
      </c>
      <c r="L856" s="10" t="n">
        <v>0</v>
      </c>
      <c r="M856" s="10" t="n">
        <v>0</v>
      </c>
      <c r="N856" s="10" t="n">
        <v>0</v>
      </c>
      <c r="O856" s="10" t="n">
        <v>0</v>
      </c>
      <c r="P856" s="10" t="n">
        <v>-7</v>
      </c>
      <c r="Q856" s="10" t="n">
        <v>50</v>
      </c>
      <c r="R856" s="10" t="n">
        <v>28</v>
      </c>
      <c r="S856" s="10" t="n">
        <v>0</v>
      </c>
      <c r="T856" s="10" t="n">
        <v>17</v>
      </c>
      <c r="U856" s="10" t="n">
        <v>0</v>
      </c>
    </row>
    <row r="857" customFormat="false" ht="15" hidden="false" customHeight="false" outlineLevel="0" collapsed="false">
      <c r="A857" s="7" t="s">
        <v>931</v>
      </c>
      <c r="B857" s="7" t="s">
        <v>253</v>
      </c>
      <c r="C857" s="7" t="s">
        <v>728</v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>
        <v>-1</v>
      </c>
      <c r="J857" s="10" t="n">
        <v>0</v>
      </c>
      <c r="K857" s="10" t="n">
        <v>0</v>
      </c>
      <c r="L857" s="10" t="n">
        <v>0</v>
      </c>
      <c r="M857" s="10" t="n">
        <v>0</v>
      </c>
      <c r="N857" s="10" t="n">
        <v>0</v>
      </c>
      <c r="O857" s="10" t="n">
        <v>0</v>
      </c>
      <c r="P857" s="10" t="n">
        <v>0</v>
      </c>
      <c r="Q857" s="10" t="n">
        <v>-1</v>
      </c>
      <c r="R857" s="10" t="n">
        <v>0</v>
      </c>
      <c r="S857" s="10" t="n">
        <v>0</v>
      </c>
      <c r="T857" s="10" t="n">
        <v>0</v>
      </c>
      <c r="U857" s="10" t="n">
        <v>0</v>
      </c>
    </row>
    <row r="858" customFormat="false" ht="15" hidden="false" customHeight="false" outlineLevel="0" collapsed="false">
      <c r="A858" s="7" t="s">
        <v>931</v>
      </c>
      <c r="B858" s="7" t="s">
        <v>253</v>
      </c>
      <c r="C858" s="7" t="s">
        <v>950</v>
      </c>
      <c r="D858" s="10" t="n">
        <v>0</v>
      </c>
      <c r="E858" s="10" t="n">
        <v>0</v>
      </c>
      <c r="F858" s="10" t="n">
        <v>-2</v>
      </c>
      <c r="G858" s="10" t="n">
        <v>0</v>
      </c>
      <c r="H858" s="10" t="n">
        <v>0</v>
      </c>
      <c r="I858" s="10" t="n">
        <v>0</v>
      </c>
      <c r="J858" s="10" t="n">
        <v>0</v>
      </c>
      <c r="K858" s="10" t="n">
        <v>0</v>
      </c>
      <c r="L858" s="10" t="n">
        <v>0</v>
      </c>
      <c r="M858" s="10" t="n">
        <v>0</v>
      </c>
      <c r="N858" s="10" t="n">
        <v>0</v>
      </c>
      <c r="O858" s="10" t="n">
        <v>0</v>
      </c>
      <c r="P858" s="10" t="n">
        <v>0</v>
      </c>
      <c r="Q858" s="10" t="n">
        <v>0</v>
      </c>
      <c r="R858" s="10" t="n">
        <v>0</v>
      </c>
      <c r="S858" s="10" t="n">
        <v>0</v>
      </c>
      <c r="T858" s="10" t="n">
        <v>0</v>
      </c>
      <c r="U858" s="10" t="n">
        <v>0</v>
      </c>
    </row>
    <row r="859" customFormat="false" ht="15" hidden="false" customHeight="false" outlineLevel="0" collapsed="false">
      <c r="A859" s="7" t="s">
        <v>931</v>
      </c>
      <c r="B859" s="7" t="s">
        <v>232</v>
      </c>
      <c r="C859" s="7" t="s">
        <v>951</v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>
        <v>-1</v>
      </c>
      <c r="J859" s="10" t="n">
        <v>0</v>
      </c>
      <c r="K859" s="10" t="n">
        <v>0</v>
      </c>
      <c r="L859" s="10" t="n">
        <v>0</v>
      </c>
      <c r="M859" s="10" t="n">
        <v>0</v>
      </c>
      <c r="N859" s="10" t="n">
        <v>0</v>
      </c>
      <c r="O859" s="10" t="n">
        <v>0</v>
      </c>
      <c r="P859" s="10" t="n">
        <v>0</v>
      </c>
      <c r="Q859" s="10" t="n">
        <v>-1</v>
      </c>
      <c r="R859" s="10" t="n">
        <v>0</v>
      </c>
      <c r="S859" s="10" t="n">
        <v>0</v>
      </c>
      <c r="T859" s="10" t="n">
        <v>0</v>
      </c>
      <c r="U859" s="10" t="n">
        <v>0</v>
      </c>
    </row>
    <row r="860" customFormat="false" ht="15" hidden="false" customHeight="false" outlineLevel="0" collapsed="false">
      <c r="A860" s="7" t="s">
        <v>931</v>
      </c>
      <c r="B860" s="7" t="s">
        <v>252</v>
      </c>
      <c r="C860" s="7" t="s">
        <v>991</v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>
        <v>-1</v>
      </c>
      <c r="J860" s="10" t="n">
        <v>0</v>
      </c>
      <c r="K860" s="10" t="n">
        <v>0</v>
      </c>
      <c r="L860" s="10" t="n">
        <v>0</v>
      </c>
      <c r="M860" s="10" t="n">
        <v>0</v>
      </c>
      <c r="N860" s="10" t="n">
        <v>0</v>
      </c>
      <c r="O860" s="10" t="n">
        <v>0</v>
      </c>
      <c r="P860" s="10" t="n">
        <v>0</v>
      </c>
      <c r="Q860" s="10" t="n">
        <v>-1</v>
      </c>
      <c r="R860" s="10" t="n">
        <v>0</v>
      </c>
      <c r="S860" s="10" t="n">
        <v>0</v>
      </c>
      <c r="T860" s="10" t="n">
        <v>0</v>
      </c>
      <c r="U860" s="10" t="n">
        <v>0</v>
      </c>
    </row>
    <row r="861" customFormat="false" ht="15" hidden="false" customHeight="false" outlineLevel="0" collapsed="false">
      <c r="A861" s="7" t="s">
        <v>931</v>
      </c>
      <c r="B861" s="7" t="s">
        <v>63</v>
      </c>
      <c r="C861" s="7" t="s">
        <v>732</v>
      </c>
      <c r="D861" s="10" t="n">
        <v>0</v>
      </c>
      <c r="E861" s="10" t="n">
        <v>0</v>
      </c>
      <c r="F861" s="10" t="n">
        <v>74</v>
      </c>
      <c r="G861" s="10" t="n">
        <v>0</v>
      </c>
      <c r="H861" s="10" t="n">
        <v>0</v>
      </c>
      <c r="I861" s="10" t="n">
        <v>408</v>
      </c>
      <c r="J861" s="10" t="n">
        <v>0</v>
      </c>
      <c r="K861" s="10" t="n">
        <v>9</v>
      </c>
      <c r="L861" s="10" t="n">
        <v>0</v>
      </c>
      <c r="M861" s="10" t="n">
        <v>0</v>
      </c>
      <c r="N861" s="10" t="n">
        <v>0</v>
      </c>
      <c r="O861" s="10" t="n">
        <v>3</v>
      </c>
      <c r="P861" s="10" t="n">
        <v>-2</v>
      </c>
      <c r="Q861" s="10" t="n">
        <v>301</v>
      </c>
      <c r="R861" s="10" t="n">
        <v>97</v>
      </c>
      <c r="S861" s="10" t="n">
        <v>0</v>
      </c>
      <c r="T861" s="10" t="n">
        <v>85</v>
      </c>
      <c r="U861" s="10" t="n">
        <v>0</v>
      </c>
    </row>
    <row r="862" customFormat="false" ht="15" hidden="false" customHeight="false" outlineLevel="0" collapsed="false">
      <c r="A862" s="7" t="s">
        <v>931</v>
      </c>
      <c r="B862" s="7" t="s">
        <v>63</v>
      </c>
      <c r="C862" s="7" t="s">
        <v>733</v>
      </c>
      <c r="D862" s="10" t="n">
        <v>0</v>
      </c>
      <c r="E862" s="10" t="n">
        <v>0</v>
      </c>
      <c r="F862" s="10" t="n">
        <v>84</v>
      </c>
      <c r="G862" s="10" t="n">
        <v>0</v>
      </c>
      <c r="H862" s="10" t="n">
        <v>1</v>
      </c>
      <c r="I862" s="10" t="n">
        <v>398</v>
      </c>
      <c r="J862" s="10" t="n">
        <v>0</v>
      </c>
      <c r="K862" s="10" t="n">
        <v>9</v>
      </c>
      <c r="L862" s="10" t="n">
        <v>0</v>
      </c>
      <c r="M862" s="10" t="n">
        <v>0</v>
      </c>
      <c r="N862" s="10" t="n">
        <v>5</v>
      </c>
      <c r="O862" s="10" t="n">
        <v>1</v>
      </c>
      <c r="P862" s="10" t="n">
        <v>-6</v>
      </c>
      <c r="Q862" s="10" t="n">
        <v>305</v>
      </c>
      <c r="R862" s="10" t="n">
        <v>84</v>
      </c>
      <c r="S862" s="10" t="n">
        <v>0</v>
      </c>
      <c r="T862" s="10" t="n">
        <v>87</v>
      </c>
      <c r="U862" s="10" t="n">
        <v>0</v>
      </c>
    </row>
    <row r="863" customFormat="false" ht="15" hidden="false" customHeight="false" outlineLevel="0" collapsed="false">
      <c r="A863" s="7" t="s">
        <v>931</v>
      </c>
      <c r="B863" s="7" t="s">
        <v>63</v>
      </c>
      <c r="C863" s="7" t="s">
        <v>734</v>
      </c>
      <c r="D863" s="10" t="n">
        <v>0</v>
      </c>
      <c r="E863" s="10" t="n">
        <v>0</v>
      </c>
      <c r="F863" s="10" t="n">
        <v>16</v>
      </c>
      <c r="G863" s="10" t="n">
        <v>0</v>
      </c>
      <c r="H863" s="10" t="n">
        <v>0</v>
      </c>
      <c r="I863" s="10" t="n">
        <v>136</v>
      </c>
      <c r="J863" s="10" t="n">
        <v>0</v>
      </c>
      <c r="K863" s="10" t="n">
        <v>6</v>
      </c>
      <c r="L863" s="10" t="n">
        <v>0</v>
      </c>
      <c r="M863" s="10" t="n">
        <v>0</v>
      </c>
      <c r="N863" s="10" t="n">
        <v>2</v>
      </c>
      <c r="O863" s="10" t="n">
        <v>0</v>
      </c>
      <c r="P863" s="10" t="n">
        <v>-4</v>
      </c>
      <c r="Q863" s="10" t="n">
        <v>102</v>
      </c>
      <c r="R863" s="10" t="n">
        <v>30</v>
      </c>
      <c r="S863" s="10" t="n">
        <v>0</v>
      </c>
      <c r="T863" s="10" t="n">
        <v>23</v>
      </c>
      <c r="U863" s="10" t="n">
        <v>0</v>
      </c>
    </row>
    <row r="864" customFormat="false" ht="15" hidden="false" customHeight="false" outlineLevel="0" collapsed="false">
      <c r="A864" s="7" t="s">
        <v>931</v>
      </c>
      <c r="B864" s="7" t="s">
        <v>229</v>
      </c>
      <c r="C864" s="7" t="s">
        <v>735</v>
      </c>
      <c r="D864" s="10" t="n">
        <v>0</v>
      </c>
      <c r="E864" s="10" t="n">
        <v>0</v>
      </c>
      <c r="F864" s="10" t="n">
        <v>75</v>
      </c>
      <c r="G864" s="10" t="n">
        <v>0</v>
      </c>
      <c r="H864" s="10" t="n">
        <v>0</v>
      </c>
      <c r="I864" s="10" t="n">
        <v>91</v>
      </c>
      <c r="J864" s="10" t="n">
        <v>0</v>
      </c>
      <c r="K864" s="10" t="n">
        <v>9</v>
      </c>
      <c r="L864" s="10" t="n">
        <v>0</v>
      </c>
      <c r="M864" s="10" t="n">
        <v>0</v>
      </c>
      <c r="N864" s="10" t="n">
        <v>0</v>
      </c>
      <c r="O864" s="10" t="n">
        <v>1</v>
      </c>
      <c r="P864" s="10" t="n">
        <v>-5</v>
      </c>
      <c r="Q864" s="10" t="n">
        <v>-2</v>
      </c>
      <c r="R864" s="10" t="n">
        <v>88</v>
      </c>
      <c r="S864" s="10" t="n">
        <v>0</v>
      </c>
      <c r="T864" s="10" t="n">
        <v>0</v>
      </c>
      <c r="U864" s="10" t="n">
        <v>0</v>
      </c>
    </row>
    <row r="865" customFormat="false" ht="15" hidden="false" customHeight="false" outlineLevel="0" collapsed="false">
      <c r="A865" s="7" t="s">
        <v>931</v>
      </c>
      <c r="B865" s="7" t="s">
        <v>229</v>
      </c>
      <c r="C865" s="7" t="s">
        <v>736</v>
      </c>
      <c r="D865" s="10" t="n">
        <v>0</v>
      </c>
      <c r="E865" s="10" t="n">
        <v>0</v>
      </c>
      <c r="F865" s="10" t="n">
        <v>70</v>
      </c>
      <c r="G865" s="10" t="n">
        <v>0</v>
      </c>
      <c r="H865" s="10" t="n">
        <v>0</v>
      </c>
      <c r="I865" s="10" t="n">
        <v>91</v>
      </c>
      <c r="J865" s="10" t="n">
        <v>0</v>
      </c>
      <c r="K865" s="10" t="n">
        <v>1</v>
      </c>
      <c r="L865" s="10" t="n">
        <v>0</v>
      </c>
      <c r="M865" s="10" t="n">
        <v>0</v>
      </c>
      <c r="N865" s="10" t="n">
        <v>0</v>
      </c>
      <c r="O865" s="10" t="n">
        <v>0</v>
      </c>
      <c r="P865" s="10" t="n">
        <v>-2</v>
      </c>
      <c r="Q865" s="10" t="n">
        <v>0</v>
      </c>
      <c r="R865" s="10" t="n">
        <v>92</v>
      </c>
      <c r="S865" s="10" t="n">
        <v>0</v>
      </c>
      <c r="T865" s="10" t="n">
        <v>0</v>
      </c>
      <c r="U865" s="10" t="n">
        <v>0</v>
      </c>
    </row>
    <row r="866" customFormat="false" ht="15" hidden="false" customHeight="false" outlineLevel="0" collapsed="false">
      <c r="A866" s="7" t="s">
        <v>931</v>
      </c>
      <c r="B866" s="7" t="s">
        <v>229</v>
      </c>
      <c r="C866" s="7" t="s">
        <v>737</v>
      </c>
      <c r="D866" s="10" t="n">
        <v>0</v>
      </c>
      <c r="E866" s="10" t="n">
        <v>0</v>
      </c>
      <c r="F866" s="10" t="n">
        <v>-1</v>
      </c>
      <c r="G866" s="10" t="n">
        <v>0</v>
      </c>
      <c r="H866" s="10" t="n">
        <v>0</v>
      </c>
      <c r="I866" s="10" t="n">
        <v>-3</v>
      </c>
      <c r="J866" s="10" t="n">
        <v>0</v>
      </c>
      <c r="K866" s="10" t="n">
        <v>0</v>
      </c>
      <c r="L866" s="10" t="n">
        <v>0</v>
      </c>
      <c r="M866" s="10" t="n">
        <v>0</v>
      </c>
      <c r="N866" s="10" t="n">
        <v>0</v>
      </c>
      <c r="O866" s="10" t="n">
        <v>0</v>
      </c>
      <c r="P866" s="10" t="n">
        <v>-2</v>
      </c>
      <c r="Q866" s="10" t="n">
        <v>-1</v>
      </c>
      <c r="R866" s="10" t="n">
        <v>0</v>
      </c>
      <c r="S866" s="10" t="n">
        <v>0</v>
      </c>
      <c r="T866" s="10" t="n">
        <v>0</v>
      </c>
      <c r="U866" s="10" t="n">
        <v>0</v>
      </c>
    </row>
    <row r="867" customFormat="false" ht="15" hidden="false" customHeight="false" outlineLevel="0" collapsed="false">
      <c r="A867" s="7" t="s">
        <v>931</v>
      </c>
      <c r="B867" s="7" t="s">
        <v>234</v>
      </c>
      <c r="C867" s="7" t="s">
        <v>635</v>
      </c>
      <c r="D867" s="10" t="n">
        <v>0</v>
      </c>
      <c r="E867" s="10" t="n">
        <v>0</v>
      </c>
      <c r="F867" s="10" t="n">
        <v>144</v>
      </c>
      <c r="G867" s="10" t="n">
        <v>0</v>
      </c>
      <c r="H867" s="10" t="n">
        <v>0</v>
      </c>
      <c r="I867" s="10" t="n">
        <v>101</v>
      </c>
      <c r="J867" s="10" t="n">
        <v>0</v>
      </c>
      <c r="K867" s="10" t="n">
        <v>6</v>
      </c>
      <c r="L867" s="10" t="n">
        <v>0</v>
      </c>
      <c r="M867" s="10" t="n">
        <v>0</v>
      </c>
      <c r="N867" s="10" t="n">
        <v>2</v>
      </c>
      <c r="O867" s="10" t="n">
        <v>0</v>
      </c>
      <c r="P867" s="10" t="n">
        <v>-5</v>
      </c>
      <c r="Q867" s="10" t="n">
        <v>-4</v>
      </c>
      <c r="R867" s="10" t="n">
        <v>102</v>
      </c>
      <c r="S867" s="10" t="n">
        <v>0</v>
      </c>
      <c r="T867" s="10" t="n">
        <v>46</v>
      </c>
      <c r="U867" s="10" t="n">
        <v>0</v>
      </c>
    </row>
    <row r="868" customFormat="false" ht="15" hidden="false" customHeight="false" outlineLevel="0" collapsed="false">
      <c r="A868" s="7" t="s">
        <v>931</v>
      </c>
      <c r="B868" s="7" t="s">
        <v>73</v>
      </c>
      <c r="C868" s="7" t="s">
        <v>740</v>
      </c>
      <c r="D868" s="10" t="n">
        <v>0</v>
      </c>
      <c r="E868" s="10" t="n">
        <v>0</v>
      </c>
      <c r="F868" s="10" t="n">
        <v>87</v>
      </c>
      <c r="G868" s="10" t="n">
        <v>0</v>
      </c>
      <c r="H868" s="10" t="n">
        <v>0</v>
      </c>
      <c r="I868" s="10" t="n">
        <v>508</v>
      </c>
      <c r="J868" s="10" t="n">
        <v>0</v>
      </c>
      <c r="K868" s="10" t="n">
        <v>3</v>
      </c>
      <c r="L868" s="10" t="n">
        <v>0</v>
      </c>
      <c r="M868" s="10" t="n">
        <v>0</v>
      </c>
      <c r="N868" s="10" t="n">
        <v>0</v>
      </c>
      <c r="O868" s="10" t="n">
        <v>2</v>
      </c>
      <c r="P868" s="10" t="n">
        <v>-1</v>
      </c>
      <c r="Q868" s="10" t="n">
        <v>431</v>
      </c>
      <c r="R868" s="10" t="n">
        <v>73</v>
      </c>
      <c r="S868" s="10" t="n">
        <v>0</v>
      </c>
      <c r="T868" s="10" t="n">
        <v>0</v>
      </c>
      <c r="U868" s="10" t="n">
        <v>0</v>
      </c>
    </row>
    <row r="869" customFormat="false" ht="15" hidden="false" customHeight="false" outlineLevel="0" collapsed="false">
      <c r="A869" s="7" t="s">
        <v>931</v>
      </c>
      <c r="B869" s="7" t="s">
        <v>73</v>
      </c>
      <c r="C869" s="7" t="s">
        <v>741</v>
      </c>
      <c r="D869" s="10" t="n">
        <v>0</v>
      </c>
      <c r="E869" s="10" t="n">
        <v>0</v>
      </c>
      <c r="F869" s="10" t="n">
        <v>55</v>
      </c>
      <c r="G869" s="10" t="n">
        <v>0</v>
      </c>
      <c r="H869" s="10" t="n">
        <v>0</v>
      </c>
      <c r="I869" s="10" t="n">
        <v>480</v>
      </c>
      <c r="J869" s="10" t="n">
        <v>0</v>
      </c>
      <c r="K869" s="10" t="n">
        <v>1</v>
      </c>
      <c r="L869" s="10" t="n">
        <v>0</v>
      </c>
      <c r="M869" s="10" t="n">
        <v>0</v>
      </c>
      <c r="N869" s="10" t="n">
        <v>0</v>
      </c>
      <c r="O869" s="10" t="n">
        <v>0</v>
      </c>
      <c r="P869" s="10" t="n">
        <v>-1</v>
      </c>
      <c r="Q869" s="10" t="n">
        <v>408</v>
      </c>
      <c r="R869" s="10" t="n">
        <v>72</v>
      </c>
      <c r="S869" s="10" t="n">
        <v>0</v>
      </c>
      <c r="T869" s="10" t="n">
        <v>0</v>
      </c>
      <c r="U869" s="10" t="n">
        <v>0</v>
      </c>
    </row>
    <row r="870" customFormat="false" ht="15" hidden="false" customHeight="false" outlineLevel="0" collapsed="false">
      <c r="A870" s="7" t="s">
        <v>931</v>
      </c>
      <c r="B870" s="7" t="s">
        <v>73</v>
      </c>
      <c r="C870" s="7" t="s">
        <v>742</v>
      </c>
      <c r="D870" s="10" t="n">
        <v>0</v>
      </c>
      <c r="E870" s="10" t="n">
        <v>0</v>
      </c>
      <c r="F870" s="10" t="n">
        <v>37</v>
      </c>
      <c r="G870" s="10" t="n">
        <v>0</v>
      </c>
      <c r="H870" s="10" t="n">
        <v>0</v>
      </c>
      <c r="I870" s="10" t="n">
        <v>316</v>
      </c>
      <c r="J870" s="10" t="n">
        <v>0</v>
      </c>
      <c r="K870" s="10" t="n">
        <v>1</v>
      </c>
      <c r="L870" s="10" t="n">
        <v>0</v>
      </c>
      <c r="M870" s="10" t="n">
        <v>0</v>
      </c>
      <c r="N870" s="10" t="n">
        <v>0</v>
      </c>
      <c r="O870" s="10" t="n">
        <v>0</v>
      </c>
      <c r="P870" s="10" t="n">
        <v>-2</v>
      </c>
      <c r="Q870" s="10" t="n">
        <v>268</v>
      </c>
      <c r="R870" s="10" t="n">
        <v>49</v>
      </c>
      <c r="S870" s="10" t="n">
        <v>0</v>
      </c>
      <c r="T870" s="10" t="n">
        <v>0</v>
      </c>
      <c r="U870" s="10" t="n">
        <v>0</v>
      </c>
    </row>
    <row r="871" customFormat="false" ht="15" hidden="false" customHeight="false" outlineLevel="0" collapsed="false">
      <c r="A871" s="7" t="s">
        <v>931</v>
      </c>
      <c r="B871" s="7" t="s">
        <v>73</v>
      </c>
      <c r="C871" s="7" t="s">
        <v>743</v>
      </c>
      <c r="D871" s="10" t="n">
        <v>0</v>
      </c>
      <c r="E871" s="10" t="n">
        <v>0</v>
      </c>
      <c r="F871" s="10" t="n">
        <v>48</v>
      </c>
      <c r="G871" s="10" t="n">
        <v>0</v>
      </c>
      <c r="H871" s="10" t="n">
        <v>0</v>
      </c>
      <c r="I871" s="10" t="n">
        <v>371</v>
      </c>
      <c r="J871" s="10" t="n">
        <v>0</v>
      </c>
      <c r="K871" s="10" t="n">
        <v>0</v>
      </c>
      <c r="L871" s="10" t="n">
        <v>0</v>
      </c>
      <c r="M871" s="10" t="n">
        <v>0</v>
      </c>
      <c r="N871" s="10" t="n">
        <v>0</v>
      </c>
      <c r="O871" s="10" t="n">
        <v>1</v>
      </c>
      <c r="P871" s="10" t="n">
        <v>-1</v>
      </c>
      <c r="Q871" s="10" t="n">
        <v>305</v>
      </c>
      <c r="R871" s="10" t="n">
        <v>66</v>
      </c>
      <c r="S871" s="10" t="n">
        <v>0</v>
      </c>
      <c r="T871" s="10" t="n">
        <v>0</v>
      </c>
      <c r="U871" s="10" t="n">
        <v>0</v>
      </c>
    </row>
    <row r="872" customFormat="false" ht="15" hidden="false" customHeight="false" outlineLevel="0" collapsed="false">
      <c r="A872" s="7" t="s">
        <v>931</v>
      </c>
      <c r="B872" s="7" t="s">
        <v>345</v>
      </c>
      <c r="C872" s="7" t="s">
        <v>745</v>
      </c>
      <c r="D872" s="10" t="n">
        <v>0</v>
      </c>
      <c r="E872" s="10" t="n">
        <v>0</v>
      </c>
      <c r="F872" s="10" t="n">
        <v>1</v>
      </c>
      <c r="G872" s="10" t="n">
        <v>0</v>
      </c>
      <c r="H872" s="10" t="n">
        <v>0</v>
      </c>
      <c r="I872" s="10" t="n">
        <v>0</v>
      </c>
      <c r="J872" s="10" t="n">
        <v>0</v>
      </c>
      <c r="K872" s="10" t="n">
        <v>0</v>
      </c>
      <c r="L872" s="10" t="n">
        <v>0</v>
      </c>
      <c r="M872" s="10" t="n">
        <v>0</v>
      </c>
      <c r="N872" s="10" t="n">
        <v>0</v>
      </c>
      <c r="O872" s="10" t="n">
        <v>0</v>
      </c>
      <c r="P872" s="10" t="n">
        <v>0</v>
      </c>
      <c r="Q872" s="10" t="n">
        <v>0</v>
      </c>
      <c r="R872" s="10" t="n">
        <v>0</v>
      </c>
      <c r="S872" s="10" t="n">
        <v>0</v>
      </c>
      <c r="T872" s="10" t="n">
        <v>0</v>
      </c>
      <c r="U872" s="10" t="n">
        <v>0</v>
      </c>
    </row>
    <row r="873" customFormat="false" ht="15" hidden="false" customHeight="false" outlineLevel="0" collapsed="false">
      <c r="A873" s="7" t="s">
        <v>931</v>
      </c>
      <c r="B873" s="7" t="s">
        <v>246</v>
      </c>
      <c r="C873" s="7" t="s">
        <v>750</v>
      </c>
      <c r="D873" s="10" t="n">
        <v>0</v>
      </c>
      <c r="E873" s="10" t="n">
        <v>0</v>
      </c>
      <c r="F873" s="10" t="n">
        <v>531</v>
      </c>
      <c r="G873" s="10" t="n">
        <v>0</v>
      </c>
      <c r="H873" s="10" t="n">
        <v>0</v>
      </c>
      <c r="I873" s="10" t="n">
        <v>515</v>
      </c>
      <c r="J873" s="10" t="n">
        <v>0</v>
      </c>
      <c r="K873" s="10" t="n">
        <v>137</v>
      </c>
      <c r="L873" s="10" t="n">
        <v>0</v>
      </c>
      <c r="M873" s="10" t="n">
        <v>0</v>
      </c>
      <c r="N873" s="10" t="n">
        <v>3</v>
      </c>
      <c r="O873" s="10" t="n">
        <v>5</v>
      </c>
      <c r="P873" s="10" t="n">
        <v>-4</v>
      </c>
      <c r="Q873" s="10" t="n">
        <v>-2</v>
      </c>
      <c r="R873" s="10" t="n">
        <v>376</v>
      </c>
      <c r="S873" s="10" t="n">
        <v>0</v>
      </c>
      <c r="T873" s="10" t="n">
        <v>290</v>
      </c>
      <c r="U873" s="10" t="n">
        <v>0</v>
      </c>
    </row>
    <row r="874" customFormat="false" ht="15" hidden="false" customHeight="false" outlineLevel="0" collapsed="false">
      <c r="A874" s="7" t="s">
        <v>931</v>
      </c>
      <c r="B874" s="7" t="s">
        <v>296</v>
      </c>
      <c r="C874" s="7" t="s">
        <v>751</v>
      </c>
      <c r="D874" s="10" t="n">
        <v>0</v>
      </c>
      <c r="E874" s="10" t="n">
        <v>0</v>
      </c>
      <c r="F874" s="10" t="n">
        <v>-4</v>
      </c>
      <c r="G874" s="10" t="n">
        <v>0</v>
      </c>
      <c r="H874" s="10" t="n">
        <v>0</v>
      </c>
      <c r="I874" s="10" t="n">
        <v>0</v>
      </c>
      <c r="J874" s="10" t="n">
        <v>0</v>
      </c>
      <c r="K874" s="10" t="n">
        <v>0</v>
      </c>
      <c r="L874" s="10" t="n">
        <v>0</v>
      </c>
      <c r="M874" s="10" t="n">
        <v>0</v>
      </c>
      <c r="N874" s="10" t="n">
        <v>0</v>
      </c>
      <c r="O874" s="10" t="n">
        <v>0</v>
      </c>
      <c r="P874" s="10" t="n">
        <v>0</v>
      </c>
      <c r="Q874" s="10" t="n">
        <v>0</v>
      </c>
      <c r="R874" s="10" t="n">
        <v>0</v>
      </c>
      <c r="S874" s="10" t="n">
        <v>0</v>
      </c>
      <c r="T874" s="10" t="n">
        <v>0</v>
      </c>
      <c r="U874" s="10" t="n">
        <v>0</v>
      </c>
    </row>
    <row r="875" customFormat="false" ht="15" hidden="false" customHeight="false" outlineLevel="0" collapsed="false">
      <c r="A875" s="7" t="s">
        <v>931</v>
      </c>
      <c r="B875" s="7" t="s">
        <v>286</v>
      </c>
      <c r="C875" s="7" t="s">
        <v>752</v>
      </c>
      <c r="D875" s="10" t="n">
        <v>0</v>
      </c>
      <c r="E875" s="10" t="n">
        <v>0</v>
      </c>
      <c r="F875" s="10" t="n">
        <v>305</v>
      </c>
      <c r="G875" s="10" t="n">
        <v>0</v>
      </c>
      <c r="H875" s="10" t="n">
        <v>0</v>
      </c>
      <c r="I875" s="10" t="n">
        <v>214</v>
      </c>
      <c r="J875" s="10" t="n">
        <v>0</v>
      </c>
      <c r="K875" s="10" t="n">
        <v>36</v>
      </c>
      <c r="L875" s="10" t="n">
        <v>0</v>
      </c>
      <c r="M875" s="10" t="n">
        <v>14</v>
      </c>
      <c r="N875" s="10" t="n">
        <v>0</v>
      </c>
      <c r="O875" s="10" t="n">
        <v>6</v>
      </c>
      <c r="P875" s="10" t="n">
        <v>-4</v>
      </c>
      <c r="Q875" s="10" t="n">
        <v>0</v>
      </c>
      <c r="R875" s="10" t="n">
        <v>162</v>
      </c>
      <c r="S875" s="10" t="n">
        <v>0</v>
      </c>
      <c r="T875" s="10" t="n">
        <v>100</v>
      </c>
      <c r="U875" s="10" t="n">
        <v>0</v>
      </c>
    </row>
    <row r="876" customFormat="false" ht="15" hidden="false" customHeight="false" outlineLevel="0" collapsed="false">
      <c r="A876" s="7" t="s">
        <v>931</v>
      </c>
      <c r="B876" s="7" t="s">
        <v>241</v>
      </c>
      <c r="C876" s="7" t="s">
        <v>753</v>
      </c>
      <c r="D876" s="10" t="n">
        <v>0</v>
      </c>
      <c r="E876" s="10" t="n">
        <v>0</v>
      </c>
      <c r="F876" s="10" t="n">
        <v>89</v>
      </c>
      <c r="G876" s="10" t="n">
        <v>0</v>
      </c>
      <c r="H876" s="10" t="n">
        <v>0</v>
      </c>
      <c r="I876" s="10" t="n">
        <v>62</v>
      </c>
      <c r="J876" s="10" t="n">
        <v>0</v>
      </c>
      <c r="K876" s="10" t="n">
        <v>4</v>
      </c>
      <c r="L876" s="10" t="n">
        <v>0</v>
      </c>
      <c r="M876" s="10" t="n">
        <v>0</v>
      </c>
      <c r="N876" s="10" t="n">
        <v>0</v>
      </c>
      <c r="O876" s="10" t="n">
        <v>0</v>
      </c>
      <c r="P876" s="10" t="n">
        <v>0</v>
      </c>
      <c r="Q876" s="10" t="n">
        <v>28</v>
      </c>
      <c r="R876" s="10" t="n">
        <v>30</v>
      </c>
      <c r="S876" s="10" t="n">
        <v>0</v>
      </c>
      <c r="T876" s="10" t="n">
        <v>0</v>
      </c>
      <c r="U876" s="10" t="n">
        <v>0</v>
      </c>
    </row>
    <row r="877" customFormat="false" ht="15" hidden="false" customHeight="false" outlineLevel="0" collapsed="false">
      <c r="A877" s="7" t="s">
        <v>931</v>
      </c>
      <c r="B877" s="7" t="s">
        <v>277</v>
      </c>
      <c r="C877" s="7" t="s">
        <v>754</v>
      </c>
      <c r="D877" s="10" t="n">
        <v>0</v>
      </c>
      <c r="E877" s="10" t="n">
        <v>0</v>
      </c>
      <c r="F877" s="10" t="n">
        <v>360</v>
      </c>
      <c r="G877" s="10" t="n">
        <v>0</v>
      </c>
      <c r="H877" s="10" t="n">
        <v>20</v>
      </c>
      <c r="I877" s="10" t="n">
        <v>157</v>
      </c>
      <c r="J877" s="10" t="n">
        <v>0</v>
      </c>
      <c r="K877" s="10" t="n">
        <v>41</v>
      </c>
      <c r="L877" s="10" t="n">
        <v>0</v>
      </c>
      <c r="M877" s="10" t="n">
        <v>6</v>
      </c>
      <c r="N877" s="10" t="n">
        <v>0</v>
      </c>
      <c r="O877" s="10" t="n">
        <v>0</v>
      </c>
      <c r="P877" s="10" t="n">
        <v>-2</v>
      </c>
      <c r="Q877" s="10" t="n">
        <v>0</v>
      </c>
      <c r="R877" s="10" t="n">
        <v>112</v>
      </c>
      <c r="S877" s="10" t="n">
        <v>0</v>
      </c>
      <c r="T877" s="10" t="n">
        <v>188</v>
      </c>
      <c r="U877" s="10" t="n">
        <v>0</v>
      </c>
    </row>
    <row r="878" customFormat="false" ht="15" hidden="false" customHeight="false" outlineLevel="0" collapsed="false">
      <c r="A878" s="7" t="s">
        <v>931</v>
      </c>
      <c r="B878" s="7" t="s">
        <v>287</v>
      </c>
      <c r="C878" s="7" t="s">
        <v>755</v>
      </c>
      <c r="D878" s="10" t="n">
        <v>0</v>
      </c>
      <c r="E878" s="10" t="n">
        <v>0</v>
      </c>
      <c r="F878" s="10" t="n">
        <v>204</v>
      </c>
      <c r="G878" s="10" t="n">
        <v>0</v>
      </c>
      <c r="H878" s="10" t="n">
        <v>0</v>
      </c>
      <c r="I878" s="10" t="n">
        <v>105</v>
      </c>
      <c r="J878" s="10" t="n">
        <v>0</v>
      </c>
      <c r="K878" s="10" t="n">
        <v>20</v>
      </c>
      <c r="L878" s="10" t="n">
        <v>0</v>
      </c>
      <c r="M878" s="10" t="n">
        <v>4</v>
      </c>
      <c r="N878" s="10" t="n">
        <v>0</v>
      </c>
      <c r="O878" s="10" t="n">
        <v>0</v>
      </c>
      <c r="P878" s="10" t="n">
        <v>-4</v>
      </c>
      <c r="Q878" s="10" t="n">
        <v>0</v>
      </c>
      <c r="R878" s="10" t="n">
        <v>85</v>
      </c>
      <c r="S878" s="10" t="n">
        <v>0</v>
      </c>
      <c r="T878" s="10" t="n">
        <v>44</v>
      </c>
      <c r="U878" s="10" t="n">
        <v>0</v>
      </c>
    </row>
    <row r="879" customFormat="false" ht="15" hidden="false" customHeight="false" outlineLevel="0" collapsed="false">
      <c r="A879" s="7" t="s">
        <v>931</v>
      </c>
      <c r="B879" s="7" t="s">
        <v>199</v>
      </c>
      <c r="C879" s="7" t="s">
        <v>756</v>
      </c>
      <c r="D879" s="10" t="n">
        <v>0</v>
      </c>
      <c r="E879" s="10" t="n">
        <v>0</v>
      </c>
      <c r="F879" s="10" t="n">
        <v>1</v>
      </c>
      <c r="G879" s="10" t="n">
        <v>0</v>
      </c>
      <c r="H879" s="10" t="n">
        <v>0</v>
      </c>
      <c r="I879" s="10" t="n">
        <v>0</v>
      </c>
      <c r="J879" s="10" t="n">
        <v>0</v>
      </c>
      <c r="K879" s="10" t="n">
        <v>0</v>
      </c>
      <c r="L879" s="10" t="n">
        <v>0</v>
      </c>
      <c r="M879" s="10" t="n">
        <v>0</v>
      </c>
      <c r="N879" s="10" t="n">
        <v>0</v>
      </c>
      <c r="O879" s="10" t="n">
        <v>0</v>
      </c>
      <c r="P879" s="10" t="n">
        <v>0</v>
      </c>
      <c r="Q879" s="10" t="n">
        <v>0</v>
      </c>
      <c r="R879" s="10" t="n">
        <v>0</v>
      </c>
      <c r="S879" s="10" t="n">
        <v>0</v>
      </c>
      <c r="T879" s="10" t="n">
        <v>0</v>
      </c>
      <c r="U879" s="10" t="n">
        <v>0</v>
      </c>
    </row>
    <row r="880" customFormat="false" ht="15" hidden="false" customHeight="false" outlineLevel="0" collapsed="false">
      <c r="A880" s="7" t="s">
        <v>931</v>
      </c>
      <c r="B880" s="7" t="s">
        <v>199</v>
      </c>
      <c r="C880" s="7" t="s">
        <v>757</v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>
        <v>-2</v>
      </c>
      <c r="J880" s="10" t="n">
        <v>0</v>
      </c>
      <c r="K880" s="10" t="n">
        <v>0</v>
      </c>
      <c r="L880" s="10" t="n">
        <v>0</v>
      </c>
      <c r="M880" s="10" t="n">
        <v>0</v>
      </c>
      <c r="N880" s="10" t="n">
        <v>0</v>
      </c>
      <c r="O880" s="10" t="n">
        <v>0</v>
      </c>
      <c r="P880" s="10" t="n">
        <v>0</v>
      </c>
      <c r="Q880" s="10" t="n">
        <v>-2</v>
      </c>
      <c r="R880" s="10" t="n">
        <v>0</v>
      </c>
      <c r="S880" s="10" t="n">
        <v>0</v>
      </c>
      <c r="T880" s="10" t="n">
        <v>0</v>
      </c>
      <c r="U880" s="10" t="n">
        <v>0</v>
      </c>
    </row>
    <row r="881" customFormat="false" ht="15" hidden="false" customHeight="false" outlineLevel="0" collapsed="false">
      <c r="A881" s="7" t="s">
        <v>931</v>
      </c>
      <c r="B881" s="7" t="s">
        <v>199</v>
      </c>
      <c r="C881" s="7" t="s">
        <v>758</v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>
        <v>-1</v>
      </c>
      <c r="J881" s="10" t="n">
        <v>0</v>
      </c>
      <c r="K881" s="10" t="n">
        <v>0</v>
      </c>
      <c r="L881" s="10" t="n">
        <v>0</v>
      </c>
      <c r="M881" s="10" t="n">
        <v>0</v>
      </c>
      <c r="N881" s="10" t="n">
        <v>0</v>
      </c>
      <c r="O881" s="10" t="n">
        <v>0</v>
      </c>
      <c r="P881" s="10" t="n">
        <v>0</v>
      </c>
      <c r="Q881" s="10" t="n">
        <v>-1</v>
      </c>
      <c r="R881" s="10" t="n">
        <v>0</v>
      </c>
      <c r="S881" s="10" t="n">
        <v>0</v>
      </c>
      <c r="T881" s="10" t="n">
        <v>0</v>
      </c>
      <c r="U881" s="10" t="n">
        <v>0</v>
      </c>
    </row>
    <row r="882" customFormat="false" ht="15" hidden="false" customHeight="false" outlineLevel="0" collapsed="false">
      <c r="A882" s="7" t="s">
        <v>931</v>
      </c>
      <c r="B882" s="7" t="s">
        <v>199</v>
      </c>
      <c r="C882" s="7" t="s">
        <v>760</v>
      </c>
      <c r="D882" s="10" t="n">
        <v>0</v>
      </c>
      <c r="E882" s="10" t="n">
        <v>0</v>
      </c>
      <c r="F882" s="10" t="n">
        <v>-1</v>
      </c>
      <c r="G882" s="10" t="n">
        <v>0</v>
      </c>
      <c r="H882" s="10" t="n">
        <v>0</v>
      </c>
      <c r="I882" s="10" t="n">
        <v>0</v>
      </c>
      <c r="J882" s="10" t="n">
        <v>0</v>
      </c>
      <c r="K882" s="10" t="n">
        <v>0</v>
      </c>
      <c r="L882" s="10" t="n">
        <v>0</v>
      </c>
      <c r="M882" s="10" t="n">
        <v>0</v>
      </c>
      <c r="N882" s="10" t="n">
        <v>0</v>
      </c>
      <c r="O882" s="10" t="n">
        <v>0</v>
      </c>
      <c r="P882" s="10" t="n">
        <v>0</v>
      </c>
      <c r="Q882" s="10" t="n">
        <v>0</v>
      </c>
      <c r="R882" s="10" t="n">
        <v>0</v>
      </c>
      <c r="S882" s="10" t="n">
        <v>0</v>
      </c>
      <c r="T882" s="10" t="n">
        <v>0</v>
      </c>
      <c r="U882" s="10" t="n">
        <v>0</v>
      </c>
    </row>
    <row r="883" customFormat="false" ht="15" hidden="false" customHeight="false" outlineLevel="0" collapsed="false">
      <c r="A883" s="7" t="s">
        <v>931</v>
      </c>
      <c r="B883" s="7" t="s">
        <v>199</v>
      </c>
      <c r="C883" s="7" t="s">
        <v>952</v>
      </c>
      <c r="D883" s="10" t="n">
        <v>0</v>
      </c>
      <c r="E883" s="10" t="n">
        <v>0</v>
      </c>
      <c r="F883" s="10" t="n">
        <v>-1</v>
      </c>
      <c r="G883" s="10" t="n">
        <v>0</v>
      </c>
      <c r="H883" s="10" t="n">
        <v>0</v>
      </c>
      <c r="I883" s="10" t="n">
        <v>0</v>
      </c>
      <c r="J883" s="10" t="n">
        <v>0</v>
      </c>
      <c r="K883" s="10" t="n">
        <v>0</v>
      </c>
      <c r="L883" s="10" t="n">
        <v>0</v>
      </c>
      <c r="M883" s="10" t="n">
        <v>0</v>
      </c>
      <c r="N883" s="10" t="n">
        <v>0</v>
      </c>
      <c r="O883" s="10" t="n">
        <v>0</v>
      </c>
      <c r="P883" s="10" t="n">
        <v>0</v>
      </c>
      <c r="Q883" s="10" t="n">
        <v>0</v>
      </c>
      <c r="R883" s="10" t="n">
        <v>0</v>
      </c>
      <c r="S883" s="10" t="n">
        <v>0</v>
      </c>
      <c r="T883" s="10" t="n">
        <v>0</v>
      </c>
      <c r="U883" s="10" t="n">
        <v>0</v>
      </c>
    </row>
    <row r="884" customFormat="false" ht="15" hidden="false" customHeight="false" outlineLevel="0" collapsed="false">
      <c r="A884" s="7" t="s">
        <v>931</v>
      </c>
      <c r="B884" s="7" t="s">
        <v>199</v>
      </c>
      <c r="C884" s="7" t="s">
        <v>761</v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>
        <v>-1</v>
      </c>
      <c r="J884" s="10" t="n">
        <v>0</v>
      </c>
      <c r="K884" s="10" t="n">
        <v>0</v>
      </c>
      <c r="L884" s="10" t="n">
        <v>0</v>
      </c>
      <c r="M884" s="10" t="n">
        <v>0</v>
      </c>
      <c r="N884" s="10" t="n">
        <v>0</v>
      </c>
      <c r="O884" s="10" t="n">
        <v>0</v>
      </c>
      <c r="P884" s="10" t="n">
        <v>0</v>
      </c>
      <c r="Q884" s="10" t="n">
        <v>-1</v>
      </c>
      <c r="R884" s="10" t="n">
        <v>0</v>
      </c>
      <c r="S884" s="10" t="n">
        <v>0</v>
      </c>
      <c r="T884" s="10" t="n">
        <v>0</v>
      </c>
      <c r="U884" s="10" t="n">
        <v>0</v>
      </c>
    </row>
    <row r="885" customFormat="false" ht="15" hidden="false" customHeight="false" outlineLevel="0" collapsed="false">
      <c r="A885" s="7" t="s">
        <v>931</v>
      </c>
      <c r="B885" s="7" t="s">
        <v>199</v>
      </c>
      <c r="C885" s="7" t="s">
        <v>763</v>
      </c>
      <c r="D885" s="10" t="n">
        <v>0</v>
      </c>
      <c r="E885" s="10" t="n">
        <v>0</v>
      </c>
      <c r="F885" s="10" t="n">
        <v>-1</v>
      </c>
      <c r="G885" s="10" t="n">
        <v>0</v>
      </c>
      <c r="H885" s="10" t="n">
        <v>0</v>
      </c>
      <c r="I885" s="10" t="n">
        <v>-1</v>
      </c>
      <c r="J885" s="10" t="n">
        <v>0</v>
      </c>
      <c r="K885" s="10" t="n">
        <v>0</v>
      </c>
      <c r="L885" s="10" t="n">
        <v>0</v>
      </c>
      <c r="M885" s="10" t="n">
        <v>0</v>
      </c>
      <c r="N885" s="10" t="n">
        <v>0</v>
      </c>
      <c r="O885" s="10" t="n">
        <v>0</v>
      </c>
      <c r="P885" s="10" t="n">
        <v>0</v>
      </c>
      <c r="Q885" s="10" t="n">
        <v>-1</v>
      </c>
      <c r="R885" s="10" t="n">
        <v>0</v>
      </c>
      <c r="S885" s="10" t="n">
        <v>0</v>
      </c>
      <c r="T885" s="10" t="n">
        <v>0</v>
      </c>
      <c r="U885" s="10" t="n">
        <v>0</v>
      </c>
    </row>
    <row r="886" customFormat="false" ht="15" hidden="false" customHeight="false" outlineLevel="0" collapsed="false">
      <c r="A886" s="7" t="s">
        <v>931</v>
      </c>
      <c r="B886" s="7" t="s">
        <v>199</v>
      </c>
      <c r="C886" s="7" t="s">
        <v>766</v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>
        <v>-1</v>
      </c>
      <c r="J886" s="10" t="n">
        <v>0</v>
      </c>
      <c r="K886" s="10" t="n">
        <v>0</v>
      </c>
      <c r="L886" s="10" t="n">
        <v>0</v>
      </c>
      <c r="M886" s="10" t="n">
        <v>0</v>
      </c>
      <c r="N886" s="10" t="n">
        <v>0</v>
      </c>
      <c r="O886" s="10" t="n">
        <v>0</v>
      </c>
      <c r="P886" s="10" t="n">
        <v>0</v>
      </c>
      <c r="Q886" s="10" t="n">
        <v>-1</v>
      </c>
      <c r="R886" s="10" t="n">
        <v>0</v>
      </c>
      <c r="S886" s="10" t="n">
        <v>0</v>
      </c>
      <c r="T886" s="10" t="n">
        <v>0</v>
      </c>
      <c r="U886" s="10" t="n">
        <v>0</v>
      </c>
    </row>
    <row r="887" customFormat="false" ht="15" hidden="false" customHeight="false" outlineLevel="0" collapsed="false">
      <c r="A887" s="7" t="s">
        <v>931</v>
      </c>
      <c r="B887" s="7" t="s">
        <v>68</v>
      </c>
      <c r="C887" s="7" t="s">
        <v>767</v>
      </c>
      <c r="D887" s="10" t="n">
        <v>0</v>
      </c>
      <c r="E887" s="10" t="n">
        <v>0</v>
      </c>
      <c r="F887" s="10" t="n">
        <v>41</v>
      </c>
      <c r="G887" s="10" t="n">
        <v>0</v>
      </c>
      <c r="H887" s="10" t="n">
        <v>0</v>
      </c>
      <c r="I887" s="10" t="n">
        <v>494</v>
      </c>
      <c r="J887" s="10" t="n">
        <v>0</v>
      </c>
      <c r="K887" s="10" t="n">
        <v>2</v>
      </c>
      <c r="L887" s="10" t="n">
        <v>0</v>
      </c>
      <c r="M887" s="10" t="n">
        <v>0</v>
      </c>
      <c r="N887" s="10" t="n">
        <v>0</v>
      </c>
      <c r="O887" s="10" t="n">
        <v>0</v>
      </c>
      <c r="P887" s="10" t="n">
        <v>0</v>
      </c>
      <c r="Q887" s="10" t="n">
        <v>461</v>
      </c>
      <c r="R887" s="10" t="n">
        <v>31</v>
      </c>
      <c r="S887" s="10" t="n">
        <v>0</v>
      </c>
      <c r="T887" s="10" t="n">
        <v>21</v>
      </c>
      <c r="U887" s="10" t="n">
        <v>0</v>
      </c>
    </row>
    <row r="888" customFormat="false" ht="15" hidden="false" customHeight="false" outlineLevel="0" collapsed="false">
      <c r="A888" s="7" t="s">
        <v>931</v>
      </c>
      <c r="B888" s="7" t="s">
        <v>134</v>
      </c>
      <c r="C888" s="7" t="s">
        <v>768</v>
      </c>
      <c r="D888" s="10" t="n">
        <v>0</v>
      </c>
      <c r="E888" s="10" t="n">
        <v>0</v>
      </c>
      <c r="F888" s="10" t="n">
        <v>23</v>
      </c>
      <c r="G888" s="10" t="n">
        <v>0</v>
      </c>
      <c r="H888" s="10" t="n">
        <v>0</v>
      </c>
      <c r="I888" s="10" t="n">
        <v>12</v>
      </c>
      <c r="J888" s="10" t="n">
        <v>0</v>
      </c>
      <c r="K888" s="10" t="n">
        <v>0</v>
      </c>
      <c r="L888" s="10" t="n">
        <v>0</v>
      </c>
      <c r="M888" s="10" t="n">
        <v>0</v>
      </c>
      <c r="N888" s="10" t="n">
        <v>0</v>
      </c>
      <c r="O888" s="10" t="n">
        <v>0</v>
      </c>
      <c r="P888" s="10" t="n">
        <v>0</v>
      </c>
      <c r="Q888" s="10" t="n">
        <v>12</v>
      </c>
      <c r="R888" s="10" t="n">
        <v>0</v>
      </c>
      <c r="S888" s="10" t="n">
        <v>0</v>
      </c>
      <c r="T888" s="10" t="n">
        <v>16</v>
      </c>
      <c r="U888" s="10" t="n">
        <v>0</v>
      </c>
    </row>
    <row r="889" customFormat="false" ht="15" hidden="false" customHeight="false" outlineLevel="0" collapsed="false">
      <c r="A889" s="7" t="s">
        <v>931</v>
      </c>
      <c r="B889" s="7" t="s">
        <v>326</v>
      </c>
      <c r="C889" s="7" t="s">
        <v>769</v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>
        <v>0</v>
      </c>
      <c r="J889" s="10" t="n">
        <v>0</v>
      </c>
      <c r="K889" s="10" t="n">
        <v>0</v>
      </c>
      <c r="L889" s="10" t="n">
        <v>0</v>
      </c>
      <c r="M889" s="10" t="n">
        <v>0</v>
      </c>
      <c r="N889" s="10" t="n">
        <v>0</v>
      </c>
      <c r="O889" s="10" t="n">
        <v>0</v>
      </c>
      <c r="P889" s="10" t="n">
        <v>0</v>
      </c>
      <c r="Q889" s="10" t="n">
        <v>0</v>
      </c>
      <c r="R889" s="10" t="n">
        <v>0</v>
      </c>
      <c r="S889" s="10" t="n">
        <v>0</v>
      </c>
      <c r="T889" s="10" t="n">
        <v>2</v>
      </c>
      <c r="U889" s="10" t="n">
        <v>0</v>
      </c>
    </row>
    <row r="890" customFormat="false" ht="15" hidden="false" customHeight="false" outlineLevel="0" collapsed="false">
      <c r="A890" s="7" t="s">
        <v>931</v>
      </c>
      <c r="B890" s="7" t="s">
        <v>214</v>
      </c>
      <c r="C890" s="7" t="s">
        <v>770</v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>
        <v>-1</v>
      </c>
      <c r="J890" s="10" t="n">
        <v>0</v>
      </c>
      <c r="K890" s="10" t="n">
        <v>0</v>
      </c>
      <c r="L890" s="10" t="n">
        <v>0</v>
      </c>
      <c r="M890" s="10" t="n">
        <v>0</v>
      </c>
      <c r="N890" s="10" t="n">
        <v>0</v>
      </c>
      <c r="O890" s="10" t="n">
        <v>0</v>
      </c>
      <c r="P890" s="10" t="n">
        <v>0</v>
      </c>
      <c r="Q890" s="10" t="n">
        <v>-1</v>
      </c>
      <c r="R890" s="10" t="n">
        <v>0</v>
      </c>
      <c r="S890" s="10" t="n">
        <v>0</v>
      </c>
      <c r="T890" s="10" t="n">
        <v>0</v>
      </c>
      <c r="U890" s="10" t="n">
        <v>0</v>
      </c>
    </row>
    <row r="891" customFormat="false" ht="15" hidden="false" customHeight="false" outlineLevel="0" collapsed="false">
      <c r="A891" s="7" t="s">
        <v>931</v>
      </c>
      <c r="B891" s="7" t="s">
        <v>236</v>
      </c>
      <c r="C891" s="7" t="s">
        <v>772</v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>
        <v>-2</v>
      </c>
      <c r="J891" s="10" t="n">
        <v>0</v>
      </c>
      <c r="K891" s="10" t="n">
        <v>0</v>
      </c>
      <c r="L891" s="10" t="n">
        <v>0</v>
      </c>
      <c r="M891" s="10" t="n">
        <v>0</v>
      </c>
      <c r="N891" s="10" t="n">
        <v>0</v>
      </c>
      <c r="O891" s="10" t="n">
        <v>0</v>
      </c>
      <c r="P891" s="10" t="n">
        <v>0</v>
      </c>
      <c r="Q891" s="10" t="n">
        <v>-2</v>
      </c>
      <c r="R891" s="10" t="n">
        <v>0</v>
      </c>
      <c r="S891" s="10" t="n">
        <v>0</v>
      </c>
      <c r="T891" s="10" t="n">
        <v>0</v>
      </c>
      <c r="U891" s="10" t="n">
        <v>0</v>
      </c>
    </row>
    <row r="892" customFormat="false" ht="15" hidden="false" customHeight="false" outlineLevel="0" collapsed="false">
      <c r="A892" s="7" t="s">
        <v>931</v>
      </c>
      <c r="B892" s="7" t="s">
        <v>340</v>
      </c>
      <c r="C892" s="7" t="s">
        <v>773</v>
      </c>
      <c r="D892" s="10" t="n">
        <v>0</v>
      </c>
      <c r="E892" s="10" t="n">
        <v>0</v>
      </c>
      <c r="F892" s="10" t="n">
        <v>78</v>
      </c>
      <c r="G892" s="10" t="n">
        <v>0</v>
      </c>
      <c r="H892" s="10" t="n">
        <v>0</v>
      </c>
      <c r="I892" s="10" t="n">
        <v>91</v>
      </c>
      <c r="J892" s="10" t="n">
        <v>0</v>
      </c>
      <c r="K892" s="10" t="n">
        <v>4</v>
      </c>
      <c r="L892" s="10" t="n">
        <v>0</v>
      </c>
      <c r="M892" s="10" t="n">
        <v>0</v>
      </c>
      <c r="N892" s="10" t="n">
        <v>0</v>
      </c>
      <c r="O892" s="10" t="n">
        <v>1</v>
      </c>
      <c r="P892" s="10" t="n">
        <v>-4</v>
      </c>
      <c r="Q892" s="10" t="n">
        <v>0</v>
      </c>
      <c r="R892" s="10" t="n">
        <v>90</v>
      </c>
      <c r="S892" s="10" t="n">
        <v>0</v>
      </c>
      <c r="T892" s="10" t="n">
        <v>9</v>
      </c>
      <c r="U892" s="10" t="n">
        <v>0</v>
      </c>
    </row>
    <row r="893" customFormat="false" ht="15" hidden="false" customHeight="false" outlineLevel="0" collapsed="false">
      <c r="A893" s="7" t="s">
        <v>931</v>
      </c>
      <c r="B893" s="7" t="s">
        <v>225</v>
      </c>
      <c r="C893" s="7" t="s">
        <v>774</v>
      </c>
      <c r="D893" s="10" t="n">
        <v>0</v>
      </c>
      <c r="E893" s="10" t="n">
        <v>0</v>
      </c>
      <c r="F893" s="10" t="n">
        <v>-1</v>
      </c>
      <c r="G893" s="10" t="n">
        <v>0</v>
      </c>
      <c r="H893" s="10" t="n">
        <v>0</v>
      </c>
      <c r="I893" s="10" t="n">
        <v>8</v>
      </c>
      <c r="J893" s="10" t="n">
        <v>0</v>
      </c>
      <c r="K893" s="10" t="n">
        <v>5</v>
      </c>
      <c r="L893" s="10" t="n">
        <v>0</v>
      </c>
      <c r="M893" s="10" t="n">
        <v>0</v>
      </c>
      <c r="N893" s="10" t="n">
        <v>0</v>
      </c>
      <c r="O893" s="10" t="n">
        <v>0</v>
      </c>
      <c r="P893" s="10" t="n">
        <v>-2</v>
      </c>
      <c r="Q893" s="10" t="n">
        <v>1</v>
      </c>
      <c r="R893" s="10" t="n">
        <v>4</v>
      </c>
      <c r="S893" s="10" t="n">
        <v>0</v>
      </c>
      <c r="T893" s="10" t="n">
        <v>0</v>
      </c>
      <c r="U893" s="10" t="n">
        <v>0</v>
      </c>
    </row>
    <row r="894" customFormat="false" ht="15" hidden="false" customHeight="false" outlineLevel="0" collapsed="false">
      <c r="A894" s="7" t="s">
        <v>931</v>
      </c>
      <c r="B894" s="7" t="s">
        <v>300</v>
      </c>
      <c r="C894" s="7" t="s">
        <v>775</v>
      </c>
      <c r="D894" s="10" t="n">
        <v>0</v>
      </c>
      <c r="E894" s="10" t="n">
        <v>0</v>
      </c>
      <c r="F894" s="10" t="n">
        <v>32</v>
      </c>
      <c r="G894" s="10" t="n">
        <v>0</v>
      </c>
      <c r="H894" s="10" t="n">
        <v>0</v>
      </c>
      <c r="I894" s="10" t="n">
        <v>18</v>
      </c>
      <c r="J894" s="10" t="n">
        <v>0</v>
      </c>
      <c r="K894" s="10" t="n">
        <v>0</v>
      </c>
      <c r="L894" s="10" t="n">
        <v>0</v>
      </c>
      <c r="M894" s="10" t="n">
        <v>0</v>
      </c>
      <c r="N894" s="10" t="n">
        <v>0</v>
      </c>
      <c r="O894" s="10" t="n">
        <v>0</v>
      </c>
      <c r="P894" s="10" t="n">
        <v>-2</v>
      </c>
      <c r="Q894" s="10" t="n">
        <v>0</v>
      </c>
      <c r="R894" s="10" t="n">
        <v>20</v>
      </c>
      <c r="S894" s="10" t="n">
        <v>0</v>
      </c>
      <c r="T894" s="10" t="n">
        <v>15</v>
      </c>
      <c r="U894" s="10" t="n">
        <v>0</v>
      </c>
    </row>
    <row r="895" customFormat="false" ht="15" hidden="false" customHeight="false" outlineLevel="0" collapsed="false">
      <c r="A895" s="7" t="s">
        <v>931</v>
      </c>
      <c r="B895" s="7" t="s">
        <v>247</v>
      </c>
      <c r="C895" s="7" t="s">
        <v>776</v>
      </c>
      <c r="D895" s="10" t="n">
        <v>0</v>
      </c>
      <c r="E895" s="10" t="n">
        <v>0</v>
      </c>
      <c r="F895" s="10" t="n">
        <v>11</v>
      </c>
      <c r="G895" s="10" t="n">
        <v>0</v>
      </c>
      <c r="H895" s="10" t="n">
        <v>0</v>
      </c>
      <c r="I895" s="10" t="n">
        <v>41</v>
      </c>
      <c r="J895" s="10" t="n">
        <v>0</v>
      </c>
      <c r="K895" s="10" t="n">
        <v>3</v>
      </c>
      <c r="L895" s="10" t="n">
        <v>0</v>
      </c>
      <c r="M895" s="10" t="n">
        <v>0</v>
      </c>
      <c r="N895" s="10" t="n">
        <v>0</v>
      </c>
      <c r="O895" s="10" t="n">
        <v>0</v>
      </c>
      <c r="P895" s="10" t="n">
        <v>-6</v>
      </c>
      <c r="Q895" s="10" t="n">
        <v>-3</v>
      </c>
      <c r="R895" s="10" t="n">
        <v>47</v>
      </c>
      <c r="S895" s="10" t="n">
        <v>0</v>
      </c>
      <c r="T895" s="10" t="n">
        <v>11</v>
      </c>
      <c r="U895" s="10" t="n">
        <v>0</v>
      </c>
    </row>
    <row r="896" customFormat="false" ht="15" hidden="false" customHeight="false" outlineLevel="0" collapsed="false">
      <c r="A896" s="7" t="s">
        <v>931</v>
      </c>
      <c r="B896" s="7" t="s">
        <v>269</v>
      </c>
      <c r="C896" s="7" t="s">
        <v>777</v>
      </c>
      <c r="D896" s="10" t="n">
        <v>0</v>
      </c>
      <c r="E896" s="10" t="n">
        <v>0</v>
      </c>
      <c r="F896" s="10" t="n">
        <v>1054</v>
      </c>
      <c r="G896" s="10" t="n">
        <v>0</v>
      </c>
      <c r="H896" s="10" t="n">
        <v>0</v>
      </c>
      <c r="I896" s="10" t="n">
        <v>638</v>
      </c>
      <c r="J896" s="10" t="n">
        <v>0</v>
      </c>
      <c r="K896" s="10" t="n">
        <v>30</v>
      </c>
      <c r="L896" s="10" t="n">
        <v>0</v>
      </c>
      <c r="M896" s="10" t="n">
        <v>3</v>
      </c>
      <c r="N896" s="10" t="n">
        <v>18</v>
      </c>
      <c r="O896" s="10" t="n">
        <v>14</v>
      </c>
      <c r="P896" s="10" t="n">
        <v>-3</v>
      </c>
      <c r="Q896" s="10" t="n">
        <v>0</v>
      </c>
      <c r="R896" s="10" t="n">
        <v>576</v>
      </c>
      <c r="S896" s="10" t="n">
        <v>0</v>
      </c>
      <c r="T896" s="10" t="n">
        <v>298</v>
      </c>
      <c r="U896" s="10" t="n">
        <v>-3</v>
      </c>
    </row>
    <row r="897" customFormat="false" ht="15" hidden="false" customHeight="false" outlineLevel="0" collapsed="false">
      <c r="A897" s="7" t="s">
        <v>931</v>
      </c>
      <c r="B897" s="7" t="s">
        <v>67</v>
      </c>
      <c r="C897" s="7" t="s">
        <v>778</v>
      </c>
      <c r="D897" s="10" t="n">
        <v>0</v>
      </c>
      <c r="E897" s="10" t="n">
        <v>0</v>
      </c>
      <c r="F897" s="10" t="n">
        <v>90</v>
      </c>
      <c r="G897" s="10" t="n">
        <v>0</v>
      </c>
      <c r="H897" s="10" t="n">
        <v>0</v>
      </c>
      <c r="I897" s="10" t="n">
        <v>769</v>
      </c>
      <c r="J897" s="10" t="n">
        <v>0</v>
      </c>
      <c r="K897" s="10" t="n">
        <v>2</v>
      </c>
      <c r="L897" s="10" t="n">
        <v>0</v>
      </c>
      <c r="M897" s="10" t="n">
        <v>0</v>
      </c>
      <c r="N897" s="10" t="n">
        <v>2</v>
      </c>
      <c r="O897" s="10" t="n">
        <v>1</v>
      </c>
      <c r="P897" s="10" t="n">
        <v>-2</v>
      </c>
      <c r="Q897" s="10" t="n">
        <v>724</v>
      </c>
      <c r="R897" s="10" t="n">
        <v>42</v>
      </c>
      <c r="S897" s="10" t="n">
        <v>0</v>
      </c>
      <c r="T897" s="10" t="n">
        <v>47</v>
      </c>
      <c r="U897" s="10" t="n">
        <v>0</v>
      </c>
    </row>
    <row r="898" customFormat="false" ht="15" hidden="false" customHeight="false" outlineLevel="0" collapsed="false">
      <c r="A898" s="7" t="s">
        <v>931</v>
      </c>
      <c r="B898" s="7" t="s">
        <v>136</v>
      </c>
      <c r="C898" s="7" t="s">
        <v>779</v>
      </c>
      <c r="D898" s="10" t="n">
        <v>0</v>
      </c>
      <c r="E898" s="10" t="n">
        <v>0</v>
      </c>
      <c r="F898" s="10" t="n">
        <v>112</v>
      </c>
      <c r="G898" s="10" t="n">
        <v>0</v>
      </c>
      <c r="H898" s="10" t="n">
        <v>0</v>
      </c>
      <c r="I898" s="10" t="n">
        <v>527</v>
      </c>
      <c r="J898" s="10" t="n">
        <v>0</v>
      </c>
      <c r="K898" s="10" t="n">
        <v>11</v>
      </c>
      <c r="L898" s="10" t="n">
        <v>0</v>
      </c>
      <c r="M898" s="10" t="n">
        <v>6</v>
      </c>
      <c r="N898" s="10" t="n">
        <v>6</v>
      </c>
      <c r="O898" s="10" t="n">
        <v>0</v>
      </c>
      <c r="P898" s="10" t="n">
        <v>0</v>
      </c>
      <c r="Q898" s="10" t="n">
        <v>428</v>
      </c>
      <c r="R898" s="10" t="n">
        <v>76</v>
      </c>
      <c r="S898" s="10" t="n">
        <v>0</v>
      </c>
      <c r="T898" s="10" t="n">
        <v>65</v>
      </c>
      <c r="U898" s="10" t="n">
        <v>0</v>
      </c>
    </row>
    <row r="899" customFormat="false" ht="15" hidden="false" customHeight="false" outlineLevel="0" collapsed="false">
      <c r="A899" s="7" t="s">
        <v>931</v>
      </c>
      <c r="B899" s="7" t="s">
        <v>185</v>
      </c>
      <c r="C899" s="7" t="s">
        <v>781</v>
      </c>
      <c r="D899" s="10" t="n">
        <v>0</v>
      </c>
      <c r="E899" s="10" t="n">
        <v>0</v>
      </c>
      <c r="F899" s="10" t="n">
        <v>5</v>
      </c>
      <c r="G899" s="10" t="n">
        <v>0</v>
      </c>
      <c r="H899" s="10" t="n">
        <v>0</v>
      </c>
      <c r="I899" s="10" t="n">
        <v>0</v>
      </c>
      <c r="J899" s="10" t="n">
        <v>0</v>
      </c>
      <c r="K899" s="10" t="n">
        <v>0</v>
      </c>
      <c r="L899" s="10" t="n">
        <v>0</v>
      </c>
      <c r="M899" s="10" t="n">
        <v>0</v>
      </c>
      <c r="N899" s="10" t="n">
        <v>0</v>
      </c>
      <c r="O899" s="10" t="n">
        <v>0</v>
      </c>
      <c r="P899" s="10" t="n">
        <v>0</v>
      </c>
      <c r="Q899" s="10" t="n">
        <v>0</v>
      </c>
      <c r="R899" s="10" t="n">
        <v>0</v>
      </c>
      <c r="S899" s="10" t="n">
        <v>0</v>
      </c>
      <c r="T899" s="10" t="n">
        <v>0</v>
      </c>
      <c r="U899" s="10" t="n">
        <v>0</v>
      </c>
    </row>
    <row r="900" customFormat="false" ht="15" hidden="false" customHeight="false" outlineLevel="0" collapsed="false">
      <c r="A900" s="7" t="s">
        <v>931</v>
      </c>
      <c r="B900" s="7" t="s">
        <v>185</v>
      </c>
      <c r="C900" s="7" t="s">
        <v>782</v>
      </c>
      <c r="D900" s="10" t="n">
        <v>0</v>
      </c>
      <c r="E900" s="10" t="n">
        <v>0</v>
      </c>
      <c r="F900" s="10" t="n">
        <v>15</v>
      </c>
      <c r="G900" s="10" t="n">
        <v>0</v>
      </c>
      <c r="H900" s="10" t="n">
        <v>0</v>
      </c>
      <c r="I900" s="10" t="n">
        <v>8</v>
      </c>
      <c r="J900" s="10" t="n">
        <v>0</v>
      </c>
      <c r="K900" s="10" t="n">
        <v>0</v>
      </c>
      <c r="L900" s="10" t="n">
        <v>0</v>
      </c>
      <c r="M900" s="10" t="n">
        <v>0</v>
      </c>
      <c r="N900" s="10" t="n">
        <v>0</v>
      </c>
      <c r="O900" s="10" t="n">
        <v>0</v>
      </c>
      <c r="P900" s="10" t="n">
        <v>0</v>
      </c>
      <c r="Q900" s="10" t="n">
        <v>6</v>
      </c>
      <c r="R900" s="10" t="n">
        <v>2</v>
      </c>
      <c r="S900" s="10" t="n">
        <v>0</v>
      </c>
      <c r="T900" s="10" t="n">
        <v>6</v>
      </c>
      <c r="U900" s="10" t="n">
        <v>0</v>
      </c>
    </row>
    <row r="901" customFormat="false" ht="15" hidden="false" customHeight="false" outlineLevel="0" collapsed="false">
      <c r="A901" s="7" t="s">
        <v>931</v>
      </c>
      <c r="B901" s="7" t="s">
        <v>185</v>
      </c>
      <c r="C901" s="7" t="s">
        <v>783</v>
      </c>
      <c r="D901" s="10" t="n">
        <v>0</v>
      </c>
      <c r="E901" s="10" t="n">
        <v>0</v>
      </c>
      <c r="F901" s="10" t="n">
        <v>25</v>
      </c>
      <c r="G901" s="10" t="n">
        <v>0</v>
      </c>
      <c r="H901" s="10" t="n">
        <v>0</v>
      </c>
      <c r="I901" s="10" t="n">
        <v>8</v>
      </c>
      <c r="J901" s="10" t="n">
        <v>0</v>
      </c>
      <c r="K901" s="10" t="n">
        <v>0</v>
      </c>
      <c r="L901" s="10" t="n">
        <v>0</v>
      </c>
      <c r="M901" s="10" t="n">
        <v>0</v>
      </c>
      <c r="N901" s="10" t="n">
        <v>0</v>
      </c>
      <c r="O901" s="10" t="n">
        <v>0</v>
      </c>
      <c r="P901" s="10" t="n">
        <v>0</v>
      </c>
      <c r="Q901" s="10" t="n">
        <v>6</v>
      </c>
      <c r="R901" s="10" t="n">
        <v>2</v>
      </c>
      <c r="S901" s="10" t="n">
        <v>0</v>
      </c>
      <c r="T901" s="10" t="n">
        <v>8</v>
      </c>
      <c r="U901" s="10" t="n">
        <v>0</v>
      </c>
    </row>
    <row r="902" customFormat="false" ht="15" hidden="false" customHeight="false" outlineLevel="0" collapsed="false">
      <c r="A902" s="7" t="s">
        <v>931</v>
      </c>
      <c r="B902" s="7" t="s">
        <v>185</v>
      </c>
      <c r="C902" s="7" t="s">
        <v>784</v>
      </c>
      <c r="D902" s="10" t="n">
        <v>0</v>
      </c>
      <c r="E902" s="10" t="n">
        <v>0</v>
      </c>
      <c r="F902" s="10" t="n">
        <v>19</v>
      </c>
      <c r="G902" s="10" t="n">
        <v>0</v>
      </c>
      <c r="H902" s="10" t="n">
        <v>0</v>
      </c>
      <c r="I902" s="10" t="n">
        <v>6</v>
      </c>
      <c r="J902" s="10" t="n">
        <v>0</v>
      </c>
      <c r="K902" s="10" t="n">
        <v>0</v>
      </c>
      <c r="L902" s="10" t="n">
        <v>0</v>
      </c>
      <c r="M902" s="10" t="n">
        <v>0</v>
      </c>
      <c r="N902" s="10" t="n">
        <v>0</v>
      </c>
      <c r="O902" s="10" t="n">
        <v>0</v>
      </c>
      <c r="P902" s="10" t="n">
        <v>0</v>
      </c>
      <c r="Q902" s="10" t="n">
        <v>6</v>
      </c>
      <c r="R902" s="10" t="n">
        <v>0</v>
      </c>
      <c r="S902" s="10" t="n">
        <v>0</v>
      </c>
      <c r="T902" s="10" t="n">
        <v>2</v>
      </c>
      <c r="U902" s="10" t="n">
        <v>0</v>
      </c>
    </row>
    <row r="903" customFormat="false" ht="15" hidden="false" customHeight="false" outlineLevel="0" collapsed="false">
      <c r="A903" s="7" t="s">
        <v>931</v>
      </c>
      <c r="B903" s="7" t="s">
        <v>185</v>
      </c>
      <c r="C903" s="7" t="s">
        <v>785</v>
      </c>
      <c r="D903" s="10" t="n">
        <v>0</v>
      </c>
      <c r="E903" s="10" t="n">
        <v>0</v>
      </c>
      <c r="F903" s="10" t="n">
        <v>3</v>
      </c>
      <c r="G903" s="10" t="n">
        <v>0</v>
      </c>
      <c r="H903" s="10" t="n">
        <v>0</v>
      </c>
      <c r="I903" s="10" t="n">
        <v>0</v>
      </c>
      <c r="J903" s="10" t="n">
        <v>0</v>
      </c>
      <c r="K903" s="10" t="n">
        <v>0</v>
      </c>
      <c r="L903" s="10" t="n">
        <v>0</v>
      </c>
      <c r="M903" s="10" t="n">
        <v>0</v>
      </c>
      <c r="N903" s="10" t="n">
        <v>0</v>
      </c>
      <c r="O903" s="10" t="n">
        <v>0</v>
      </c>
      <c r="P903" s="10" t="n">
        <v>0</v>
      </c>
      <c r="Q903" s="10" t="n">
        <v>0</v>
      </c>
      <c r="R903" s="10" t="n">
        <v>0</v>
      </c>
      <c r="S903" s="10" t="n">
        <v>0</v>
      </c>
      <c r="T903" s="10" t="n">
        <v>0</v>
      </c>
      <c r="U903" s="10" t="n">
        <v>0</v>
      </c>
    </row>
    <row r="904" customFormat="false" ht="15" hidden="false" customHeight="false" outlineLevel="0" collapsed="false">
      <c r="A904" s="7" t="s">
        <v>931</v>
      </c>
      <c r="B904" s="7" t="s">
        <v>53</v>
      </c>
      <c r="C904" s="7" t="s">
        <v>786</v>
      </c>
      <c r="D904" s="10" t="n">
        <v>0</v>
      </c>
      <c r="E904" s="10" t="n">
        <v>0</v>
      </c>
      <c r="F904" s="10" t="n">
        <v>337</v>
      </c>
      <c r="G904" s="10" t="n">
        <v>0</v>
      </c>
      <c r="H904" s="10" t="n">
        <v>0</v>
      </c>
      <c r="I904" s="10" t="n">
        <v>3963</v>
      </c>
      <c r="J904" s="10" t="n">
        <v>0</v>
      </c>
      <c r="K904" s="10" t="n">
        <v>12</v>
      </c>
      <c r="L904" s="10" t="n">
        <v>0</v>
      </c>
      <c r="M904" s="10" t="n">
        <v>0</v>
      </c>
      <c r="N904" s="10" t="n">
        <v>0</v>
      </c>
      <c r="O904" s="10" t="n">
        <v>0</v>
      </c>
      <c r="P904" s="10" t="n">
        <v>-2</v>
      </c>
      <c r="Q904" s="10" t="n">
        <v>3632</v>
      </c>
      <c r="R904" s="10" t="n">
        <v>321</v>
      </c>
      <c r="S904" s="10" t="n">
        <v>0</v>
      </c>
      <c r="T904" s="10" t="n">
        <v>648</v>
      </c>
      <c r="U904" s="10" t="n">
        <v>-1</v>
      </c>
    </row>
    <row r="905" customFormat="false" ht="15" hidden="false" customHeight="false" outlineLevel="0" collapsed="false">
      <c r="A905" s="7" t="s">
        <v>931</v>
      </c>
      <c r="B905" s="7" t="s">
        <v>149</v>
      </c>
      <c r="C905" s="7" t="s">
        <v>718</v>
      </c>
      <c r="D905" s="10" t="n">
        <v>0</v>
      </c>
      <c r="E905" s="10" t="n">
        <v>0</v>
      </c>
      <c r="F905" s="10" t="n">
        <v>105</v>
      </c>
      <c r="G905" s="10" t="n">
        <v>0</v>
      </c>
      <c r="H905" s="10" t="n">
        <v>0</v>
      </c>
      <c r="I905" s="10" t="n">
        <v>158</v>
      </c>
      <c r="J905" s="10" t="n">
        <v>0</v>
      </c>
      <c r="K905" s="10" t="n">
        <v>3</v>
      </c>
      <c r="L905" s="10" t="n">
        <v>0</v>
      </c>
      <c r="M905" s="10" t="n">
        <v>0</v>
      </c>
      <c r="N905" s="10" t="n">
        <v>0</v>
      </c>
      <c r="O905" s="10" t="n">
        <v>0</v>
      </c>
      <c r="P905" s="10" t="n">
        <v>-1</v>
      </c>
      <c r="Q905" s="10" t="n">
        <v>128</v>
      </c>
      <c r="R905" s="10" t="n">
        <v>28</v>
      </c>
      <c r="S905" s="10" t="n">
        <v>0</v>
      </c>
      <c r="T905" s="10" t="n">
        <v>274</v>
      </c>
      <c r="U905" s="10" t="n">
        <v>0</v>
      </c>
    </row>
    <row r="906" customFormat="false" ht="15" hidden="false" customHeight="false" outlineLevel="0" collapsed="false">
      <c r="A906" s="7" t="s">
        <v>931</v>
      </c>
      <c r="B906" s="7" t="s">
        <v>46</v>
      </c>
      <c r="C906" s="7" t="s">
        <v>787</v>
      </c>
      <c r="D906" s="10" t="n">
        <v>0</v>
      </c>
      <c r="E906" s="10" t="n">
        <v>0</v>
      </c>
      <c r="F906" s="10" t="n">
        <v>-1</v>
      </c>
      <c r="G906" s="10" t="n">
        <v>0</v>
      </c>
      <c r="H906" s="10" t="n">
        <v>0</v>
      </c>
      <c r="I906" s="10" t="n">
        <v>-7</v>
      </c>
      <c r="J906" s="10" t="n">
        <v>0</v>
      </c>
      <c r="K906" s="10" t="n">
        <v>0</v>
      </c>
      <c r="L906" s="10" t="n">
        <v>0</v>
      </c>
      <c r="M906" s="10" t="n">
        <v>0</v>
      </c>
      <c r="N906" s="10" t="n">
        <v>0</v>
      </c>
      <c r="O906" s="10" t="n">
        <v>0</v>
      </c>
      <c r="P906" s="10" t="n">
        <v>-2</v>
      </c>
      <c r="Q906" s="10" t="n">
        <v>-5</v>
      </c>
      <c r="R906" s="10" t="n">
        <v>0</v>
      </c>
      <c r="S906" s="10" t="n">
        <v>0</v>
      </c>
      <c r="T906" s="10" t="n">
        <v>0</v>
      </c>
      <c r="U906" s="10" t="n">
        <v>0</v>
      </c>
    </row>
    <row r="907" customFormat="false" ht="15" hidden="false" customHeight="false" outlineLevel="0" collapsed="false">
      <c r="A907" s="7" t="s">
        <v>931</v>
      </c>
      <c r="B907" s="7" t="s">
        <v>46</v>
      </c>
      <c r="C907" s="7" t="s">
        <v>788</v>
      </c>
      <c r="D907" s="10" t="n">
        <v>0</v>
      </c>
      <c r="E907" s="10" t="n">
        <v>0</v>
      </c>
      <c r="F907" s="10" t="n">
        <v>2</v>
      </c>
      <c r="G907" s="10" t="n">
        <v>0</v>
      </c>
      <c r="H907" s="10" t="n">
        <v>0</v>
      </c>
      <c r="I907" s="10" t="n">
        <v>2</v>
      </c>
      <c r="J907" s="10" t="n">
        <v>0</v>
      </c>
      <c r="K907" s="10" t="n">
        <v>0</v>
      </c>
      <c r="L907" s="10" t="n">
        <v>0</v>
      </c>
      <c r="M907" s="10" t="n">
        <v>0</v>
      </c>
      <c r="N907" s="10" t="n">
        <v>0</v>
      </c>
      <c r="O907" s="10" t="n">
        <v>0</v>
      </c>
      <c r="P907" s="10" t="n">
        <v>-3</v>
      </c>
      <c r="Q907" s="10" t="n">
        <v>-3</v>
      </c>
      <c r="R907" s="10" t="n">
        <v>8</v>
      </c>
      <c r="S907" s="10" t="n">
        <v>0</v>
      </c>
      <c r="T907" s="10" t="n">
        <v>0</v>
      </c>
      <c r="U907" s="10" t="n">
        <v>0</v>
      </c>
    </row>
    <row r="908" customFormat="false" ht="15" hidden="false" customHeight="false" outlineLevel="0" collapsed="false">
      <c r="A908" s="7" t="s">
        <v>931</v>
      </c>
      <c r="B908" s="7" t="s">
        <v>46</v>
      </c>
      <c r="C908" s="7" t="s">
        <v>789</v>
      </c>
      <c r="D908" s="10" t="n">
        <v>0</v>
      </c>
      <c r="E908" s="10" t="n">
        <v>0</v>
      </c>
      <c r="F908" s="10" t="n">
        <v>-3</v>
      </c>
      <c r="G908" s="10" t="n">
        <v>0</v>
      </c>
      <c r="H908" s="10" t="n">
        <v>0</v>
      </c>
      <c r="I908" s="10" t="n">
        <v>-4</v>
      </c>
      <c r="J908" s="10" t="n">
        <v>0</v>
      </c>
      <c r="K908" s="10" t="n">
        <v>0</v>
      </c>
      <c r="L908" s="10" t="n">
        <v>0</v>
      </c>
      <c r="M908" s="10" t="n">
        <v>0</v>
      </c>
      <c r="N908" s="10" t="n">
        <v>0</v>
      </c>
      <c r="O908" s="10" t="n">
        <v>0</v>
      </c>
      <c r="P908" s="10" t="n">
        <v>-2</v>
      </c>
      <c r="Q908" s="10" t="n">
        <v>-2</v>
      </c>
      <c r="R908" s="10" t="n">
        <v>0</v>
      </c>
      <c r="S908" s="10" t="n">
        <v>0</v>
      </c>
      <c r="T908" s="10" t="n">
        <v>0</v>
      </c>
      <c r="U908" s="10" t="n">
        <v>0</v>
      </c>
    </row>
    <row r="909" customFormat="false" ht="15" hidden="false" customHeight="false" outlineLevel="0" collapsed="false">
      <c r="A909" s="7" t="s">
        <v>931</v>
      </c>
      <c r="B909" s="7" t="s">
        <v>333</v>
      </c>
      <c r="C909" s="7" t="s">
        <v>790</v>
      </c>
      <c r="D909" s="10" t="n">
        <v>0</v>
      </c>
      <c r="E909" s="10" t="n">
        <v>0</v>
      </c>
      <c r="F909" s="10" t="n">
        <v>5</v>
      </c>
      <c r="G909" s="10" t="n">
        <v>0</v>
      </c>
      <c r="H909" s="10" t="n">
        <v>0</v>
      </c>
      <c r="I909" s="10" t="n">
        <v>0</v>
      </c>
      <c r="J909" s="10" t="n">
        <v>0</v>
      </c>
      <c r="K909" s="10" t="n">
        <v>0</v>
      </c>
      <c r="L909" s="10" t="n">
        <v>0</v>
      </c>
      <c r="M909" s="10" t="n">
        <v>0</v>
      </c>
      <c r="N909" s="10" t="n">
        <v>0</v>
      </c>
      <c r="O909" s="10" t="n">
        <v>0</v>
      </c>
      <c r="P909" s="10" t="n">
        <v>0</v>
      </c>
      <c r="Q909" s="10" t="n">
        <v>0</v>
      </c>
      <c r="R909" s="10" t="n">
        <v>0</v>
      </c>
      <c r="S909" s="10" t="n">
        <v>0</v>
      </c>
      <c r="T909" s="10" t="n">
        <v>0</v>
      </c>
      <c r="U909" s="10" t="n">
        <v>0</v>
      </c>
    </row>
    <row r="910" customFormat="false" ht="15" hidden="false" customHeight="false" outlineLevel="0" collapsed="false">
      <c r="A910" s="7" t="s">
        <v>931</v>
      </c>
      <c r="B910" s="7" t="s">
        <v>97</v>
      </c>
      <c r="C910" s="7" t="s">
        <v>791</v>
      </c>
      <c r="D910" s="10" t="n">
        <v>0</v>
      </c>
      <c r="E910" s="10" t="n">
        <v>0</v>
      </c>
      <c r="F910" s="10" t="n">
        <v>5</v>
      </c>
      <c r="G910" s="10" t="n">
        <v>0</v>
      </c>
      <c r="H910" s="10" t="n">
        <v>0</v>
      </c>
      <c r="I910" s="10" t="n">
        <v>290</v>
      </c>
      <c r="J910" s="10" t="n">
        <v>0</v>
      </c>
      <c r="K910" s="10" t="n">
        <v>2</v>
      </c>
      <c r="L910" s="10" t="n">
        <v>0</v>
      </c>
      <c r="M910" s="10" t="n">
        <v>0</v>
      </c>
      <c r="N910" s="10" t="n">
        <v>0</v>
      </c>
      <c r="O910" s="10" t="n">
        <v>0</v>
      </c>
      <c r="P910" s="10" t="n">
        <v>-2</v>
      </c>
      <c r="Q910" s="10" t="n">
        <v>263</v>
      </c>
      <c r="R910" s="10" t="n">
        <v>27</v>
      </c>
      <c r="S910" s="10" t="n">
        <v>0</v>
      </c>
      <c r="T910" s="10" t="n">
        <v>5</v>
      </c>
      <c r="U910" s="10" t="n">
        <v>0</v>
      </c>
    </row>
    <row r="911" customFormat="false" ht="15" hidden="false" customHeight="false" outlineLevel="0" collapsed="false">
      <c r="A911" s="7" t="s">
        <v>931</v>
      </c>
      <c r="B911" s="7" t="s">
        <v>61</v>
      </c>
      <c r="C911" s="7" t="s">
        <v>791</v>
      </c>
      <c r="D911" s="10" t="n">
        <v>0</v>
      </c>
      <c r="E911" s="10" t="n">
        <v>0</v>
      </c>
      <c r="F911" s="10" t="n">
        <v>29</v>
      </c>
      <c r="G911" s="10" t="n">
        <v>0</v>
      </c>
      <c r="H911" s="10" t="n">
        <v>0</v>
      </c>
      <c r="I911" s="10" t="n">
        <v>866</v>
      </c>
      <c r="J911" s="10" t="n">
        <v>0</v>
      </c>
      <c r="K911" s="10" t="n">
        <v>2</v>
      </c>
      <c r="L911" s="10" t="n">
        <v>0</v>
      </c>
      <c r="M911" s="10" t="n">
        <v>0</v>
      </c>
      <c r="N911" s="10" t="n">
        <v>0</v>
      </c>
      <c r="O911" s="10" t="n">
        <v>0</v>
      </c>
      <c r="P911" s="10" t="n">
        <v>-5</v>
      </c>
      <c r="Q911" s="10" t="n">
        <v>807</v>
      </c>
      <c r="R911" s="10" t="n">
        <v>62</v>
      </c>
      <c r="S911" s="10" t="n">
        <v>0</v>
      </c>
      <c r="T911" s="10" t="n">
        <v>30</v>
      </c>
      <c r="U911" s="10" t="n">
        <v>-2</v>
      </c>
    </row>
    <row r="912" customFormat="false" ht="15" hidden="false" customHeight="false" outlineLevel="0" collapsed="false">
      <c r="A912" s="7" t="s">
        <v>931</v>
      </c>
      <c r="B912" s="7" t="s">
        <v>55</v>
      </c>
      <c r="C912" s="7" t="s">
        <v>791</v>
      </c>
      <c r="D912" s="10" t="n">
        <v>0</v>
      </c>
      <c r="E912" s="10" t="n">
        <v>0</v>
      </c>
      <c r="F912" s="10" t="n">
        <v>43</v>
      </c>
      <c r="G912" s="10" t="n">
        <v>0</v>
      </c>
      <c r="H912" s="10" t="n">
        <v>0</v>
      </c>
      <c r="I912" s="10" t="n">
        <v>1326</v>
      </c>
      <c r="J912" s="10" t="n">
        <v>0</v>
      </c>
      <c r="K912" s="10" t="n">
        <v>15</v>
      </c>
      <c r="L912" s="10" t="n">
        <v>0</v>
      </c>
      <c r="M912" s="10" t="n">
        <v>0</v>
      </c>
      <c r="N912" s="10" t="n">
        <v>0</v>
      </c>
      <c r="O912" s="10" t="n">
        <v>0</v>
      </c>
      <c r="P912" s="10" t="n">
        <v>-5</v>
      </c>
      <c r="Q912" s="10" t="n">
        <v>1180</v>
      </c>
      <c r="R912" s="10" t="n">
        <v>136</v>
      </c>
      <c r="S912" s="10" t="n">
        <v>0</v>
      </c>
      <c r="T912" s="10" t="n">
        <v>102</v>
      </c>
      <c r="U912" s="10" t="n">
        <v>0</v>
      </c>
    </row>
    <row r="913" customFormat="false" ht="15" hidden="false" customHeight="false" outlineLevel="0" collapsed="false">
      <c r="A913" s="7" t="s">
        <v>931</v>
      </c>
      <c r="B913" s="7" t="s">
        <v>54</v>
      </c>
      <c r="C913" s="7" t="s">
        <v>792</v>
      </c>
      <c r="D913" s="10" t="n">
        <v>0</v>
      </c>
      <c r="E913" s="10" t="n">
        <v>0</v>
      </c>
      <c r="F913" s="10" t="n">
        <v>37</v>
      </c>
      <c r="G913" s="10" t="n">
        <v>0</v>
      </c>
      <c r="H913" s="10" t="n">
        <v>0</v>
      </c>
      <c r="I913" s="10" t="n">
        <v>1002</v>
      </c>
      <c r="J913" s="10" t="n">
        <v>0</v>
      </c>
      <c r="K913" s="10" t="n">
        <v>3</v>
      </c>
      <c r="L913" s="10" t="n">
        <v>0</v>
      </c>
      <c r="M913" s="10" t="n">
        <v>0</v>
      </c>
      <c r="N913" s="10" t="n">
        <v>0</v>
      </c>
      <c r="O913" s="10" t="n">
        <v>0</v>
      </c>
      <c r="P913" s="10" t="n">
        <v>-3</v>
      </c>
      <c r="Q913" s="10" t="n">
        <v>892</v>
      </c>
      <c r="R913" s="10" t="n">
        <v>110</v>
      </c>
      <c r="S913" s="10" t="n">
        <v>0</v>
      </c>
      <c r="T913" s="10" t="n">
        <v>54</v>
      </c>
      <c r="U913" s="10" t="n">
        <v>-2</v>
      </c>
    </row>
    <row r="914" customFormat="false" ht="15" hidden="false" customHeight="false" outlineLevel="0" collapsed="false">
      <c r="A914" s="7" t="s">
        <v>931</v>
      </c>
      <c r="B914" s="7" t="s">
        <v>108</v>
      </c>
      <c r="C914" s="7" t="s">
        <v>792</v>
      </c>
      <c r="D914" s="10" t="n">
        <v>0</v>
      </c>
      <c r="E914" s="10" t="n">
        <v>0</v>
      </c>
      <c r="F914" s="10" t="n">
        <v>22</v>
      </c>
      <c r="G914" s="10" t="n">
        <v>0</v>
      </c>
      <c r="H914" s="10" t="n">
        <v>0</v>
      </c>
      <c r="I914" s="10" t="n">
        <v>141</v>
      </c>
      <c r="J914" s="10" t="n">
        <v>0</v>
      </c>
      <c r="K914" s="10" t="n">
        <v>3</v>
      </c>
      <c r="L914" s="10" t="n">
        <v>0</v>
      </c>
      <c r="M914" s="10" t="n">
        <v>0</v>
      </c>
      <c r="N914" s="10" t="n">
        <v>0</v>
      </c>
      <c r="O914" s="10" t="n">
        <v>0</v>
      </c>
      <c r="P914" s="10" t="n">
        <v>-3</v>
      </c>
      <c r="Q914" s="10" t="n">
        <v>95</v>
      </c>
      <c r="R914" s="10" t="n">
        <v>46</v>
      </c>
      <c r="S914" s="10" t="n">
        <v>0</v>
      </c>
      <c r="T914" s="10" t="n">
        <v>39</v>
      </c>
      <c r="U914" s="10" t="n">
        <v>0</v>
      </c>
    </row>
    <row r="915" customFormat="false" ht="15" hidden="false" customHeight="false" outlineLevel="0" collapsed="false">
      <c r="A915" s="7" t="s">
        <v>931</v>
      </c>
      <c r="B915" s="7" t="s">
        <v>123</v>
      </c>
      <c r="C915" s="7" t="s">
        <v>794</v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>
        <v>2</v>
      </c>
      <c r="J915" s="10" t="n">
        <v>0</v>
      </c>
      <c r="K915" s="10" t="n">
        <v>0</v>
      </c>
      <c r="L915" s="10" t="n">
        <v>0</v>
      </c>
      <c r="M915" s="10" t="n">
        <v>0</v>
      </c>
      <c r="N915" s="10" t="n">
        <v>0</v>
      </c>
      <c r="O915" s="10" t="n">
        <v>0</v>
      </c>
      <c r="P915" s="10" t="n">
        <v>0</v>
      </c>
      <c r="Q915" s="10" t="n">
        <v>2</v>
      </c>
      <c r="R915" s="10" t="n">
        <v>0</v>
      </c>
      <c r="S915" s="10" t="n">
        <v>0</v>
      </c>
      <c r="T915" s="10" t="n">
        <v>0</v>
      </c>
      <c r="U915" s="10" t="n">
        <v>0</v>
      </c>
    </row>
    <row r="916" customFormat="false" ht="15" hidden="false" customHeight="false" outlineLevel="0" collapsed="false">
      <c r="A916" s="7" t="s">
        <v>931</v>
      </c>
      <c r="B916" s="7" t="s">
        <v>138</v>
      </c>
      <c r="C916" s="7" t="s">
        <v>794</v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>
        <v>1</v>
      </c>
      <c r="J916" s="10" t="n">
        <v>0</v>
      </c>
      <c r="K916" s="10" t="n">
        <v>0</v>
      </c>
      <c r="L916" s="10" t="n">
        <v>0</v>
      </c>
      <c r="M916" s="10" t="n">
        <v>0</v>
      </c>
      <c r="N916" s="10" t="n">
        <v>0</v>
      </c>
      <c r="O916" s="10" t="n">
        <v>0</v>
      </c>
      <c r="P916" s="10" t="n">
        <v>0</v>
      </c>
      <c r="Q916" s="10" t="n">
        <v>1</v>
      </c>
      <c r="R916" s="10" t="n">
        <v>0</v>
      </c>
      <c r="S916" s="10" t="n">
        <v>0</v>
      </c>
      <c r="T916" s="10" t="n">
        <v>0</v>
      </c>
      <c r="U916" s="10" t="n">
        <v>0</v>
      </c>
    </row>
    <row r="917" customFormat="false" ht="15" hidden="false" customHeight="false" outlineLevel="0" collapsed="false">
      <c r="A917" s="7" t="s">
        <v>931</v>
      </c>
      <c r="B917" s="7" t="s">
        <v>182</v>
      </c>
      <c r="C917" s="7" t="s">
        <v>795</v>
      </c>
      <c r="D917" s="10" t="n">
        <v>0</v>
      </c>
      <c r="E917" s="10" t="n">
        <v>0</v>
      </c>
      <c r="F917" s="10" t="n">
        <v>-1</v>
      </c>
      <c r="G917" s="10" t="n">
        <v>0</v>
      </c>
      <c r="H917" s="10" t="n">
        <v>0</v>
      </c>
      <c r="I917" s="10" t="n">
        <v>0</v>
      </c>
      <c r="J917" s="10" t="n">
        <v>0</v>
      </c>
      <c r="K917" s="10" t="n">
        <v>0</v>
      </c>
      <c r="L917" s="10" t="n">
        <v>0</v>
      </c>
      <c r="M917" s="10" t="n">
        <v>0</v>
      </c>
      <c r="N917" s="10" t="n">
        <v>0</v>
      </c>
      <c r="O917" s="10" t="n">
        <v>0</v>
      </c>
      <c r="P917" s="10" t="n">
        <v>0</v>
      </c>
      <c r="Q917" s="10" t="n">
        <v>0</v>
      </c>
      <c r="R917" s="10" t="n">
        <v>0</v>
      </c>
      <c r="S917" s="10" t="n">
        <v>0</v>
      </c>
      <c r="T917" s="10" t="n">
        <v>0</v>
      </c>
      <c r="U917" s="10" t="n">
        <v>0</v>
      </c>
    </row>
    <row r="918" customFormat="false" ht="15" hidden="false" customHeight="false" outlineLevel="0" collapsed="false">
      <c r="A918" s="7" t="s">
        <v>931</v>
      </c>
      <c r="B918" s="7" t="s">
        <v>216</v>
      </c>
      <c r="C918" s="7" t="s">
        <v>796</v>
      </c>
      <c r="D918" s="10" t="n">
        <v>0</v>
      </c>
      <c r="E918" s="10" t="n">
        <v>0</v>
      </c>
      <c r="F918" s="10" t="n">
        <v>5</v>
      </c>
      <c r="G918" s="10" t="n">
        <v>0</v>
      </c>
      <c r="H918" s="10" t="n">
        <v>0</v>
      </c>
      <c r="I918" s="10" t="n">
        <v>0</v>
      </c>
      <c r="J918" s="10" t="n">
        <v>0</v>
      </c>
      <c r="K918" s="10" t="n">
        <v>0</v>
      </c>
      <c r="L918" s="10" t="n">
        <v>0</v>
      </c>
      <c r="M918" s="10" t="n">
        <v>0</v>
      </c>
      <c r="N918" s="10" t="n">
        <v>0</v>
      </c>
      <c r="O918" s="10" t="n">
        <v>0</v>
      </c>
      <c r="P918" s="10" t="n">
        <v>0</v>
      </c>
      <c r="Q918" s="10" t="n">
        <v>0</v>
      </c>
      <c r="R918" s="10" t="n">
        <v>0</v>
      </c>
      <c r="S918" s="10" t="n">
        <v>0</v>
      </c>
      <c r="T918" s="10" t="n">
        <v>0</v>
      </c>
      <c r="U918" s="10" t="n">
        <v>0</v>
      </c>
    </row>
    <row r="919" customFormat="false" ht="15" hidden="false" customHeight="false" outlineLevel="0" collapsed="false">
      <c r="A919" s="7" t="s">
        <v>931</v>
      </c>
      <c r="B919" s="7" t="s">
        <v>218</v>
      </c>
      <c r="C919" s="7" t="s">
        <v>797</v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>
        <v>-1</v>
      </c>
      <c r="J919" s="10" t="n">
        <v>0</v>
      </c>
      <c r="K919" s="10" t="n">
        <v>0</v>
      </c>
      <c r="L919" s="10" t="n">
        <v>0</v>
      </c>
      <c r="M919" s="10" t="n">
        <v>0</v>
      </c>
      <c r="N919" s="10" t="n">
        <v>0</v>
      </c>
      <c r="O919" s="10" t="n">
        <v>0</v>
      </c>
      <c r="P919" s="10" t="n">
        <v>0</v>
      </c>
      <c r="Q919" s="10" t="n">
        <v>-1</v>
      </c>
      <c r="R919" s="10" t="n">
        <v>0</v>
      </c>
      <c r="S919" s="10" t="n">
        <v>0</v>
      </c>
      <c r="T919" s="10" t="n">
        <v>0</v>
      </c>
      <c r="U919" s="10" t="n">
        <v>0</v>
      </c>
    </row>
    <row r="920" customFormat="false" ht="15" hidden="false" customHeight="false" outlineLevel="0" collapsed="false">
      <c r="A920" s="7" t="s">
        <v>931</v>
      </c>
      <c r="B920" s="7" t="s">
        <v>309</v>
      </c>
      <c r="C920" s="7" t="s">
        <v>953</v>
      </c>
      <c r="D920" s="10" t="n">
        <v>0</v>
      </c>
      <c r="E920" s="10" t="n">
        <v>0</v>
      </c>
      <c r="F920" s="10" t="n">
        <v>-2</v>
      </c>
      <c r="G920" s="10" t="n">
        <v>0</v>
      </c>
      <c r="H920" s="10" t="n">
        <v>0</v>
      </c>
      <c r="I920" s="10" t="n">
        <v>0</v>
      </c>
      <c r="J920" s="10" t="n">
        <v>0</v>
      </c>
      <c r="K920" s="10" t="n">
        <v>0</v>
      </c>
      <c r="L920" s="10" t="n">
        <v>0</v>
      </c>
      <c r="M920" s="10" t="n">
        <v>0</v>
      </c>
      <c r="N920" s="10" t="n">
        <v>0</v>
      </c>
      <c r="O920" s="10" t="n">
        <v>0</v>
      </c>
      <c r="P920" s="10" t="n">
        <v>0</v>
      </c>
      <c r="Q920" s="10" t="n">
        <v>0</v>
      </c>
      <c r="R920" s="10" t="n">
        <v>0</v>
      </c>
      <c r="S920" s="10" t="n">
        <v>0</v>
      </c>
      <c r="T920" s="10" t="n">
        <v>0</v>
      </c>
      <c r="U920" s="10" t="n">
        <v>0</v>
      </c>
    </row>
    <row r="921" customFormat="false" ht="15" hidden="false" customHeight="false" outlineLevel="0" collapsed="false">
      <c r="A921" s="7" t="s">
        <v>931</v>
      </c>
      <c r="B921" s="7" t="s">
        <v>217</v>
      </c>
      <c r="C921" s="7" t="s">
        <v>796</v>
      </c>
      <c r="D921" s="10" t="n">
        <v>0</v>
      </c>
      <c r="E921" s="10" t="n">
        <v>0</v>
      </c>
      <c r="F921" s="10" t="n">
        <v>2</v>
      </c>
      <c r="G921" s="10" t="n">
        <v>0</v>
      </c>
      <c r="H921" s="10" t="n">
        <v>0</v>
      </c>
      <c r="I921" s="10" t="n">
        <v>0</v>
      </c>
      <c r="J921" s="10" t="n">
        <v>0</v>
      </c>
      <c r="K921" s="10" t="n">
        <v>0</v>
      </c>
      <c r="L921" s="10" t="n">
        <v>0</v>
      </c>
      <c r="M921" s="10" t="n">
        <v>0</v>
      </c>
      <c r="N921" s="10" t="n">
        <v>0</v>
      </c>
      <c r="O921" s="10" t="n">
        <v>0</v>
      </c>
      <c r="P921" s="10" t="n">
        <v>0</v>
      </c>
      <c r="Q921" s="10" t="n">
        <v>0</v>
      </c>
      <c r="R921" s="10" t="n">
        <v>0</v>
      </c>
      <c r="S921" s="10" t="n">
        <v>0</v>
      </c>
      <c r="T921" s="10" t="n">
        <v>0</v>
      </c>
      <c r="U921" s="10" t="n">
        <v>0</v>
      </c>
    </row>
    <row r="922" customFormat="false" ht="15" hidden="false" customHeight="false" outlineLevel="0" collapsed="false">
      <c r="A922" s="7" t="s">
        <v>931</v>
      </c>
      <c r="B922" s="7" t="s">
        <v>151</v>
      </c>
      <c r="C922" s="7" t="s">
        <v>798</v>
      </c>
      <c r="D922" s="10" t="n">
        <v>0</v>
      </c>
      <c r="E922" s="10" t="n">
        <v>0</v>
      </c>
      <c r="F922" s="10" t="n">
        <v>17</v>
      </c>
      <c r="G922" s="10" t="n">
        <v>0</v>
      </c>
      <c r="H922" s="10" t="n">
        <v>0</v>
      </c>
      <c r="I922" s="10" t="n">
        <v>40</v>
      </c>
      <c r="J922" s="10" t="n">
        <v>0</v>
      </c>
      <c r="K922" s="10" t="n">
        <v>0</v>
      </c>
      <c r="L922" s="10" t="n">
        <v>0</v>
      </c>
      <c r="M922" s="10" t="n">
        <v>0</v>
      </c>
      <c r="N922" s="10" t="n">
        <v>0</v>
      </c>
      <c r="O922" s="10" t="n">
        <v>0</v>
      </c>
      <c r="P922" s="10" t="n">
        <v>-1</v>
      </c>
      <c r="Q922" s="10" t="n">
        <v>30</v>
      </c>
      <c r="R922" s="10" t="n">
        <v>11</v>
      </c>
      <c r="S922" s="10" t="n">
        <v>0</v>
      </c>
      <c r="T922" s="10" t="n">
        <v>31</v>
      </c>
      <c r="U922" s="10" t="n">
        <v>0</v>
      </c>
    </row>
    <row r="923" customFormat="false" ht="15" hidden="false" customHeight="false" outlineLevel="0" collapsed="false">
      <c r="A923" s="7" t="s">
        <v>931</v>
      </c>
      <c r="B923" s="7" t="s">
        <v>151</v>
      </c>
      <c r="C923" s="7" t="s">
        <v>799</v>
      </c>
      <c r="D923" s="10" t="n">
        <v>0</v>
      </c>
      <c r="E923" s="10" t="n">
        <v>0</v>
      </c>
      <c r="F923" s="10" t="n">
        <v>10</v>
      </c>
      <c r="G923" s="10" t="n">
        <v>0</v>
      </c>
      <c r="H923" s="10" t="n">
        <v>0</v>
      </c>
      <c r="I923" s="10" t="n">
        <v>26</v>
      </c>
      <c r="J923" s="10" t="n">
        <v>0</v>
      </c>
      <c r="K923" s="10" t="n">
        <v>0</v>
      </c>
      <c r="L923" s="10" t="n">
        <v>0</v>
      </c>
      <c r="M923" s="10" t="n">
        <v>0</v>
      </c>
      <c r="N923" s="10" t="n">
        <v>2</v>
      </c>
      <c r="O923" s="10" t="n">
        <v>0</v>
      </c>
      <c r="P923" s="10" t="n">
        <v>0</v>
      </c>
      <c r="Q923" s="10" t="n">
        <v>14</v>
      </c>
      <c r="R923" s="10" t="n">
        <v>10</v>
      </c>
      <c r="S923" s="10" t="n">
        <v>0</v>
      </c>
      <c r="T923" s="10" t="n">
        <v>17</v>
      </c>
      <c r="U923" s="10" t="n">
        <v>0</v>
      </c>
    </row>
    <row r="924" customFormat="false" ht="15" hidden="false" customHeight="false" outlineLevel="0" collapsed="false">
      <c r="A924" s="7" t="s">
        <v>931</v>
      </c>
      <c r="B924" s="7" t="s">
        <v>151</v>
      </c>
      <c r="C924" s="7" t="s">
        <v>800</v>
      </c>
      <c r="D924" s="10" t="n">
        <v>0</v>
      </c>
      <c r="E924" s="10" t="n">
        <v>0</v>
      </c>
      <c r="F924" s="10" t="n">
        <v>4</v>
      </c>
      <c r="G924" s="10" t="n">
        <v>0</v>
      </c>
      <c r="H924" s="10" t="n">
        <v>0</v>
      </c>
      <c r="I924" s="10" t="n">
        <v>0</v>
      </c>
      <c r="J924" s="10" t="n">
        <v>0</v>
      </c>
      <c r="K924" s="10" t="n">
        <v>0</v>
      </c>
      <c r="L924" s="10" t="n">
        <v>0</v>
      </c>
      <c r="M924" s="10" t="n">
        <v>0</v>
      </c>
      <c r="N924" s="10" t="n">
        <v>0</v>
      </c>
      <c r="O924" s="10" t="n">
        <v>0</v>
      </c>
      <c r="P924" s="10" t="n">
        <v>0</v>
      </c>
      <c r="Q924" s="10" t="n">
        <v>0</v>
      </c>
      <c r="R924" s="10" t="n">
        <v>0</v>
      </c>
      <c r="S924" s="10" t="n">
        <v>0</v>
      </c>
      <c r="T924" s="10" t="n">
        <v>2</v>
      </c>
      <c r="U924" s="10" t="n">
        <v>0</v>
      </c>
    </row>
    <row r="925" customFormat="false" ht="15" hidden="false" customHeight="false" outlineLevel="0" collapsed="false">
      <c r="A925" s="7" t="s">
        <v>931</v>
      </c>
      <c r="B925" s="7" t="s">
        <v>190</v>
      </c>
      <c r="C925" s="7" t="s">
        <v>802</v>
      </c>
      <c r="D925" s="10" t="n">
        <v>0</v>
      </c>
      <c r="E925" s="10" t="n">
        <v>0</v>
      </c>
      <c r="F925" s="10" t="n">
        <v>1</v>
      </c>
      <c r="G925" s="10" t="n">
        <v>0</v>
      </c>
      <c r="H925" s="10" t="n">
        <v>0</v>
      </c>
      <c r="I925" s="10" t="n">
        <v>-3</v>
      </c>
      <c r="J925" s="10" t="n">
        <v>0</v>
      </c>
      <c r="K925" s="10" t="n">
        <v>0</v>
      </c>
      <c r="L925" s="10" t="n">
        <v>0</v>
      </c>
      <c r="M925" s="10" t="n">
        <v>0</v>
      </c>
      <c r="N925" s="10" t="n">
        <v>0</v>
      </c>
      <c r="O925" s="10" t="n">
        <v>0</v>
      </c>
      <c r="P925" s="10" t="n">
        <v>-1</v>
      </c>
      <c r="Q925" s="10" t="n">
        <v>-2</v>
      </c>
      <c r="R925" s="10" t="n">
        <v>0</v>
      </c>
      <c r="S925" s="10" t="n">
        <v>0</v>
      </c>
      <c r="T925" s="10" t="n">
        <v>0</v>
      </c>
      <c r="U925" s="10" t="n">
        <v>-1</v>
      </c>
    </row>
    <row r="926" customFormat="false" ht="15" hidden="false" customHeight="false" outlineLevel="0" collapsed="false">
      <c r="A926" s="7" t="s">
        <v>931</v>
      </c>
      <c r="B926" s="7" t="s">
        <v>190</v>
      </c>
      <c r="C926" s="7" t="s">
        <v>803</v>
      </c>
      <c r="D926" s="10" t="n">
        <v>0</v>
      </c>
      <c r="E926" s="10" t="n">
        <v>0</v>
      </c>
      <c r="F926" s="10" t="n">
        <v>1</v>
      </c>
      <c r="G926" s="10" t="n">
        <v>0</v>
      </c>
      <c r="H926" s="10" t="n">
        <v>0</v>
      </c>
      <c r="I926" s="10" t="n">
        <v>-17</v>
      </c>
      <c r="J926" s="10" t="n">
        <v>0</v>
      </c>
      <c r="K926" s="10" t="n">
        <v>0</v>
      </c>
      <c r="L926" s="10" t="n">
        <v>0</v>
      </c>
      <c r="M926" s="10" t="n">
        <v>0</v>
      </c>
      <c r="N926" s="10" t="n">
        <v>0</v>
      </c>
      <c r="O926" s="10" t="n">
        <v>0</v>
      </c>
      <c r="P926" s="10" t="n">
        <v>-3</v>
      </c>
      <c r="Q926" s="10" t="n">
        <v>-14</v>
      </c>
      <c r="R926" s="10" t="n">
        <v>0</v>
      </c>
      <c r="S926" s="10" t="n">
        <v>0</v>
      </c>
      <c r="T926" s="10" t="n">
        <v>0</v>
      </c>
      <c r="U926" s="10" t="n">
        <v>0</v>
      </c>
    </row>
    <row r="927" customFormat="false" ht="15" hidden="false" customHeight="false" outlineLevel="0" collapsed="false">
      <c r="A927" s="7" t="s">
        <v>931</v>
      </c>
      <c r="B927" s="7" t="s">
        <v>190</v>
      </c>
      <c r="C927" s="7" t="s">
        <v>804</v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>
        <v>-2</v>
      </c>
      <c r="J927" s="10" t="n">
        <v>0</v>
      </c>
      <c r="K927" s="10" t="n">
        <v>0</v>
      </c>
      <c r="L927" s="10" t="n">
        <v>0</v>
      </c>
      <c r="M927" s="10" t="n">
        <v>0</v>
      </c>
      <c r="N927" s="10" t="n">
        <v>0</v>
      </c>
      <c r="O927" s="10" t="n">
        <v>0</v>
      </c>
      <c r="P927" s="10" t="n">
        <v>-1</v>
      </c>
      <c r="Q927" s="10" t="n">
        <v>-1</v>
      </c>
      <c r="R927" s="10" t="n">
        <v>0</v>
      </c>
      <c r="S927" s="10" t="n">
        <v>0</v>
      </c>
      <c r="T927" s="10" t="n">
        <v>0</v>
      </c>
      <c r="U927" s="10" t="n">
        <v>0</v>
      </c>
    </row>
    <row r="928" customFormat="false" ht="15" hidden="false" customHeight="false" outlineLevel="0" collapsed="false">
      <c r="A928" s="7" t="s">
        <v>931</v>
      </c>
      <c r="B928" s="7" t="s">
        <v>235</v>
      </c>
      <c r="C928" s="7" t="s">
        <v>954</v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>
        <v>-1</v>
      </c>
      <c r="J928" s="10" t="n">
        <v>0</v>
      </c>
      <c r="K928" s="10" t="n">
        <v>0</v>
      </c>
      <c r="L928" s="10" t="n">
        <v>0</v>
      </c>
      <c r="M928" s="10" t="n">
        <v>0</v>
      </c>
      <c r="N928" s="10" t="n">
        <v>0</v>
      </c>
      <c r="O928" s="10" t="n">
        <v>0</v>
      </c>
      <c r="P928" s="10" t="n">
        <v>0</v>
      </c>
      <c r="Q928" s="10" t="n">
        <v>-1</v>
      </c>
      <c r="R928" s="10" t="n">
        <v>0</v>
      </c>
      <c r="S928" s="10" t="n">
        <v>0</v>
      </c>
      <c r="T928" s="10" t="n">
        <v>0</v>
      </c>
      <c r="U928" s="10" t="n">
        <v>0</v>
      </c>
    </row>
    <row r="929" customFormat="false" ht="15" hidden="false" customHeight="false" outlineLevel="0" collapsed="false">
      <c r="A929" s="7" t="s">
        <v>931</v>
      </c>
      <c r="B929" s="7" t="s">
        <v>280</v>
      </c>
      <c r="C929" s="7" t="s">
        <v>805</v>
      </c>
      <c r="D929" s="10" t="n">
        <v>0</v>
      </c>
      <c r="E929" s="10" t="n">
        <v>0</v>
      </c>
      <c r="F929" s="10" t="n">
        <v>3</v>
      </c>
      <c r="G929" s="10" t="n">
        <v>0</v>
      </c>
      <c r="H929" s="10" t="n">
        <v>0</v>
      </c>
      <c r="I929" s="10" t="n">
        <v>0</v>
      </c>
      <c r="J929" s="10" t="n">
        <v>0</v>
      </c>
      <c r="K929" s="10" t="n">
        <v>0</v>
      </c>
      <c r="L929" s="10" t="n">
        <v>0</v>
      </c>
      <c r="M929" s="10" t="n">
        <v>0</v>
      </c>
      <c r="N929" s="10" t="n">
        <v>0</v>
      </c>
      <c r="O929" s="10" t="n">
        <v>0</v>
      </c>
      <c r="P929" s="10" t="n">
        <v>0</v>
      </c>
      <c r="Q929" s="10" t="n">
        <v>0</v>
      </c>
      <c r="R929" s="10" t="n">
        <v>0</v>
      </c>
      <c r="S929" s="10" t="n">
        <v>0</v>
      </c>
      <c r="T929" s="10" t="n">
        <v>0</v>
      </c>
      <c r="U929" s="10" t="n">
        <v>0</v>
      </c>
    </row>
    <row r="930" customFormat="false" ht="15" hidden="false" customHeight="false" outlineLevel="0" collapsed="false">
      <c r="A930" s="7" t="s">
        <v>931</v>
      </c>
      <c r="B930" s="7" t="s">
        <v>335</v>
      </c>
      <c r="C930" s="7" t="s">
        <v>806</v>
      </c>
      <c r="D930" s="10" t="n">
        <v>0</v>
      </c>
      <c r="E930" s="10" t="n">
        <v>0</v>
      </c>
      <c r="F930" s="10" t="n">
        <v>5</v>
      </c>
      <c r="G930" s="10" t="n">
        <v>0</v>
      </c>
      <c r="H930" s="10" t="n">
        <v>0</v>
      </c>
      <c r="I930" s="10" t="n">
        <v>3</v>
      </c>
      <c r="J930" s="10" t="n">
        <v>0</v>
      </c>
      <c r="K930" s="10" t="n">
        <v>0</v>
      </c>
      <c r="L930" s="10" t="n">
        <v>0</v>
      </c>
      <c r="M930" s="10" t="n">
        <v>0</v>
      </c>
      <c r="N930" s="10" t="n">
        <v>3</v>
      </c>
      <c r="O930" s="10" t="n">
        <v>0</v>
      </c>
      <c r="P930" s="10" t="n">
        <v>0</v>
      </c>
      <c r="Q930" s="10" t="n">
        <v>0</v>
      </c>
      <c r="R930" s="10" t="n">
        <v>0</v>
      </c>
      <c r="S930" s="10" t="n">
        <v>0</v>
      </c>
      <c r="T930" s="10" t="n">
        <v>0</v>
      </c>
      <c r="U930" s="10" t="n">
        <v>0</v>
      </c>
    </row>
    <row r="931" customFormat="false" ht="15" hidden="false" customHeight="false" outlineLevel="0" collapsed="false">
      <c r="A931" s="7" t="s">
        <v>931</v>
      </c>
      <c r="B931" s="7" t="s">
        <v>297</v>
      </c>
      <c r="C931" s="7" t="s">
        <v>806</v>
      </c>
      <c r="D931" s="10" t="n">
        <v>0</v>
      </c>
      <c r="E931" s="10" t="n">
        <v>0</v>
      </c>
      <c r="F931" s="10" t="n">
        <v>56</v>
      </c>
      <c r="G931" s="10" t="n">
        <v>0</v>
      </c>
      <c r="H931" s="10" t="n">
        <v>0</v>
      </c>
      <c r="I931" s="10" t="n">
        <v>189</v>
      </c>
      <c r="J931" s="10" t="n">
        <v>0</v>
      </c>
      <c r="K931" s="10" t="n">
        <v>11</v>
      </c>
      <c r="L931" s="10" t="n">
        <v>0</v>
      </c>
      <c r="M931" s="10" t="n">
        <v>0</v>
      </c>
      <c r="N931" s="10" t="n">
        <v>0</v>
      </c>
      <c r="O931" s="10" t="n">
        <v>0</v>
      </c>
      <c r="P931" s="10" t="n">
        <v>-1</v>
      </c>
      <c r="Q931" s="10" t="n">
        <v>0</v>
      </c>
      <c r="R931" s="10" t="n">
        <v>179</v>
      </c>
      <c r="S931" s="10" t="n">
        <v>0</v>
      </c>
      <c r="T931" s="10" t="n">
        <v>0</v>
      </c>
      <c r="U931" s="10" t="n">
        <v>0</v>
      </c>
    </row>
    <row r="932" customFormat="false" ht="15" hidden="false" customHeight="false" outlineLevel="0" collapsed="false">
      <c r="A932" s="7" t="s">
        <v>931</v>
      </c>
      <c r="B932" s="7" t="s">
        <v>342</v>
      </c>
      <c r="C932" s="7" t="s">
        <v>806</v>
      </c>
      <c r="D932" s="10" t="n">
        <v>0</v>
      </c>
      <c r="E932" s="10" t="n">
        <v>0</v>
      </c>
      <c r="F932" s="10" t="n">
        <v>35</v>
      </c>
      <c r="G932" s="10" t="n">
        <v>0</v>
      </c>
      <c r="H932" s="10" t="n">
        <v>0</v>
      </c>
      <c r="I932" s="10" t="n">
        <v>0</v>
      </c>
      <c r="J932" s="10" t="n">
        <v>0</v>
      </c>
      <c r="K932" s="10" t="n">
        <v>0</v>
      </c>
      <c r="L932" s="10" t="n">
        <v>0</v>
      </c>
      <c r="M932" s="10" t="n">
        <v>0</v>
      </c>
      <c r="N932" s="10" t="n">
        <v>0</v>
      </c>
      <c r="O932" s="10" t="n">
        <v>0</v>
      </c>
      <c r="P932" s="10" t="n">
        <v>0</v>
      </c>
      <c r="Q932" s="10" t="n">
        <v>0</v>
      </c>
      <c r="R932" s="10" t="n">
        <v>0</v>
      </c>
      <c r="S932" s="10" t="n">
        <v>0</v>
      </c>
      <c r="T932" s="10" t="n">
        <v>0</v>
      </c>
      <c r="U932" s="10" t="n">
        <v>0</v>
      </c>
    </row>
    <row r="933" customFormat="false" ht="15" hidden="false" customHeight="false" outlineLevel="0" collapsed="false">
      <c r="A933" s="7" t="s">
        <v>931</v>
      </c>
      <c r="B933" s="7" t="s">
        <v>306</v>
      </c>
      <c r="C933" s="7" t="s">
        <v>806</v>
      </c>
      <c r="D933" s="10" t="n">
        <v>0</v>
      </c>
      <c r="E933" s="10" t="n">
        <v>0</v>
      </c>
      <c r="F933" s="10" t="n">
        <v>26</v>
      </c>
      <c r="G933" s="10" t="n">
        <v>0</v>
      </c>
      <c r="H933" s="10" t="n">
        <v>0</v>
      </c>
      <c r="I933" s="10" t="n">
        <v>168</v>
      </c>
      <c r="J933" s="10" t="n">
        <v>0</v>
      </c>
      <c r="K933" s="10" t="n">
        <v>18</v>
      </c>
      <c r="L933" s="10" t="n">
        <v>0</v>
      </c>
      <c r="M933" s="10" t="n">
        <v>0</v>
      </c>
      <c r="N933" s="10" t="n">
        <v>0</v>
      </c>
      <c r="O933" s="10" t="n">
        <v>0</v>
      </c>
      <c r="P933" s="10" t="n">
        <v>0</v>
      </c>
      <c r="Q933" s="10" t="n">
        <v>0</v>
      </c>
      <c r="R933" s="10" t="n">
        <v>150</v>
      </c>
      <c r="S933" s="10" t="n">
        <v>0</v>
      </c>
      <c r="T933" s="10" t="n">
        <v>0</v>
      </c>
      <c r="U933" s="10" t="n">
        <v>0</v>
      </c>
    </row>
    <row r="934" customFormat="false" ht="15" hidden="false" customHeight="false" outlineLevel="0" collapsed="false">
      <c r="A934" s="7" t="s">
        <v>931</v>
      </c>
      <c r="B934" s="7" t="s">
        <v>78</v>
      </c>
      <c r="C934" s="7" t="s">
        <v>807</v>
      </c>
      <c r="D934" s="10" t="n">
        <v>0</v>
      </c>
      <c r="E934" s="10" t="n">
        <v>0</v>
      </c>
      <c r="F934" s="10" t="n">
        <v>60</v>
      </c>
      <c r="G934" s="10" t="n">
        <v>0</v>
      </c>
      <c r="H934" s="10" t="n">
        <v>0</v>
      </c>
      <c r="I934" s="10" t="n">
        <v>563</v>
      </c>
      <c r="J934" s="10" t="n">
        <v>0</v>
      </c>
      <c r="K934" s="10" t="n">
        <v>17</v>
      </c>
      <c r="L934" s="10" t="n">
        <v>0</v>
      </c>
      <c r="M934" s="10" t="n">
        <v>0</v>
      </c>
      <c r="N934" s="10" t="n">
        <v>3</v>
      </c>
      <c r="O934" s="10" t="n">
        <v>0</v>
      </c>
      <c r="P934" s="10" t="n">
        <v>-2</v>
      </c>
      <c r="Q934" s="10" t="n">
        <v>387</v>
      </c>
      <c r="R934" s="10" t="n">
        <v>158</v>
      </c>
      <c r="S934" s="10" t="n">
        <v>0</v>
      </c>
      <c r="T934" s="10" t="n">
        <v>31</v>
      </c>
      <c r="U934" s="10" t="n">
        <v>0</v>
      </c>
    </row>
    <row r="935" customFormat="false" ht="15" hidden="false" customHeight="false" outlineLevel="0" collapsed="false">
      <c r="A935" s="7" t="s">
        <v>931</v>
      </c>
      <c r="B935" s="7" t="s">
        <v>71</v>
      </c>
      <c r="C935" s="7" t="s">
        <v>807</v>
      </c>
      <c r="D935" s="10" t="n">
        <v>0</v>
      </c>
      <c r="E935" s="10" t="n">
        <v>0</v>
      </c>
      <c r="F935" s="10" t="n">
        <v>117</v>
      </c>
      <c r="G935" s="10" t="n">
        <v>0</v>
      </c>
      <c r="H935" s="10" t="n">
        <v>0</v>
      </c>
      <c r="I935" s="10" t="n">
        <v>711</v>
      </c>
      <c r="J935" s="10" t="n">
        <v>0</v>
      </c>
      <c r="K935" s="10" t="n">
        <v>0</v>
      </c>
      <c r="L935" s="10" t="n">
        <v>0</v>
      </c>
      <c r="M935" s="10" t="n">
        <v>0</v>
      </c>
      <c r="N935" s="10" t="n">
        <v>0</v>
      </c>
      <c r="O935" s="10" t="n">
        <v>0</v>
      </c>
      <c r="P935" s="10" t="n">
        <v>0</v>
      </c>
      <c r="Q935" s="10" t="n">
        <v>711</v>
      </c>
      <c r="R935" s="10" t="n">
        <v>0</v>
      </c>
      <c r="S935" s="10" t="n">
        <v>0</v>
      </c>
      <c r="T935" s="10" t="n">
        <v>35</v>
      </c>
      <c r="U935" s="10" t="n">
        <v>0</v>
      </c>
    </row>
    <row r="936" customFormat="false" ht="15" hidden="false" customHeight="false" outlineLevel="0" collapsed="false">
      <c r="A936" s="7" t="s">
        <v>931</v>
      </c>
      <c r="B936" s="7" t="s">
        <v>72</v>
      </c>
      <c r="C936" s="7" t="s">
        <v>807</v>
      </c>
      <c r="D936" s="10" t="n">
        <v>0</v>
      </c>
      <c r="E936" s="10" t="n">
        <v>0</v>
      </c>
      <c r="F936" s="10" t="n">
        <v>278</v>
      </c>
      <c r="G936" s="10" t="n">
        <v>0</v>
      </c>
      <c r="H936" s="10" t="n">
        <v>0</v>
      </c>
      <c r="I936" s="10" t="n">
        <v>779</v>
      </c>
      <c r="J936" s="10" t="n">
        <v>0</v>
      </c>
      <c r="K936" s="10" t="n">
        <v>0</v>
      </c>
      <c r="L936" s="10" t="n">
        <v>0</v>
      </c>
      <c r="M936" s="10" t="n">
        <v>0</v>
      </c>
      <c r="N936" s="10" t="n">
        <v>0</v>
      </c>
      <c r="O936" s="10" t="n">
        <v>0</v>
      </c>
      <c r="P936" s="10" t="n">
        <v>0</v>
      </c>
      <c r="Q936" s="10" t="n">
        <v>779</v>
      </c>
      <c r="R936" s="10" t="n">
        <v>0</v>
      </c>
      <c r="S936" s="10" t="n">
        <v>0</v>
      </c>
      <c r="T936" s="10" t="n">
        <v>57</v>
      </c>
      <c r="U936" s="10" t="n">
        <v>0</v>
      </c>
    </row>
    <row r="937" customFormat="false" ht="15" hidden="false" customHeight="false" outlineLevel="0" collapsed="false">
      <c r="A937" s="7" t="s">
        <v>931</v>
      </c>
      <c r="B937" s="7" t="s">
        <v>76</v>
      </c>
      <c r="C937" s="7" t="s">
        <v>807</v>
      </c>
      <c r="D937" s="10" t="n">
        <v>0</v>
      </c>
      <c r="E937" s="10" t="n">
        <v>0</v>
      </c>
      <c r="F937" s="10" t="n">
        <v>180</v>
      </c>
      <c r="G937" s="10" t="n">
        <v>0</v>
      </c>
      <c r="H937" s="10" t="n">
        <v>0</v>
      </c>
      <c r="I937" s="10" t="n">
        <v>704</v>
      </c>
      <c r="J937" s="10" t="n">
        <v>0</v>
      </c>
      <c r="K937" s="10" t="n">
        <v>0</v>
      </c>
      <c r="L937" s="10" t="n">
        <v>0</v>
      </c>
      <c r="M937" s="10" t="n">
        <v>0</v>
      </c>
      <c r="N937" s="10" t="n">
        <v>0</v>
      </c>
      <c r="O937" s="10" t="n">
        <v>0</v>
      </c>
      <c r="P937" s="10" t="n">
        <v>-1</v>
      </c>
      <c r="Q937" s="10" t="n">
        <v>705</v>
      </c>
      <c r="R937" s="10" t="n">
        <v>0</v>
      </c>
      <c r="S937" s="10" t="n">
        <v>0</v>
      </c>
      <c r="T937" s="10" t="n">
        <v>60</v>
      </c>
      <c r="U937" s="10" t="n">
        <v>0</v>
      </c>
    </row>
    <row r="938" customFormat="false" ht="15" hidden="false" customHeight="false" outlineLevel="0" collapsed="false">
      <c r="A938" s="7" t="s">
        <v>931</v>
      </c>
      <c r="B938" s="7" t="s">
        <v>63</v>
      </c>
      <c r="C938" s="7" t="s">
        <v>808</v>
      </c>
      <c r="D938" s="10" t="n">
        <v>0</v>
      </c>
      <c r="E938" s="10" t="n">
        <v>0</v>
      </c>
      <c r="F938" s="10" t="n">
        <v>56</v>
      </c>
      <c r="G938" s="10" t="n">
        <v>0</v>
      </c>
      <c r="H938" s="10" t="n">
        <v>0</v>
      </c>
      <c r="I938" s="10" t="n">
        <v>277</v>
      </c>
      <c r="J938" s="10" t="n">
        <v>0</v>
      </c>
      <c r="K938" s="10" t="n">
        <v>7</v>
      </c>
      <c r="L938" s="10" t="n">
        <v>0</v>
      </c>
      <c r="M938" s="10" t="n">
        <v>0</v>
      </c>
      <c r="N938" s="10" t="n">
        <v>0</v>
      </c>
      <c r="O938" s="10" t="n">
        <v>0</v>
      </c>
      <c r="P938" s="10" t="n">
        <v>-3</v>
      </c>
      <c r="Q938" s="10" t="n">
        <v>216</v>
      </c>
      <c r="R938" s="10" t="n">
        <v>57</v>
      </c>
      <c r="S938" s="10" t="n">
        <v>0</v>
      </c>
      <c r="T938" s="10" t="n">
        <v>38</v>
      </c>
      <c r="U938" s="10" t="n">
        <v>0</v>
      </c>
    </row>
    <row r="939" customFormat="false" ht="15" hidden="false" customHeight="false" outlineLevel="0" collapsed="false">
      <c r="A939" s="7" t="s">
        <v>931</v>
      </c>
      <c r="B939" s="7" t="s">
        <v>265</v>
      </c>
      <c r="C939" s="7" t="s">
        <v>809</v>
      </c>
      <c r="D939" s="10" t="n">
        <v>0</v>
      </c>
      <c r="E939" s="10" t="n">
        <v>0</v>
      </c>
      <c r="F939" s="10" t="n">
        <v>257</v>
      </c>
      <c r="G939" s="10" t="n">
        <v>0</v>
      </c>
      <c r="H939" s="10" t="n">
        <v>0</v>
      </c>
      <c r="I939" s="10" t="n">
        <v>140</v>
      </c>
      <c r="J939" s="10" t="n">
        <v>0</v>
      </c>
      <c r="K939" s="10" t="n">
        <v>28</v>
      </c>
      <c r="L939" s="10" t="n">
        <v>-2</v>
      </c>
      <c r="M939" s="10" t="n">
        <v>-2</v>
      </c>
      <c r="N939" s="10" t="n">
        <v>0</v>
      </c>
      <c r="O939" s="10" t="n">
        <v>8</v>
      </c>
      <c r="P939" s="10" t="n">
        <v>-17</v>
      </c>
      <c r="Q939" s="10" t="n">
        <v>0</v>
      </c>
      <c r="R939" s="10" t="n">
        <v>125</v>
      </c>
      <c r="S939" s="10" t="n">
        <v>0</v>
      </c>
      <c r="T939" s="10" t="n">
        <v>77</v>
      </c>
      <c r="U939" s="10" t="n">
        <v>0</v>
      </c>
    </row>
    <row r="940" customFormat="false" ht="15" hidden="false" customHeight="false" outlineLevel="0" collapsed="false">
      <c r="A940" s="7" t="s">
        <v>931</v>
      </c>
      <c r="B940" s="7" t="s">
        <v>65</v>
      </c>
      <c r="C940" s="7" t="s">
        <v>810</v>
      </c>
      <c r="D940" s="10" t="n">
        <v>0</v>
      </c>
      <c r="E940" s="10" t="n">
        <v>0</v>
      </c>
      <c r="F940" s="10" t="n">
        <v>130</v>
      </c>
      <c r="G940" s="10" t="n">
        <v>0</v>
      </c>
      <c r="H940" s="10" t="n">
        <v>0</v>
      </c>
      <c r="I940" s="10" t="n">
        <v>815</v>
      </c>
      <c r="J940" s="10" t="n">
        <v>0</v>
      </c>
      <c r="K940" s="10" t="n">
        <v>11</v>
      </c>
      <c r="L940" s="10" t="n">
        <v>0</v>
      </c>
      <c r="M940" s="10" t="n">
        <v>0</v>
      </c>
      <c r="N940" s="10" t="n">
        <v>1</v>
      </c>
      <c r="O940" s="10" t="n">
        <v>0</v>
      </c>
      <c r="P940" s="10" t="n">
        <v>-24</v>
      </c>
      <c r="Q940" s="10" t="n">
        <v>687</v>
      </c>
      <c r="R940" s="10" t="n">
        <v>140</v>
      </c>
      <c r="S940" s="10" t="n">
        <v>0</v>
      </c>
      <c r="T940" s="10" t="n">
        <v>0</v>
      </c>
      <c r="U940" s="10" t="n">
        <v>-2</v>
      </c>
    </row>
    <row r="941" customFormat="false" ht="15" hidden="false" customHeight="false" outlineLevel="0" collapsed="false">
      <c r="A941" s="7" t="s">
        <v>931</v>
      </c>
      <c r="B941" s="7" t="s">
        <v>65</v>
      </c>
      <c r="C941" s="7" t="s">
        <v>811</v>
      </c>
      <c r="D941" s="10" t="n">
        <v>0</v>
      </c>
      <c r="E941" s="10" t="n">
        <v>0</v>
      </c>
      <c r="F941" s="10" t="n">
        <v>93</v>
      </c>
      <c r="G941" s="10" t="n">
        <v>0</v>
      </c>
      <c r="H941" s="10" t="n">
        <v>0</v>
      </c>
      <c r="I941" s="10" t="n">
        <v>527</v>
      </c>
      <c r="J941" s="10" t="n">
        <v>0</v>
      </c>
      <c r="K941" s="10" t="n">
        <v>2</v>
      </c>
      <c r="L941" s="10" t="n">
        <v>0</v>
      </c>
      <c r="M941" s="10" t="n">
        <v>0</v>
      </c>
      <c r="N941" s="10" t="n">
        <v>1</v>
      </c>
      <c r="O941" s="10" t="n">
        <v>0</v>
      </c>
      <c r="P941" s="10" t="n">
        <v>-2</v>
      </c>
      <c r="Q941" s="10" t="n">
        <v>450</v>
      </c>
      <c r="R941" s="10" t="n">
        <v>76</v>
      </c>
      <c r="S941" s="10" t="n">
        <v>0</v>
      </c>
      <c r="T941" s="10" t="n">
        <v>0</v>
      </c>
      <c r="U941" s="10" t="n">
        <v>-10</v>
      </c>
    </row>
    <row r="942" customFormat="false" ht="15" hidden="false" customHeight="false" outlineLevel="0" collapsed="false">
      <c r="A942" s="7" t="s">
        <v>931</v>
      </c>
      <c r="B942" s="7" t="s">
        <v>65</v>
      </c>
      <c r="C942" s="7" t="s">
        <v>812</v>
      </c>
      <c r="D942" s="10" t="n">
        <v>0</v>
      </c>
      <c r="E942" s="10" t="n">
        <v>0</v>
      </c>
      <c r="F942" s="10" t="n">
        <v>80</v>
      </c>
      <c r="G942" s="10" t="n">
        <v>0</v>
      </c>
      <c r="H942" s="10" t="n">
        <v>0</v>
      </c>
      <c r="I942" s="10" t="n">
        <v>668</v>
      </c>
      <c r="J942" s="10" t="n">
        <v>0</v>
      </c>
      <c r="K942" s="10" t="n">
        <v>5</v>
      </c>
      <c r="L942" s="10" t="n">
        <v>0</v>
      </c>
      <c r="M942" s="10" t="n">
        <v>0</v>
      </c>
      <c r="N942" s="10" t="n">
        <v>1</v>
      </c>
      <c r="O942" s="10" t="n">
        <v>0</v>
      </c>
      <c r="P942" s="10" t="n">
        <v>-4</v>
      </c>
      <c r="Q942" s="10" t="n">
        <v>579</v>
      </c>
      <c r="R942" s="10" t="n">
        <v>87</v>
      </c>
      <c r="S942" s="10" t="n">
        <v>0</v>
      </c>
      <c r="T942" s="10" t="n">
        <v>0</v>
      </c>
      <c r="U942" s="10" t="n">
        <v>0</v>
      </c>
    </row>
    <row r="943" customFormat="false" ht="15" hidden="false" customHeight="false" outlineLevel="0" collapsed="false">
      <c r="A943" s="7" t="s">
        <v>931</v>
      </c>
      <c r="B943" s="7" t="s">
        <v>65</v>
      </c>
      <c r="C943" s="7" t="s">
        <v>813</v>
      </c>
      <c r="D943" s="10" t="n">
        <v>0</v>
      </c>
      <c r="E943" s="10" t="n">
        <v>0</v>
      </c>
      <c r="F943" s="10" t="n">
        <v>35</v>
      </c>
      <c r="G943" s="10" t="n">
        <v>0</v>
      </c>
      <c r="H943" s="10" t="n">
        <v>0</v>
      </c>
      <c r="I943" s="10" t="n">
        <v>270</v>
      </c>
      <c r="J943" s="10" t="n">
        <v>0</v>
      </c>
      <c r="K943" s="10" t="n">
        <v>0</v>
      </c>
      <c r="L943" s="10" t="n">
        <v>0</v>
      </c>
      <c r="M943" s="10" t="n">
        <v>0</v>
      </c>
      <c r="N943" s="10" t="n">
        <v>0</v>
      </c>
      <c r="O943" s="10" t="n">
        <v>0</v>
      </c>
      <c r="P943" s="10" t="n">
        <v>-2</v>
      </c>
      <c r="Q943" s="10" t="n">
        <v>227</v>
      </c>
      <c r="R943" s="10" t="n">
        <v>45</v>
      </c>
      <c r="S943" s="10" t="n">
        <v>0</v>
      </c>
      <c r="T943" s="10" t="n">
        <v>0</v>
      </c>
      <c r="U943" s="10" t="n">
        <v>0</v>
      </c>
    </row>
    <row r="944" customFormat="false" ht="15" hidden="false" customHeight="false" outlineLevel="0" collapsed="false">
      <c r="A944" s="7" t="s">
        <v>931</v>
      </c>
      <c r="B944" s="7" t="s">
        <v>65</v>
      </c>
      <c r="C944" s="7" t="s">
        <v>814</v>
      </c>
      <c r="D944" s="10" t="n">
        <v>0</v>
      </c>
      <c r="E944" s="10" t="n">
        <v>0</v>
      </c>
      <c r="F944" s="10" t="n">
        <v>10</v>
      </c>
      <c r="G944" s="10" t="n">
        <v>0</v>
      </c>
      <c r="H944" s="10" t="n">
        <v>0</v>
      </c>
      <c r="I944" s="10" t="n">
        <v>44</v>
      </c>
      <c r="J944" s="10" t="n">
        <v>0</v>
      </c>
      <c r="K944" s="10" t="n">
        <v>0</v>
      </c>
      <c r="L944" s="10" t="n">
        <v>0</v>
      </c>
      <c r="M944" s="10" t="n">
        <v>0</v>
      </c>
      <c r="N944" s="10" t="n">
        <v>0</v>
      </c>
      <c r="O944" s="10" t="n">
        <v>0</v>
      </c>
      <c r="P944" s="10" t="n">
        <v>-2</v>
      </c>
      <c r="Q944" s="10" t="n">
        <v>0</v>
      </c>
      <c r="R944" s="10" t="n">
        <v>46</v>
      </c>
      <c r="S944" s="10" t="n">
        <v>0</v>
      </c>
      <c r="T944" s="10" t="n">
        <v>0</v>
      </c>
      <c r="U944" s="10" t="n">
        <v>0</v>
      </c>
    </row>
    <row r="945" customFormat="false" ht="15" hidden="false" customHeight="false" outlineLevel="0" collapsed="false">
      <c r="A945" s="7" t="s">
        <v>931</v>
      </c>
      <c r="B945" s="7" t="s">
        <v>65</v>
      </c>
      <c r="C945" s="7" t="s">
        <v>815</v>
      </c>
      <c r="D945" s="10" t="n">
        <v>0</v>
      </c>
      <c r="E945" s="10" t="n">
        <v>0</v>
      </c>
      <c r="F945" s="10" t="n">
        <v>7</v>
      </c>
      <c r="G945" s="10" t="n">
        <v>0</v>
      </c>
      <c r="H945" s="10" t="n">
        <v>0</v>
      </c>
      <c r="I945" s="10" t="n">
        <v>0</v>
      </c>
      <c r="J945" s="10" t="n">
        <v>0</v>
      </c>
      <c r="K945" s="10" t="n">
        <v>0</v>
      </c>
      <c r="L945" s="10" t="n">
        <v>0</v>
      </c>
      <c r="M945" s="10" t="n">
        <v>0</v>
      </c>
      <c r="N945" s="10" t="n">
        <v>0</v>
      </c>
      <c r="O945" s="10" t="n">
        <v>0</v>
      </c>
      <c r="P945" s="10" t="n">
        <v>0</v>
      </c>
      <c r="Q945" s="10" t="n">
        <v>0</v>
      </c>
      <c r="R945" s="10" t="n">
        <v>0</v>
      </c>
      <c r="S945" s="10" t="n">
        <v>0</v>
      </c>
      <c r="T945" s="10" t="n">
        <v>0</v>
      </c>
      <c r="U945" s="10" t="n">
        <v>0</v>
      </c>
    </row>
    <row r="946" customFormat="false" ht="15" hidden="false" customHeight="false" outlineLevel="0" collapsed="false">
      <c r="A946" s="7" t="s">
        <v>931</v>
      </c>
      <c r="B946" s="7" t="s">
        <v>81</v>
      </c>
      <c r="C946" s="7" t="s">
        <v>816</v>
      </c>
      <c r="D946" s="10" t="n">
        <v>0</v>
      </c>
      <c r="E946" s="10" t="n">
        <v>0</v>
      </c>
      <c r="F946" s="10" t="n">
        <v>177</v>
      </c>
      <c r="G946" s="10" t="n">
        <v>0</v>
      </c>
      <c r="H946" s="10" t="n">
        <v>0</v>
      </c>
      <c r="I946" s="10" t="n">
        <v>1490</v>
      </c>
      <c r="J946" s="10" t="n">
        <v>0</v>
      </c>
      <c r="K946" s="10" t="n">
        <v>22</v>
      </c>
      <c r="L946" s="10" t="n">
        <v>0</v>
      </c>
      <c r="M946" s="10" t="n">
        <v>2</v>
      </c>
      <c r="N946" s="10" t="n">
        <v>0</v>
      </c>
      <c r="O946" s="10" t="n">
        <v>0</v>
      </c>
      <c r="P946" s="10" t="n">
        <v>-2</v>
      </c>
      <c r="Q946" s="10" t="n">
        <v>1418</v>
      </c>
      <c r="R946" s="10" t="n">
        <v>50</v>
      </c>
      <c r="S946" s="10" t="n">
        <v>0</v>
      </c>
      <c r="T946" s="10" t="n">
        <v>81</v>
      </c>
      <c r="U946" s="10" t="n">
        <v>0</v>
      </c>
    </row>
    <row r="947" customFormat="false" ht="15" hidden="false" customHeight="false" outlineLevel="0" collapsed="false">
      <c r="A947" s="7" t="s">
        <v>931</v>
      </c>
      <c r="B947" s="7" t="s">
        <v>196</v>
      </c>
      <c r="C947" s="7" t="s">
        <v>817</v>
      </c>
      <c r="D947" s="10" t="n">
        <v>0</v>
      </c>
      <c r="E947" s="10" t="n">
        <v>0</v>
      </c>
      <c r="F947" s="10" t="n">
        <v>51</v>
      </c>
      <c r="G947" s="10" t="n">
        <v>0</v>
      </c>
      <c r="H947" s="10" t="n">
        <v>0</v>
      </c>
      <c r="I947" s="10" t="n">
        <v>104</v>
      </c>
      <c r="J947" s="10" t="n">
        <v>0</v>
      </c>
      <c r="K947" s="10" t="n">
        <v>3</v>
      </c>
      <c r="L947" s="10" t="n">
        <v>0</v>
      </c>
      <c r="M947" s="10" t="n">
        <v>0</v>
      </c>
      <c r="N947" s="10" t="n">
        <v>3</v>
      </c>
      <c r="O947" s="10" t="n">
        <v>0</v>
      </c>
      <c r="P947" s="10" t="n">
        <v>0</v>
      </c>
      <c r="Q947" s="10" t="n">
        <v>69</v>
      </c>
      <c r="R947" s="10" t="n">
        <v>29</v>
      </c>
      <c r="S947" s="10" t="n">
        <v>0</v>
      </c>
      <c r="T947" s="10" t="n">
        <v>41</v>
      </c>
      <c r="U947" s="10" t="n">
        <v>0</v>
      </c>
    </row>
    <row r="948" customFormat="false" ht="15" hidden="false" customHeight="false" outlineLevel="0" collapsed="false">
      <c r="A948" s="7" t="s">
        <v>931</v>
      </c>
      <c r="B948" s="7" t="s">
        <v>265</v>
      </c>
      <c r="C948" s="7" t="s">
        <v>818</v>
      </c>
      <c r="D948" s="10" t="n">
        <v>0</v>
      </c>
      <c r="E948" s="10" t="n">
        <v>0</v>
      </c>
      <c r="F948" s="10" t="n">
        <v>126</v>
      </c>
      <c r="G948" s="10" t="n">
        <v>0</v>
      </c>
      <c r="H948" s="10" t="n">
        <v>0</v>
      </c>
      <c r="I948" s="10" t="n">
        <v>79</v>
      </c>
      <c r="J948" s="10" t="n">
        <v>0</v>
      </c>
      <c r="K948" s="10" t="n">
        <v>5</v>
      </c>
      <c r="L948" s="10" t="n">
        <v>0</v>
      </c>
      <c r="M948" s="10" t="n">
        <v>-3</v>
      </c>
      <c r="N948" s="10" t="n">
        <v>0</v>
      </c>
      <c r="O948" s="10" t="n">
        <v>4</v>
      </c>
      <c r="P948" s="10" t="n">
        <v>-13</v>
      </c>
      <c r="Q948" s="10" t="n">
        <v>0</v>
      </c>
      <c r="R948" s="10" t="n">
        <v>86</v>
      </c>
      <c r="S948" s="10" t="n">
        <v>0</v>
      </c>
      <c r="T948" s="10" t="n">
        <v>65</v>
      </c>
      <c r="U948" s="10" t="n">
        <v>0</v>
      </c>
    </row>
    <row r="949" customFormat="false" ht="15" hidden="false" customHeight="false" outlineLevel="0" collapsed="false">
      <c r="A949" s="7" t="s">
        <v>931</v>
      </c>
      <c r="B949" s="7" t="s">
        <v>50</v>
      </c>
      <c r="C949" s="7" t="s">
        <v>819</v>
      </c>
      <c r="D949" s="10" t="n">
        <v>0</v>
      </c>
      <c r="E949" s="10" t="n">
        <v>0</v>
      </c>
      <c r="F949" s="10" t="n">
        <v>42</v>
      </c>
      <c r="G949" s="10" t="n">
        <v>0</v>
      </c>
      <c r="H949" s="10" t="n">
        <v>0</v>
      </c>
      <c r="I949" s="10" t="n">
        <v>827</v>
      </c>
      <c r="J949" s="10" t="n">
        <v>0</v>
      </c>
      <c r="K949" s="10" t="n">
        <v>0</v>
      </c>
      <c r="L949" s="10" t="n">
        <v>0</v>
      </c>
      <c r="M949" s="10" t="n">
        <v>0</v>
      </c>
      <c r="N949" s="10" t="n">
        <v>0</v>
      </c>
      <c r="O949" s="10" t="n">
        <v>0</v>
      </c>
      <c r="P949" s="10" t="n">
        <v>0</v>
      </c>
      <c r="Q949" s="10" t="n">
        <v>827</v>
      </c>
      <c r="R949" s="10" t="n">
        <v>0</v>
      </c>
      <c r="S949" s="10" t="n">
        <v>0</v>
      </c>
      <c r="T949" s="10" t="n">
        <v>0</v>
      </c>
      <c r="U949" s="10" t="n">
        <v>0</v>
      </c>
    </row>
    <row r="950" customFormat="false" ht="15" hidden="false" customHeight="false" outlineLevel="0" collapsed="false">
      <c r="A950" s="7" t="s">
        <v>931</v>
      </c>
      <c r="B950" s="7" t="s">
        <v>50</v>
      </c>
      <c r="C950" s="7" t="s">
        <v>820</v>
      </c>
      <c r="D950" s="10" t="n">
        <v>0</v>
      </c>
      <c r="E950" s="10" t="n">
        <v>0</v>
      </c>
      <c r="F950" s="10" t="n">
        <v>98</v>
      </c>
      <c r="G950" s="10" t="n">
        <v>0</v>
      </c>
      <c r="H950" s="10" t="n">
        <v>0</v>
      </c>
      <c r="I950" s="10" t="n">
        <v>2153</v>
      </c>
      <c r="J950" s="10" t="n">
        <v>0</v>
      </c>
      <c r="K950" s="10" t="n">
        <v>0</v>
      </c>
      <c r="L950" s="10" t="n">
        <v>0</v>
      </c>
      <c r="M950" s="10" t="n">
        <v>0</v>
      </c>
      <c r="N950" s="10" t="n">
        <v>0</v>
      </c>
      <c r="O950" s="10" t="n">
        <v>0</v>
      </c>
      <c r="P950" s="10" t="n">
        <v>0</v>
      </c>
      <c r="Q950" s="10" t="n">
        <v>2153</v>
      </c>
      <c r="R950" s="10" t="n">
        <v>0</v>
      </c>
      <c r="S950" s="10" t="n">
        <v>0</v>
      </c>
      <c r="T950" s="10" t="n">
        <v>0</v>
      </c>
      <c r="U950" s="10" t="n">
        <v>0</v>
      </c>
    </row>
    <row r="951" customFormat="false" ht="15" hidden="false" customHeight="false" outlineLevel="0" collapsed="false">
      <c r="A951" s="7" t="s">
        <v>931</v>
      </c>
      <c r="B951" s="7" t="s">
        <v>50</v>
      </c>
      <c r="C951" s="7" t="s">
        <v>821</v>
      </c>
      <c r="D951" s="10" t="n">
        <v>0</v>
      </c>
      <c r="E951" s="10" t="n">
        <v>0</v>
      </c>
      <c r="F951" s="10" t="n">
        <v>120</v>
      </c>
      <c r="G951" s="10" t="n">
        <v>0</v>
      </c>
      <c r="H951" s="10" t="n">
        <v>0</v>
      </c>
      <c r="I951" s="10" t="n">
        <v>2295</v>
      </c>
      <c r="J951" s="10" t="n">
        <v>0</v>
      </c>
      <c r="K951" s="10" t="n">
        <v>0</v>
      </c>
      <c r="L951" s="10" t="n">
        <v>0</v>
      </c>
      <c r="M951" s="10" t="n">
        <v>0</v>
      </c>
      <c r="N951" s="10" t="n">
        <v>0</v>
      </c>
      <c r="O951" s="10" t="n">
        <v>0</v>
      </c>
      <c r="P951" s="10" t="n">
        <v>0</v>
      </c>
      <c r="Q951" s="10" t="n">
        <v>2295</v>
      </c>
      <c r="R951" s="10" t="n">
        <v>0</v>
      </c>
      <c r="S951" s="10" t="n">
        <v>0</v>
      </c>
      <c r="T951" s="10" t="n">
        <v>0</v>
      </c>
      <c r="U951" s="10" t="n">
        <v>0</v>
      </c>
    </row>
    <row r="952" customFormat="false" ht="15" hidden="false" customHeight="false" outlineLevel="0" collapsed="false">
      <c r="A952" s="7" t="s">
        <v>931</v>
      </c>
      <c r="B952" s="7" t="s">
        <v>50</v>
      </c>
      <c r="C952" s="7" t="s">
        <v>822</v>
      </c>
      <c r="D952" s="10" t="n">
        <v>0</v>
      </c>
      <c r="E952" s="10" t="n">
        <v>0</v>
      </c>
      <c r="F952" s="10" t="n">
        <v>94</v>
      </c>
      <c r="G952" s="10" t="n">
        <v>0</v>
      </c>
      <c r="H952" s="10" t="n">
        <v>0</v>
      </c>
      <c r="I952" s="10" t="n">
        <v>1686</v>
      </c>
      <c r="J952" s="10" t="n">
        <v>0</v>
      </c>
      <c r="K952" s="10" t="n">
        <v>0</v>
      </c>
      <c r="L952" s="10" t="n">
        <v>0</v>
      </c>
      <c r="M952" s="10" t="n">
        <v>0</v>
      </c>
      <c r="N952" s="10" t="n">
        <v>0</v>
      </c>
      <c r="O952" s="10" t="n">
        <v>0</v>
      </c>
      <c r="P952" s="10" t="n">
        <v>0</v>
      </c>
      <c r="Q952" s="10" t="n">
        <v>1686</v>
      </c>
      <c r="R952" s="10" t="n">
        <v>0</v>
      </c>
      <c r="S952" s="10" t="n">
        <v>0</v>
      </c>
      <c r="T952" s="10" t="n">
        <v>0</v>
      </c>
      <c r="U952" s="10" t="n">
        <v>0</v>
      </c>
    </row>
    <row r="953" customFormat="false" ht="15" hidden="false" customHeight="false" outlineLevel="0" collapsed="false">
      <c r="A953" s="7" t="s">
        <v>931</v>
      </c>
      <c r="B953" s="7" t="s">
        <v>50</v>
      </c>
      <c r="C953" s="7" t="s">
        <v>823</v>
      </c>
      <c r="D953" s="10" t="n">
        <v>0</v>
      </c>
      <c r="E953" s="10" t="n">
        <v>0</v>
      </c>
      <c r="F953" s="10" t="n">
        <v>55</v>
      </c>
      <c r="G953" s="10" t="n">
        <v>0</v>
      </c>
      <c r="H953" s="10" t="n">
        <v>0</v>
      </c>
      <c r="I953" s="10" t="n">
        <v>169</v>
      </c>
      <c r="J953" s="10" t="n">
        <v>0</v>
      </c>
      <c r="K953" s="10" t="n">
        <v>0</v>
      </c>
      <c r="L953" s="10" t="n">
        <v>0</v>
      </c>
      <c r="M953" s="10" t="n">
        <v>0</v>
      </c>
      <c r="N953" s="10" t="n">
        <v>0</v>
      </c>
      <c r="O953" s="10" t="n">
        <v>0</v>
      </c>
      <c r="P953" s="10" t="n">
        <v>0</v>
      </c>
      <c r="Q953" s="10" t="n">
        <v>169</v>
      </c>
      <c r="R953" s="10" t="n">
        <v>0</v>
      </c>
      <c r="S953" s="10" t="n">
        <v>0</v>
      </c>
      <c r="T953" s="10" t="n">
        <v>0</v>
      </c>
      <c r="U953" s="10" t="n">
        <v>0</v>
      </c>
    </row>
    <row r="954" customFormat="false" ht="15" hidden="false" customHeight="false" outlineLevel="0" collapsed="false">
      <c r="A954" s="7" t="s">
        <v>931</v>
      </c>
      <c r="B954" s="7" t="s">
        <v>44</v>
      </c>
      <c r="C954" s="7" t="s">
        <v>824</v>
      </c>
      <c r="D954" s="10" t="n">
        <v>0</v>
      </c>
      <c r="E954" s="10" t="n">
        <v>0</v>
      </c>
      <c r="F954" s="10" t="n">
        <v>1</v>
      </c>
      <c r="G954" s="10" t="n">
        <v>0</v>
      </c>
      <c r="H954" s="10" t="n">
        <v>0</v>
      </c>
      <c r="I954" s="10" t="n">
        <v>0</v>
      </c>
      <c r="J954" s="10" t="n">
        <v>0</v>
      </c>
      <c r="K954" s="10" t="n">
        <v>0</v>
      </c>
      <c r="L954" s="10" t="n">
        <v>0</v>
      </c>
      <c r="M954" s="10" t="n">
        <v>0</v>
      </c>
      <c r="N954" s="10" t="n">
        <v>0</v>
      </c>
      <c r="O954" s="10" t="n">
        <v>0</v>
      </c>
      <c r="P954" s="10" t="n">
        <v>0</v>
      </c>
      <c r="Q954" s="10" t="n">
        <v>0</v>
      </c>
      <c r="R954" s="10" t="n">
        <v>0</v>
      </c>
      <c r="S954" s="10" t="n">
        <v>0</v>
      </c>
      <c r="T954" s="10" t="n">
        <v>0</v>
      </c>
      <c r="U954" s="10" t="n">
        <v>0</v>
      </c>
    </row>
    <row r="955" customFormat="false" ht="15" hidden="false" customHeight="false" outlineLevel="0" collapsed="false">
      <c r="A955" s="7" t="s">
        <v>931</v>
      </c>
      <c r="B955" s="7" t="s">
        <v>198</v>
      </c>
      <c r="C955" s="7" t="s">
        <v>825</v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>
        <v>-1</v>
      </c>
      <c r="J955" s="10" t="n">
        <v>0</v>
      </c>
      <c r="K955" s="10" t="n">
        <v>0</v>
      </c>
      <c r="L955" s="10" t="n">
        <v>0</v>
      </c>
      <c r="M955" s="10" t="n">
        <v>0</v>
      </c>
      <c r="N955" s="10" t="n">
        <v>0</v>
      </c>
      <c r="O955" s="10" t="n">
        <v>0</v>
      </c>
      <c r="P955" s="10" t="n">
        <v>0</v>
      </c>
      <c r="Q955" s="10" t="n">
        <v>-1</v>
      </c>
      <c r="R955" s="10" t="n">
        <v>0</v>
      </c>
      <c r="S955" s="10" t="n">
        <v>0</v>
      </c>
      <c r="T955" s="10" t="n">
        <v>0</v>
      </c>
      <c r="U955" s="10" t="n">
        <v>0</v>
      </c>
    </row>
    <row r="956" customFormat="false" ht="15" hidden="false" customHeight="false" outlineLevel="0" collapsed="false">
      <c r="A956" s="7" t="s">
        <v>931</v>
      </c>
      <c r="B956" s="7" t="s">
        <v>115</v>
      </c>
      <c r="C956" s="7" t="s">
        <v>826</v>
      </c>
      <c r="D956" s="10" t="n">
        <v>0</v>
      </c>
      <c r="E956" s="10" t="n">
        <v>0</v>
      </c>
      <c r="F956" s="10" t="n">
        <v>215</v>
      </c>
      <c r="G956" s="10" t="n">
        <v>0</v>
      </c>
      <c r="H956" s="10" t="n">
        <v>0</v>
      </c>
      <c r="I956" s="10" t="n">
        <v>1904</v>
      </c>
      <c r="J956" s="10" t="n">
        <v>0</v>
      </c>
      <c r="K956" s="10" t="n">
        <v>10</v>
      </c>
      <c r="L956" s="10" t="n">
        <v>0</v>
      </c>
      <c r="M956" s="10" t="n">
        <v>2</v>
      </c>
      <c r="N956" s="10" t="n">
        <v>4</v>
      </c>
      <c r="O956" s="10" t="n">
        <v>0</v>
      </c>
      <c r="P956" s="10" t="n">
        <v>-3</v>
      </c>
      <c r="Q956" s="10" t="n">
        <v>1525</v>
      </c>
      <c r="R956" s="10" t="n">
        <v>366</v>
      </c>
      <c r="S956" s="10" t="n">
        <v>0</v>
      </c>
      <c r="T956" s="10" t="n">
        <v>0</v>
      </c>
      <c r="U956" s="10" t="n">
        <v>0</v>
      </c>
    </row>
    <row r="957" customFormat="false" ht="15" hidden="false" customHeight="false" outlineLevel="0" collapsed="false">
      <c r="A957" s="7" t="s">
        <v>931</v>
      </c>
      <c r="B957" s="7" t="s">
        <v>160</v>
      </c>
      <c r="C957" s="7" t="s">
        <v>826</v>
      </c>
      <c r="D957" s="10" t="n">
        <v>0</v>
      </c>
      <c r="E957" s="10" t="n">
        <v>0</v>
      </c>
      <c r="F957" s="10" t="n">
        <v>348</v>
      </c>
      <c r="G957" s="10" t="n">
        <v>0</v>
      </c>
      <c r="H957" s="10" t="n">
        <v>0</v>
      </c>
      <c r="I957" s="10" t="n">
        <v>2382</v>
      </c>
      <c r="J957" s="10" t="n">
        <v>0</v>
      </c>
      <c r="K957" s="10" t="n">
        <v>30</v>
      </c>
      <c r="L957" s="10" t="n">
        <v>0</v>
      </c>
      <c r="M957" s="10" t="n">
        <v>0</v>
      </c>
      <c r="N957" s="10" t="n">
        <v>4</v>
      </c>
      <c r="O957" s="10" t="n">
        <v>0</v>
      </c>
      <c r="P957" s="10" t="n">
        <v>-5</v>
      </c>
      <c r="Q957" s="10" t="n">
        <v>1845</v>
      </c>
      <c r="R957" s="10" t="n">
        <v>508</v>
      </c>
      <c r="S957" s="10" t="n">
        <v>0</v>
      </c>
      <c r="T957" s="10" t="n">
        <v>0</v>
      </c>
      <c r="U957" s="10" t="n">
        <v>0</v>
      </c>
    </row>
    <row r="958" customFormat="false" ht="15" hidden="false" customHeight="false" outlineLevel="0" collapsed="false">
      <c r="A958" s="7" t="s">
        <v>931</v>
      </c>
      <c r="B958" s="7" t="s">
        <v>174</v>
      </c>
      <c r="C958" s="7" t="s">
        <v>826</v>
      </c>
      <c r="D958" s="10" t="n">
        <v>0</v>
      </c>
      <c r="E958" s="10" t="n">
        <v>0</v>
      </c>
      <c r="F958" s="10" t="n">
        <v>293</v>
      </c>
      <c r="G958" s="10" t="n">
        <v>0</v>
      </c>
      <c r="H958" s="10" t="n">
        <v>0</v>
      </c>
      <c r="I958" s="10" t="n">
        <v>2182</v>
      </c>
      <c r="J958" s="10" t="n">
        <v>0</v>
      </c>
      <c r="K958" s="10" t="n">
        <v>31</v>
      </c>
      <c r="L958" s="10" t="n">
        <v>0</v>
      </c>
      <c r="M958" s="10" t="n">
        <v>4</v>
      </c>
      <c r="N958" s="10" t="n">
        <v>4</v>
      </c>
      <c r="O958" s="10" t="n">
        <v>0</v>
      </c>
      <c r="P958" s="10" t="n">
        <v>-3</v>
      </c>
      <c r="Q958" s="10" t="n">
        <v>1704</v>
      </c>
      <c r="R958" s="10" t="n">
        <v>442</v>
      </c>
      <c r="S958" s="10" t="n">
        <v>0</v>
      </c>
      <c r="T958" s="10" t="n">
        <v>0</v>
      </c>
      <c r="U958" s="10" t="n">
        <v>0</v>
      </c>
    </row>
    <row r="959" customFormat="false" ht="15" hidden="false" customHeight="false" outlineLevel="0" collapsed="false">
      <c r="A959" s="7" t="s">
        <v>931</v>
      </c>
      <c r="B959" s="7" t="s">
        <v>175</v>
      </c>
      <c r="C959" s="7" t="s">
        <v>826</v>
      </c>
      <c r="D959" s="10" t="n">
        <v>0</v>
      </c>
      <c r="E959" s="10" t="n">
        <v>0</v>
      </c>
      <c r="F959" s="10" t="n">
        <v>150</v>
      </c>
      <c r="G959" s="10" t="n">
        <v>0</v>
      </c>
      <c r="H959" s="10" t="n">
        <v>0</v>
      </c>
      <c r="I959" s="10" t="n">
        <v>1242</v>
      </c>
      <c r="J959" s="10" t="n">
        <v>0</v>
      </c>
      <c r="K959" s="10" t="n">
        <v>6</v>
      </c>
      <c r="L959" s="10" t="n">
        <v>0</v>
      </c>
      <c r="M959" s="10" t="n">
        <v>0</v>
      </c>
      <c r="N959" s="10" t="n">
        <v>4</v>
      </c>
      <c r="O959" s="10" t="n">
        <v>0</v>
      </c>
      <c r="P959" s="10" t="n">
        <v>-5</v>
      </c>
      <c r="Q959" s="10" t="n">
        <v>1023</v>
      </c>
      <c r="R959" s="10" t="n">
        <v>214</v>
      </c>
      <c r="S959" s="10" t="n">
        <v>0</v>
      </c>
      <c r="T959" s="10" t="n">
        <v>0</v>
      </c>
      <c r="U959" s="10" t="n">
        <v>0</v>
      </c>
    </row>
    <row r="960" customFormat="false" ht="15" hidden="false" customHeight="false" outlineLevel="0" collapsed="false">
      <c r="A960" s="7" t="s">
        <v>931</v>
      </c>
      <c r="B960" s="7" t="s">
        <v>240</v>
      </c>
      <c r="C960" s="7" t="s">
        <v>827</v>
      </c>
      <c r="D960" s="10" t="n">
        <v>0</v>
      </c>
      <c r="E960" s="10" t="n">
        <v>0</v>
      </c>
      <c r="F960" s="10" t="n">
        <v>107</v>
      </c>
      <c r="G960" s="10" t="n">
        <v>0</v>
      </c>
      <c r="H960" s="10" t="n">
        <v>0</v>
      </c>
      <c r="I960" s="10" t="n">
        <v>0</v>
      </c>
      <c r="J960" s="10" t="n">
        <v>0</v>
      </c>
      <c r="K960" s="10" t="n">
        <v>0</v>
      </c>
      <c r="L960" s="10" t="n">
        <v>0</v>
      </c>
      <c r="M960" s="10" t="n">
        <v>0</v>
      </c>
      <c r="N960" s="10" t="n">
        <v>3</v>
      </c>
      <c r="O960" s="10" t="n">
        <v>0</v>
      </c>
      <c r="P960" s="10" t="n">
        <v>0</v>
      </c>
      <c r="Q960" s="10" t="n">
        <v>-3</v>
      </c>
      <c r="R960" s="10" t="n">
        <v>0</v>
      </c>
      <c r="S960" s="10" t="n">
        <v>0</v>
      </c>
      <c r="T960" s="10" t="n">
        <v>0</v>
      </c>
      <c r="U960" s="10" t="n">
        <v>0</v>
      </c>
    </row>
    <row r="961" customFormat="false" ht="15" hidden="false" customHeight="false" outlineLevel="0" collapsed="false">
      <c r="A961" s="7" t="s">
        <v>931</v>
      </c>
      <c r="B961" s="7" t="s">
        <v>170</v>
      </c>
      <c r="C961" s="7" t="s">
        <v>828</v>
      </c>
      <c r="D961" s="10" t="n">
        <v>0</v>
      </c>
      <c r="E961" s="10" t="n">
        <v>0</v>
      </c>
      <c r="F961" s="10" t="n">
        <v>9</v>
      </c>
      <c r="G961" s="10" t="n">
        <v>0</v>
      </c>
      <c r="H961" s="10" t="n">
        <v>0</v>
      </c>
      <c r="I961" s="10" t="n">
        <v>56</v>
      </c>
      <c r="J961" s="10" t="n">
        <v>0</v>
      </c>
      <c r="K961" s="10" t="n">
        <v>0</v>
      </c>
      <c r="L961" s="10" t="n">
        <v>0</v>
      </c>
      <c r="M961" s="10" t="n">
        <v>0</v>
      </c>
      <c r="N961" s="10" t="n">
        <v>0</v>
      </c>
      <c r="O961" s="10" t="n">
        <v>0</v>
      </c>
      <c r="P961" s="10" t="n">
        <v>0</v>
      </c>
      <c r="Q961" s="10" t="n">
        <v>56</v>
      </c>
      <c r="R961" s="10" t="n">
        <v>0</v>
      </c>
      <c r="S961" s="10" t="n">
        <v>0</v>
      </c>
      <c r="T961" s="10" t="n">
        <v>0</v>
      </c>
      <c r="U961" s="10" t="n">
        <v>0</v>
      </c>
    </row>
    <row r="962" customFormat="false" ht="15" hidden="false" customHeight="false" outlineLevel="0" collapsed="false">
      <c r="A962" s="7" t="s">
        <v>931</v>
      </c>
      <c r="B962" s="7" t="s">
        <v>332</v>
      </c>
      <c r="C962" s="7" t="s">
        <v>829</v>
      </c>
      <c r="D962" s="10" t="n">
        <v>0</v>
      </c>
      <c r="E962" s="10" t="n">
        <v>0</v>
      </c>
      <c r="F962" s="10" t="n">
        <v>1</v>
      </c>
      <c r="G962" s="10" t="n">
        <v>0</v>
      </c>
      <c r="H962" s="10" t="n">
        <v>0</v>
      </c>
      <c r="I962" s="10" t="n">
        <v>0</v>
      </c>
      <c r="J962" s="10" t="n">
        <v>0</v>
      </c>
      <c r="K962" s="10" t="n">
        <v>0</v>
      </c>
      <c r="L962" s="10" t="n">
        <v>0</v>
      </c>
      <c r="M962" s="10" t="n">
        <v>0</v>
      </c>
      <c r="N962" s="10" t="n">
        <v>0</v>
      </c>
      <c r="O962" s="10" t="n">
        <v>0</v>
      </c>
      <c r="P962" s="10" t="n">
        <v>0</v>
      </c>
      <c r="Q962" s="10" t="n">
        <v>0</v>
      </c>
      <c r="R962" s="10" t="n">
        <v>0</v>
      </c>
      <c r="S962" s="10" t="n">
        <v>0</v>
      </c>
      <c r="T962" s="10" t="n">
        <v>0</v>
      </c>
      <c r="U962" s="10" t="n">
        <v>0</v>
      </c>
    </row>
    <row r="963" customFormat="false" ht="15" hidden="false" customHeight="false" outlineLevel="0" collapsed="false">
      <c r="A963" s="7" t="s">
        <v>931</v>
      </c>
      <c r="B963" s="7" t="s">
        <v>344</v>
      </c>
      <c r="C963" s="7" t="s">
        <v>829</v>
      </c>
      <c r="D963" s="10" t="n">
        <v>0</v>
      </c>
      <c r="E963" s="10" t="n">
        <v>0</v>
      </c>
      <c r="F963" s="10" t="n">
        <v>1</v>
      </c>
      <c r="G963" s="10" t="n">
        <v>0</v>
      </c>
      <c r="H963" s="10" t="n">
        <v>0</v>
      </c>
      <c r="I963" s="10" t="n">
        <v>0</v>
      </c>
      <c r="J963" s="10" t="n">
        <v>0</v>
      </c>
      <c r="K963" s="10" t="n">
        <v>0</v>
      </c>
      <c r="L963" s="10" t="n">
        <v>0</v>
      </c>
      <c r="M963" s="10" t="n">
        <v>0</v>
      </c>
      <c r="N963" s="10" t="n">
        <v>0</v>
      </c>
      <c r="O963" s="10" t="n">
        <v>0</v>
      </c>
      <c r="P963" s="10" t="n">
        <v>0</v>
      </c>
      <c r="Q963" s="10" t="n">
        <v>0</v>
      </c>
      <c r="R963" s="10" t="n">
        <v>0</v>
      </c>
      <c r="S963" s="10" t="n">
        <v>0</v>
      </c>
      <c r="T963" s="10" t="n">
        <v>0</v>
      </c>
      <c r="U963" s="10" t="n">
        <v>0</v>
      </c>
    </row>
    <row r="964" customFormat="false" ht="15" hidden="false" customHeight="false" outlineLevel="0" collapsed="false">
      <c r="A964" s="7" t="s">
        <v>931</v>
      </c>
      <c r="B964" s="7" t="s">
        <v>324</v>
      </c>
      <c r="C964" s="7" t="s">
        <v>829</v>
      </c>
      <c r="D964" s="10" t="n">
        <v>0</v>
      </c>
      <c r="E964" s="10" t="n">
        <v>0</v>
      </c>
      <c r="F964" s="10" t="n">
        <v>3</v>
      </c>
      <c r="G964" s="10" t="n">
        <v>0</v>
      </c>
      <c r="H964" s="10" t="n">
        <v>0</v>
      </c>
      <c r="I964" s="10" t="n">
        <v>0</v>
      </c>
      <c r="J964" s="10" t="n">
        <v>0</v>
      </c>
      <c r="K964" s="10" t="n">
        <v>0</v>
      </c>
      <c r="L964" s="10" t="n">
        <v>0</v>
      </c>
      <c r="M964" s="10" t="n">
        <v>0</v>
      </c>
      <c r="N964" s="10" t="n">
        <v>0</v>
      </c>
      <c r="O964" s="10" t="n">
        <v>0</v>
      </c>
      <c r="P964" s="10" t="n">
        <v>0</v>
      </c>
      <c r="Q964" s="10" t="n">
        <v>0</v>
      </c>
      <c r="R964" s="10" t="n">
        <v>0</v>
      </c>
      <c r="S964" s="10" t="n">
        <v>0</v>
      </c>
      <c r="T964" s="10" t="n">
        <v>0</v>
      </c>
      <c r="U964" s="10" t="n">
        <v>0</v>
      </c>
    </row>
    <row r="965" customFormat="false" ht="15" hidden="false" customHeight="false" outlineLevel="0" collapsed="false">
      <c r="A965" s="7" t="s">
        <v>931</v>
      </c>
      <c r="B965" s="7" t="s">
        <v>325</v>
      </c>
      <c r="C965" s="7" t="s">
        <v>829</v>
      </c>
      <c r="D965" s="10" t="n">
        <v>0</v>
      </c>
      <c r="E965" s="10" t="n">
        <v>0</v>
      </c>
      <c r="F965" s="10" t="n">
        <v>1</v>
      </c>
      <c r="G965" s="10" t="n">
        <v>0</v>
      </c>
      <c r="H965" s="10" t="n">
        <v>0</v>
      </c>
      <c r="I965" s="10" t="n">
        <v>0</v>
      </c>
      <c r="J965" s="10" t="n">
        <v>0</v>
      </c>
      <c r="K965" s="10" t="n">
        <v>0</v>
      </c>
      <c r="L965" s="10" t="n">
        <v>0</v>
      </c>
      <c r="M965" s="10" t="n">
        <v>0</v>
      </c>
      <c r="N965" s="10" t="n">
        <v>0</v>
      </c>
      <c r="O965" s="10" t="n">
        <v>0</v>
      </c>
      <c r="P965" s="10" t="n">
        <v>0</v>
      </c>
      <c r="Q965" s="10" t="n">
        <v>0</v>
      </c>
      <c r="R965" s="10" t="n">
        <v>0</v>
      </c>
      <c r="S965" s="10" t="n">
        <v>0</v>
      </c>
      <c r="T965" s="10" t="n">
        <v>0</v>
      </c>
      <c r="U965" s="10" t="n">
        <v>0</v>
      </c>
    </row>
    <row r="966" customFormat="false" ht="15" hidden="false" customHeight="false" outlineLevel="0" collapsed="false">
      <c r="A966" s="7" t="s">
        <v>931</v>
      </c>
      <c r="B966" s="7" t="s">
        <v>96</v>
      </c>
      <c r="C966" s="7" t="s">
        <v>830</v>
      </c>
      <c r="D966" s="10" t="n">
        <v>0</v>
      </c>
      <c r="E966" s="10" t="n">
        <v>0</v>
      </c>
      <c r="F966" s="10" t="n">
        <v>77</v>
      </c>
      <c r="G966" s="10" t="n">
        <v>0</v>
      </c>
      <c r="H966" s="10" t="n">
        <v>0</v>
      </c>
      <c r="I966" s="10" t="n">
        <v>680</v>
      </c>
      <c r="J966" s="10" t="n">
        <v>0</v>
      </c>
      <c r="K966" s="10" t="n">
        <v>11</v>
      </c>
      <c r="L966" s="10" t="n">
        <v>0</v>
      </c>
      <c r="M966" s="10" t="n">
        <v>0</v>
      </c>
      <c r="N966" s="10" t="n">
        <v>0</v>
      </c>
      <c r="O966" s="10" t="n">
        <v>0</v>
      </c>
      <c r="P966" s="10" t="n">
        <v>-6</v>
      </c>
      <c r="Q966" s="10" t="n">
        <v>650</v>
      </c>
      <c r="R966" s="10" t="n">
        <v>25</v>
      </c>
      <c r="S966" s="10" t="n">
        <v>0</v>
      </c>
      <c r="T966" s="10" t="n">
        <v>0</v>
      </c>
      <c r="U966" s="10" t="n">
        <v>0</v>
      </c>
    </row>
    <row r="967" customFormat="false" ht="15" hidden="false" customHeight="false" outlineLevel="0" collapsed="false">
      <c r="A967" s="7" t="s">
        <v>931</v>
      </c>
      <c r="B967" s="7" t="s">
        <v>70</v>
      </c>
      <c r="C967" s="7" t="s">
        <v>831</v>
      </c>
      <c r="D967" s="10" t="n">
        <v>0</v>
      </c>
      <c r="E967" s="10" t="n">
        <v>0</v>
      </c>
      <c r="F967" s="10" t="n">
        <v>851</v>
      </c>
      <c r="G967" s="10" t="n">
        <v>0</v>
      </c>
      <c r="H967" s="10" t="n">
        <v>0</v>
      </c>
      <c r="I967" s="10" t="n">
        <v>1460</v>
      </c>
      <c r="J967" s="10" t="n">
        <v>0</v>
      </c>
      <c r="K967" s="10" t="n">
        <v>24</v>
      </c>
      <c r="L967" s="10" t="n">
        <v>0</v>
      </c>
      <c r="M967" s="10" t="n">
        <v>0</v>
      </c>
      <c r="N967" s="10" t="n">
        <v>0</v>
      </c>
      <c r="O967" s="10" t="n">
        <v>0</v>
      </c>
      <c r="P967" s="10" t="n">
        <v>0</v>
      </c>
      <c r="Q967" s="10" t="n">
        <v>1177</v>
      </c>
      <c r="R967" s="10" t="n">
        <v>259</v>
      </c>
      <c r="S967" s="10" t="n">
        <v>0</v>
      </c>
      <c r="T967" s="10" t="n">
        <v>0</v>
      </c>
      <c r="U967" s="10" t="n">
        <v>0</v>
      </c>
    </row>
    <row r="968" customFormat="false" ht="15" hidden="false" customHeight="false" outlineLevel="0" collapsed="false">
      <c r="A968" s="7" t="s">
        <v>931</v>
      </c>
      <c r="B968" s="7" t="s">
        <v>93</v>
      </c>
      <c r="C968" s="7" t="s">
        <v>831</v>
      </c>
      <c r="D968" s="10" t="n">
        <v>0</v>
      </c>
      <c r="E968" s="10" t="n">
        <v>0</v>
      </c>
      <c r="F968" s="10" t="n">
        <v>513</v>
      </c>
      <c r="G968" s="10" t="n">
        <v>0</v>
      </c>
      <c r="H968" s="10" t="n">
        <v>0</v>
      </c>
      <c r="I968" s="10" t="n">
        <v>2312</v>
      </c>
      <c r="J968" s="10" t="n">
        <v>0</v>
      </c>
      <c r="K968" s="10" t="n">
        <v>34</v>
      </c>
      <c r="L968" s="10" t="n">
        <v>0</v>
      </c>
      <c r="M968" s="10" t="n">
        <v>0</v>
      </c>
      <c r="N968" s="10" t="n">
        <v>0</v>
      </c>
      <c r="O968" s="10" t="n">
        <v>5</v>
      </c>
      <c r="P968" s="10" t="n">
        <v>-6</v>
      </c>
      <c r="Q968" s="10" t="n">
        <v>1822</v>
      </c>
      <c r="R968" s="10" t="n">
        <v>457</v>
      </c>
      <c r="S968" s="10" t="n">
        <v>0</v>
      </c>
      <c r="T968" s="10" t="n">
        <v>0</v>
      </c>
      <c r="U968" s="10" t="n">
        <v>0</v>
      </c>
    </row>
    <row r="969" customFormat="false" ht="15" hidden="false" customHeight="false" outlineLevel="0" collapsed="false">
      <c r="A969" s="7" t="s">
        <v>931</v>
      </c>
      <c r="B969" s="7" t="s">
        <v>92</v>
      </c>
      <c r="C969" s="7" t="s">
        <v>831</v>
      </c>
      <c r="D969" s="10" t="n">
        <v>0</v>
      </c>
      <c r="E969" s="10" t="n">
        <v>0</v>
      </c>
      <c r="F969" s="10" t="n">
        <v>180</v>
      </c>
      <c r="G969" s="10" t="n">
        <v>0</v>
      </c>
      <c r="H969" s="10" t="n">
        <v>0</v>
      </c>
      <c r="I969" s="10" t="n">
        <v>954</v>
      </c>
      <c r="J969" s="10" t="n">
        <v>0</v>
      </c>
      <c r="K969" s="10" t="n">
        <v>8</v>
      </c>
      <c r="L969" s="10" t="n">
        <v>0</v>
      </c>
      <c r="M969" s="10" t="n">
        <v>0</v>
      </c>
      <c r="N969" s="10" t="n">
        <v>0</v>
      </c>
      <c r="O969" s="10" t="n">
        <v>0</v>
      </c>
      <c r="P969" s="10" t="n">
        <v>0</v>
      </c>
      <c r="Q969" s="10" t="n">
        <v>820</v>
      </c>
      <c r="R969" s="10" t="n">
        <v>126</v>
      </c>
      <c r="S969" s="10" t="n">
        <v>0</v>
      </c>
      <c r="T969" s="10" t="n">
        <v>0</v>
      </c>
      <c r="U969" s="10" t="n">
        <v>0</v>
      </c>
    </row>
    <row r="970" customFormat="false" ht="15" hidden="false" customHeight="false" outlineLevel="0" collapsed="false">
      <c r="A970" s="7" t="s">
        <v>931</v>
      </c>
      <c r="B970" s="7" t="s">
        <v>129</v>
      </c>
      <c r="C970" s="7" t="s">
        <v>831</v>
      </c>
      <c r="D970" s="10" t="n">
        <v>0</v>
      </c>
      <c r="E970" s="10" t="n">
        <v>0</v>
      </c>
      <c r="F970" s="10" t="n">
        <v>186</v>
      </c>
      <c r="G970" s="10" t="n">
        <v>0</v>
      </c>
      <c r="H970" s="10" t="n">
        <v>0</v>
      </c>
      <c r="I970" s="10" t="n">
        <v>980</v>
      </c>
      <c r="J970" s="10" t="n">
        <v>0</v>
      </c>
      <c r="K970" s="10" t="n">
        <v>3</v>
      </c>
      <c r="L970" s="10" t="n">
        <v>0</v>
      </c>
      <c r="M970" s="10" t="n">
        <v>0</v>
      </c>
      <c r="N970" s="10" t="n">
        <v>6</v>
      </c>
      <c r="O970" s="10" t="n">
        <v>0</v>
      </c>
      <c r="P970" s="10" t="n">
        <v>-3</v>
      </c>
      <c r="Q970" s="10" t="n">
        <v>697</v>
      </c>
      <c r="R970" s="10" t="n">
        <v>277</v>
      </c>
      <c r="S970" s="10" t="n">
        <v>0</v>
      </c>
      <c r="T970" s="10" t="n">
        <v>0</v>
      </c>
      <c r="U970" s="10" t="n">
        <v>0</v>
      </c>
    </row>
    <row r="971" customFormat="false" ht="15" hidden="false" customHeight="false" outlineLevel="0" collapsed="false">
      <c r="A971" s="7" t="s">
        <v>931</v>
      </c>
      <c r="B971" s="7" t="s">
        <v>186</v>
      </c>
      <c r="C971" s="7" t="s">
        <v>832</v>
      </c>
      <c r="D971" s="10" t="n">
        <v>0</v>
      </c>
      <c r="E971" s="10" t="n">
        <v>0</v>
      </c>
      <c r="F971" s="10" t="n">
        <v>12</v>
      </c>
      <c r="G971" s="10" t="n">
        <v>0</v>
      </c>
      <c r="H971" s="10" t="n">
        <v>0</v>
      </c>
      <c r="I971" s="10" t="n">
        <v>2</v>
      </c>
      <c r="J971" s="10" t="n">
        <v>0</v>
      </c>
      <c r="K971" s="10" t="n">
        <v>0</v>
      </c>
      <c r="L971" s="10" t="n">
        <v>0</v>
      </c>
      <c r="M971" s="10" t="n">
        <v>0</v>
      </c>
      <c r="N971" s="10" t="n">
        <v>0</v>
      </c>
      <c r="O971" s="10" t="n">
        <v>0</v>
      </c>
      <c r="P971" s="10" t="n">
        <v>0</v>
      </c>
      <c r="Q971" s="10" t="n">
        <v>0</v>
      </c>
      <c r="R971" s="10" t="n">
        <v>2</v>
      </c>
      <c r="S971" s="10" t="n">
        <v>1</v>
      </c>
      <c r="T971" s="10" t="n">
        <v>0</v>
      </c>
      <c r="U971" s="10" t="n">
        <v>0</v>
      </c>
    </row>
    <row r="972" customFormat="false" ht="15" hidden="false" customHeight="false" outlineLevel="0" collapsed="false">
      <c r="A972" s="7" t="s">
        <v>931</v>
      </c>
      <c r="B972" s="7" t="s">
        <v>186</v>
      </c>
      <c r="C972" s="7" t="s">
        <v>833</v>
      </c>
      <c r="D972" s="10" t="n">
        <v>0</v>
      </c>
      <c r="E972" s="10" t="n">
        <v>0</v>
      </c>
      <c r="F972" s="10" t="n">
        <v>15</v>
      </c>
      <c r="G972" s="10" t="n">
        <v>0</v>
      </c>
      <c r="H972" s="10" t="n">
        <v>0</v>
      </c>
      <c r="I972" s="10" t="n">
        <v>18</v>
      </c>
      <c r="J972" s="10" t="n">
        <v>0</v>
      </c>
      <c r="K972" s="10" t="n">
        <v>0</v>
      </c>
      <c r="L972" s="10" t="n">
        <v>0</v>
      </c>
      <c r="M972" s="10" t="n">
        <v>0</v>
      </c>
      <c r="N972" s="10" t="n">
        <v>0</v>
      </c>
      <c r="O972" s="10" t="n">
        <v>0</v>
      </c>
      <c r="P972" s="10" t="n">
        <v>0</v>
      </c>
      <c r="Q972" s="10" t="n">
        <v>8</v>
      </c>
      <c r="R972" s="10" t="n">
        <v>10</v>
      </c>
      <c r="S972" s="10" t="n">
        <v>0</v>
      </c>
      <c r="T972" s="10" t="n">
        <v>0</v>
      </c>
      <c r="U972" s="10" t="n">
        <v>0</v>
      </c>
    </row>
    <row r="973" customFormat="false" ht="15" hidden="false" customHeight="false" outlineLevel="0" collapsed="false">
      <c r="A973" s="7" t="s">
        <v>931</v>
      </c>
      <c r="B973" s="7" t="s">
        <v>186</v>
      </c>
      <c r="C973" s="7" t="s">
        <v>834</v>
      </c>
      <c r="D973" s="10" t="n">
        <v>0</v>
      </c>
      <c r="E973" s="10" t="n">
        <v>0</v>
      </c>
      <c r="F973" s="10" t="n">
        <v>19</v>
      </c>
      <c r="G973" s="10" t="n">
        <v>0</v>
      </c>
      <c r="H973" s="10" t="n">
        <v>0</v>
      </c>
      <c r="I973" s="10" t="n">
        <v>19</v>
      </c>
      <c r="J973" s="10" t="n">
        <v>0</v>
      </c>
      <c r="K973" s="10" t="n">
        <v>0</v>
      </c>
      <c r="L973" s="10" t="n">
        <v>0</v>
      </c>
      <c r="M973" s="10" t="n">
        <v>0</v>
      </c>
      <c r="N973" s="10" t="n">
        <v>0</v>
      </c>
      <c r="O973" s="10" t="n">
        <v>0</v>
      </c>
      <c r="P973" s="10" t="n">
        <v>0</v>
      </c>
      <c r="Q973" s="10" t="n">
        <v>11</v>
      </c>
      <c r="R973" s="10" t="n">
        <v>8</v>
      </c>
      <c r="S973" s="10" t="n">
        <v>0</v>
      </c>
      <c r="T973" s="10" t="n">
        <v>0</v>
      </c>
      <c r="U973" s="10" t="n">
        <v>0</v>
      </c>
    </row>
    <row r="974" customFormat="false" ht="15" hidden="false" customHeight="false" outlineLevel="0" collapsed="false">
      <c r="A974" s="7" t="s">
        <v>931</v>
      </c>
      <c r="B974" s="7" t="s">
        <v>186</v>
      </c>
      <c r="C974" s="7" t="s">
        <v>835</v>
      </c>
      <c r="D974" s="10" t="n">
        <v>0</v>
      </c>
      <c r="E974" s="10" t="n">
        <v>0</v>
      </c>
      <c r="F974" s="10" t="n">
        <v>9</v>
      </c>
      <c r="G974" s="10" t="n">
        <v>0</v>
      </c>
      <c r="H974" s="10" t="n">
        <v>0</v>
      </c>
      <c r="I974" s="10" t="n">
        <v>11</v>
      </c>
      <c r="J974" s="10" t="n">
        <v>0</v>
      </c>
      <c r="K974" s="10" t="n">
        <v>0</v>
      </c>
      <c r="L974" s="10" t="n">
        <v>0</v>
      </c>
      <c r="M974" s="10" t="n">
        <v>0</v>
      </c>
      <c r="N974" s="10" t="n">
        <v>0</v>
      </c>
      <c r="O974" s="10" t="n">
        <v>0</v>
      </c>
      <c r="P974" s="10" t="n">
        <v>0</v>
      </c>
      <c r="Q974" s="10" t="n">
        <v>7</v>
      </c>
      <c r="R974" s="10" t="n">
        <v>4</v>
      </c>
      <c r="S974" s="10" t="n">
        <v>1</v>
      </c>
      <c r="T974" s="10" t="n">
        <v>0</v>
      </c>
      <c r="U974" s="10" t="n">
        <v>0</v>
      </c>
    </row>
    <row r="975" customFormat="false" ht="15" hidden="false" customHeight="false" outlineLevel="0" collapsed="false">
      <c r="A975" s="7" t="s">
        <v>931</v>
      </c>
      <c r="B975" s="7" t="s">
        <v>166</v>
      </c>
      <c r="C975" s="7" t="s">
        <v>836</v>
      </c>
      <c r="D975" s="10" t="n">
        <v>0</v>
      </c>
      <c r="E975" s="10" t="n">
        <v>0</v>
      </c>
      <c r="F975" s="10" t="n">
        <v>3</v>
      </c>
      <c r="G975" s="10" t="n">
        <v>0</v>
      </c>
      <c r="H975" s="10" t="n">
        <v>0</v>
      </c>
      <c r="I975" s="10" t="n">
        <v>3</v>
      </c>
      <c r="J975" s="10" t="n">
        <v>0</v>
      </c>
      <c r="K975" s="10" t="n">
        <v>0</v>
      </c>
      <c r="L975" s="10" t="n">
        <v>0</v>
      </c>
      <c r="M975" s="10" t="n">
        <v>0</v>
      </c>
      <c r="N975" s="10" t="n">
        <v>0</v>
      </c>
      <c r="O975" s="10" t="n">
        <v>0</v>
      </c>
      <c r="P975" s="10" t="n">
        <v>0</v>
      </c>
      <c r="Q975" s="10" t="n">
        <v>3</v>
      </c>
      <c r="R975" s="10" t="n">
        <v>0</v>
      </c>
      <c r="S975" s="10" t="n">
        <v>0</v>
      </c>
      <c r="T975" s="10" t="n">
        <v>0</v>
      </c>
      <c r="U975" s="10" t="n">
        <v>0</v>
      </c>
    </row>
    <row r="976" customFormat="false" ht="15" hidden="false" customHeight="false" outlineLevel="0" collapsed="false">
      <c r="A976" s="7" t="s">
        <v>931</v>
      </c>
      <c r="B976" s="7" t="s">
        <v>166</v>
      </c>
      <c r="C976" s="7" t="s">
        <v>837</v>
      </c>
      <c r="D976" s="10" t="n">
        <v>0</v>
      </c>
      <c r="E976" s="10" t="n">
        <v>0</v>
      </c>
      <c r="F976" s="10" t="n">
        <v>7</v>
      </c>
      <c r="G976" s="10" t="n">
        <v>0</v>
      </c>
      <c r="H976" s="10" t="n">
        <v>0</v>
      </c>
      <c r="I976" s="10" t="n">
        <v>10</v>
      </c>
      <c r="J976" s="10" t="n">
        <v>0</v>
      </c>
      <c r="K976" s="10" t="n">
        <v>0</v>
      </c>
      <c r="L976" s="10" t="n">
        <v>0</v>
      </c>
      <c r="M976" s="10" t="n">
        <v>0</v>
      </c>
      <c r="N976" s="10" t="n">
        <v>0</v>
      </c>
      <c r="O976" s="10" t="n">
        <v>0</v>
      </c>
      <c r="P976" s="10" t="n">
        <v>0</v>
      </c>
      <c r="Q976" s="10" t="n">
        <v>9</v>
      </c>
      <c r="R976" s="10" t="n">
        <v>1</v>
      </c>
      <c r="S976" s="10" t="n">
        <v>0</v>
      </c>
      <c r="T976" s="10" t="n">
        <v>0</v>
      </c>
      <c r="U976" s="10" t="n">
        <v>0</v>
      </c>
    </row>
    <row r="977" customFormat="false" ht="15" hidden="false" customHeight="false" outlineLevel="0" collapsed="false">
      <c r="A977" s="7" t="s">
        <v>931</v>
      </c>
      <c r="B977" s="7" t="s">
        <v>166</v>
      </c>
      <c r="C977" s="7" t="s">
        <v>838</v>
      </c>
      <c r="D977" s="10" t="n">
        <v>0</v>
      </c>
      <c r="E977" s="10" t="n">
        <v>0</v>
      </c>
      <c r="F977" s="10" t="n">
        <v>7</v>
      </c>
      <c r="G977" s="10" t="n">
        <v>0</v>
      </c>
      <c r="H977" s="10" t="n">
        <v>0</v>
      </c>
      <c r="I977" s="10" t="n">
        <v>13</v>
      </c>
      <c r="J977" s="10" t="n">
        <v>0</v>
      </c>
      <c r="K977" s="10" t="n">
        <v>0</v>
      </c>
      <c r="L977" s="10" t="n">
        <v>0</v>
      </c>
      <c r="M977" s="10" t="n">
        <v>0</v>
      </c>
      <c r="N977" s="10" t="n">
        <v>0</v>
      </c>
      <c r="O977" s="10" t="n">
        <v>0</v>
      </c>
      <c r="P977" s="10" t="n">
        <v>0</v>
      </c>
      <c r="Q977" s="10" t="n">
        <v>11</v>
      </c>
      <c r="R977" s="10" t="n">
        <v>2</v>
      </c>
      <c r="S977" s="10" t="n">
        <v>0</v>
      </c>
      <c r="T977" s="10" t="n">
        <v>0</v>
      </c>
      <c r="U977" s="10" t="n">
        <v>0</v>
      </c>
    </row>
    <row r="978" customFormat="false" ht="15" hidden="false" customHeight="false" outlineLevel="0" collapsed="false">
      <c r="A978" s="7" t="s">
        <v>931</v>
      </c>
      <c r="B978" s="7" t="s">
        <v>166</v>
      </c>
      <c r="C978" s="7" t="s">
        <v>839</v>
      </c>
      <c r="D978" s="10" t="n">
        <v>0</v>
      </c>
      <c r="E978" s="10" t="n">
        <v>0</v>
      </c>
      <c r="F978" s="10" t="n">
        <v>3</v>
      </c>
      <c r="G978" s="10" t="n">
        <v>0</v>
      </c>
      <c r="H978" s="10" t="n">
        <v>0</v>
      </c>
      <c r="I978" s="10" t="n">
        <v>19</v>
      </c>
      <c r="J978" s="10" t="n">
        <v>0</v>
      </c>
      <c r="K978" s="10" t="n">
        <v>2</v>
      </c>
      <c r="L978" s="10" t="n">
        <v>0</v>
      </c>
      <c r="M978" s="10" t="n">
        <v>0</v>
      </c>
      <c r="N978" s="10" t="n">
        <v>0</v>
      </c>
      <c r="O978" s="10" t="n">
        <v>0</v>
      </c>
      <c r="P978" s="10" t="n">
        <v>0</v>
      </c>
      <c r="Q978" s="10" t="n">
        <v>16</v>
      </c>
      <c r="R978" s="10" t="n">
        <v>1</v>
      </c>
      <c r="S978" s="10" t="n">
        <v>0</v>
      </c>
      <c r="T978" s="10" t="n">
        <v>0</v>
      </c>
      <c r="U978" s="10" t="n">
        <v>0</v>
      </c>
    </row>
    <row r="979" customFormat="false" ht="15" hidden="false" customHeight="false" outlineLevel="0" collapsed="false">
      <c r="A979" s="7" t="s">
        <v>931</v>
      </c>
      <c r="B979" s="7" t="s">
        <v>159</v>
      </c>
      <c r="C979" s="7" t="s">
        <v>659</v>
      </c>
      <c r="D979" s="10" t="n">
        <v>0</v>
      </c>
      <c r="E979" s="10" t="n">
        <v>0</v>
      </c>
      <c r="F979" s="10" t="n">
        <v>4</v>
      </c>
      <c r="G979" s="10" t="n">
        <v>0</v>
      </c>
      <c r="H979" s="10" t="n">
        <v>0</v>
      </c>
      <c r="I979" s="10" t="n">
        <v>0</v>
      </c>
      <c r="J979" s="10" t="n">
        <v>0</v>
      </c>
      <c r="K979" s="10" t="n">
        <v>0</v>
      </c>
      <c r="L979" s="10" t="n">
        <v>0</v>
      </c>
      <c r="M979" s="10" t="n">
        <v>0</v>
      </c>
      <c r="N979" s="10" t="n">
        <v>0</v>
      </c>
      <c r="O979" s="10" t="n">
        <v>0</v>
      </c>
      <c r="P979" s="10" t="n">
        <v>0</v>
      </c>
      <c r="Q979" s="10" t="n">
        <v>0</v>
      </c>
      <c r="R979" s="10" t="n">
        <v>0</v>
      </c>
      <c r="S979" s="10" t="n">
        <v>0</v>
      </c>
      <c r="T979" s="10" t="n">
        <v>0</v>
      </c>
      <c r="U979" s="10" t="n">
        <v>0</v>
      </c>
    </row>
    <row r="980" customFormat="false" ht="15" hidden="false" customHeight="false" outlineLevel="0" collapsed="false">
      <c r="A980" s="7" t="s">
        <v>931</v>
      </c>
      <c r="B980" s="7" t="s">
        <v>159</v>
      </c>
      <c r="C980" s="7" t="s">
        <v>658</v>
      </c>
      <c r="D980" s="10" t="n">
        <v>0</v>
      </c>
      <c r="E980" s="10" t="n">
        <v>0</v>
      </c>
      <c r="F980" s="10" t="n">
        <v>5</v>
      </c>
      <c r="G980" s="10" t="n">
        <v>0</v>
      </c>
      <c r="H980" s="10" t="n">
        <v>0</v>
      </c>
      <c r="I980" s="10" t="n">
        <v>20</v>
      </c>
      <c r="J980" s="10" t="n">
        <v>0</v>
      </c>
      <c r="K980" s="10" t="n">
        <v>4</v>
      </c>
      <c r="L980" s="10" t="n">
        <v>0</v>
      </c>
      <c r="M980" s="10" t="n">
        <v>0</v>
      </c>
      <c r="N980" s="10" t="n">
        <v>0</v>
      </c>
      <c r="O980" s="10" t="n">
        <v>0</v>
      </c>
      <c r="P980" s="10" t="n">
        <v>-1</v>
      </c>
      <c r="Q980" s="10" t="n">
        <v>12</v>
      </c>
      <c r="R980" s="10" t="n">
        <v>5</v>
      </c>
      <c r="S980" s="10" t="n">
        <v>0</v>
      </c>
      <c r="T980" s="10" t="n">
        <v>0</v>
      </c>
      <c r="U980" s="10" t="n">
        <v>0</v>
      </c>
    </row>
    <row r="981" customFormat="false" ht="15" hidden="false" customHeight="false" outlineLevel="0" collapsed="false">
      <c r="A981" s="7" t="s">
        <v>931</v>
      </c>
      <c r="B981" s="7" t="s">
        <v>159</v>
      </c>
      <c r="C981" s="7" t="s">
        <v>660</v>
      </c>
      <c r="D981" s="10" t="n">
        <v>0</v>
      </c>
      <c r="E981" s="10" t="n">
        <v>0</v>
      </c>
      <c r="F981" s="10" t="n">
        <v>4</v>
      </c>
      <c r="G981" s="10" t="n">
        <v>0</v>
      </c>
      <c r="H981" s="10" t="n">
        <v>0</v>
      </c>
      <c r="I981" s="10" t="n">
        <v>21</v>
      </c>
      <c r="J981" s="10" t="n">
        <v>0</v>
      </c>
      <c r="K981" s="10" t="n">
        <v>5</v>
      </c>
      <c r="L981" s="10" t="n">
        <v>0</v>
      </c>
      <c r="M981" s="10" t="n">
        <v>0</v>
      </c>
      <c r="N981" s="10" t="n">
        <v>0</v>
      </c>
      <c r="O981" s="10" t="n">
        <v>0</v>
      </c>
      <c r="P981" s="10" t="n">
        <v>-1</v>
      </c>
      <c r="Q981" s="10" t="n">
        <v>8</v>
      </c>
      <c r="R981" s="10" t="n">
        <v>9</v>
      </c>
      <c r="S981" s="10" t="n">
        <v>0</v>
      </c>
      <c r="T981" s="10" t="n">
        <v>0</v>
      </c>
      <c r="U981" s="10" t="n">
        <v>0</v>
      </c>
    </row>
    <row r="982" customFormat="false" ht="15" hidden="false" customHeight="false" outlineLevel="0" collapsed="false">
      <c r="A982" s="7" t="s">
        <v>931</v>
      </c>
      <c r="B982" s="7" t="s">
        <v>159</v>
      </c>
      <c r="C982" s="7" t="s">
        <v>657</v>
      </c>
      <c r="D982" s="10" t="n">
        <v>0</v>
      </c>
      <c r="E982" s="10" t="n">
        <v>0</v>
      </c>
      <c r="F982" s="10" t="n">
        <v>4</v>
      </c>
      <c r="G982" s="10" t="n">
        <v>0</v>
      </c>
      <c r="H982" s="10" t="n">
        <v>0</v>
      </c>
      <c r="I982" s="10" t="n">
        <v>6</v>
      </c>
      <c r="J982" s="10" t="n">
        <v>0</v>
      </c>
      <c r="K982" s="10" t="n">
        <v>0</v>
      </c>
      <c r="L982" s="10" t="n">
        <v>0</v>
      </c>
      <c r="M982" s="10" t="n">
        <v>0</v>
      </c>
      <c r="N982" s="10" t="n">
        <v>0</v>
      </c>
      <c r="O982" s="10" t="n">
        <v>0</v>
      </c>
      <c r="P982" s="10" t="n">
        <v>0</v>
      </c>
      <c r="Q982" s="10" t="n">
        <v>6</v>
      </c>
      <c r="R982" s="10" t="n">
        <v>0</v>
      </c>
      <c r="S982" s="10" t="n">
        <v>0</v>
      </c>
      <c r="T982" s="10" t="n">
        <v>0</v>
      </c>
      <c r="U982" s="10" t="n">
        <v>0</v>
      </c>
    </row>
    <row r="983" customFormat="false" ht="15" hidden="false" customHeight="false" outlineLevel="0" collapsed="false">
      <c r="A983" s="7" t="s">
        <v>931</v>
      </c>
      <c r="B983" s="7" t="s">
        <v>159</v>
      </c>
      <c r="C983" s="7" t="s">
        <v>840</v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>
        <v>2</v>
      </c>
      <c r="J983" s="10" t="n">
        <v>0</v>
      </c>
      <c r="K983" s="10" t="n">
        <v>0</v>
      </c>
      <c r="L983" s="10" t="n">
        <v>0</v>
      </c>
      <c r="M983" s="10" t="n">
        <v>0</v>
      </c>
      <c r="N983" s="10" t="n">
        <v>0</v>
      </c>
      <c r="O983" s="10" t="n">
        <v>0</v>
      </c>
      <c r="P983" s="10" t="n">
        <v>0</v>
      </c>
      <c r="Q983" s="10" t="n">
        <v>0</v>
      </c>
      <c r="R983" s="10" t="n">
        <v>2</v>
      </c>
      <c r="S983" s="10" t="n">
        <v>0</v>
      </c>
      <c r="T983" s="10" t="n">
        <v>0</v>
      </c>
      <c r="U983" s="10" t="n">
        <v>0</v>
      </c>
    </row>
    <row r="984" customFormat="false" ht="15" hidden="false" customHeight="false" outlineLevel="0" collapsed="false">
      <c r="A984" s="7" t="s">
        <v>931</v>
      </c>
      <c r="B984" s="7" t="s">
        <v>150</v>
      </c>
      <c r="C984" s="7" t="s">
        <v>841</v>
      </c>
      <c r="D984" s="10" t="n">
        <v>0</v>
      </c>
      <c r="E984" s="10" t="n">
        <v>0</v>
      </c>
      <c r="F984" s="10" t="n">
        <v>1</v>
      </c>
      <c r="G984" s="10" t="n">
        <v>0</v>
      </c>
      <c r="H984" s="10" t="n">
        <v>0</v>
      </c>
      <c r="I984" s="10" t="n">
        <v>0</v>
      </c>
      <c r="J984" s="10" t="n">
        <v>0</v>
      </c>
      <c r="K984" s="10" t="n">
        <v>0</v>
      </c>
      <c r="L984" s="10" t="n">
        <v>0</v>
      </c>
      <c r="M984" s="10" t="n">
        <v>0</v>
      </c>
      <c r="N984" s="10" t="n">
        <v>0</v>
      </c>
      <c r="O984" s="10" t="n">
        <v>0</v>
      </c>
      <c r="P984" s="10" t="n">
        <v>0</v>
      </c>
      <c r="Q984" s="10" t="n">
        <v>0</v>
      </c>
      <c r="R984" s="10" t="n">
        <v>0</v>
      </c>
      <c r="S984" s="10" t="n">
        <v>0</v>
      </c>
      <c r="T984" s="10" t="n">
        <v>0</v>
      </c>
      <c r="U984" s="10" t="n">
        <v>0</v>
      </c>
    </row>
    <row r="985" customFormat="false" ht="15" hidden="false" customHeight="false" outlineLevel="0" collapsed="false">
      <c r="A985" s="7" t="s">
        <v>931</v>
      </c>
      <c r="B985" s="7" t="s">
        <v>150</v>
      </c>
      <c r="C985" s="7" t="s">
        <v>842</v>
      </c>
      <c r="D985" s="10" t="n">
        <v>0</v>
      </c>
      <c r="E985" s="10" t="n">
        <v>0</v>
      </c>
      <c r="F985" s="10" t="n">
        <v>3</v>
      </c>
      <c r="G985" s="10" t="n">
        <v>0</v>
      </c>
      <c r="H985" s="10" t="n">
        <v>0</v>
      </c>
      <c r="I985" s="10" t="n">
        <v>14</v>
      </c>
      <c r="J985" s="10" t="n">
        <v>0</v>
      </c>
      <c r="K985" s="10" t="n">
        <v>0</v>
      </c>
      <c r="L985" s="10" t="n">
        <v>0</v>
      </c>
      <c r="M985" s="10" t="n">
        <v>0</v>
      </c>
      <c r="N985" s="10" t="n">
        <v>0</v>
      </c>
      <c r="O985" s="10" t="n">
        <v>0</v>
      </c>
      <c r="P985" s="10" t="n">
        <v>0</v>
      </c>
      <c r="Q985" s="10" t="n">
        <v>6</v>
      </c>
      <c r="R985" s="10" t="n">
        <v>8</v>
      </c>
      <c r="S985" s="10" t="n">
        <v>0</v>
      </c>
      <c r="T985" s="10" t="n">
        <v>0</v>
      </c>
      <c r="U985" s="10" t="n">
        <v>0</v>
      </c>
    </row>
    <row r="986" customFormat="false" ht="15" hidden="false" customHeight="false" outlineLevel="0" collapsed="false">
      <c r="A986" s="7" t="s">
        <v>931</v>
      </c>
      <c r="B986" s="7" t="s">
        <v>150</v>
      </c>
      <c r="C986" s="7" t="s">
        <v>843</v>
      </c>
      <c r="D986" s="10" t="n">
        <v>0</v>
      </c>
      <c r="E986" s="10" t="n">
        <v>0</v>
      </c>
      <c r="F986" s="10" t="n">
        <v>3</v>
      </c>
      <c r="G986" s="10" t="n">
        <v>0</v>
      </c>
      <c r="H986" s="10" t="n">
        <v>0</v>
      </c>
      <c r="I986" s="10" t="n">
        <v>29</v>
      </c>
      <c r="J986" s="10" t="n">
        <v>0</v>
      </c>
      <c r="K986" s="10" t="n">
        <v>0</v>
      </c>
      <c r="L986" s="10" t="n">
        <v>0</v>
      </c>
      <c r="M986" s="10" t="n">
        <v>0</v>
      </c>
      <c r="N986" s="10" t="n">
        <v>0</v>
      </c>
      <c r="O986" s="10" t="n">
        <v>0</v>
      </c>
      <c r="P986" s="10" t="n">
        <v>0</v>
      </c>
      <c r="Q986" s="10" t="n">
        <v>18</v>
      </c>
      <c r="R986" s="10" t="n">
        <v>11</v>
      </c>
      <c r="S986" s="10" t="n">
        <v>0</v>
      </c>
      <c r="T986" s="10" t="n">
        <v>0</v>
      </c>
      <c r="U986" s="10" t="n">
        <v>0</v>
      </c>
    </row>
    <row r="987" customFormat="false" ht="15" hidden="false" customHeight="false" outlineLevel="0" collapsed="false">
      <c r="A987" s="7" t="s">
        <v>931</v>
      </c>
      <c r="B987" s="7" t="s">
        <v>150</v>
      </c>
      <c r="C987" s="7" t="s">
        <v>844</v>
      </c>
      <c r="D987" s="10" t="n">
        <v>0</v>
      </c>
      <c r="E987" s="10" t="n">
        <v>0</v>
      </c>
      <c r="F987" s="10" t="n">
        <v>1</v>
      </c>
      <c r="G987" s="10" t="n">
        <v>0</v>
      </c>
      <c r="H987" s="10" t="n">
        <v>0</v>
      </c>
      <c r="I987" s="10" t="n">
        <v>6</v>
      </c>
      <c r="J987" s="10" t="n">
        <v>0</v>
      </c>
      <c r="K987" s="10" t="n">
        <v>0</v>
      </c>
      <c r="L987" s="10" t="n">
        <v>0</v>
      </c>
      <c r="M987" s="10" t="n">
        <v>0</v>
      </c>
      <c r="N987" s="10" t="n">
        <v>0</v>
      </c>
      <c r="O987" s="10" t="n">
        <v>0</v>
      </c>
      <c r="P987" s="10" t="n">
        <v>0</v>
      </c>
      <c r="Q987" s="10" t="n">
        <v>0</v>
      </c>
      <c r="R987" s="10" t="n">
        <v>6</v>
      </c>
      <c r="S987" s="10" t="n">
        <v>0</v>
      </c>
      <c r="T987" s="10" t="n">
        <v>0</v>
      </c>
      <c r="U987" s="10" t="n">
        <v>0</v>
      </c>
    </row>
    <row r="988" customFormat="false" ht="15" hidden="false" customHeight="false" outlineLevel="0" collapsed="false">
      <c r="A988" s="7" t="s">
        <v>931</v>
      </c>
      <c r="B988" s="7" t="s">
        <v>165</v>
      </c>
      <c r="C988" s="7" t="s">
        <v>845</v>
      </c>
      <c r="D988" s="10" t="n">
        <v>0</v>
      </c>
      <c r="E988" s="10" t="n">
        <v>0</v>
      </c>
      <c r="F988" s="10" t="n">
        <v>4</v>
      </c>
      <c r="G988" s="10" t="n">
        <v>0</v>
      </c>
      <c r="H988" s="10" t="n">
        <v>0</v>
      </c>
      <c r="I988" s="10" t="n">
        <v>0</v>
      </c>
      <c r="J988" s="10" t="n">
        <v>0</v>
      </c>
      <c r="K988" s="10" t="n">
        <v>0</v>
      </c>
      <c r="L988" s="10" t="n">
        <v>0</v>
      </c>
      <c r="M988" s="10" t="n">
        <v>0</v>
      </c>
      <c r="N988" s="10" t="n">
        <v>0</v>
      </c>
      <c r="O988" s="10" t="n">
        <v>0</v>
      </c>
      <c r="P988" s="10" t="n">
        <v>0</v>
      </c>
      <c r="Q988" s="10" t="n">
        <v>0</v>
      </c>
      <c r="R988" s="10" t="n">
        <v>0</v>
      </c>
      <c r="S988" s="10" t="n">
        <v>0</v>
      </c>
      <c r="T988" s="10" t="n">
        <v>0</v>
      </c>
      <c r="U988" s="10" t="n">
        <v>0</v>
      </c>
    </row>
    <row r="989" customFormat="false" ht="15" hidden="false" customHeight="false" outlineLevel="0" collapsed="false">
      <c r="A989" s="7" t="s">
        <v>931</v>
      </c>
      <c r="B989" s="7" t="s">
        <v>165</v>
      </c>
      <c r="C989" s="7" t="s">
        <v>846</v>
      </c>
      <c r="D989" s="10" t="n">
        <v>0</v>
      </c>
      <c r="E989" s="10" t="n">
        <v>0</v>
      </c>
      <c r="F989" s="10" t="n">
        <v>10</v>
      </c>
      <c r="G989" s="10" t="n">
        <v>0</v>
      </c>
      <c r="H989" s="10" t="n">
        <v>0</v>
      </c>
      <c r="I989" s="10" t="n">
        <v>28</v>
      </c>
      <c r="J989" s="10" t="n">
        <v>0</v>
      </c>
      <c r="K989" s="10" t="n">
        <v>5</v>
      </c>
      <c r="L989" s="10" t="n">
        <v>0</v>
      </c>
      <c r="M989" s="10" t="n">
        <v>0</v>
      </c>
      <c r="N989" s="10" t="n">
        <v>0</v>
      </c>
      <c r="O989" s="10" t="n">
        <v>0</v>
      </c>
      <c r="P989" s="10" t="n">
        <v>0</v>
      </c>
      <c r="Q989" s="10" t="n">
        <v>19</v>
      </c>
      <c r="R989" s="10" t="n">
        <v>4</v>
      </c>
      <c r="S989" s="10" t="n">
        <v>0</v>
      </c>
      <c r="T989" s="10" t="n">
        <v>0</v>
      </c>
      <c r="U989" s="10" t="n">
        <v>0</v>
      </c>
    </row>
    <row r="990" customFormat="false" ht="15" hidden="false" customHeight="false" outlineLevel="0" collapsed="false">
      <c r="A990" s="7" t="s">
        <v>931</v>
      </c>
      <c r="B990" s="7" t="s">
        <v>165</v>
      </c>
      <c r="C990" s="7" t="s">
        <v>847</v>
      </c>
      <c r="D990" s="10" t="n">
        <v>0</v>
      </c>
      <c r="E990" s="10" t="n">
        <v>0</v>
      </c>
      <c r="F990" s="10" t="n">
        <v>4</v>
      </c>
      <c r="G990" s="10" t="n">
        <v>0</v>
      </c>
      <c r="H990" s="10" t="n">
        <v>0</v>
      </c>
      <c r="I990" s="10" t="n">
        <v>15</v>
      </c>
      <c r="J990" s="10" t="n">
        <v>0</v>
      </c>
      <c r="K990" s="10" t="n">
        <v>0</v>
      </c>
      <c r="L990" s="10" t="n">
        <v>0</v>
      </c>
      <c r="M990" s="10" t="n">
        <v>0</v>
      </c>
      <c r="N990" s="10" t="n">
        <v>0</v>
      </c>
      <c r="O990" s="10" t="n">
        <v>0</v>
      </c>
      <c r="P990" s="10" t="n">
        <v>0</v>
      </c>
      <c r="Q990" s="10" t="n">
        <v>11</v>
      </c>
      <c r="R990" s="10" t="n">
        <v>4</v>
      </c>
      <c r="S990" s="10" t="n">
        <v>0</v>
      </c>
      <c r="T990" s="10" t="n">
        <v>0</v>
      </c>
      <c r="U990" s="10" t="n">
        <v>0</v>
      </c>
    </row>
    <row r="991" customFormat="false" ht="15" hidden="false" customHeight="false" outlineLevel="0" collapsed="false">
      <c r="A991" s="7" t="s">
        <v>931</v>
      </c>
      <c r="B991" s="7" t="s">
        <v>165</v>
      </c>
      <c r="C991" s="7" t="s">
        <v>848</v>
      </c>
      <c r="D991" s="10" t="n">
        <v>0</v>
      </c>
      <c r="E991" s="10" t="n">
        <v>0</v>
      </c>
      <c r="F991" s="10" t="n">
        <v>4</v>
      </c>
      <c r="G991" s="10" t="n">
        <v>0</v>
      </c>
      <c r="H991" s="10" t="n">
        <v>0</v>
      </c>
      <c r="I991" s="10" t="n">
        <v>17</v>
      </c>
      <c r="J991" s="10" t="n">
        <v>0</v>
      </c>
      <c r="K991" s="10" t="n">
        <v>2</v>
      </c>
      <c r="L991" s="10" t="n">
        <v>0</v>
      </c>
      <c r="M991" s="10" t="n">
        <v>0</v>
      </c>
      <c r="N991" s="10" t="n">
        <v>0</v>
      </c>
      <c r="O991" s="10" t="n">
        <v>0</v>
      </c>
      <c r="P991" s="10" t="n">
        <v>0</v>
      </c>
      <c r="Q991" s="10" t="n">
        <v>11</v>
      </c>
      <c r="R991" s="10" t="n">
        <v>4</v>
      </c>
      <c r="S991" s="10" t="n">
        <v>0</v>
      </c>
      <c r="T991" s="10" t="n">
        <v>0</v>
      </c>
      <c r="U991" s="10" t="n">
        <v>0</v>
      </c>
    </row>
    <row r="992" customFormat="false" ht="15" hidden="false" customHeight="false" outlineLevel="0" collapsed="false">
      <c r="A992" s="7" t="s">
        <v>931</v>
      </c>
      <c r="B992" s="7" t="s">
        <v>180</v>
      </c>
      <c r="C992" s="7" t="s">
        <v>850</v>
      </c>
      <c r="D992" s="10" t="n">
        <v>0</v>
      </c>
      <c r="E992" s="10" t="n">
        <v>0</v>
      </c>
      <c r="F992" s="10" t="n">
        <v>6</v>
      </c>
      <c r="G992" s="10" t="n">
        <v>0</v>
      </c>
      <c r="H992" s="10" t="n">
        <v>0</v>
      </c>
      <c r="I992" s="10" t="n">
        <v>11</v>
      </c>
      <c r="J992" s="10" t="n">
        <v>0</v>
      </c>
      <c r="K992" s="10" t="n">
        <v>0</v>
      </c>
      <c r="L992" s="10" t="n">
        <v>0</v>
      </c>
      <c r="M992" s="10" t="n">
        <v>0</v>
      </c>
      <c r="N992" s="10" t="n">
        <v>0</v>
      </c>
      <c r="O992" s="10" t="n">
        <v>0</v>
      </c>
      <c r="P992" s="10" t="n">
        <v>0</v>
      </c>
      <c r="Q992" s="10" t="n">
        <v>11</v>
      </c>
      <c r="R992" s="10" t="n">
        <v>0</v>
      </c>
      <c r="S992" s="10" t="n">
        <v>0</v>
      </c>
      <c r="T992" s="10" t="n">
        <v>0</v>
      </c>
      <c r="U992" s="10" t="n">
        <v>0</v>
      </c>
    </row>
    <row r="993" customFormat="false" ht="15" hidden="false" customHeight="false" outlineLevel="0" collapsed="false">
      <c r="A993" s="7" t="s">
        <v>931</v>
      </c>
      <c r="B993" s="7" t="s">
        <v>180</v>
      </c>
      <c r="C993" s="7" t="s">
        <v>851</v>
      </c>
      <c r="D993" s="10" t="n">
        <v>0</v>
      </c>
      <c r="E993" s="10" t="n">
        <v>0</v>
      </c>
      <c r="F993" s="10" t="n">
        <v>20</v>
      </c>
      <c r="G993" s="10" t="n">
        <v>0</v>
      </c>
      <c r="H993" s="10" t="n">
        <v>0</v>
      </c>
      <c r="I993" s="10" t="n">
        <v>38</v>
      </c>
      <c r="J993" s="10" t="n">
        <v>0</v>
      </c>
      <c r="K993" s="10" t="n">
        <v>7</v>
      </c>
      <c r="L993" s="10" t="n">
        <v>0</v>
      </c>
      <c r="M993" s="10" t="n">
        <v>0</v>
      </c>
      <c r="N993" s="10" t="n">
        <v>0</v>
      </c>
      <c r="O993" s="10" t="n">
        <v>0</v>
      </c>
      <c r="P993" s="10" t="n">
        <v>0</v>
      </c>
      <c r="Q993" s="10" t="n">
        <v>20</v>
      </c>
      <c r="R993" s="10" t="n">
        <v>11</v>
      </c>
      <c r="S993" s="10" t="n">
        <v>0</v>
      </c>
      <c r="T993" s="10" t="n">
        <v>0</v>
      </c>
      <c r="U993" s="10" t="n">
        <v>0</v>
      </c>
    </row>
    <row r="994" customFormat="false" ht="15" hidden="false" customHeight="false" outlineLevel="0" collapsed="false">
      <c r="A994" s="7" t="s">
        <v>931</v>
      </c>
      <c r="B994" s="7" t="s">
        <v>180</v>
      </c>
      <c r="C994" s="7" t="s">
        <v>852</v>
      </c>
      <c r="D994" s="10" t="n">
        <v>0</v>
      </c>
      <c r="E994" s="10" t="n">
        <v>0</v>
      </c>
      <c r="F994" s="10" t="n">
        <v>23</v>
      </c>
      <c r="G994" s="10" t="n">
        <v>0</v>
      </c>
      <c r="H994" s="10" t="n">
        <v>0</v>
      </c>
      <c r="I994" s="10" t="n">
        <v>36</v>
      </c>
      <c r="J994" s="10" t="n">
        <v>0</v>
      </c>
      <c r="K994" s="10" t="n">
        <v>2</v>
      </c>
      <c r="L994" s="10" t="n">
        <v>0</v>
      </c>
      <c r="M994" s="10" t="n">
        <v>0</v>
      </c>
      <c r="N994" s="10" t="n">
        <v>0</v>
      </c>
      <c r="O994" s="10" t="n">
        <v>0</v>
      </c>
      <c r="P994" s="10" t="n">
        <v>0</v>
      </c>
      <c r="Q994" s="10" t="n">
        <v>22</v>
      </c>
      <c r="R994" s="10" t="n">
        <v>12</v>
      </c>
      <c r="S994" s="10" t="n">
        <v>0</v>
      </c>
      <c r="T994" s="10" t="n">
        <v>0</v>
      </c>
      <c r="U994" s="10" t="n">
        <v>0</v>
      </c>
    </row>
    <row r="995" customFormat="false" ht="15" hidden="false" customHeight="false" outlineLevel="0" collapsed="false">
      <c r="A995" s="7" t="s">
        <v>931</v>
      </c>
      <c r="B995" s="7" t="s">
        <v>180</v>
      </c>
      <c r="C995" s="7" t="s">
        <v>853</v>
      </c>
      <c r="D995" s="10" t="n">
        <v>0</v>
      </c>
      <c r="E995" s="10" t="n">
        <v>0</v>
      </c>
      <c r="F995" s="10" t="n">
        <v>15</v>
      </c>
      <c r="G995" s="10" t="n">
        <v>0</v>
      </c>
      <c r="H995" s="10" t="n">
        <v>0</v>
      </c>
      <c r="I995" s="10" t="n">
        <v>27</v>
      </c>
      <c r="J995" s="10" t="n">
        <v>0</v>
      </c>
      <c r="K995" s="10" t="n">
        <v>3</v>
      </c>
      <c r="L995" s="10" t="n">
        <v>0</v>
      </c>
      <c r="M995" s="10" t="n">
        <v>0</v>
      </c>
      <c r="N995" s="10" t="n">
        <v>0</v>
      </c>
      <c r="O995" s="10" t="n">
        <v>0</v>
      </c>
      <c r="P995" s="10" t="n">
        <v>0</v>
      </c>
      <c r="Q995" s="10" t="n">
        <v>13</v>
      </c>
      <c r="R995" s="10" t="n">
        <v>11</v>
      </c>
      <c r="S995" s="10" t="n">
        <v>0</v>
      </c>
      <c r="T995" s="10" t="n">
        <v>0</v>
      </c>
      <c r="U995" s="10" t="n">
        <v>0</v>
      </c>
    </row>
    <row r="996" customFormat="false" ht="15" hidden="false" customHeight="false" outlineLevel="0" collapsed="false">
      <c r="A996" s="7" t="s">
        <v>931</v>
      </c>
      <c r="B996" s="7" t="s">
        <v>180</v>
      </c>
      <c r="C996" s="7" t="s">
        <v>854</v>
      </c>
      <c r="D996" s="10" t="n">
        <v>0</v>
      </c>
      <c r="E996" s="10" t="n">
        <v>0</v>
      </c>
      <c r="F996" s="10" t="n">
        <v>5</v>
      </c>
      <c r="G996" s="10" t="n">
        <v>0</v>
      </c>
      <c r="H996" s="10" t="n">
        <v>0</v>
      </c>
      <c r="I996" s="10" t="n">
        <v>21</v>
      </c>
      <c r="J996" s="10" t="n">
        <v>0</v>
      </c>
      <c r="K996" s="10" t="n">
        <v>6</v>
      </c>
      <c r="L996" s="10" t="n">
        <v>0</v>
      </c>
      <c r="M996" s="10" t="n">
        <v>0</v>
      </c>
      <c r="N996" s="10" t="n">
        <v>0</v>
      </c>
      <c r="O996" s="10" t="n">
        <v>0</v>
      </c>
      <c r="P996" s="10" t="n">
        <v>0</v>
      </c>
      <c r="Q996" s="10" t="n">
        <v>12</v>
      </c>
      <c r="R996" s="10" t="n">
        <v>3</v>
      </c>
      <c r="S996" s="10" t="n">
        <v>0</v>
      </c>
      <c r="T996" s="10" t="n">
        <v>0</v>
      </c>
      <c r="U996" s="10" t="n">
        <v>0</v>
      </c>
    </row>
    <row r="997" customFormat="false" ht="15" hidden="false" customHeight="false" outlineLevel="0" collapsed="false">
      <c r="A997" s="7" t="s">
        <v>931</v>
      </c>
      <c r="B997" s="7" t="s">
        <v>231</v>
      </c>
      <c r="C997" s="7" t="s">
        <v>856</v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>
        <v>-1</v>
      </c>
      <c r="J997" s="10" t="n">
        <v>0</v>
      </c>
      <c r="K997" s="10" t="n">
        <v>0</v>
      </c>
      <c r="L997" s="10" t="n">
        <v>0</v>
      </c>
      <c r="M997" s="10" t="n">
        <v>0</v>
      </c>
      <c r="N997" s="10" t="n">
        <v>0</v>
      </c>
      <c r="O997" s="10" t="n">
        <v>0</v>
      </c>
      <c r="P997" s="10" t="n">
        <v>0</v>
      </c>
      <c r="Q997" s="10" t="n">
        <v>-1</v>
      </c>
      <c r="R997" s="10" t="n">
        <v>0</v>
      </c>
      <c r="S997" s="10" t="n">
        <v>0</v>
      </c>
      <c r="T997" s="10" t="n">
        <v>0</v>
      </c>
      <c r="U997" s="10" t="n">
        <v>0</v>
      </c>
    </row>
    <row r="998" customFormat="false" ht="15" hidden="false" customHeight="false" outlineLevel="0" collapsed="false">
      <c r="A998" s="7" t="s">
        <v>931</v>
      </c>
      <c r="B998" s="7" t="s">
        <v>222</v>
      </c>
      <c r="C998" s="7" t="s">
        <v>955</v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>
        <v>-1</v>
      </c>
      <c r="J998" s="10" t="n">
        <v>0</v>
      </c>
      <c r="K998" s="10" t="n">
        <v>0</v>
      </c>
      <c r="L998" s="10" t="n">
        <v>0</v>
      </c>
      <c r="M998" s="10" t="n">
        <v>0</v>
      </c>
      <c r="N998" s="10" t="n">
        <v>0</v>
      </c>
      <c r="O998" s="10" t="n">
        <v>0</v>
      </c>
      <c r="P998" s="10" t="n">
        <v>0</v>
      </c>
      <c r="Q998" s="10" t="n">
        <v>-1</v>
      </c>
      <c r="R998" s="10" t="n">
        <v>0</v>
      </c>
      <c r="S998" s="10" t="n">
        <v>0</v>
      </c>
      <c r="T998" s="10" t="n">
        <v>0</v>
      </c>
      <c r="U998" s="10" t="n">
        <v>0</v>
      </c>
    </row>
    <row r="999" customFormat="false" ht="15" hidden="false" customHeight="false" outlineLevel="0" collapsed="false">
      <c r="A999" s="7" t="s">
        <v>931</v>
      </c>
      <c r="B999" s="7" t="s">
        <v>221</v>
      </c>
      <c r="C999" s="7" t="s">
        <v>955</v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>
        <v>-2</v>
      </c>
      <c r="J999" s="10" t="n">
        <v>0</v>
      </c>
      <c r="K999" s="10" t="n">
        <v>0</v>
      </c>
      <c r="L999" s="10" t="n">
        <v>0</v>
      </c>
      <c r="M999" s="10" t="n">
        <v>0</v>
      </c>
      <c r="N999" s="10" t="n">
        <v>0</v>
      </c>
      <c r="O999" s="10" t="n">
        <v>0</v>
      </c>
      <c r="P999" s="10" t="n">
        <v>-1</v>
      </c>
      <c r="Q999" s="10" t="n">
        <v>-1</v>
      </c>
      <c r="R999" s="10" t="n">
        <v>0</v>
      </c>
      <c r="S999" s="10" t="n">
        <v>0</v>
      </c>
      <c r="T999" s="10" t="n">
        <v>0</v>
      </c>
      <c r="U999" s="10" t="n">
        <v>0</v>
      </c>
    </row>
    <row r="1000" customFormat="false" ht="15" hidden="false" customHeight="false" outlineLevel="0" collapsed="false">
      <c r="A1000" s="7" t="s">
        <v>931</v>
      </c>
      <c r="B1000" s="7" t="s">
        <v>147</v>
      </c>
      <c r="C1000" s="7" t="s">
        <v>867</v>
      </c>
      <c r="D1000" s="10" t="n">
        <v>0</v>
      </c>
      <c r="E1000" s="10" t="n">
        <v>0</v>
      </c>
      <c r="F1000" s="10" t="n">
        <v>11</v>
      </c>
      <c r="G1000" s="10" t="n">
        <v>0</v>
      </c>
      <c r="H1000" s="10" t="n">
        <v>0</v>
      </c>
      <c r="I1000" s="10" t="n">
        <v>113</v>
      </c>
      <c r="J1000" s="10" t="n">
        <v>0</v>
      </c>
      <c r="K1000" s="10" t="n">
        <v>0</v>
      </c>
      <c r="L1000" s="10" t="n">
        <v>0</v>
      </c>
      <c r="M1000" s="10" t="n">
        <v>0</v>
      </c>
      <c r="N1000" s="10" t="n">
        <v>0</v>
      </c>
      <c r="O1000" s="10" t="n">
        <v>0</v>
      </c>
      <c r="P1000" s="10" t="n">
        <v>0</v>
      </c>
      <c r="Q1000" s="10" t="n">
        <v>113</v>
      </c>
      <c r="R1000" s="10" t="n">
        <v>0</v>
      </c>
      <c r="S1000" s="10" t="n">
        <v>0</v>
      </c>
      <c r="T1000" s="10" t="n">
        <v>0</v>
      </c>
      <c r="U1000" s="10" t="n">
        <v>0</v>
      </c>
    </row>
    <row r="1001" customFormat="false" ht="15" hidden="false" customHeight="false" outlineLevel="0" collapsed="false">
      <c r="A1001" s="7" t="s">
        <v>931</v>
      </c>
      <c r="B1001" s="7" t="s">
        <v>131</v>
      </c>
      <c r="C1001" s="7" t="s">
        <v>867</v>
      </c>
      <c r="D1001" s="10" t="n">
        <v>0</v>
      </c>
      <c r="E1001" s="10" t="n">
        <v>0</v>
      </c>
      <c r="F1001" s="10" t="n">
        <v>16</v>
      </c>
      <c r="G1001" s="10" t="n">
        <v>0</v>
      </c>
      <c r="H1001" s="10" t="n">
        <v>0</v>
      </c>
      <c r="I1001" s="10" t="n">
        <v>162</v>
      </c>
      <c r="J1001" s="10" t="n">
        <v>0</v>
      </c>
      <c r="K1001" s="10" t="n">
        <v>0</v>
      </c>
      <c r="L1001" s="10" t="n">
        <v>0</v>
      </c>
      <c r="M1001" s="10" t="n">
        <v>0</v>
      </c>
      <c r="N1001" s="10" t="n">
        <v>0</v>
      </c>
      <c r="O1001" s="10" t="n">
        <v>0</v>
      </c>
      <c r="P1001" s="10" t="n">
        <v>0</v>
      </c>
      <c r="Q1001" s="10" t="n">
        <v>162</v>
      </c>
      <c r="R1001" s="10" t="n">
        <v>0</v>
      </c>
      <c r="S1001" s="10" t="n">
        <v>0</v>
      </c>
      <c r="T1001" s="10" t="n">
        <v>0</v>
      </c>
      <c r="U1001" s="10" t="n">
        <v>0</v>
      </c>
    </row>
    <row r="1002" customFormat="false" ht="15" hidden="false" customHeight="false" outlineLevel="0" collapsed="false">
      <c r="A1002" s="7" t="s">
        <v>931</v>
      </c>
      <c r="B1002" s="7" t="s">
        <v>135</v>
      </c>
      <c r="C1002" s="7" t="s">
        <v>867</v>
      </c>
      <c r="D1002" s="10" t="n">
        <v>0</v>
      </c>
      <c r="E1002" s="10" t="n">
        <v>0</v>
      </c>
      <c r="F1002" s="10" t="n">
        <v>9</v>
      </c>
      <c r="G1002" s="10" t="n">
        <v>0</v>
      </c>
      <c r="H1002" s="10" t="n">
        <v>0</v>
      </c>
      <c r="I1002" s="10" t="n">
        <v>156</v>
      </c>
      <c r="J1002" s="10" t="n">
        <v>0</v>
      </c>
      <c r="K1002" s="10" t="n">
        <v>0</v>
      </c>
      <c r="L1002" s="10" t="n">
        <v>0</v>
      </c>
      <c r="M1002" s="10" t="n">
        <v>0</v>
      </c>
      <c r="N1002" s="10" t="n">
        <v>1</v>
      </c>
      <c r="O1002" s="10" t="n">
        <v>0</v>
      </c>
      <c r="P1002" s="10" t="n">
        <v>0</v>
      </c>
      <c r="Q1002" s="10" t="n">
        <v>155</v>
      </c>
      <c r="R1002" s="10" t="n">
        <v>0</v>
      </c>
      <c r="S1002" s="10" t="n">
        <v>0</v>
      </c>
      <c r="T1002" s="10" t="n">
        <v>0</v>
      </c>
      <c r="U1002" s="10" t="n">
        <v>0</v>
      </c>
    </row>
    <row r="1003" customFormat="false" ht="15" hidden="false" customHeight="false" outlineLevel="0" collapsed="false">
      <c r="A1003" s="7" t="s">
        <v>931</v>
      </c>
      <c r="B1003" s="7" t="s">
        <v>163</v>
      </c>
      <c r="C1003" s="7" t="s">
        <v>867</v>
      </c>
      <c r="D1003" s="10" t="n">
        <v>0</v>
      </c>
      <c r="E1003" s="10" t="n">
        <v>0</v>
      </c>
      <c r="F1003" s="10" t="n">
        <v>5</v>
      </c>
      <c r="G1003" s="10" t="n">
        <v>0</v>
      </c>
      <c r="H1003" s="10" t="n">
        <v>0</v>
      </c>
      <c r="I1003" s="10" t="n">
        <v>34</v>
      </c>
      <c r="J1003" s="10" t="n">
        <v>0</v>
      </c>
      <c r="K1003" s="10" t="n">
        <v>0</v>
      </c>
      <c r="L1003" s="10" t="n">
        <v>0</v>
      </c>
      <c r="M1003" s="10" t="n">
        <v>0</v>
      </c>
      <c r="N1003" s="10" t="n">
        <v>0</v>
      </c>
      <c r="O1003" s="10" t="n">
        <v>0</v>
      </c>
      <c r="P1003" s="10" t="n">
        <v>0</v>
      </c>
      <c r="Q1003" s="10" t="n">
        <v>34</v>
      </c>
      <c r="R1003" s="10" t="n">
        <v>0</v>
      </c>
      <c r="S1003" s="10" t="n">
        <v>0</v>
      </c>
      <c r="T1003" s="10" t="n">
        <v>0</v>
      </c>
      <c r="U1003" s="10" t="n">
        <v>0</v>
      </c>
    </row>
    <row r="1004" customFormat="false" ht="15" hidden="false" customHeight="false" outlineLevel="0" collapsed="false">
      <c r="A1004" s="7" t="s">
        <v>931</v>
      </c>
      <c r="B1004" s="7" t="s">
        <v>154</v>
      </c>
      <c r="C1004" s="7" t="s">
        <v>868</v>
      </c>
      <c r="D1004" s="10" t="n">
        <v>0</v>
      </c>
      <c r="E1004" s="10" t="n">
        <v>0</v>
      </c>
      <c r="F1004" s="10" t="n">
        <v>13</v>
      </c>
      <c r="G1004" s="10" t="n">
        <v>0</v>
      </c>
      <c r="H1004" s="10" t="n">
        <v>0</v>
      </c>
      <c r="I1004" s="10" t="n">
        <v>183</v>
      </c>
      <c r="J1004" s="10" t="n">
        <v>0</v>
      </c>
      <c r="K1004" s="10" t="n">
        <v>0</v>
      </c>
      <c r="L1004" s="10" t="n">
        <v>0</v>
      </c>
      <c r="M1004" s="10" t="n">
        <v>0</v>
      </c>
      <c r="N1004" s="10" t="n">
        <v>0</v>
      </c>
      <c r="O1004" s="10" t="n">
        <v>0</v>
      </c>
      <c r="P1004" s="10" t="n">
        <v>0</v>
      </c>
      <c r="Q1004" s="10" t="n">
        <v>183</v>
      </c>
      <c r="R1004" s="10" t="n">
        <v>0</v>
      </c>
      <c r="S1004" s="10" t="n">
        <v>0</v>
      </c>
      <c r="T1004" s="10" t="n">
        <v>0</v>
      </c>
      <c r="U1004" s="10" t="n">
        <v>0</v>
      </c>
    </row>
    <row r="1005" customFormat="false" ht="15" hidden="false" customHeight="false" outlineLevel="0" collapsed="false">
      <c r="A1005" s="7" t="s">
        <v>931</v>
      </c>
      <c r="B1005" s="7" t="s">
        <v>139</v>
      </c>
      <c r="C1005" s="7" t="s">
        <v>868</v>
      </c>
      <c r="D1005" s="10" t="n">
        <v>0</v>
      </c>
      <c r="E1005" s="10" t="n">
        <v>0</v>
      </c>
      <c r="F1005" s="10" t="n">
        <v>27</v>
      </c>
      <c r="G1005" s="10" t="n">
        <v>0</v>
      </c>
      <c r="H1005" s="10" t="n">
        <v>0</v>
      </c>
      <c r="I1005" s="10" t="n">
        <v>324</v>
      </c>
      <c r="J1005" s="10" t="n">
        <v>0</v>
      </c>
      <c r="K1005" s="10" t="n">
        <v>0</v>
      </c>
      <c r="L1005" s="10" t="n">
        <v>0</v>
      </c>
      <c r="M1005" s="10" t="n">
        <v>0</v>
      </c>
      <c r="N1005" s="10" t="n">
        <v>0</v>
      </c>
      <c r="O1005" s="10" t="n">
        <v>0</v>
      </c>
      <c r="P1005" s="10" t="n">
        <v>0</v>
      </c>
      <c r="Q1005" s="10" t="n">
        <v>324</v>
      </c>
      <c r="R1005" s="10" t="n">
        <v>0</v>
      </c>
      <c r="S1005" s="10" t="n">
        <v>0</v>
      </c>
      <c r="T1005" s="10" t="n">
        <v>0</v>
      </c>
      <c r="U1005" s="10" t="n">
        <v>0</v>
      </c>
    </row>
    <row r="1006" customFormat="false" ht="15" hidden="false" customHeight="false" outlineLevel="0" collapsed="false">
      <c r="A1006" s="7" t="s">
        <v>931</v>
      </c>
      <c r="B1006" s="7" t="s">
        <v>117</v>
      </c>
      <c r="C1006" s="7" t="s">
        <v>868</v>
      </c>
      <c r="D1006" s="10" t="n">
        <v>0</v>
      </c>
      <c r="E1006" s="10" t="n">
        <v>0</v>
      </c>
      <c r="F1006" s="10" t="n">
        <v>26</v>
      </c>
      <c r="G1006" s="10" t="n">
        <v>0</v>
      </c>
      <c r="H1006" s="10" t="n">
        <v>0</v>
      </c>
      <c r="I1006" s="10" t="n">
        <v>247</v>
      </c>
      <c r="J1006" s="10" t="n">
        <v>0</v>
      </c>
      <c r="K1006" s="10" t="n">
        <v>0</v>
      </c>
      <c r="L1006" s="10" t="n">
        <v>0</v>
      </c>
      <c r="M1006" s="10" t="n">
        <v>0</v>
      </c>
      <c r="N1006" s="10" t="n">
        <v>0</v>
      </c>
      <c r="O1006" s="10" t="n">
        <v>0</v>
      </c>
      <c r="P1006" s="10" t="n">
        <v>0</v>
      </c>
      <c r="Q1006" s="10" t="n">
        <v>247</v>
      </c>
      <c r="R1006" s="10" t="n">
        <v>0</v>
      </c>
      <c r="S1006" s="10" t="n">
        <v>0</v>
      </c>
      <c r="T1006" s="10" t="n">
        <v>0</v>
      </c>
      <c r="U1006" s="10" t="n">
        <v>0</v>
      </c>
    </row>
    <row r="1007" customFormat="false" ht="15" hidden="false" customHeight="false" outlineLevel="0" collapsed="false">
      <c r="A1007" s="7" t="s">
        <v>931</v>
      </c>
      <c r="B1007" s="7" t="s">
        <v>212</v>
      </c>
      <c r="C1007" s="7" t="s">
        <v>868</v>
      </c>
      <c r="D1007" s="10" t="n">
        <v>0</v>
      </c>
      <c r="E1007" s="10" t="n">
        <v>0</v>
      </c>
      <c r="F1007" s="10" t="n">
        <v>5</v>
      </c>
      <c r="G1007" s="10" t="n">
        <v>0</v>
      </c>
      <c r="H1007" s="10" t="n">
        <v>0</v>
      </c>
      <c r="I1007" s="10" t="n">
        <v>54</v>
      </c>
      <c r="J1007" s="10" t="n">
        <v>0</v>
      </c>
      <c r="K1007" s="10" t="n">
        <v>0</v>
      </c>
      <c r="L1007" s="10" t="n">
        <v>0</v>
      </c>
      <c r="M1007" s="10" t="n">
        <v>0</v>
      </c>
      <c r="N1007" s="10" t="n">
        <v>0</v>
      </c>
      <c r="O1007" s="10" t="n">
        <v>0</v>
      </c>
      <c r="P1007" s="10" t="n">
        <v>0</v>
      </c>
      <c r="Q1007" s="10" t="n">
        <v>54</v>
      </c>
      <c r="R1007" s="10" t="n">
        <v>0</v>
      </c>
      <c r="S1007" s="10" t="n">
        <v>0</v>
      </c>
      <c r="T1007" s="10" t="n">
        <v>0</v>
      </c>
      <c r="U1007" s="10" t="n">
        <v>0</v>
      </c>
    </row>
    <row r="1008" customFormat="false" ht="15" hidden="false" customHeight="false" outlineLevel="0" collapsed="false">
      <c r="A1008" s="7" t="s">
        <v>931</v>
      </c>
      <c r="B1008" s="7" t="s">
        <v>281</v>
      </c>
      <c r="C1008" s="7" t="s">
        <v>869</v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>
        <v>-1</v>
      </c>
      <c r="J1008" s="10" t="n">
        <v>0</v>
      </c>
      <c r="K1008" s="10" t="n">
        <v>0</v>
      </c>
      <c r="L1008" s="10" t="n">
        <v>0</v>
      </c>
      <c r="M1008" s="10" t="n">
        <v>0</v>
      </c>
      <c r="N1008" s="10" t="n">
        <v>0</v>
      </c>
      <c r="O1008" s="10" t="n">
        <v>0</v>
      </c>
      <c r="P1008" s="10" t="n">
        <v>-1</v>
      </c>
      <c r="Q1008" s="10" t="n">
        <v>0</v>
      </c>
      <c r="R1008" s="10" t="n">
        <v>0</v>
      </c>
      <c r="S1008" s="10" t="n">
        <v>0</v>
      </c>
      <c r="T1008" s="10" t="n">
        <v>0</v>
      </c>
      <c r="U1008" s="10" t="n">
        <v>0</v>
      </c>
    </row>
    <row r="1009" customFormat="false" ht="15" hidden="false" customHeight="false" outlineLevel="0" collapsed="false">
      <c r="A1009" s="7" t="s">
        <v>931</v>
      </c>
      <c r="B1009" s="7" t="s">
        <v>281</v>
      </c>
      <c r="C1009" s="7" t="s">
        <v>870</v>
      </c>
      <c r="D1009" s="10" t="n">
        <v>0</v>
      </c>
      <c r="E1009" s="10" t="n">
        <v>0</v>
      </c>
      <c r="F1009" s="10" t="n">
        <v>39</v>
      </c>
      <c r="G1009" s="10" t="n">
        <v>0</v>
      </c>
      <c r="H1009" s="10" t="n">
        <v>0</v>
      </c>
      <c r="I1009" s="10" t="n">
        <v>3</v>
      </c>
      <c r="J1009" s="10" t="n">
        <v>0</v>
      </c>
      <c r="K1009" s="10" t="n">
        <v>0</v>
      </c>
      <c r="L1009" s="10" t="n">
        <v>0</v>
      </c>
      <c r="M1009" s="10" t="n">
        <v>0</v>
      </c>
      <c r="N1009" s="10" t="n">
        <v>0</v>
      </c>
      <c r="O1009" s="10" t="n">
        <v>0</v>
      </c>
      <c r="P1009" s="10" t="n">
        <v>-1</v>
      </c>
      <c r="Q1009" s="10" t="n">
        <v>0</v>
      </c>
      <c r="R1009" s="10" t="n">
        <v>4</v>
      </c>
      <c r="S1009" s="10" t="n">
        <v>0</v>
      </c>
      <c r="T1009" s="10" t="n">
        <v>0</v>
      </c>
      <c r="U1009" s="10" t="n">
        <v>0</v>
      </c>
    </row>
    <row r="1010" customFormat="false" ht="15" hidden="false" customHeight="false" outlineLevel="0" collapsed="false">
      <c r="A1010" s="7" t="s">
        <v>931</v>
      </c>
      <c r="B1010" s="7" t="s">
        <v>291</v>
      </c>
      <c r="C1010" s="7" t="s">
        <v>956</v>
      </c>
      <c r="D1010" s="10" t="n">
        <v>0</v>
      </c>
      <c r="E1010" s="10" t="n">
        <v>0</v>
      </c>
      <c r="F1010" s="10" t="n">
        <v>4</v>
      </c>
      <c r="G1010" s="10" t="n">
        <v>0</v>
      </c>
      <c r="H1010" s="10" t="n">
        <v>0</v>
      </c>
      <c r="I1010" s="10" t="n">
        <v>0</v>
      </c>
      <c r="J1010" s="10" t="n">
        <v>0</v>
      </c>
      <c r="K1010" s="10" t="n">
        <v>0</v>
      </c>
      <c r="L1010" s="10" t="n">
        <v>0</v>
      </c>
      <c r="M1010" s="10" t="n">
        <v>0</v>
      </c>
      <c r="N1010" s="10" t="n">
        <v>0</v>
      </c>
      <c r="O1010" s="10" t="n">
        <v>0</v>
      </c>
      <c r="P1010" s="10" t="n">
        <v>0</v>
      </c>
      <c r="Q1010" s="10" t="n">
        <v>0</v>
      </c>
      <c r="R1010" s="10" t="n">
        <v>0</v>
      </c>
      <c r="S1010" s="10" t="n">
        <v>0</v>
      </c>
      <c r="T1010" s="10" t="n">
        <v>0</v>
      </c>
      <c r="U1010" s="10" t="n">
        <v>0</v>
      </c>
    </row>
    <row r="1011" customFormat="false" ht="15" hidden="false" customHeight="false" outlineLevel="0" collapsed="false">
      <c r="A1011" s="7" t="s">
        <v>931</v>
      </c>
      <c r="B1011" s="7" t="s">
        <v>291</v>
      </c>
      <c r="C1011" s="7" t="s">
        <v>957</v>
      </c>
      <c r="D1011" s="10" t="n">
        <v>0</v>
      </c>
      <c r="E1011" s="10" t="n">
        <v>0</v>
      </c>
      <c r="F1011" s="10" t="n">
        <v>5</v>
      </c>
      <c r="G1011" s="10" t="n">
        <v>0</v>
      </c>
      <c r="H1011" s="10" t="n">
        <v>0</v>
      </c>
      <c r="I1011" s="10" t="n">
        <v>0</v>
      </c>
      <c r="J1011" s="10" t="n">
        <v>0</v>
      </c>
      <c r="K1011" s="10" t="n">
        <v>0</v>
      </c>
      <c r="L1011" s="10" t="n">
        <v>0</v>
      </c>
      <c r="M1011" s="10" t="n">
        <v>0</v>
      </c>
      <c r="N1011" s="10" t="n">
        <v>0</v>
      </c>
      <c r="O1011" s="10" t="n">
        <v>0</v>
      </c>
      <c r="P1011" s="10" t="n">
        <v>0</v>
      </c>
      <c r="Q1011" s="10" t="n">
        <v>0</v>
      </c>
      <c r="R1011" s="10" t="n">
        <v>0</v>
      </c>
      <c r="S1011" s="10" t="n">
        <v>0</v>
      </c>
      <c r="T1011" s="10" t="n">
        <v>0</v>
      </c>
      <c r="U1011" s="10" t="n">
        <v>0</v>
      </c>
    </row>
    <row r="1012" customFormat="false" ht="15" hidden="false" customHeight="false" outlineLevel="0" collapsed="false">
      <c r="A1012" s="7" t="s">
        <v>931</v>
      </c>
      <c r="B1012" s="7" t="s">
        <v>291</v>
      </c>
      <c r="C1012" s="7" t="s">
        <v>958</v>
      </c>
      <c r="D1012" s="10" t="n">
        <v>0</v>
      </c>
      <c r="E1012" s="10" t="n">
        <v>0</v>
      </c>
      <c r="F1012" s="10" t="n">
        <v>3</v>
      </c>
      <c r="G1012" s="10" t="n">
        <v>0</v>
      </c>
      <c r="H1012" s="10" t="n">
        <v>0</v>
      </c>
      <c r="I1012" s="10" t="n">
        <v>0</v>
      </c>
      <c r="J1012" s="10" t="n">
        <v>0</v>
      </c>
      <c r="K1012" s="10" t="n">
        <v>0</v>
      </c>
      <c r="L1012" s="10" t="n">
        <v>0</v>
      </c>
      <c r="M1012" s="10" t="n">
        <v>0</v>
      </c>
      <c r="N1012" s="10" t="n">
        <v>0</v>
      </c>
      <c r="O1012" s="10" t="n">
        <v>0</v>
      </c>
      <c r="P1012" s="10" t="n">
        <v>0</v>
      </c>
      <c r="Q1012" s="10" t="n">
        <v>0</v>
      </c>
      <c r="R1012" s="10" t="n">
        <v>0</v>
      </c>
      <c r="S1012" s="10" t="n">
        <v>0</v>
      </c>
      <c r="T1012" s="10" t="n">
        <v>0</v>
      </c>
      <c r="U1012" s="10" t="n">
        <v>0</v>
      </c>
    </row>
    <row r="1013" customFormat="false" ht="15" hidden="false" customHeight="false" outlineLevel="0" collapsed="false">
      <c r="A1013" s="7" t="s">
        <v>931</v>
      </c>
      <c r="B1013" s="7" t="s">
        <v>104</v>
      </c>
      <c r="C1013" s="7" t="s">
        <v>871</v>
      </c>
      <c r="D1013" s="10" t="n">
        <v>0</v>
      </c>
      <c r="E1013" s="10" t="n">
        <v>0</v>
      </c>
      <c r="F1013" s="10" t="n">
        <v>58</v>
      </c>
      <c r="G1013" s="10" t="n">
        <v>0</v>
      </c>
      <c r="H1013" s="10" t="n">
        <v>0</v>
      </c>
      <c r="I1013" s="10" t="n">
        <v>681</v>
      </c>
      <c r="J1013" s="10" t="n">
        <v>0</v>
      </c>
      <c r="K1013" s="10" t="n">
        <v>2</v>
      </c>
      <c r="L1013" s="10" t="n">
        <v>0</v>
      </c>
      <c r="M1013" s="10" t="n">
        <v>0</v>
      </c>
      <c r="N1013" s="10" t="n">
        <v>0</v>
      </c>
      <c r="O1013" s="10" t="n">
        <v>0</v>
      </c>
      <c r="P1013" s="10" t="n">
        <v>0</v>
      </c>
      <c r="Q1013" s="10" t="n">
        <v>654</v>
      </c>
      <c r="R1013" s="10" t="n">
        <v>25</v>
      </c>
      <c r="S1013" s="10" t="n">
        <v>0</v>
      </c>
      <c r="T1013" s="10" t="n">
        <v>0</v>
      </c>
      <c r="U1013" s="10" t="n">
        <v>0</v>
      </c>
    </row>
    <row r="1014" customFormat="false" ht="15" hidden="false" customHeight="false" outlineLevel="0" collapsed="false">
      <c r="A1014" s="7" t="s">
        <v>931</v>
      </c>
      <c r="B1014" s="7" t="s">
        <v>48</v>
      </c>
      <c r="C1014" s="7" t="s">
        <v>872</v>
      </c>
      <c r="D1014" s="10" t="n">
        <v>0</v>
      </c>
      <c r="E1014" s="10" t="n">
        <v>0</v>
      </c>
      <c r="F1014" s="10" t="n">
        <v>735</v>
      </c>
      <c r="G1014" s="10" t="n">
        <v>0</v>
      </c>
      <c r="H1014" s="10" t="n">
        <v>0</v>
      </c>
      <c r="I1014" s="10" t="n">
        <v>1366</v>
      </c>
      <c r="J1014" s="10" t="n">
        <v>0</v>
      </c>
      <c r="K1014" s="10" t="n">
        <v>17</v>
      </c>
      <c r="L1014" s="10" t="n">
        <v>0</v>
      </c>
      <c r="M1014" s="10" t="n">
        <v>4</v>
      </c>
      <c r="N1014" s="10" t="n">
        <v>0</v>
      </c>
      <c r="O1014" s="10" t="n">
        <v>0</v>
      </c>
      <c r="P1014" s="10" t="n">
        <v>0</v>
      </c>
      <c r="Q1014" s="10" t="n">
        <v>1283</v>
      </c>
      <c r="R1014" s="10" t="n">
        <v>62</v>
      </c>
      <c r="S1014" s="10" t="n">
        <v>1</v>
      </c>
      <c r="T1014" s="10" t="n">
        <v>0</v>
      </c>
      <c r="U1014" s="10" t="n">
        <v>-3</v>
      </c>
    </row>
    <row r="1015" customFormat="false" ht="15" hidden="false" customHeight="false" outlineLevel="0" collapsed="false">
      <c r="A1015" s="7" t="s">
        <v>931</v>
      </c>
      <c r="B1015" s="7" t="s">
        <v>127</v>
      </c>
      <c r="C1015" s="7" t="s">
        <v>873</v>
      </c>
      <c r="D1015" s="10" t="n">
        <v>0</v>
      </c>
      <c r="E1015" s="10" t="n">
        <v>0</v>
      </c>
      <c r="F1015" s="10" t="n">
        <v>114</v>
      </c>
      <c r="G1015" s="10" t="n">
        <v>0</v>
      </c>
      <c r="H1015" s="10" t="n">
        <v>0</v>
      </c>
      <c r="I1015" s="10" t="n">
        <v>253</v>
      </c>
      <c r="J1015" s="10" t="n">
        <v>0</v>
      </c>
      <c r="K1015" s="10" t="n">
        <v>1</v>
      </c>
      <c r="L1015" s="10" t="n">
        <v>0</v>
      </c>
      <c r="M1015" s="10" t="n">
        <v>0</v>
      </c>
      <c r="N1015" s="10" t="n">
        <v>1</v>
      </c>
      <c r="O1015" s="10" t="n">
        <v>0</v>
      </c>
      <c r="P1015" s="10" t="n">
        <v>0</v>
      </c>
      <c r="Q1015" s="10" t="n">
        <v>236</v>
      </c>
      <c r="R1015" s="10" t="n">
        <v>15</v>
      </c>
      <c r="S1015" s="10" t="n">
        <v>0</v>
      </c>
      <c r="T1015" s="10" t="n">
        <v>0</v>
      </c>
      <c r="U1015" s="10" t="n">
        <v>0</v>
      </c>
    </row>
    <row r="1016" customFormat="false" ht="15" hidden="false" customHeight="false" outlineLevel="0" collapsed="false">
      <c r="A1016" s="7" t="s">
        <v>931</v>
      </c>
      <c r="B1016" s="7" t="s">
        <v>48</v>
      </c>
      <c r="C1016" s="7" t="s">
        <v>874</v>
      </c>
      <c r="D1016" s="10" t="n">
        <v>0</v>
      </c>
      <c r="E1016" s="10" t="n">
        <v>0</v>
      </c>
      <c r="F1016" s="10" t="n">
        <v>49</v>
      </c>
      <c r="G1016" s="10" t="n">
        <v>0</v>
      </c>
      <c r="H1016" s="10" t="n">
        <v>0</v>
      </c>
      <c r="I1016" s="10" t="n">
        <v>424</v>
      </c>
      <c r="J1016" s="10" t="n">
        <v>0</v>
      </c>
      <c r="K1016" s="10" t="n">
        <v>0</v>
      </c>
      <c r="L1016" s="10" t="n">
        <v>0</v>
      </c>
      <c r="M1016" s="10" t="n">
        <v>0</v>
      </c>
      <c r="N1016" s="10" t="n">
        <v>0</v>
      </c>
      <c r="O1016" s="10" t="n">
        <v>0</v>
      </c>
      <c r="P1016" s="10" t="n">
        <v>0</v>
      </c>
      <c r="Q1016" s="10" t="n">
        <v>424</v>
      </c>
      <c r="R1016" s="10" t="n">
        <v>0</v>
      </c>
      <c r="S1016" s="10" t="n">
        <v>0</v>
      </c>
      <c r="T1016" s="10" t="n">
        <v>0</v>
      </c>
      <c r="U1016" s="10" t="n">
        <v>0</v>
      </c>
    </row>
    <row r="1017" customFormat="false" ht="15" hidden="false" customHeight="false" outlineLevel="0" collapsed="false">
      <c r="A1017" s="7" t="s">
        <v>931</v>
      </c>
      <c r="B1017" s="7" t="s">
        <v>268</v>
      </c>
      <c r="C1017" s="7" t="s">
        <v>876</v>
      </c>
      <c r="D1017" s="10" t="n">
        <v>0</v>
      </c>
      <c r="E1017" s="10" t="n">
        <v>0</v>
      </c>
      <c r="F1017" s="10" t="n">
        <v>180</v>
      </c>
      <c r="G1017" s="10" t="n">
        <v>0</v>
      </c>
      <c r="H1017" s="10" t="n">
        <v>0</v>
      </c>
      <c r="I1017" s="10" t="n">
        <v>3</v>
      </c>
      <c r="J1017" s="10" t="n">
        <v>0</v>
      </c>
      <c r="K1017" s="10" t="n">
        <v>0</v>
      </c>
      <c r="L1017" s="10" t="n">
        <v>0</v>
      </c>
      <c r="M1017" s="10" t="n">
        <v>0</v>
      </c>
      <c r="N1017" s="10" t="n">
        <v>3</v>
      </c>
      <c r="O1017" s="10" t="n">
        <v>0</v>
      </c>
      <c r="P1017" s="10" t="n">
        <v>0</v>
      </c>
      <c r="Q1017" s="10" t="n">
        <v>0</v>
      </c>
      <c r="R1017" s="10" t="n">
        <v>0</v>
      </c>
      <c r="S1017" s="10" t="n">
        <v>0</v>
      </c>
      <c r="T1017" s="10" t="n">
        <v>0</v>
      </c>
      <c r="U1017" s="10" t="n">
        <v>0</v>
      </c>
    </row>
    <row r="1018" customFormat="false" ht="15" hidden="false" customHeight="false" outlineLevel="0" collapsed="false">
      <c r="A1018" s="7" t="s">
        <v>931</v>
      </c>
      <c r="B1018" s="7" t="s">
        <v>268</v>
      </c>
      <c r="C1018" s="7" t="s">
        <v>877</v>
      </c>
      <c r="D1018" s="10" t="n">
        <v>0</v>
      </c>
      <c r="E1018" s="10" t="n">
        <v>0</v>
      </c>
      <c r="F1018" s="10" t="n">
        <v>97</v>
      </c>
      <c r="G1018" s="10" t="n">
        <v>0</v>
      </c>
      <c r="H1018" s="10" t="n">
        <v>0</v>
      </c>
      <c r="I1018" s="10" t="n">
        <v>2</v>
      </c>
      <c r="J1018" s="10" t="n">
        <v>0</v>
      </c>
      <c r="K1018" s="10" t="n">
        <v>0</v>
      </c>
      <c r="L1018" s="10" t="n">
        <v>0</v>
      </c>
      <c r="M1018" s="10" t="n">
        <v>0</v>
      </c>
      <c r="N1018" s="10" t="n">
        <v>2</v>
      </c>
      <c r="O1018" s="10" t="n">
        <v>0</v>
      </c>
      <c r="P1018" s="10" t="n">
        <v>0</v>
      </c>
      <c r="Q1018" s="10" t="n">
        <v>0</v>
      </c>
      <c r="R1018" s="10" t="n">
        <v>0</v>
      </c>
      <c r="S1018" s="10" t="n">
        <v>0</v>
      </c>
      <c r="T1018" s="10" t="n">
        <v>0</v>
      </c>
      <c r="U1018" s="10" t="n">
        <v>0</v>
      </c>
    </row>
    <row r="1019" customFormat="false" ht="15" hidden="false" customHeight="false" outlineLevel="0" collapsed="false">
      <c r="A1019" s="7" t="s">
        <v>931</v>
      </c>
      <c r="B1019" s="7" t="s">
        <v>268</v>
      </c>
      <c r="C1019" s="7" t="s">
        <v>878</v>
      </c>
      <c r="D1019" s="10" t="n">
        <v>0</v>
      </c>
      <c r="E1019" s="10" t="n">
        <v>0</v>
      </c>
      <c r="F1019" s="10" t="n">
        <v>143</v>
      </c>
      <c r="G1019" s="10" t="n">
        <v>0</v>
      </c>
      <c r="H1019" s="10" t="n">
        <v>0</v>
      </c>
      <c r="I1019" s="10" t="n">
        <v>3</v>
      </c>
      <c r="J1019" s="10" t="n">
        <v>0</v>
      </c>
      <c r="K1019" s="10" t="n">
        <v>0</v>
      </c>
      <c r="L1019" s="10" t="n">
        <v>0</v>
      </c>
      <c r="M1019" s="10" t="n">
        <v>0</v>
      </c>
      <c r="N1019" s="10" t="n">
        <v>3</v>
      </c>
      <c r="O1019" s="10" t="n">
        <v>0</v>
      </c>
      <c r="P1019" s="10" t="n">
        <v>0</v>
      </c>
      <c r="Q1019" s="10" t="n">
        <v>0</v>
      </c>
      <c r="R1019" s="10" t="n">
        <v>0</v>
      </c>
      <c r="S1019" s="10" t="n">
        <v>0</v>
      </c>
      <c r="T1019" s="10" t="n">
        <v>0</v>
      </c>
      <c r="U1019" s="10" t="n">
        <v>0</v>
      </c>
    </row>
    <row r="1020" customFormat="false" ht="15" hidden="false" customHeight="false" outlineLevel="0" collapsed="false">
      <c r="A1020" s="7" t="s">
        <v>931</v>
      </c>
      <c r="B1020" s="7" t="s">
        <v>268</v>
      </c>
      <c r="C1020" s="7" t="s">
        <v>879</v>
      </c>
      <c r="D1020" s="10" t="n">
        <v>0</v>
      </c>
      <c r="E1020" s="10" t="n">
        <v>0</v>
      </c>
      <c r="F1020" s="10" t="n">
        <v>74</v>
      </c>
      <c r="G1020" s="10" t="n">
        <v>0</v>
      </c>
      <c r="H1020" s="10" t="n">
        <v>0</v>
      </c>
      <c r="I1020" s="10" t="n">
        <v>3</v>
      </c>
      <c r="J1020" s="10" t="n">
        <v>0</v>
      </c>
      <c r="K1020" s="10" t="n">
        <v>0</v>
      </c>
      <c r="L1020" s="10" t="n">
        <v>0</v>
      </c>
      <c r="M1020" s="10" t="n">
        <v>0</v>
      </c>
      <c r="N1020" s="10" t="n">
        <v>3</v>
      </c>
      <c r="O1020" s="10" t="n">
        <v>0</v>
      </c>
      <c r="P1020" s="10" t="n">
        <v>0</v>
      </c>
      <c r="Q1020" s="10" t="n">
        <v>0</v>
      </c>
      <c r="R1020" s="10" t="n">
        <v>0</v>
      </c>
      <c r="S1020" s="10" t="n">
        <v>0</v>
      </c>
      <c r="T1020" s="10" t="n">
        <v>0</v>
      </c>
      <c r="U1020" s="10" t="n">
        <v>0</v>
      </c>
    </row>
    <row r="1021" customFormat="false" ht="15" hidden="false" customHeight="false" outlineLevel="0" collapsed="false">
      <c r="A1021" s="7" t="s">
        <v>931</v>
      </c>
      <c r="B1021" s="7" t="s">
        <v>268</v>
      </c>
      <c r="C1021" s="7" t="s">
        <v>880</v>
      </c>
      <c r="D1021" s="10" t="n">
        <v>0</v>
      </c>
      <c r="E1021" s="10" t="n">
        <v>0</v>
      </c>
      <c r="F1021" s="10" t="n">
        <v>32</v>
      </c>
      <c r="G1021" s="10" t="n">
        <v>0</v>
      </c>
      <c r="H1021" s="10" t="n">
        <v>0</v>
      </c>
      <c r="I1021" s="10" t="n">
        <v>1</v>
      </c>
      <c r="J1021" s="10" t="n">
        <v>0</v>
      </c>
      <c r="K1021" s="10" t="n">
        <v>0</v>
      </c>
      <c r="L1021" s="10" t="n">
        <v>0</v>
      </c>
      <c r="M1021" s="10" t="n">
        <v>0</v>
      </c>
      <c r="N1021" s="10" t="n">
        <v>1</v>
      </c>
      <c r="O1021" s="10" t="n">
        <v>0</v>
      </c>
      <c r="P1021" s="10" t="n">
        <v>0</v>
      </c>
      <c r="Q1021" s="10" t="n">
        <v>0</v>
      </c>
      <c r="R1021" s="10" t="n">
        <v>0</v>
      </c>
      <c r="S1021" s="10" t="n">
        <v>0</v>
      </c>
      <c r="T1021" s="10" t="n">
        <v>0</v>
      </c>
      <c r="U1021" s="10" t="n">
        <v>0</v>
      </c>
    </row>
    <row r="1022" customFormat="false" ht="15" hidden="false" customHeight="false" outlineLevel="0" collapsed="false">
      <c r="A1022" s="7" t="s">
        <v>931</v>
      </c>
      <c r="B1022" s="7" t="s">
        <v>267</v>
      </c>
      <c r="C1022" s="7" t="s">
        <v>881</v>
      </c>
      <c r="D1022" s="10" t="n">
        <v>0</v>
      </c>
      <c r="E1022" s="10" t="n">
        <v>0</v>
      </c>
      <c r="F1022" s="10" t="n">
        <v>220</v>
      </c>
      <c r="G1022" s="10" t="n">
        <v>0</v>
      </c>
      <c r="H1022" s="10" t="n">
        <v>0</v>
      </c>
      <c r="I1022" s="10" t="n">
        <v>34</v>
      </c>
      <c r="J1022" s="10" t="n">
        <v>0</v>
      </c>
      <c r="K1022" s="10" t="n">
        <v>5</v>
      </c>
      <c r="L1022" s="10" t="n">
        <v>0</v>
      </c>
      <c r="M1022" s="10" t="n">
        <v>0</v>
      </c>
      <c r="N1022" s="10" t="n">
        <v>4</v>
      </c>
      <c r="O1022" s="10" t="n">
        <v>0</v>
      </c>
      <c r="P1022" s="10" t="n">
        <v>0</v>
      </c>
      <c r="Q1022" s="10" t="n">
        <v>0</v>
      </c>
      <c r="R1022" s="10" t="n">
        <v>25</v>
      </c>
      <c r="S1022" s="10" t="n">
        <v>0</v>
      </c>
      <c r="T1022" s="10" t="n">
        <v>0</v>
      </c>
      <c r="U1022" s="10" t="n">
        <v>0</v>
      </c>
    </row>
    <row r="1023" customFormat="false" ht="15" hidden="false" customHeight="false" outlineLevel="0" collapsed="false">
      <c r="A1023" s="7" t="s">
        <v>931</v>
      </c>
      <c r="B1023" s="7" t="s">
        <v>267</v>
      </c>
      <c r="C1023" s="7" t="s">
        <v>882</v>
      </c>
      <c r="D1023" s="10" t="n">
        <v>0</v>
      </c>
      <c r="E1023" s="10" t="n">
        <v>0</v>
      </c>
      <c r="F1023" s="10" t="n">
        <v>152</v>
      </c>
      <c r="G1023" s="10" t="n">
        <v>0</v>
      </c>
      <c r="H1023" s="10" t="n">
        <v>0</v>
      </c>
      <c r="I1023" s="10" t="n">
        <v>23</v>
      </c>
      <c r="J1023" s="10" t="n">
        <v>0</v>
      </c>
      <c r="K1023" s="10" t="n">
        <v>0</v>
      </c>
      <c r="L1023" s="10" t="n">
        <v>0</v>
      </c>
      <c r="M1023" s="10" t="n">
        <v>0</v>
      </c>
      <c r="N1023" s="10" t="n">
        <v>4</v>
      </c>
      <c r="O1023" s="10" t="n">
        <v>0</v>
      </c>
      <c r="P1023" s="10" t="n">
        <v>0</v>
      </c>
      <c r="Q1023" s="10" t="n">
        <v>0</v>
      </c>
      <c r="R1023" s="10" t="n">
        <v>19</v>
      </c>
      <c r="S1023" s="10" t="n">
        <v>0</v>
      </c>
      <c r="T1023" s="10" t="n">
        <v>0</v>
      </c>
      <c r="U1023" s="10" t="n">
        <v>0</v>
      </c>
    </row>
    <row r="1024" customFormat="false" ht="15" hidden="false" customHeight="false" outlineLevel="0" collapsed="false">
      <c r="A1024" s="7" t="s">
        <v>931</v>
      </c>
      <c r="B1024" s="7" t="s">
        <v>267</v>
      </c>
      <c r="C1024" s="7" t="s">
        <v>883</v>
      </c>
      <c r="D1024" s="10" t="n">
        <v>0</v>
      </c>
      <c r="E1024" s="10" t="n">
        <v>0</v>
      </c>
      <c r="F1024" s="10" t="n">
        <v>168</v>
      </c>
      <c r="G1024" s="10" t="n">
        <v>0</v>
      </c>
      <c r="H1024" s="10" t="n">
        <v>0</v>
      </c>
      <c r="I1024" s="10" t="n">
        <v>25</v>
      </c>
      <c r="J1024" s="10" t="n">
        <v>0</v>
      </c>
      <c r="K1024" s="10" t="n">
        <v>9</v>
      </c>
      <c r="L1024" s="10" t="n">
        <v>0</v>
      </c>
      <c r="M1024" s="10" t="n">
        <v>0</v>
      </c>
      <c r="N1024" s="10" t="n">
        <v>4</v>
      </c>
      <c r="O1024" s="10" t="n">
        <v>0</v>
      </c>
      <c r="P1024" s="10" t="n">
        <v>0</v>
      </c>
      <c r="Q1024" s="10" t="n">
        <v>0</v>
      </c>
      <c r="R1024" s="10" t="n">
        <v>12</v>
      </c>
      <c r="S1024" s="10" t="n">
        <v>0</v>
      </c>
      <c r="T1024" s="10" t="n">
        <v>0</v>
      </c>
      <c r="U1024" s="10" t="n">
        <v>0</v>
      </c>
    </row>
    <row r="1025" customFormat="false" ht="15" hidden="false" customHeight="false" outlineLevel="0" collapsed="false">
      <c r="A1025" s="7" t="s">
        <v>931</v>
      </c>
      <c r="B1025" s="7" t="s">
        <v>267</v>
      </c>
      <c r="C1025" s="7" t="s">
        <v>884</v>
      </c>
      <c r="D1025" s="10" t="n">
        <v>0</v>
      </c>
      <c r="E1025" s="10" t="n">
        <v>0</v>
      </c>
      <c r="F1025" s="10" t="n">
        <v>87</v>
      </c>
      <c r="G1025" s="10" t="n">
        <v>0</v>
      </c>
      <c r="H1025" s="10" t="n">
        <v>0</v>
      </c>
      <c r="I1025" s="10" t="n">
        <v>19</v>
      </c>
      <c r="J1025" s="10" t="n">
        <v>0</v>
      </c>
      <c r="K1025" s="10" t="n">
        <v>4</v>
      </c>
      <c r="L1025" s="10" t="n">
        <v>0</v>
      </c>
      <c r="M1025" s="10" t="n">
        <v>0</v>
      </c>
      <c r="N1025" s="10" t="n">
        <v>2</v>
      </c>
      <c r="O1025" s="10" t="n">
        <v>0</v>
      </c>
      <c r="P1025" s="10" t="n">
        <v>0</v>
      </c>
      <c r="Q1025" s="10" t="n">
        <v>0</v>
      </c>
      <c r="R1025" s="10" t="n">
        <v>13</v>
      </c>
      <c r="S1025" s="10" t="n">
        <v>0</v>
      </c>
      <c r="T1025" s="10" t="n">
        <v>0</v>
      </c>
      <c r="U1025" s="10" t="n">
        <v>0</v>
      </c>
    </row>
    <row r="1026" customFormat="false" ht="15" hidden="false" customHeight="false" outlineLevel="0" collapsed="false">
      <c r="A1026" s="7" t="s">
        <v>931</v>
      </c>
      <c r="B1026" s="7" t="s">
        <v>267</v>
      </c>
      <c r="C1026" s="7" t="s">
        <v>885</v>
      </c>
      <c r="D1026" s="10" t="n">
        <v>0</v>
      </c>
      <c r="E1026" s="10" t="n">
        <v>0</v>
      </c>
      <c r="F1026" s="10" t="n">
        <v>58</v>
      </c>
      <c r="G1026" s="10" t="n">
        <v>0</v>
      </c>
      <c r="H1026" s="10" t="n">
        <v>0</v>
      </c>
      <c r="I1026" s="10" t="n">
        <v>18</v>
      </c>
      <c r="J1026" s="10" t="n">
        <v>0</v>
      </c>
      <c r="K1026" s="10" t="n">
        <v>5</v>
      </c>
      <c r="L1026" s="10" t="n">
        <v>0</v>
      </c>
      <c r="M1026" s="10" t="n">
        <v>0</v>
      </c>
      <c r="N1026" s="10" t="n">
        <v>0</v>
      </c>
      <c r="O1026" s="10" t="n">
        <v>0</v>
      </c>
      <c r="P1026" s="10" t="n">
        <v>0</v>
      </c>
      <c r="Q1026" s="10" t="n">
        <v>0</v>
      </c>
      <c r="R1026" s="10" t="n">
        <v>13</v>
      </c>
      <c r="S1026" s="10" t="n">
        <v>0</v>
      </c>
      <c r="T1026" s="10" t="n">
        <v>0</v>
      </c>
      <c r="U1026" s="10" t="n">
        <v>0</v>
      </c>
    </row>
    <row r="1027" customFormat="false" ht="15" hidden="false" customHeight="false" outlineLevel="0" collapsed="false">
      <c r="A1027" s="7" t="s">
        <v>931</v>
      </c>
      <c r="B1027" s="7" t="s">
        <v>274</v>
      </c>
      <c r="C1027" s="7" t="s">
        <v>886</v>
      </c>
      <c r="D1027" s="10" t="n">
        <v>0</v>
      </c>
      <c r="E1027" s="10" t="n">
        <v>0</v>
      </c>
      <c r="F1027" s="10" t="n">
        <v>72</v>
      </c>
      <c r="G1027" s="10" t="n">
        <v>0</v>
      </c>
      <c r="H1027" s="10" t="n">
        <v>0</v>
      </c>
      <c r="I1027" s="10" t="n">
        <v>4</v>
      </c>
      <c r="J1027" s="10" t="n">
        <v>0</v>
      </c>
      <c r="K1027" s="10" t="n">
        <v>0</v>
      </c>
      <c r="L1027" s="10" t="n">
        <v>0</v>
      </c>
      <c r="M1027" s="10" t="n">
        <v>0</v>
      </c>
      <c r="N1027" s="10" t="n">
        <v>4</v>
      </c>
      <c r="O1027" s="10" t="n">
        <v>0</v>
      </c>
      <c r="P1027" s="10" t="n">
        <v>0</v>
      </c>
      <c r="Q1027" s="10" t="n">
        <v>0</v>
      </c>
      <c r="R1027" s="10" t="n">
        <v>0</v>
      </c>
      <c r="S1027" s="10" t="n">
        <v>0</v>
      </c>
      <c r="T1027" s="10" t="n">
        <v>0</v>
      </c>
      <c r="U1027" s="10" t="n">
        <v>0</v>
      </c>
    </row>
    <row r="1028" customFormat="false" ht="15" hidden="false" customHeight="false" outlineLevel="0" collapsed="false">
      <c r="A1028" s="7" t="s">
        <v>931</v>
      </c>
      <c r="B1028" s="7" t="s">
        <v>274</v>
      </c>
      <c r="C1028" s="7" t="s">
        <v>887</v>
      </c>
      <c r="D1028" s="10" t="n">
        <v>0</v>
      </c>
      <c r="E1028" s="10" t="n">
        <v>0</v>
      </c>
      <c r="F1028" s="10" t="n">
        <v>108</v>
      </c>
      <c r="G1028" s="10" t="n">
        <v>0</v>
      </c>
      <c r="H1028" s="10" t="n">
        <v>0</v>
      </c>
      <c r="I1028" s="10" t="n">
        <v>4</v>
      </c>
      <c r="J1028" s="10" t="n">
        <v>0</v>
      </c>
      <c r="K1028" s="10" t="n">
        <v>0</v>
      </c>
      <c r="L1028" s="10" t="n">
        <v>0</v>
      </c>
      <c r="M1028" s="10" t="n">
        <v>0</v>
      </c>
      <c r="N1028" s="10" t="n">
        <v>4</v>
      </c>
      <c r="O1028" s="10" t="n">
        <v>0</v>
      </c>
      <c r="P1028" s="10" t="n">
        <v>0</v>
      </c>
      <c r="Q1028" s="10" t="n">
        <v>0</v>
      </c>
      <c r="R1028" s="10" t="n">
        <v>0</v>
      </c>
      <c r="S1028" s="10" t="n">
        <v>0</v>
      </c>
      <c r="T1028" s="10" t="n">
        <v>0</v>
      </c>
      <c r="U1028" s="10" t="n">
        <v>0</v>
      </c>
    </row>
    <row r="1029" customFormat="false" ht="15" hidden="false" customHeight="false" outlineLevel="0" collapsed="false">
      <c r="A1029" s="7" t="s">
        <v>931</v>
      </c>
      <c r="B1029" s="7" t="s">
        <v>274</v>
      </c>
      <c r="C1029" s="7" t="s">
        <v>888</v>
      </c>
      <c r="D1029" s="10" t="n">
        <v>0</v>
      </c>
      <c r="E1029" s="10" t="n">
        <v>0</v>
      </c>
      <c r="F1029" s="10" t="n">
        <v>85</v>
      </c>
      <c r="G1029" s="10" t="n">
        <v>0</v>
      </c>
      <c r="H1029" s="10" t="n">
        <v>0</v>
      </c>
      <c r="I1029" s="10" t="n">
        <v>0</v>
      </c>
      <c r="J1029" s="10" t="n">
        <v>0</v>
      </c>
      <c r="K1029" s="10" t="n">
        <v>0</v>
      </c>
      <c r="L1029" s="10" t="n">
        <v>0</v>
      </c>
      <c r="M1029" s="10" t="n">
        <v>0</v>
      </c>
      <c r="N1029" s="10" t="n">
        <v>0</v>
      </c>
      <c r="O1029" s="10" t="n">
        <v>0</v>
      </c>
      <c r="P1029" s="10" t="n">
        <v>0</v>
      </c>
      <c r="Q1029" s="10" t="n">
        <v>0</v>
      </c>
      <c r="R1029" s="10" t="n">
        <v>0</v>
      </c>
      <c r="S1029" s="10" t="n">
        <v>0</v>
      </c>
      <c r="T1029" s="10" t="n">
        <v>0</v>
      </c>
      <c r="U1029" s="10" t="n">
        <v>0</v>
      </c>
    </row>
    <row r="1030" customFormat="false" ht="15" hidden="false" customHeight="false" outlineLevel="0" collapsed="false">
      <c r="A1030" s="7" t="s">
        <v>931</v>
      </c>
      <c r="B1030" s="7" t="s">
        <v>274</v>
      </c>
      <c r="C1030" s="7" t="s">
        <v>889</v>
      </c>
      <c r="D1030" s="10" t="n">
        <v>0</v>
      </c>
      <c r="E1030" s="10" t="n">
        <v>0</v>
      </c>
      <c r="F1030" s="10" t="n">
        <v>45</v>
      </c>
      <c r="G1030" s="10" t="n">
        <v>0</v>
      </c>
      <c r="H1030" s="10" t="n">
        <v>0</v>
      </c>
      <c r="I1030" s="10" t="n">
        <v>4</v>
      </c>
      <c r="J1030" s="10" t="n">
        <v>0</v>
      </c>
      <c r="K1030" s="10" t="n">
        <v>0</v>
      </c>
      <c r="L1030" s="10" t="n">
        <v>0</v>
      </c>
      <c r="M1030" s="10" t="n">
        <v>0</v>
      </c>
      <c r="N1030" s="10" t="n">
        <v>4</v>
      </c>
      <c r="O1030" s="10" t="n">
        <v>0</v>
      </c>
      <c r="P1030" s="10" t="n">
        <v>0</v>
      </c>
      <c r="Q1030" s="10" t="n">
        <v>0</v>
      </c>
      <c r="R1030" s="10" t="n">
        <v>0</v>
      </c>
      <c r="S1030" s="10" t="n">
        <v>0</v>
      </c>
      <c r="T1030" s="10" t="n">
        <v>0</v>
      </c>
      <c r="U1030" s="10" t="n">
        <v>0</v>
      </c>
    </row>
    <row r="1031" customFormat="false" ht="15" hidden="false" customHeight="false" outlineLevel="0" collapsed="false">
      <c r="A1031" s="7" t="s">
        <v>931</v>
      </c>
      <c r="B1031" s="7" t="s">
        <v>274</v>
      </c>
      <c r="C1031" s="7" t="s">
        <v>890</v>
      </c>
      <c r="D1031" s="10" t="n">
        <v>0</v>
      </c>
      <c r="E1031" s="10" t="n">
        <v>0</v>
      </c>
      <c r="F1031" s="10" t="n">
        <v>8</v>
      </c>
      <c r="G1031" s="10" t="n">
        <v>0</v>
      </c>
      <c r="H1031" s="10" t="n">
        <v>0</v>
      </c>
      <c r="I1031" s="10" t="n">
        <v>0</v>
      </c>
      <c r="J1031" s="10" t="n">
        <v>0</v>
      </c>
      <c r="K1031" s="10" t="n">
        <v>0</v>
      </c>
      <c r="L1031" s="10" t="n">
        <v>0</v>
      </c>
      <c r="M1031" s="10" t="n">
        <v>0</v>
      </c>
      <c r="N1031" s="10" t="n">
        <v>0</v>
      </c>
      <c r="O1031" s="10" t="n">
        <v>0</v>
      </c>
      <c r="P1031" s="10" t="n">
        <v>0</v>
      </c>
      <c r="Q1031" s="10" t="n">
        <v>0</v>
      </c>
      <c r="R1031" s="10" t="n">
        <v>0</v>
      </c>
      <c r="S1031" s="10" t="n">
        <v>0</v>
      </c>
      <c r="T1031" s="10" t="n">
        <v>0</v>
      </c>
      <c r="U1031" s="10" t="n">
        <v>0</v>
      </c>
    </row>
    <row r="1032" customFormat="false" ht="15" hidden="false" customHeight="false" outlineLevel="0" collapsed="false">
      <c r="A1032" s="7" t="s">
        <v>931</v>
      </c>
      <c r="B1032" s="7" t="s">
        <v>158</v>
      </c>
      <c r="C1032" s="7" t="s">
        <v>891</v>
      </c>
      <c r="D1032" s="10" t="n">
        <v>0</v>
      </c>
      <c r="E1032" s="10" t="n">
        <v>0</v>
      </c>
      <c r="F1032" s="10" t="n">
        <v>38</v>
      </c>
      <c r="G1032" s="10" t="n">
        <v>0</v>
      </c>
      <c r="H1032" s="10" t="n">
        <v>0</v>
      </c>
      <c r="I1032" s="10" t="n">
        <v>188</v>
      </c>
      <c r="J1032" s="10" t="n">
        <v>0</v>
      </c>
      <c r="K1032" s="10" t="n">
        <v>9</v>
      </c>
      <c r="L1032" s="10" t="n">
        <v>0</v>
      </c>
      <c r="M1032" s="10" t="n">
        <v>0</v>
      </c>
      <c r="N1032" s="10" t="n">
        <v>0</v>
      </c>
      <c r="O1032" s="10" t="n">
        <v>0</v>
      </c>
      <c r="P1032" s="10" t="n">
        <v>0</v>
      </c>
      <c r="Q1032" s="10" t="n">
        <v>158</v>
      </c>
      <c r="R1032" s="10" t="n">
        <v>21</v>
      </c>
      <c r="S1032" s="10" t="n">
        <v>0</v>
      </c>
      <c r="T1032" s="10" t="n">
        <v>0</v>
      </c>
      <c r="U1032" s="10" t="n">
        <v>0</v>
      </c>
    </row>
    <row r="1033" customFormat="false" ht="15" hidden="false" customHeight="false" outlineLevel="0" collapsed="false">
      <c r="A1033" s="7" t="s">
        <v>931</v>
      </c>
      <c r="B1033" s="7" t="s">
        <v>338</v>
      </c>
      <c r="C1033" s="7" t="s">
        <v>892</v>
      </c>
      <c r="D1033" s="10" t="n">
        <v>0</v>
      </c>
      <c r="E1033" s="10" t="n">
        <v>0</v>
      </c>
      <c r="F1033" s="10" t="n">
        <v>3</v>
      </c>
      <c r="G1033" s="10" t="n">
        <v>0</v>
      </c>
      <c r="H1033" s="10" t="n">
        <v>0</v>
      </c>
      <c r="I1033" s="10" t="n">
        <v>0</v>
      </c>
      <c r="J1033" s="10" t="n">
        <v>0</v>
      </c>
      <c r="K1033" s="10" t="n">
        <v>0</v>
      </c>
      <c r="L1033" s="10" t="n">
        <v>0</v>
      </c>
      <c r="M1033" s="10" t="n">
        <v>0</v>
      </c>
      <c r="N1033" s="10" t="n">
        <v>0</v>
      </c>
      <c r="O1033" s="10" t="n">
        <v>0</v>
      </c>
      <c r="P1033" s="10" t="n">
        <v>0</v>
      </c>
      <c r="Q1033" s="10" t="n">
        <v>0</v>
      </c>
      <c r="R1033" s="10" t="n">
        <v>0</v>
      </c>
      <c r="S1033" s="10" t="n">
        <v>0</v>
      </c>
      <c r="T1033" s="10" t="n">
        <v>0</v>
      </c>
      <c r="U1033" s="10" t="n">
        <v>0</v>
      </c>
    </row>
    <row r="1034" customFormat="false" ht="15" hidden="false" customHeight="false" outlineLevel="0" collapsed="false">
      <c r="A1034" s="7" t="s">
        <v>931</v>
      </c>
      <c r="B1034" s="7" t="s">
        <v>316</v>
      </c>
      <c r="C1034" s="7" t="s">
        <v>893</v>
      </c>
      <c r="D1034" s="10" t="n">
        <v>0</v>
      </c>
      <c r="E1034" s="10" t="n">
        <v>0</v>
      </c>
      <c r="F1034" s="10" t="n">
        <v>3</v>
      </c>
      <c r="G1034" s="10" t="n">
        <v>0</v>
      </c>
      <c r="H1034" s="10" t="n">
        <v>0</v>
      </c>
      <c r="I1034" s="10" t="n">
        <v>0</v>
      </c>
      <c r="J1034" s="10" t="n">
        <v>0</v>
      </c>
      <c r="K1034" s="10" t="n">
        <v>0</v>
      </c>
      <c r="L1034" s="10" t="n">
        <v>0</v>
      </c>
      <c r="M1034" s="10" t="n">
        <v>0</v>
      </c>
      <c r="N1034" s="10" t="n">
        <v>0</v>
      </c>
      <c r="O1034" s="10" t="n">
        <v>0</v>
      </c>
      <c r="P1034" s="10" t="n">
        <v>0</v>
      </c>
      <c r="Q1034" s="10" t="n">
        <v>0</v>
      </c>
      <c r="R1034" s="10" t="n">
        <v>0</v>
      </c>
      <c r="S1034" s="10" t="n">
        <v>0</v>
      </c>
      <c r="T1034" s="10" t="n">
        <v>0</v>
      </c>
      <c r="U1034" s="10" t="n">
        <v>0</v>
      </c>
    </row>
    <row r="1035" customFormat="false" ht="15" hidden="false" customHeight="false" outlineLevel="0" collapsed="false">
      <c r="A1035" s="7" t="s">
        <v>931</v>
      </c>
      <c r="B1035" s="7" t="s">
        <v>285</v>
      </c>
      <c r="C1035" s="7" t="s">
        <v>894</v>
      </c>
      <c r="D1035" s="10" t="n">
        <v>0</v>
      </c>
      <c r="E1035" s="10" t="n">
        <v>0</v>
      </c>
      <c r="F1035" s="10" t="n">
        <v>3</v>
      </c>
      <c r="G1035" s="10" t="n">
        <v>0</v>
      </c>
      <c r="H1035" s="10" t="n">
        <v>0</v>
      </c>
      <c r="I1035" s="10" t="n">
        <v>0</v>
      </c>
      <c r="J1035" s="10" t="n">
        <v>0</v>
      </c>
      <c r="K1035" s="10" t="n">
        <v>0</v>
      </c>
      <c r="L1035" s="10" t="n">
        <v>0</v>
      </c>
      <c r="M1035" s="10" t="n">
        <v>0</v>
      </c>
      <c r="N1035" s="10" t="n">
        <v>0</v>
      </c>
      <c r="O1035" s="10" t="n">
        <v>0</v>
      </c>
      <c r="P1035" s="10" t="n">
        <v>0</v>
      </c>
      <c r="Q1035" s="10" t="n">
        <v>0</v>
      </c>
      <c r="R1035" s="10" t="n">
        <v>0</v>
      </c>
      <c r="S1035" s="10" t="n">
        <v>0</v>
      </c>
      <c r="T1035" s="10" t="n">
        <v>0</v>
      </c>
      <c r="U1035" s="10" t="n">
        <v>0</v>
      </c>
    </row>
    <row r="1036" customFormat="false" ht="15" hidden="false" customHeight="false" outlineLevel="0" collapsed="false">
      <c r="A1036" s="7" t="s">
        <v>931</v>
      </c>
      <c r="B1036" s="7" t="s">
        <v>301</v>
      </c>
      <c r="C1036" s="7" t="s">
        <v>895</v>
      </c>
      <c r="D1036" s="10" t="n">
        <v>0</v>
      </c>
      <c r="E1036" s="10" t="n">
        <v>0</v>
      </c>
      <c r="F1036" s="10" t="n">
        <v>4</v>
      </c>
      <c r="G1036" s="10" t="n">
        <v>0</v>
      </c>
      <c r="H1036" s="10" t="n">
        <v>0</v>
      </c>
      <c r="I1036" s="10" t="n">
        <v>-2</v>
      </c>
      <c r="J1036" s="10" t="n">
        <v>0</v>
      </c>
      <c r="K1036" s="10" t="n">
        <v>0</v>
      </c>
      <c r="L1036" s="10" t="n">
        <v>0</v>
      </c>
      <c r="M1036" s="10" t="n">
        <v>-2</v>
      </c>
      <c r="N1036" s="10" t="n">
        <v>0</v>
      </c>
      <c r="O1036" s="10" t="n">
        <v>0</v>
      </c>
      <c r="P1036" s="10" t="n">
        <v>0</v>
      </c>
      <c r="Q1036" s="10" t="n">
        <v>0</v>
      </c>
      <c r="R1036" s="10" t="n">
        <v>0</v>
      </c>
      <c r="S1036" s="10" t="n">
        <v>0</v>
      </c>
      <c r="T1036" s="10" t="n">
        <v>0</v>
      </c>
      <c r="U1036" s="10" t="n">
        <v>0</v>
      </c>
    </row>
    <row r="1037" customFormat="false" ht="15" hidden="false" customHeight="false" outlineLevel="0" collapsed="false">
      <c r="A1037" s="7" t="s">
        <v>931</v>
      </c>
      <c r="B1037" s="7" t="s">
        <v>145</v>
      </c>
      <c r="C1037" s="7" t="s">
        <v>896</v>
      </c>
      <c r="D1037" s="10" t="n">
        <v>0</v>
      </c>
      <c r="E1037" s="10" t="n">
        <v>0</v>
      </c>
      <c r="F1037" s="10" t="n">
        <v>76</v>
      </c>
      <c r="G1037" s="10" t="n">
        <v>0</v>
      </c>
      <c r="H1037" s="10" t="n">
        <v>0</v>
      </c>
      <c r="I1037" s="10" t="n">
        <v>396</v>
      </c>
      <c r="J1037" s="10" t="n">
        <v>0</v>
      </c>
      <c r="K1037" s="10" t="n">
        <v>0</v>
      </c>
      <c r="L1037" s="10" t="n">
        <v>0</v>
      </c>
      <c r="M1037" s="10" t="n">
        <v>0</v>
      </c>
      <c r="N1037" s="10" t="n">
        <v>0</v>
      </c>
      <c r="O1037" s="10" t="n">
        <v>0</v>
      </c>
      <c r="P1037" s="10" t="n">
        <v>0</v>
      </c>
      <c r="Q1037" s="10" t="n">
        <v>396</v>
      </c>
      <c r="R1037" s="10" t="n">
        <v>0</v>
      </c>
      <c r="S1037" s="10" t="n">
        <v>0</v>
      </c>
      <c r="T1037" s="10" t="n">
        <v>0</v>
      </c>
      <c r="U1037" s="10" t="n">
        <v>0</v>
      </c>
    </row>
    <row r="1038" customFormat="false" ht="15" hidden="false" customHeight="false" outlineLevel="0" collapsed="false">
      <c r="A1038" s="7" t="s">
        <v>931</v>
      </c>
      <c r="B1038" s="7" t="s">
        <v>145</v>
      </c>
      <c r="C1038" s="7" t="s">
        <v>897</v>
      </c>
      <c r="D1038" s="10" t="n">
        <v>0</v>
      </c>
      <c r="E1038" s="10" t="n">
        <v>0</v>
      </c>
      <c r="F1038" s="10" t="n">
        <v>112</v>
      </c>
      <c r="G1038" s="10" t="n">
        <v>0</v>
      </c>
      <c r="H1038" s="10" t="n">
        <v>0</v>
      </c>
      <c r="I1038" s="10" t="n">
        <v>585</v>
      </c>
      <c r="J1038" s="10" t="n">
        <v>0</v>
      </c>
      <c r="K1038" s="10" t="n">
        <v>0</v>
      </c>
      <c r="L1038" s="10" t="n">
        <v>0</v>
      </c>
      <c r="M1038" s="10" t="n">
        <v>0</v>
      </c>
      <c r="N1038" s="10" t="n">
        <v>0</v>
      </c>
      <c r="O1038" s="10" t="n">
        <v>0</v>
      </c>
      <c r="P1038" s="10" t="n">
        <v>0</v>
      </c>
      <c r="Q1038" s="10" t="n">
        <v>585</v>
      </c>
      <c r="R1038" s="10" t="n">
        <v>0</v>
      </c>
      <c r="S1038" s="10" t="n">
        <v>0</v>
      </c>
      <c r="T1038" s="10" t="n">
        <v>0</v>
      </c>
      <c r="U1038" s="10" t="n">
        <v>0</v>
      </c>
    </row>
    <row r="1039" customFormat="false" ht="15" hidden="false" customHeight="false" outlineLevel="0" collapsed="false">
      <c r="A1039" s="7" t="s">
        <v>931</v>
      </c>
      <c r="B1039" s="7" t="s">
        <v>145</v>
      </c>
      <c r="C1039" s="7" t="s">
        <v>898</v>
      </c>
      <c r="D1039" s="10" t="n">
        <v>0</v>
      </c>
      <c r="E1039" s="10" t="n">
        <v>0</v>
      </c>
      <c r="F1039" s="10" t="n">
        <v>59</v>
      </c>
      <c r="G1039" s="10" t="n">
        <v>0</v>
      </c>
      <c r="H1039" s="10" t="n">
        <v>0</v>
      </c>
      <c r="I1039" s="10" t="n">
        <v>315</v>
      </c>
      <c r="J1039" s="10" t="n">
        <v>0</v>
      </c>
      <c r="K1039" s="10" t="n">
        <v>0</v>
      </c>
      <c r="L1039" s="10" t="n">
        <v>0</v>
      </c>
      <c r="M1039" s="10" t="n">
        <v>0</v>
      </c>
      <c r="N1039" s="10" t="n">
        <v>0</v>
      </c>
      <c r="O1039" s="10" t="n">
        <v>0</v>
      </c>
      <c r="P1039" s="10" t="n">
        <v>0</v>
      </c>
      <c r="Q1039" s="10" t="n">
        <v>315</v>
      </c>
      <c r="R1039" s="10" t="n">
        <v>0</v>
      </c>
      <c r="S1039" s="10" t="n">
        <v>0</v>
      </c>
      <c r="T1039" s="10" t="n">
        <v>0</v>
      </c>
      <c r="U1039" s="10" t="n">
        <v>0</v>
      </c>
    </row>
    <row r="1040" customFormat="false" ht="15" hidden="false" customHeight="false" outlineLevel="0" collapsed="false">
      <c r="A1040" s="7" t="s">
        <v>931</v>
      </c>
      <c r="B1040" s="7" t="s">
        <v>145</v>
      </c>
      <c r="C1040" s="7" t="s">
        <v>899</v>
      </c>
      <c r="D1040" s="10" t="n">
        <v>0</v>
      </c>
      <c r="E1040" s="10" t="n">
        <v>0</v>
      </c>
      <c r="F1040" s="10" t="n">
        <v>83</v>
      </c>
      <c r="G1040" s="10" t="n">
        <v>0</v>
      </c>
      <c r="H1040" s="10" t="n">
        <v>0</v>
      </c>
      <c r="I1040" s="10" t="n">
        <v>299</v>
      </c>
      <c r="J1040" s="10" t="n">
        <v>0</v>
      </c>
      <c r="K1040" s="10" t="n">
        <v>0</v>
      </c>
      <c r="L1040" s="10" t="n">
        <v>0</v>
      </c>
      <c r="M1040" s="10" t="n">
        <v>0</v>
      </c>
      <c r="N1040" s="10" t="n">
        <v>0</v>
      </c>
      <c r="O1040" s="10" t="n">
        <v>0</v>
      </c>
      <c r="P1040" s="10" t="n">
        <v>0</v>
      </c>
      <c r="Q1040" s="10" t="n">
        <v>299</v>
      </c>
      <c r="R1040" s="10" t="n">
        <v>0</v>
      </c>
      <c r="S1040" s="10" t="n">
        <v>0</v>
      </c>
      <c r="T1040" s="10" t="n">
        <v>0</v>
      </c>
      <c r="U1040" s="10" t="n">
        <v>0</v>
      </c>
    </row>
    <row r="1041" customFormat="false" ht="15" hidden="false" customHeight="false" outlineLevel="0" collapsed="false">
      <c r="A1041" s="7" t="s">
        <v>931</v>
      </c>
      <c r="B1041" s="7" t="s">
        <v>137</v>
      </c>
      <c r="C1041" s="7" t="s">
        <v>900</v>
      </c>
      <c r="D1041" s="10" t="n">
        <v>0</v>
      </c>
      <c r="E1041" s="10" t="n">
        <v>0</v>
      </c>
      <c r="F1041" s="10" t="n">
        <v>745</v>
      </c>
      <c r="G1041" s="10" t="n">
        <v>0</v>
      </c>
      <c r="H1041" s="10" t="n">
        <v>0</v>
      </c>
      <c r="I1041" s="10" t="n">
        <v>988</v>
      </c>
      <c r="J1041" s="10" t="n">
        <v>0</v>
      </c>
      <c r="K1041" s="10" t="n">
        <v>0</v>
      </c>
      <c r="L1041" s="10" t="n">
        <v>0</v>
      </c>
      <c r="M1041" s="10" t="n">
        <v>0</v>
      </c>
      <c r="N1041" s="10" t="n">
        <v>0</v>
      </c>
      <c r="O1041" s="10" t="n">
        <v>0</v>
      </c>
      <c r="P1041" s="10" t="n">
        <v>0</v>
      </c>
      <c r="Q1041" s="10" t="n">
        <v>988</v>
      </c>
      <c r="R1041" s="10" t="n">
        <v>0</v>
      </c>
      <c r="S1041" s="10" t="n">
        <v>0</v>
      </c>
      <c r="T1041" s="10" t="n">
        <v>0</v>
      </c>
      <c r="U1041" s="10" t="n">
        <v>0</v>
      </c>
    </row>
    <row r="1042" customFormat="false" ht="15" hidden="false" customHeight="false" outlineLevel="0" collapsed="false">
      <c r="A1042" s="7" t="s">
        <v>931</v>
      </c>
      <c r="B1042" s="7" t="s">
        <v>85</v>
      </c>
      <c r="C1042" s="7" t="s">
        <v>901</v>
      </c>
      <c r="D1042" s="10" t="n">
        <v>0</v>
      </c>
      <c r="E1042" s="10" t="n">
        <v>0</v>
      </c>
      <c r="F1042" s="10" t="n">
        <v>212</v>
      </c>
      <c r="G1042" s="10" t="n">
        <v>0</v>
      </c>
      <c r="H1042" s="10" t="n">
        <v>0</v>
      </c>
      <c r="I1042" s="10" t="n">
        <v>580</v>
      </c>
      <c r="J1042" s="10" t="n">
        <v>0</v>
      </c>
      <c r="K1042" s="10" t="n">
        <v>0</v>
      </c>
      <c r="L1042" s="10" t="n">
        <v>0</v>
      </c>
      <c r="M1042" s="10" t="n">
        <v>0</v>
      </c>
      <c r="N1042" s="10" t="n">
        <v>0</v>
      </c>
      <c r="O1042" s="10" t="n">
        <v>0</v>
      </c>
      <c r="P1042" s="10" t="n">
        <v>0</v>
      </c>
      <c r="Q1042" s="10" t="n">
        <v>580</v>
      </c>
      <c r="R1042" s="10" t="n">
        <v>0</v>
      </c>
      <c r="S1042" s="10" t="n">
        <v>0</v>
      </c>
      <c r="T1042" s="10" t="n">
        <v>0</v>
      </c>
      <c r="U1042" s="10" t="n">
        <v>0</v>
      </c>
    </row>
    <row r="1043" customFormat="false" ht="15" hidden="false" customHeight="false" outlineLevel="0" collapsed="false">
      <c r="A1043" s="7" t="s">
        <v>931</v>
      </c>
      <c r="B1043" s="7" t="s">
        <v>86</v>
      </c>
      <c r="C1043" s="7" t="s">
        <v>902</v>
      </c>
      <c r="D1043" s="10" t="n">
        <v>0</v>
      </c>
      <c r="E1043" s="10" t="n">
        <v>0</v>
      </c>
      <c r="F1043" s="10" t="n">
        <v>124</v>
      </c>
      <c r="G1043" s="10" t="n">
        <v>0</v>
      </c>
      <c r="H1043" s="10" t="n">
        <v>0</v>
      </c>
      <c r="I1043" s="10" t="n">
        <v>358</v>
      </c>
      <c r="J1043" s="10" t="n">
        <v>0</v>
      </c>
      <c r="K1043" s="10" t="n">
        <v>0</v>
      </c>
      <c r="L1043" s="10" t="n">
        <v>0</v>
      </c>
      <c r="M1043" s="10" t="n">
        <v>0</v>
      </c>
      <c r="N1043" s="10" t="n">
        <v>0</v>
      </c>
      <c r="O1043" s="10" t="n">
        <v>0</v>
      </c>
      <c r="P1043" s="10" t="n">
        <v>0</v>
      </c>
      <c r="Q1043" s="10" t="n">
        <v>358</v>
      </c>
      <c r="R1043" s="10" t="n">
        <v>0</v>
      </c>
      <c r="S1043" s="10" t="n">
        <v>0</v>
      </c>
      <c r="T1043" s="10" t="n">
        <v>0</v>
      </c>
      <c r="U1043" s="10" t="n">
        <v>0</v>
      </c>
    </row>
    <row r="1044" customFormat="false" ht="15" hidden="false" customHeight="false" outlineLevel="0" collapsed="false">
      <c r="A1044" s="7" t="s">
        <v>931</v>
      </c>
      <c r="B1044" s="7" t="s">
        <v>95</v>
      </c>
      <c r="C1044" s="7" t="s">
        <v>903</v>
      </c>
      <c r="D1044" s="10" t="n">
        <v>0</v>
      </c>
      <c r="E1044" s="10" t="n">
        <v>0</v>
      </c>
      <c r="F1044" s="10" t="n">
        <v>64</v>
      </c>
      <c r="G1044" s="10" t="n">
        <v>0</v>
      </c>
      <c r="H1044" s="10" t="n">
        <v>0</v>
      </c>
      <c r="I1044" s="10" t="n">
        <v>283</v>
      </c>
      <c r="J1044" s="10" t="n">
        <v>0</v>
      </c>
      <c r="K1044" s="10" t="n">
        <v>0</v>
      </c>
      <c r="L1044" s="10" t="n">
        <v>0</v>
      </c>
      <c r="M1044" s="10" t="n">
        <v>0</v>
      </c>
      <c r="N1044" s="10" t="n">
        <v>0</v>
      </c>
      <c r="O1044" s="10" t="n">
        <v>0</v>
      </c>
      <c r="P1044" s="10" t="n">
        <v>0</v>
      </c>
      <c r="Q1044" s="10" t="n">
        <v>283</v>
      </c>
      <c r="R1044" s="10" t="n">
        <v>0</v>
      </c>
      <c r="S1044" s="10" t="n">
        <v>0</v>
      </c>
      <c r="T1044" s="10" t="n">
        <v>0</v>
      </c>
      <c r="U1044" s="10" t="n">
        <v>0</v>
      </c>
    </row>
    <row r="1045" customFormat="false" ht="15" hidden="false" customHeight="false" outlineLevel="0" collapsed="false">
      <c r="A1045" s="7" t="s">
        <v>931</v>
      </c>
      <c r="B1045" s="7" t="s">
        <v>330</v>
      </c>
      <c r="C1045" s="7" t="s">
        <v>904</v>
      </c>
      <c r="D1045" s="10" t="n">
        <v>0</v>
      </c>
      <c r="E1045" s="10" t="n">
        <v>0</v>
      </c>
      <c r="F1045" s="10" t="n">
        <v>2</v>
      </c>
      <c r="G1045" s="10" t="n">
        <v>0</v>
      </c>
      <c r="H1045" s="10" t="n">
        <v>0</v>
      </c>
      <c r="I1045" s="10" t="n">
        <v>0</v>
      </c>
      <c r="J1045" s="10" t="n">
        <v>0</v>
      </c>
      <c r="K1045" s="10" t="n">
        <v>0</v>
      </c>
      <c r="L1045" s="10" t="n">
        <v>0</v>
      </c>
      <c r="M1045" s="10" t="n">
        <v>0</v>
      </c>
      <c r="N1045" s="10" t="n">
        <v>0</v>
      </c>
      <c r="O1045" s="10" t="n">
        <v>0</v>
      </c>
      <c r="P1045" s="10" t="n">
        <v>0</v>
      </c>
      <c r="Q1045" s="10" t="n">
        <v>0</v>
      </c>
      <c r="R1045" s="10" t="n">
        <v>0</v>
      </c>
      <c r="S1045" s="10" t="n">
        <v>0</v>
      </c>
      <c r="T1045" s="10" t="n">
        <v>0</v>
      </c>
      <c r="U1045" s="10" t="n">
        <v>0</v>
      </c>
    </row>
    <row r="1046" customFormat="false" ht="15" hidden="false" customHeight="false" outlineLevel="0" collapsed="false">
      <c r="A1046" s="7" t="s">
        <v>931</v>
      </c>
      <c r="B1046" s="7" t="s">
        <v>331</v>
      </c>
      <c r="C1046" s="7" t="s">
        <v>959</v>
      </c>
      <c r="D1046" s="10" t="n">
        <v>0</v>
      </c>
      <c r="E1046" s="10" t="n">
        <v>0</v>
      </c>
      <c r="F1046" s="10" t="n">
        <v>1</v>
      </c>
      <c r="G1046" s="10" t="n">
        <v>0</v>
      </c>
      <c r="H1046" s="10" t="n">
        <v>0</v>
      </c>
      <c r="I1046" s="10" t="n">
        <v>0</v>
      </c>
      <c r="J1046" s="10" t="n">
        <v>0</v>
      </c>
      <c r="K1046" s="10" t="n">
        <v>0</v>
      </c>
      <c r="L1046" s="10" t="n">
        <v>0</v>
      </c>
      <c r="M1046" s="10" t="n">
        <v>0</v>
      </c>
      <c r="N1046" s="10" t="n">
        <v>0</v>
      </c>
      <c r="O1046" s="10" t="n">
        <v>0</v>
      </c>
      <c r="P1046" s="10" t="n">
        <v>0</v>
      </c>
      <c r="Q1046" s="10" t="n">
        <v>0</v>
      </c>
      <c r="R1046" s="10" t="n">
        <v>0</v>
      </c>
      <c r="S1046" s="10" t="n">
        <v>0</v>
      </c>
      <c r="T1046" s="10" t="n">
        <v>0</v>
      </c>
      <c r="U1046" s="10" t="n">
        <v>0</v>
      </c>
    </row>
    <row r="1047" customFormat="false" ht="15" hidden="false" customHeight="false" outlineLevel="0" collapsed="false">
      <c r="A1047" s="7" t="s">
        <v>931</v>
      </c>
      <c r="B1047" s="7" t="s">
        <v>304</v>
      </c>
      <c r="C1047" s="7" t="s">
        <v>960</v>
      </c>
      <c r="D1047" s="10" t="n">
        <v>0</v>
      </c>
      <c r="E1047" s="10" t="n">
        <v>0</v>
      </c>
      <c r="F1047" s="10" t="n">
        <v>1</v>
      </c>
      <c r="G1047" s="10" t="n">
        <v>0</v>
      </c>
      <c r="H1047" s="10" t="n">
        <v>0</v>
      </c>
      <c r="I1047" s="10" t="n">
        <v>0</v>
      </c>
      <c r="J1047" s="10" t="n">
        <v>0</v>
      </c>
      <c r="K1047" s="10" t="n">
        <v>0</v>
      </c>
      <c r="L1047" s="10" t="n">
        <v>0</v>
      </c>
      <c r="M1047" s="10" t="n">
        <v>0</v>
      </c>
      <c r="N1047" s="10" t="n">
        <v>0</v>
      </c>
      <c r="O1047" s="10" t="n">
        <v>0</v>
      </c>
      <c r="P1047" s="10" t="n">
        <v>0</v>
      </c>
      <c r="Q1047" s="10" t="n">
        <v>0</v>
      </c>
      <c r="R1047" s="10" t="n">
        <v>0</v>
      </c>
      <c r="S1047" s="10" t="n">
        <v>0</v>
      </c>
      <c r="T1047" s="10" t="n">
        <v>2</v>
      </c>
      <c r="U1047" s="10" t="n">
        <v>0</v>
      </c>
    </row>
    <row r="1048" customFormat="false" ht="15" hidden="false" customHeight="false" outlineLevel="0" collapsed="false">
      <c r="A1048" s="7" t="s">
        <v>931</v>
      </c>
      <c r="B1048" s="7" t="s">
        <v>304</v>
      </c>
      <c r="C1048" s="7" t="s">
        <v>905</v>
      </c>
      <c r="D1048" s="10" t="n">
        <v>0</v>
      </c>
      <c r="E1048" s="10" t="n">
        <v>0</v>
      </c>
      <c r="F1048" s="10" t="n">
        <v>1</v>
      </c>
      <c r="G1048" s="10" t="n">
        <v>0</v>
      </c>
      <c r="H1048" s="10" t="n">
        <v>0</v>
      </c>
      <c r="I1048" s="10" t="n">
        <v>0</v>
      </c>
      <c r="J1048" s="10" t="n">
        <v>0</v>
      </c>
      <c r="K1048" s="10" t="n">
        <v>0</v>
      </c>
      <c r="L1048" s="10" t="n">
        <v>0</v>
      </c>
      <c r="M1048" s="10" t="n">
        <v>0</v>
      </c>
      <c r="N1048" s="10" t="n">
        <v>0</v>
      </c>
      <c r="O1048" s="10" t="n">
        <v>0</v>
      </c>
      <c r="P1048" s="10" t="n">
        <v>0</v>
      </c>
      <c r="Q1048" s="10" t="n">
        <v>0</v>
      </c>
      <c r="R1048" s="10" t="n">
        <v>0</v>
      </c>
      <c r="S1048" s="10" t="n">
        <v>0</v>
      </c>
      <c r="T1048" s="10" t="n">
        <v>1</v>
      </c>
      <c r="U1048" s="10" t="n">
        <v>0</v>
      </c>
    </row>
    <row r="1049" customFormat="false" ht="15" hidden="false" customHeight="false" outlineLevel="0" collapsed="false">
      <c r="A1049" s="7" t="s">
        <v>931</v>
      </c>
      <c r="B1049" s="7" t="s">
        <v>304</v>
      </c>
      <c r="C1049" s="7" t="s">
        <v>961</v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>
        <v>0</v>
      </c>
      <c r="J1049" s="10" t="n">
        <v>0</v>
      </c>
      <c r="K1049" s="10" t="n">
        <v>0</v>
      </c>
      <c r="L1049" s="10" t="n">
        <v>0</v>
      </c>
      <c r="M1049" s="10" t="n">
        <v>0</v>
      </c>
      <c r="N1049" s="10" t="n">
        <v>0</v>
      </c>
      <c r="O1049" s="10" t="n">
        <v>0</v>
      </c>
      <c r="P1049" s="10" t="n">
        <v>0</v>
      </c>
      <c r="Q1049" s="10" t="n">
        <v>0</v>
      </c>
      <c r="R1049" s="10" t="n">
        <v>0</v>
      </c>
      <c r="S1049" s="10" t="n">
        <v>0</v>
      </c>
      <c r="T1049" s="10" t="n">
        <v>1</v>
      </c>
      <c r="U1049" s="10" t="n">
        <v>0</v>
      </c>
    </row>
    <row r="1050" customFormat="false" ht="15" hidden="false" customHeight="false" outlineLevel="0" collapsed="false">
      <c r="A1050" s="7" t="s">
        <v>931</v>
      </c>
      <c r="B1050" s="7" t="s">
        <v>304</v>
      </c>
      <c r="C1050" s="7" t="s">
        <v>962</v>
      </c>
      <c r="D1050" s="10" t="n">
        <v>0</v>
      </c>
      <c r="E1050" s="10" t="n">
        <v>0</v>
      </c>
      <c r="F1050" s="10" t="n">
        <v>2</v>
      </c>
      <c r="G1050" s="10" t="n">
        <v>0</v>
      </c>
      <c r="H1050" s="10" t="n">
        <v>0</v>
      </c>
      <c r="I1050" s="10" t="n">
        <v>0</v>
      </c>
      <c r="J1050" s="10" t="n">
        <v>0</v>
      </c>
      <c r="K1050" s="10" t="n">
        <v>0</v>
      </c>
      <c r="L1050" s="10" t="n">
        <v>0</v>
      </c>
      <c r="M1050" s="10" t="n">
        <v>0</v>
      </c>
      <c r="N1050" s="10" t="n">
        <v>0</v>
      </c>
      <c r="O1050" s="10" t="n">
        <v>0</v>
      </c>
      <c r="P1050" s="10" t="n">
        <v>0</v>
      </c>
      <c r="Q1050" s="10" t="n">
        <v>0</v>
      </c>
      <c r="R1050" s="10" t="n">
        <v>0</v>
      </c>
      <c r="S1050" s="10" t="n">
        <v>0</v>
      </c>
      <c r="T1050" s="10" t="n">
        <v>4</v>
      </c>
      <c r="U1050" s="10" t="n">
        <v>0</v>
      </c>
    </row>
    <row r="1051" customFormat="false" ht="15" hidden="false" customHeight="false" outlineLevel="0" collapsed="false">
      <c r="A1051" s="7" t="s">
        <v>931</v>
      </c>
      <c r="B1051" s="7" t="s">
        <v>304</v>
      </c>
      <c r="C1051" s="7" t="s">
        <v>963</v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>
        <v>0</v>
      </c>
      <c r="J1051" s="10" t="n">
        <v>0</v>
      </c>
      <c r="K1051" s="10" t="n">
        <v>0</v>
      </c>
      <c r="L1051" s="10" t="n">
        <v>0</v>
      </c>
      <c r="M1051" s="10" t="n">
        <v>0</v>
      </c>
      <c r="N1051" s="10" t="n">
        <v>0</v>
      </c>
      <c r="O1051" s="10" t="n">
        <v>0</v>
      </c>
      <c r="P1051" s="10" t="n">
        <v>0</v>
      </c>
      <c r="Q1051" s="10" t="n">
        <v>0</v>
      </c>
      <c r="R1051" s="10" t="n">
        <v>0</v>
      </c>
      <c r="S1051" s="10" t="n">
        <v>0</v>
      </c>
      <c r="T1051" s="10" t="n">
        <v>1</v>
      </c>
      <c r="U1051" s="10" t="n">
        <v>0</v>
      </c>
    </row>
    <row r="1052" customFormat="false" ht="15" hidden="false" customHeight="false" outlineLevel="0" collapsed="false">
      <c r="A1052" s="7" t="s">
        <v>931</v>
      </c>
      <c r="B1052" s="7" t="s">
        <v>128</v>
      </c>
      <c r="C1052" s="7" t="s">
        <v>907</v>
      </c>
      <c r="D1052" s="10" t="n">
        <v>0</v>
      </c>
      <c r="E1052" s="10" t="n">
        <v>0</v>
      </c>
      <c r="F1052" s="10" t="n">
        <v>161</v>
      </c>
      <c r="G1052" s="10" t="n">
        <v>0</v>
      </c>
      <c r="H1052" s="10" t="n">
        <v>0</v>
      </c>
      <c r="I1052" s="10" t="n">
        <v>926</v>
      </c>
      <c r="J1052" s="10" t="n">
        <v>0</v>
      </c>
      <c r="K1052" s="10" t="n">
        <v>0</v>
      </c>
      <c r="L1052" s="10" t="n">
        <v>0</v>
      </c>
      <c r="M1052" s="10" t="n">
        <v>0</v>
      </c>
      <c r="N1052" s="10" t="n">
        <v>0</v>
      </c>
      <c r="O1052" s="10" t="n">
        <v>0</v>
      </c>
      <c r="P1052" s="10" t="n">
        <v>0</v>
      </c>
      <c r="Q1052" s="10" t="n">
        <v>926</v>
      </c>
      <c r="R1052" s="10" t="n">
        <v>0</v>
      </c>
      <c r="S1052" s="10" t="n">
        <v>0</v>
      </c>
      <c r="T1052" s="10" t="n">
        <v>0</v>
      </c>
      <c r="U1052" s="10" t="n">
        <v>0</v>
      </c>
    </row>
    <row r="1053" customFormat="false" ht="15" hidden="false" customHeight="false" outlineLevel="0" collapsed="false">
      <c r="A1053" s="7" t="s">
        <v>931</v>
      </c>
      <c r="B1053" s="7" t="s">
        <v>128</v>
      </c>
      <c r="C1053" s="7" t="s">
        <v>908</v>
      </c>
      <c r="D1053" s="10" t="n">
        <v>0</v>
      </c>
      <c r="E1053" s="10" t="n">
        <v>0</v>
      </c>
      <c r="F1053" s="10" t="n">
        <v>115</v>
      </c>
      <c r="G1053" s="10" t="n">
        <v>0</v>
      </c>
      <c r="H1053" s="10" t="n">
        <v>0</v>
      </c>
      <c r="I1053" s="10" t="n">
        <v>795</v>
      </c>
      <c r="J1053" s="10" t="n">
        <v>0</v>
      </c>
      <c r="K1053" s="10" t="n">
        <v>0</v>
      </c>
      <c r="L1053" s="10" t="n">
        <v>0</v>
      </c>
      <c r="M1053" s="10" t="n">
        <v>0</v>
      </c>
      <c r="N1053" s="10" t="n">
        <v>0</v>
      </c>
      <c r="O1053" s="10" t="n">
        <v>0</v>
      </c>
      <c r="P1053" s="10" t="n">
        <v>0</v>
      </c>
      <c r="Q1053" s="10" t="n">
        <v>795</v>
      </c>
      <c r="R1053" s="10" t="n">
        <v>0</v>
      </c>
      <c r="S1053" s="10" t="n">
        <v>0</v>
      </c>
      <c r="T1053" s="10" t="n">
        <v>0</v>
      </c>
      <c r="U1053" s="10" t="n">
        <v>0</v>
      </c>
    </row>
    <row r="1054" customFormat="false" ht="15" hidden="false" customHeight="false" outlineLevel="0" collapsed="false">
      <c r="A1054" s="7" t="s">
        <v>931</v>
      </c>
      <c r="B1054" s="7" t="s">
        <v>128</v>
      </c>
      <c r="C1054" s="7" t="s">
        <v>909</v>
      </c>
      <c r="D1054" s="10" t="n">
        <v>0</v>
      </c>
      <c r="E1054" s="10" t="n">
        <v>0</v>
      </c>
      <c r="F1054" s="10" t="n">
        <v>89</v>
      </c>
      <c r="G1054" s="10" t="n">
        <v>0</v>
      </c>
      <c r="H1054" s="10" t="n">
        <v>0</v>
      </c>
      <c r="I1054" s="10" t="n">
        <v>622</v>
      </c>
      <c r="J1054" s="10" t="n">
        <v>0</v>
      </c>
      <c r="K1054" s="10" t="n">
        <v>0</v>
      </c>
      <c r="L1054" s="10" t="n">
        <v>0</v>
      </c>
      <c r="M1054" s="10" t="n">
        <v>0</v>
      </c>
      <c r="N1054" s="10" t="n">
        <v>0</v>
      </c>
      <c r="O1054" s="10" t="n">
        <v>0</v>
      </c>
      <c r="P1054" s="10" t="n">
        <v>0</v>
      </c>
      <c r="Q1054" s="10" t="n">
        <v>622</v>
      </c>
      <c r="R1054" s="10" t="n">
        <v>0</v>
      </c>
      <c r="S1054" s="10" t="n">
        <v>0</v>
      </c>
      <c r="T1054" s="10" t="n">
        <v>0</v>
      </c>
      <c r="U1054" s="10" t="n">
        <v>0</v>
      </c>
    </row>
    <row r="1055" customFormat="false" ht="15" hidden="false" customHeight="false" outlineLevel="0" collapsed="false">
      <c r="A1055" s="7" t="s">
        <v>931</v>
      </c>
      <c r="B1055" s="7" t="s">
        <v>128</v>
      </c>
      <c r="C1055" s="7" t="s">
        <v>910</v>
      </c>
      <c r="D1055" s="10" t="n">
        <v>0</v>
      </c>
      <c r="E1055" s="10" t="n">
        <v>0</v>
      </c>
      <c r="F1055" s="10" t="n">
        <v>46</v>
      </c>
      <c r="G1055" s="10" t="n">
        <v>0</v>
      </c>
      <c r="H1055" s="10" t="n">
        <v>0</v>
      </c>
      <c r="I1055" s="10" t="n">
        <v>504</v>
      </c>
      <c r="J1055" s="10" t="n">
        <v>0</v>
      </c>
      <c r="K1055" s="10" t="n">
        <v>0</v>
      </c>
      <c r="L1055" s="10" t="n">
        <v>0</v>
      </c>
      <c r="M1055" s="10" t="n">
        <v>0</v>
      </c>
      <c r="N1055" s="10" t="n">
        <v>0</v>
      </c>
      <c r="O1055" s="10" t="n">
        <v>0</v>
      </c>
      <c r="P1055" s="10" t="n">
        <v>0</v>
      </c>
      <c r="Q1055" s="10" t="n">
        <v>504</v>
      </c>
      <c r="R1055" s="10" t="n">
        <v>0</v>
      </c>
      <c r="S1055" s="10" t="n">
        <v>0</v>
      </c>
      <c r="T1055" s="10" t="n">
        <v>0</v>
      </c>
      <c r="U1055" s="10" t="n">
        <v>0</v>
      </c>
    </row>
    <row r="1056" customFormat="false" ht="15" hidden="false" customHeight="false" outlineLevel="0" collapsed="false">
      <c r="A1056" s="7" t="s">
        <v>931</v>
      </c>
      <c r="B1056" s="7" t="s">
        <v>106</v>
      </c>
      <c r="C1056" s="7" t="s">
        <v>911</v>
      </c>
      <c r="D1056" s="10" t="n">
        <v>0</v>
      </c>
      <c r="E1056" s="10" t="n">
        <v>0</v>
      </c>
      <c r="F1056" s="10" t="n">
        <v>12</v>
      </c>
      <c r="G1056" s="10" t="n">
        <v>0</v>
      </c>
      <c r="H1056" s="10" t="n">
        <v>0</v>
      </c>
      <c r="I1056" s="10" t="n">
        <v>41</v>
      </c>
      <c r="J1056" s="10" t="n">
        <v>0</v>
      </c>
      <c r="K1056" s="10" t="n">
        <v>0</v>
      </c>
      <c r="L1056" s="10" t="n">
        <v>0</v>
      </c>
      <c r="M1056" s="10" t="n">
        <v>0</v>
      </c>
      <c r="N1056" s="10" t="n">
        <v>0</v>
      </c>
      <c r="O1056" s="10" t="n">
        <v>0</v>
      </c>
      <c r="P1056" s="10" t="n">
        <v>0</v>
      </c>
      <c r="Q1056" s="10" t="n">
        <v>41</v>
      </c>
      <c r="R1056" s="10" t="n">
        <v>0</v>
      </c>
      <c r="S1056" s="10" t="n">
        <v>0</v>
      </c>
      <c r="T1056" s="10" t="n">
        <v>0</v>
      </c>
      <c r="U1056" s="10" t="n">
        <v>0</v>
      </c>
    </row>
    <row r="1057" customFormat="false" ht="15" hidden="false" customHeight="false" outlineLevel="0" collapsed="false">
      <c r="A1057" s="7" t="s">
        <v>931</v>
      </c>
      <c r="B1057" s="7" t="s">
        <v>140</v>
      </c>
      <c r="C1057" s="7" t="s">
        <v>911</v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>
        <v>-57</v>
      </c>
      <c r="J1057" s="10" t="n">
        <v>0</v>
      </c>
      <c r="K1057" s="10" t="n">
        <v>0</v>
      </c>
      <c r="L1057" s="10" t="n">
        <v>0</v>
      </c>
      <c r="M1057" s="10" t="n">
        <v>0</v>
      </c>
      <c r="N1057" s="10" t="n">
        <v>0</v>
      </c>
      <c r="O1057" s="10" t="n">
        <v>0</v>
      </c>
      <c r="P1057" s="10" t="n">
        <v>0</v>
      </c>
      <c r="Q1057" s="10" t="n">
        <v>-57</v>
      </c>
      <c r="R1057" s="10" t="n">
        <v>0</v>
      </c>
      <c r="S1057" s="10" t="n">
        <v>0</v>
      </c>
      <c r="T1057" s="10" t="n">
        <v>0</v>
      </c>
      <c r="U1057" s="10" t="n">
        <v>0</v>
      </c>
    </row>
    <row r="1058" customFormat="false" ht="15" hidden="false" customHeight="false" outlineLevel="0" collapsed="false">
      <c r="A1058" s="7" t="s">
        <v>931</v>
      </c>
      <c r="B1058" s="7" t="s">
        <v>106</v>
      </c>
      <c r="C1058" s="7" t="s">
        <v>912</v>
      </c>
      <c r="D1058" s="10" t="n">
        <v>0</v>
      </c>
      <c r="E1058" s="10" t="n">
        <v>0</v>
      </c>
      <c r="F1058" s="10" t="n">
        <v>6</v>
      </c>
      <c r="G1058" s="10" t="n">
        <v>0</v>
      </c>
      <c r="H1058" s="10" t="n">
        <v>0</v>
      </c>
      <c r="I1058" s="10" t="n">
        <v>48</v>
      </c>
      <c r="J1058" s="10" t="n">
        <v>0</v>
      </c>
      <c r="K1058" s="10" t="n">
        <v>0</v>
      </c>
      <c r="L1058" s="10" t="n">
        <v>0</v>
      </c>
      <c r="M1058" s="10" t="n">
        <v>0</v>
      </c>
      <c r="N1058" s="10" t="n">
        <v>0</v>
      </c>
      <c r="O1058" s="10" t="n">
        <v>0</v>
      </c>
      <c r="P1058" s="10" t="n">
        <v>0</v>
      </c>
      <c r="Q1058" s="10" t="n">
        <v>48</v>
      </c>
      <c r="R1058" s="10" t="n">
        <v>0</v>
      </c>
      <c r="S1058" s="10" t="n">
        <v>0</v>
      </c>
      <c r="T1058" s="10" t="n">
        <v>0</v>
      </c>
      <c r="U1058" s="10" t="n">
        <v>0</v>
      </c>
    </row>
    <row r="1059" customFormat="false" ht="15" hidden="false" customHeight="false" outlineLevel="0" collapsed="false">
      <c r="A1059" s="7" t="s">
        <v>931</v>
      </c>
      <c r="B1059" s="7" t="s">
        <v>121</v>
      </c>
      <c r="C1059" s="7" t="s">
        <v>912</v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>
        <v>118</v>
      </c>
      <c r="J1059" s="10" t="n">
        <v>0</v>
      </c>
      <c r="K1059" s="10" t="n">
        <v>0</v>
      </c>
      <c r="L1059" s="10" t="n">
        <v>0</v>
      </c>
      <c r="M1059" s="10" t="n">
        <v>0</v>
      </c>
      <c r="N1059" s="10" t="n">
        <v>0</v>
      </c>
      <c r="O1059" s="10" t="n">
        <v>0</v>
      </c>
      <c r="P1059" s="10" t="n">
        <v>0</v>
      </c>
      <c r="Q1059" s="10" t="n">
        <v>118</v>
      </c>
      <c r="R1059" s="10" t="n">
        <v>0</v>
      </c>
      <c r="S1059" s="10" t="n">
        <v>0</v>
      </c>
      <c r="T1059" s="10" t="n">
        <v>6</v>
      </c>
      <c r="U1059" s="10" t="n">
        <v>0</v>
      </c>
    </row>
    <row r="1060" customFormat="false" ht="15" hidden="false" customHeight="false" outlineLevel="0" collapsed="false">
      <c r="A1060" s="7" t="s">
        <v>931</v>
      </c>
      <c r="B1060" s="7" t="s">
        <v>98</v>
      </c>
      <c r="C1060" s="7" t="s">
        <v>913</v>
      </c>
      <c r="D1060" s="10" t="n">
        <v>0</v>
      </c>
      <c r="E1060" s="10" t="n">
        <v>0</v>
      </c>
      <c r="F1060" s="10" t="n">
        <v>341</v>
      </c>
      <c r="G1060" s="10" t="n">
        <v>0</v>
      </c>
      <c r="H1060" s="10" t="n">
        <v>0</v>
      </c>
      <c r="I1060" s="10" t="n">
        <v>1283</v>
      </c>
      <c r="J1060" s="10" t="n">
        <v>0</v>
      </c>
      <c r="K1060" s="10" t="n">
        <v>0</v>
      </c>
      <c r="L1060" s="10" t="n">
        <v>0</v>
      </c>
      <c r="M1060" s="10" t="n">
        <v>0</v>
      </c>
      <c r="N1060" s="10" t="n">
        <v>0</v>
      </c>
      <c r="O1060" s="10" t="n">
        <v>0</v>
      </c>
      <c r="P1060" s="10" t="n">
        <v>0</v>
      </c>
      <c r="Q1060" s="10" t="n">
        <v>1283</v>
      </c>
      <c r="R1060" s="10" t="n">
        <v>0</v>
      </c>
      <c r="S1060" s="10" t="n">
        <v>0</v>
      </c>
      <c r="T1060" s="10" t="n">
        <v>156</v>
      </c>
      <c r="U1060" s="10" t="n">
        <v>0</v>
      </c>
    </row>
    <row r="1061" customFormat="false" ht="15" hidden="false" customHeight="false" outlineLevel="0" collapsed="false">
      <c r="A1061" s="7" t="s">
        <v>931</v>
      </c>
      <c r="B1061" s="7" t="s">
        <v>157</v>
      </c>
      <c r="C1061" s="7" t="s">
        <v>914</v>
      </c>
      <c r="D1061" s="10" t="n">
        <v>0</v>
      </c>
      <c r="E1061" s="10" t="n">
        <v>0</v>
      </c>
      <c r="F1061" s="10" t="n">
        <v>20</v>
      </c>
      <c r="G1061" s="10" t="n">
        <v>0</v>
      </c>
      <c r="H1061" s="10" t="n">
        <v>0</v>
      </c>
      <c r="I1061" s="10" t="n">
        <v>62</v>
      </c>
      <c r="J1061" s="10" t="n">
        <v>0</v>
      </c>
      <c r="K1061" s="10" t="n">
        <v>0</v>
      </c>
      <c r="L1061" s="10" t="n">
        <v>0</v>
      </c>
      <c r="M1061" s="10" t="n">
        <v>0</v>
      </c>
      <c r="N1061" s="10" t="n">
        <v>0</v>
      </c>
      <c r="O1061" s="10" t="n">
        <v>0</v>
      </c>
      <c r="P1061" s="10" t="n">
        <v>0</v>
      </c>
      <c r="Q1061" s="10" t="n">
        <v>62</v>
      </c>
      <c r="R1061" s="10" t="n">
        <v>0</v>
      </c>
      <c r="S1061" s="10" t="n">
        <v>0</v>
      </c>
      <c r="T1061" s="10" t="n">
        <v>0</v>
      </c>
      <c r="U1061" s="10" t="n">
        <v>0</v>
      </c>
    </row>
    <row r="1062" customFormat="false" ht="15" hidden="false" customHeight="false" outlineLevel="0" collapsed="false">
      <c r="A1062" s="7" t="s">
        <v>931</v>
      </c>
      <c r="B1062" s="7" t="s">
        <v>45</v>
      </c>
      <c r="C1062" s="7" t="s">
        <v>964</v>
      </c>
      <c r="D1062" s="10" t="n">
        <v>0</v>
      </c>
      <c r="E1062" s="10" t="n">
        <v>0</v>
      </c>
      <c r="F1062" s="10" t="n">
        <v>116</v>
      </c>
      <c r="G1062" s="10" t="n">
        <v>0</v>
      </c>
      <c r="H1062" s="10" t="n">
        <v>0</v>
      </c>
      <c r="I1062" s="10" t="n">
        <v>427</v>
      </c>
      <c r="J1062" s="10" t="n">
        <v>0</v>
      </c>
      <c r="K1062" s="10" t="n">
        <v>0</v>
      </c>
      <c r="L1062" s="10" t="n">
        <v>0</v>
      </c>
      <c r="M1062" s="10" t="n">
        <v>0</v>
      </c>
      <c r="N1062" s="10" t="n">
        <v>0</v>
      </c>
      <c r="O1062" s="10" t="n">
        <v>0</v>
      </c>
      <c r="P1062" s="10" t="n">
        <v>0</v>
      </c>
      <c r="Q1062" s="10" t="n">
        <v>427</v>
      </c>
      <c r="R1062" s="10" t="n">
        <v>0</v>
      </c>
      <c r="S1062" s="10" t="n">
        <v>0</v>
      </c>
      <c r="T1062" s="10" t="n">
        <v>102</v>
      </c>
      <c r="U1062" s="10" t="n">
        <v>0</v>
      </c>
    </row>
    <row r="1063" customFormat="false" ht="15" hidden="false" customHeight="false" outlineLevel="0" collapsed="false">
      <c r="A1063" s="7" t="s">
        <v>931</v>
      </c>
      <c r="B1063" s="7" t="s">
        <v>45</v>
      </c>
      <c r="C1063" s="7" t="s">
        <v>965</v>
      </c>
      <c r="D1063" s="10" t="n">
        <v>0</v>
      </c>
      <c r="E1063" s="10" t="n">
        <v>0</v>
      </c>
      <c r="F1063" s="10" t="n">
        <v>190</v>
      </c>
      <c r="G1063" s="10" t="n">
        <v>0</v>
      </c>
      <c r="H1063" s="10" t="n">
        <v>0</v>
      </c>
      <c r="I1063" s="10" t="n">
        <v>647</v>
      </c>
      <c r="J1063" s="10" t="n">
        <v>0</v>
      </c>
      <c r="K1063" s="10" t="n">
        <v>0</v>
      </c>
      <c r="L1063" s="10" t="n">
        <v>0</v>
      </c>
      <c r="M1063" s="10" t="n">
        <v>0</v>
      </c>
      <c r="N1063" s="10" t="n">
        <v>0</v>
      </c>
      <c r="O1063" s="10" t="n">
        <v>0</v>
      </c>
      <c r="P1063" s="10" t="n">
        <v>0</v>
      </c>
      <c r="Q1063" s="10" t="n">
        <v>647</v>
      </c>
      <c r="R1063" s="10" t="n">
        <v>0</v>
      </c>
      <c r="S1063" s="10" t="n">
        <v>0</v>
      </c>
      <c r="T1063" s="10" t="n">
        <v>147</v>
      </c>
      <c r="U1063" s="10" t="n">
        <v>0</v>
      </c>
    </row>
    <row r="1064" customFormat="false" ht="15" hidden="false" customHeight="false" outlineLevel="0" collapsed="false">
      <c r="A1064" s="7" t="s">
        <v>931</v>
      </c>
      <c r="B1064" s="7" t="s">
        <v>45</v>
      </c>
      <c r="C1064" s="7" t="s">
        <v>966</v>
      </c>
      <c r="D1064" s="10" t="n">
        <v>0</v>
      </c>
      <c r="E1064" s="10" t="n">
        <v>0</v>
      </c>
      <c r="F1064" s="10" t="n">
        <v>150</v>
      </c>
      <c r="G1064" s="10" t="n">
        <v>0</v>
      </c>
      <c r="H1064" s="10" t="n">
        <v>0</v>
      </c>
      <c r="I1064" s="10" t="n">
        <v>478</v>
      </c>
      <c r="J1064" s="10" t="n">
        <v>0</v>
      </c>
      <c r="K1064" s="10" t="n">
        <v>0</v>
      </c>
      <c r="L1064" s="10" t="n">
        <v>0</v>
      </c>
      <c r="M1064" s="10" t="n">
        <v>0</v>
      </c>
      <c r="N1064" s="10" t="n">
        <v>0</v>
      </c>
      <c r="O1064" s="10" t="n">
        <v>0</v>
      </c>
      <c r="P1064" s="10" t="n">
        <v>0</v>
      </c>
      <c r="Q1064" s="10" t="n">
        <v>478</v>
      </c>
      <c r="R1064" s="10" t="n">
        <v>0</v>
      </c>
      <c r="S1064" s="10" t="n">
        <v>0</v>
      </c>
      <c r="T1064" s="10" t="n">
        <v>167</v>
      </c>
      <c r="U1064" s="10" t="n">
        <v>0</v>
      </c>
    </row>
    <row r="1065" customFormat="false" ht="15" hidden="false" customHeight="false" outlineLevel="0" collapsed="false">
      <c r="A1065" s="7" t="s">
        <v>931</v>
      </c>
      <c r="B1065" s="7" t="s">
        <v>292</v>
      </c>
      <c r="C1065" s="7" t="s">
        <v>967</v>
      </c>
      <c r="D1065" s="10" t="n">
        <v>0</v>
      </c>
      <c r="E1065" s="10" t="n">
        <v>0</v>
      </c>
      <c r="F1065" s="10" t="n">
        <v>16</v>
      </c>
      <c r="G1065" s="10" t="n">
        <v>0</v>
      </c>
      <c r="H1065" s="10" t="n">
        <v>5</v>
      </c>
      <c r="I1065" s="10" t="n">
        <v>0</v>
      </c>
      <c r="J1065" s="10" t="n">
        <v>0</v>
      </c>
      <c r="K1065" s="10" t="n">
        <v>0</v>
      </c>
      <c r="L1065" s="10" t="n">
        <v>0</v>
      </c>
      <c r="M1065" s="10" t="n">
        <v>0</v>
      </c>
      <c r="N1065" s="10" t="n">
        <v>0</v>
      </c>
      <c r="O1065" s="10" t="n">
        <v>0</v>
      </c>
      <c r="P1065" s="10" t="n">
        <v>0</v>
      </c>
      <c r="Q1065" s="10" t="n">
        <v>0</v>
      </c>
      <c r="R1065" s="10" t="n">
        <v>0</v>
      </c>
      <c r="S1065" s="10" t="n">
        <v>0</v>
      </c>
      <c r="T1065" s="10" t="n">
        <v>0</v>
      </c>
      <c r="U1065" s="10" t="n">
        <v>0</v>
      </c>
    </row>
    <row r="1066" customFormat="false" ht="15" hidden="false" customHeight="false" outlineLevel="0" collapsed="false">
      <c r="A1066" s="7" t="s">
        <v>931</v>
      </c>
      <c r="B1066" s="7" t="s">
        <v>292</v>
      </c>
      <c r="C1066" s="7" t="s">
        <v>968</v>
      </c>
      <c r="D1066" s="10" t="n">
        <v>0</v>
      </c>
      <c r="E1066" s="10" t="n">
        <v>0</v>
      </c>
      <c r="F1066" s="10" t="n">
        <v>11</v>
      </c>
      <c r="G1066" s="10" t="n">
        <v>0</v>
      </c>
      <c r="H1066" s="10" t="n">
        <v>5</v>
      </c>
      <c r="I1066" s="10" t="n">
        <v>0</v>
      </c>
      <c r="J1066" s="10" t="n">
        <v>0</v>
      </c>
      <c r="K1066" s="10" t="n">
        <v>0</v>
      </c>
      <c r="L1066" s="10" t="n">
        <v>0</v>
      </c>
      <c r="M1066" s="10" t="n">
        <v>0</v>
      </c>
      <c r="N1066" s="10" t="n">
        <v>0</v>
      </c>
      <c r="O1066" s="10" t="n">
        <v>0</v>
      </c>
      <c r="P1066" s="10" t="n">
        <v>0</v>
      </c>
      <c r="Q1066" s="10" t="n">
        <v>0</v>
      </c>
      <c r="R1066" s="10" t="n">
        <v>0</v>
      </c>
      <c r="S1066" s="10" t="n">
        <v>0</v>
      </c>
      <c r="T1066" s="10" t="n">
        <v>0</v>
      </c>
      <c r="U1066" s="10" t="n">
        <v>0</v>
      </c>
    </row>
    <row r="1067" customFormat="false" ht="15" hidden="false" customHeight="false" outlineLevel="0" collapsed="false">
      <c r="A1067" s="7" t="s">
        <v>931</v>
      </c>
      <c r="B1067" s="7" t="s">
        <v>271</v>
      </c>
      <c r="C1067" s="7" t="s">
        <v>915</v>
      </c>
      <c r="D1067" s="10" t="n">
        <v>0</v>
      </c>
      <c r="E1067" s="10" t="n">
        <v>0</v>
      </c>
      <c r="F1067" s="10" t="n">
        <v>177</v>
      </c>
      <c r="G1067" s="10" t="n">
        <v>0</v>
      </c>
      <c r="H1067" s="10" t="n">
        <v>2</v>
      </c>
      <c r="I1067" s="10" t="n">
        <v>0</v>
      </c>
      <c r="J1067" s="10" t="n">
        <v>0</v>
      </c>
      <c r="K1067" s="10" t="n">
        <v>0</v>
      </c>
      <c r="L1067" s="10" t="n">
        <v>0</v>
      </c>
      <c r="M1067" s="10" t="n">
        <v>0</v>
      </c>
      <c r="N1067" s="10" t="n">
        <v>0</v>
      </c>
      <c r="O1067" s="10" t="n">
        <v>0</v>
      </c>
      <c r="P1067" s="10" t="n">
        <v>0</v>
      </c>
      <c r="Q1067" s="10" t="n">
        <v>0</v>
      </c>
      <c r="R1067" s="10" t="n">
        <v>0</v>
      </c>
      <c r="S1067" s="10" t="n">
        <v>0</v>
      </c>
      <c r="T1067" s="10" t="n">
        <v>0</v>
      </c>
      <c r="U1067" s="10" t="n">
        <v>0</v>
      </c>
    </row>
    <row r="1068" customFormat="false" ht="15" hidden="false" customHeight="false" outlineLevel="0" collapsed="false">
      <c r="A1068" s="7" t="s">
        <v>931</v>
      </c>
      <c r="B1068" s="7" t="s">
        <v>219</v>
      </c>
      <c r="C1068" s="7" t="s">
        <v>520</v>
      </c>
      <c r="D1068" s="10" t="n">
        <v>0</v>
      </c>
      <c r="E1068" s="10" t="n">
        <v>0</v>
      </c>
      <c r="F1068" s="10" t="n">
        <v>32</v>
      </c>
      <c r="G1068" s="10" t="n">
        <v>0</v>
      </c>
      <c r="H1068" s="10" t="n">
        <v>0</v>
      </c>
      <c r="I1068" s="10" t="n">
        <v>26</v>
      </c>
      <c r="J1068" s="10" t="n">
        <v>0</v>
      </c>
      <c r="K1068" s="10" t="n">
        <v>0</v>
      </c>
      <c r="L1068" s="10" t="n">
        <v>0</v>
      </c>
      <c r="M1068" s="10" t="n">
        <v>0</v>
      </c>
      <c r="N1068" s="10" t="n">
        <v>0</v>
      </c>
      <c r="O1068" s="10" t="n">
        <v>0</v>
      </c>
      <c r="P1068" s="10" t="n">
        <v>0</v>
      </c>
      <c r="Q1068" s="10" t="n">
        <v>26</v>
      </c>
      <c r="R1068" s="10" t="n">
        <v>0</v>
      </c>
      <c r="S1068" s="10" t="n">
        <v>0</v>
      </c>
      <c r="T1068" s="10" t="n">
        <v>0</v>
      </c>
      <c r="U1068" s="10" t="n">
        <v>0</v>
      </c>
    </row>
    <row r="1069" customFormat="false" ht="15" hidden="false" customHeight="false" outlineLevel="0" collapsed="false">
      <c r="A1069" s="7" t="s">
        <v>931</v>
      </c>
      <c r="B1069" s="7" t="s">
        <v>122</v>
      </c>
      <c r="C1069" s="7" t="s">
        <v>916</v>
      </c>
      <c r="D1069" s="10" t="n">
        <v>0</v>
      </c>
      <c r="E1069" s="10" t="n">
        <v>0</v>
      </c>
      <c r="F1069" s="10" t="n">
        <v>67</v>
      </c>
      <c r="G1069" s="10" t="n">
        <v>0</v>
      </c>
      <c r="H1069" s="10" t="n">
        <v>0</v>
      </c>
      <c r="I1069" s="10" t="n">
        <v>909</v>
      </c>
      <c r="J1069" s="10" t="n">
        <v>0</v>
      </c>
      <c r="K1069" s="10" t="n">
        <v>0</v>
      </c>
      <c r="L1069" s="10" t="n">
        <v>0</v>
      </c>
      <c r="M1069" s="10" t="n">
        <v>0</v>
      </c>
      <c r="N1069" s="10" t="n">
        <v>0</v>
      </c>
      <c r="O1069" s="10" t="n">
        <v>0</v>
      </c>
      <c r="P1069" s="10" t="n">
        <v>0</v>
      </c>
      <c r="Q1069" s="10" t="n">
        <v>909</v>
      </c>
      <c r="R1069" s="10" t="n">
        <v>0</v>
      </c>
      <c r="S1069" s="10" t="n">
        <v>0</v>
      </c>
      <c r="T1069" s="10" t="n">
        <v>0</v>
      </c>
      <c r="U1069" s="10" t="n">
        <v>0</v>
      </c>
    </row>
    <row r="1070" customFormat="false" ht="15" hidden="false" customHeight="false" outlineLevel="0" collapsed="false">
      <c r="A1070" s="7" t="s">
        <v>931</v>
      </c>
      <c r="B1070" s="7" t="s">
        <v>376</v>
      </c>
      <c r="C1070" s="7" t="s">
        <v>969</v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>
        <v>0</v>
      </c>
      <c r="J1070" s="10" t="n">
        <v>0</v>
      </c>
      <c r="K1070" s="10" t="n">
        <v>0</v>
      </c>
      <c r="L1070" s="10" t="n">
        <v>0</v>
      </c>
      <c r="M1070" s="10" t="n">
        <v>0</v>
      </c>
      <c r="N1070" s="10" t="n">
        <v>0</v>
      </c>
      <c r="O1070" s="10" t="n">
        <v>0</v>
      </c>
      <c r="P1070" s="10" t="n">
        <v>0</v>
      </c>
      <c r="Q1070" s="10" t="n">
        <v>0</v>
      </c>
      <c r="R1070" s="10" t="n">
        <v>0</v>
      </c>
      <c r="S1070" s="10" t="n">
        <v>0</v>
      </c>
      <c r="T1070" s="10" t="n">
        <v>327</v>
      </c>
      <c r="U1070" s="10" t="n">
        <v>0</v>
      </c>
    </row>
    <row r="1071" customFormat="false" ht="15" hidden="false" customHeight="false" outlineLevel="0" collapsed="false">
      <c r="A1071" s="7" t="s">
        <v>931</v>
      </c>
      <c r="B1071" s="7" t="s">
        <v>381</v>
      </c>
      <c r="C1071" s="7" t="s">
        <v>970</v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>
        <v>0</v>
      </c>
      <c r="J1071" s="10" t="n">
        <v>0</v>
      </c>
      <c r="K1071" s="10" t="n">
        <v>0</v>
      </c>
      <c r="L1071" s="10" t="n">
        <v>0</v>
      </c>
      <c r="M1071" s="10" t="n">
        <v>0</v>
      </c>
      <c r="N1071" s="10" t="n">
        <v>0</v>
      </c>
      <c r="O1071" s="10" t="n">
        <v>0</v>
      </c>
      <c r="P1071" s="10" t="n">
        <v>0</v>
      </c>
      <c r="Q1071" s="10" t="n">
        <v>0</v>
      </c>
      <c r="R1071" s="10" t="n">
        <v>0</v>
      </c>
      <c r="S1071" s="10" t="n">
        <v>0</v>
      </c>
      <c r="T1071" s="10" t="n">
        <v>72</v>
      </c>
      <c r="U1071" s="10" t="n">
        <v>0</v>
      </c>
    </row>
    <row r="1072" customFormat="false" ht="15" hidden="false" customHeight="false" outlineLevel="0" collapsed="false">
      <c r="A1072" s="7" t="s">
        <v>931</v>
      </c>
      <c r="B1072" s="7" t="s">
        <v>379</v>
      </c>
      <c r="C1072" s="7" t="s">
        <v>971</v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>
        <v>0</v>
      </c>
      <c r="J1072" s="10" t="n">
        <v>0</v>
      </c>
      <c r="K1072" s="10" t="n">
        <v>0</v>
      </c>
      <c r="L1072" s="10" t="n">
        <v>0</v>
      </c>
      <c r="M1072" s="10" t="n">
        <v>0</v>
      </c>
      <c r="N1072" s="10" t="n">
        <v>0</v>
      </c>
      <c r="O1072" s="10" t="n">
        <v>0</v>
      </c>
      <c r="P1072" s="10" t="n">
        <v>0</v>
      </c>
      <c r="Q1072" s="10" t="n">
        <v>0</v>
      </c>
      <c r="R1072" s="10" t="n">
        <v>0</v>
      </c>
      <c r="S1072" s="10" t="n">
        <v>0</v>
      </c>
      <c r="T1072" s="10" t="n">
        <v>97</v>
      </c>
      <c r="U1072" s="10" t="n">
        <v>0</v>
      </c>
    </row>
    <row r="1073" customFormat="false" ht="15" hidden="false" customHeight="false" outlineLevel="0" collapsed="false">
      <c r="A1073" s="7" t="s">
        <v>931</v>
      </c>
      <c r="B1073" s="7" t="s">
        <v>383</v>
      </c>
      <c r="C1073" s="7" t="s">
        <v>972</v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>
        <v>0</v>
      </c>
      <c r="J1073" s="10" t="n">
        <v>0</v>
      </c>
      <c r="K1073" s="10" t="n">
        <v>0</v>
      </c>
      <c r="L1073" s="10" t="n">
        <v>0</v>
      </c>
      <c r="M1073" s="10" t="n">
        <v>0</v>
      </c>
      <c r="N1073" s="10" t="n">
        <v>0</v>
      </c>
      <c r="O1073" s="10" t="n">
        <v>0</v>
      </c>
      <c r="P1073" s="10" t="n">
        <v>0</v>
      </c>
      <c r="Q1073" s="10" t="n">
        <v>0</v>
      </c>
      <c r="R1073" s="10" t="n">
        <v>0</v>
      </c>
      <c r="S1073" s="10" t="n">
        <v>0</v>
      </c>
      <c r="T1073" s="10" t="n">
        <v>5</v>
      </c>
      <c r="U1073" s="10" t="n">
        <v>0</v>
      </c>
    </row>
    <row r="1074" customFormat="false" ht="15" hidden="false" customHeight="false" outlineLevel="0" collapsed="false">
      <c r="A1074" s="7" t="s">
        <v>931</v>
      </c>
      <c r="B1074" s="7" t="s">
        <v>83</v>
      </c>
      <c r="C1074" s="7" t="s">
        <v>973</v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>
        <v>11</v>
      </c>
      <c r="J1074" s="10" t="n">
        <v>0</v>
      </c>
      <c r="K1074" s="10" t="n">
        <v>0</v>
      </c>
      <c r="L1074" s="10" t="n">
        <v>0</v>
      </c>
      <c r="M1074" s="10" t="n">
        <v>0</v>
      </c>
      <c r="N1074" s="10" t="n">
        <v>0</v>
      </c>
      <c r="O1074" s="10" t="n">
        <v>0</v>
      </c>
      <c r="P1074" s="10" t="n">
        <v>0</v>
      </c>
      <c r="Q1074" s="10" t="n">
        <v>11</v>
      </c>
      <c r="R1074" s="10" t="n">
        <v>0</v>
      </c>
      <c r="S1074" s="10" t="n">
        <v>0</v>
      </c>
      <c r="T1074" s="10" t="n">
        <v>8</v>
      </c>
      <c r="U1074" s="10" t="n">
        <v>0</v>
      </c>
    </row>
    <row r="1075" customFormat="false" ht="15" hidden="false" customHeight="false" outlineLevel="0" collapsed="false">
      <c r="A1075" s="7" t="s">
        <v>931</v>
      </c>
      <c r="B1075" s="7" t="s">
        <v>83</v>
      </c>
      <c r="C1075" s="7" t="s">
        <v>974</v>
      </c>
      <c r="D1075" s="10" t="n">
        <v>0</v>
      </c>
      <c r="E1075" s="10" t="n">
        <v>0</v>
      </c>
      <c r="F1075" s="10" t="n">
        <v>1</v>
      </c>
      <c r="G1075" s="10" t="n">
        <v>0</v>
      </c>
      <c r="H1075" s="10" t="n">
        <v>0</v>
      </c>
      <c r="I1075" s="10" t="n">
        <v>11</v>
      </c>
      <c r="J1075" s="10" t="n">
        <v>0</v>
      </c>
      <c r="K1075" s="10" t="n">
        <v>0</v>
      </c>
      <c r="L1075" s="10" t="n">
        <v>0</v>
      </c>
      <c r="M1075" s="10" t="n">
        <v>0</v>
      </c>
      <c r="N1075" s="10" t="n">
        <v>0</v>
      </c>
      <c r="O1075" s="10" t="n">
        <v>0</v>
      </c>
      <c r="P1075" s="10" t="n">
        <v>0</v>
      </c>
      <c r="Q1075" s="10" t="n">
        <v>11</v>
      </c>
      <c r="R1075" s="10" t="n">
        <v>0</v>
      </c>
      <c r="S1075" s="10" t="n">
        <v>0</v>
      </c>
      <c r="T1075" s="10" t="n">
        <v>2</v>
      </c>
      <c r="U1075" s="10" t="n">
        <v>0</v>
      </c>
    </row>
    <row r="1076" customFormat="false" ht="15" hidden="false" customHeight="false" outlineLevel="0" collapsed="false">
      <c r="A1076" s="7" t="s">
        <v>931</v>
      </c>
      <c r="B1076" s="7" t="s">
        <v>83</v>
      </c>
      <c r="C1076" s="7" t="s">
        <v>975</v>
      </c>
      <c r="D1076" s="10" t="n">
        <v>0</v>
      </c>
      <c r="E1076" s="10" t="n">
        <v>0</v>
      </c>
      <c r="F1076" s="10" t="n">
        <v>1</v>
      </c>
      <c r="G1076" s="10" t="n">
        <v>0</v>
      </c>
      <c r="H1076" s="10" t="n">
        <v>0</v>
      </c>
      <c r="I1076" s="10" t="n">
        <v>13</v>
      </c>
      <c r="J1076" s="10" t="n">
        <v>0</v>
      </c>
      <c r="K1076" s="10" t="n">
        <v>0</v>
      </c>
      <c r="L1076" s="10" t="n">
        <v>0</v>
      </c>
      <c r="M1076" s="10" t="n">
        <v>0</v>
      </c>
      <c r="N1076" s="10" t="n">
        <v>0</v>
      </c>
      <c r="O1076" s="10" t="n">
        <v>0</v>
      </c>
      <c r="P1076" s="10" t="n">
        <v>0</v>
      </c>
      <c r="Q1076" s="10" t="n">
        <v>13</v>
      </c>
      <c r="R1076" s="10" t="n">
        <v>0</v>
      </c>
      <c r="S1076" s="10" t="n">
        <v>0</v>
      </c>
      <c r="T1076" s="10" t="n">
        <v>1</v>
      </c>
      <c r="U1076" s="10" t="n">
        <v>0</v>
      </c>
    </row>
    <row r="1077" customFormat="false" ht="15" hidden="false" customHeight="false" outlineLevel="0" collapsed="false">
      <c r="A1077" s="7" t="s">
        <v>931</v>
      </c>
      <c r="B1077" s="7" t="s">
        <v>83</v>
      </c>
      <c r="C1077" s="7" t="s">
        <v>976</v>
      </c>
      <c r="D1077" s="10" t="n">
        <v>0</v>
      </c>
      <c r="E1077" s="10" t="n">
        <v>0</v>
      </c>
      <c r="F1077" s="10" t="n">
        <v>1</v>
      </c>
      <c r="G1077" s="10" t="n">
        <v>0</v>
      </c>
      <c r="H1077" s="10" t="n">
        <v>0</v>
      </c>
      <c r="I1077" s="10" t="n">
        <v>12</v>
      </c>
      <c r="J1077" s="10" t="n">
        <v>0</v>
      </c>
      <c r="K1077" s="10" t="n">
        <v>0</v>
      </c>
      <c r="L1077" s="10" t="n">
        <v>0</v>
      </c>
      <c r="M1077" s="10" t="n">
        <v>0</v>
      </c>
      <c r="N1077" s="10" t="n">
        <v>0</v>
      </c>
      <c r="O1077" s="10" t="n">
        <v>0</v>
      </c>
      <c r="P1077" s="10" t="n">
        <v>0</v>
      </c>
      <c r="Q1077" s="10" t="n">
        <v>12</v>
      </c>
      <c r="R1077" s="10" t="n">
        <v>0</v>
      </c>
      <c r="S1077" s="10" t="n">
        <v>0</v>
      </c>
      <c r="T1077" s="10" t="n">
        <v>1</v>
      </c>
      <c r="U1077" s="10" t="n">
        <v>0</v>
      </c>
    </row>
    <row r="1078" customFormat="false" ht="15" hidden="false" customHeight="false" outlineLevel="0" collapsed="false">
      <c r="A1078" s="7" t="s">
        <v>931</v>
      </c>
      <c r="B1078" s="7" t="s">
        <v>288</v>
      </c>
      <c r="C1078" s="7" t="s">
        <v>977</v>
      </c>
      <c r="D1078" s="10" t="n">
        <v>0</v>
      </c>
      <c r="E1078" s="10" t="n">
        <v>0</v>
      </c>
      <c r="F1078" s="10" t="n">
        <v>22</v>
      </c>
      <c r="G1078" s="10" t="n">
        <v>0</v>
      </c>
      <c r="H1078" s="10" t="n">
        <v>0</v>
      </c>
      <c r="I1078" s="10" t="n">
        <v>0</v>
      </c>
      <c r="J1078" s="10" t="n">
        <v>0</v>
      </c>
      <c r="K1078" s="10" t="n">
        <v>0</v>
      </c>
      <c r="L1078" s="10" t="n">
        <v>0</v>
      </c>
      <c r="M1078" s="10" t="n">
        <v>0</v>
      </c>
      <c r="N1078" s="10" t="n">
        <v>0</v>
      </c>
      <c r="O1078" s="10" t="n">
        <v>0</v>
      </c>
      <c r="P1078" s="10" t="n">
        <v>0</v>
      </c>
      <c r="Q1078" s="10" t="n">
        <v>0</v>
      </c>
      <c r="R1078" s="10" t="n">
        <v>0</v>
      </c>
      <c r="S1078" s="10" t="n">
        <v>0</v>
      </c>
      <c r="T1078" s="10" t="n">
        <v>0</v>
      </c>
      <c r="U1078" s="10" t="n">
        <v>0</v>
      </c>
    </row>
    <row r="1079" customFormat="false" ht="15" hidden="false" customHeight="false" outlineLevel="0" collapsed="false">
      <c r="A1079" s="7" t="s">
        <v>931</v>
      </c>
      <c r="B1079" s="7" t="s">
        <v>94</v>
      </c>
      <c r="C1079" s="7" t="s">
        <v>978</v>
      </c>
      <c r="D1079" s="10" t="n">
        <v>0</v>
      </c>
      <c r="E1079" s="10" t="n">
        <v>0</v>
      </c>
      <c r="F1079" s="10" t="n">
        <v>2</v>
      </c>
      <c r="G1079" s="10" t="n">
        <v>0</v>
      </c>
      <c r="H1079" s="10" t="n">
        <v>0</v>
      </c>
      <c r="I1079" s="10" t="n">
        <v>22</v>
      </c>
      <c r="J1079" s="10" t="n">
        <v>0</v>
      </c>
      <c r="K1079" s="10" t="n">
        <v>0</v>
      </c>
      <c r="L1079" s="10" t="n">
        <v>0</v>
      </c>
      <c r="M1079" s="10" t="n">
        <v>0</v>
      </c>
      <c r="N1079" s="10" t="n">
        <v>0</v>
      </c>
      <c r="O1079" s="10" t="n">
        <v>0</v>
      </c>
      <c r="P1079" s="10" t="n">
        <v>0</v>
      </c>
      <c r="Q1079" s="10" t="n">
        <v>22</v>
      </c>
      <c r="R1079" s="10" t="n">
        <v>0</v>
      </c>
      <c r="S1079" s="10" t="n">
        <v>0</v>
      </c>
      <c r="T1079" s="10" t="n">
        <v>6</v>
      </c>
      <c r="U1079" s="10" t="n">
        <v>0</v>
      </c>
    </row>
    <row r="1080" customFormat="false" ht="15" hidden="false" customHeight="false" outlineLevel="0" collapsed="false">
      <c r="A1080" s="7" t="s">
        <v>931</v>
      </c>
      <c r="B1080" s="7" t="s">
        <v>94</v>
      </c>
      <c r="C1080" s="7" t="s">
        <v>979</v>
      </c>
      <c r="D1080" s="10" t="n">
        <v>0</v>
      </c>
      <c r="E1080" s="10" t="n">
        <v>0</v>
      </c>
      <c r="F1080" s="10" t="n">
        <v>1</v>
      </c>
      <c r="G1080" s="10" t="n">
        <v>0</v>
      </c>
      <c r="H1080" s="10" t="n">
        <v>0</v>
      </c>
      <c r="I1080" s="10" t="n">
        <v>42</v>
      </c>
      <c r="J1080" s="10" t="n">
        <v>0</v>
      </c>
      <c r="K1080" s="10" t="n">
        <v>0</v>
      </c>
      <c r="L1080" s="10" t="n">
        <v>0</v>
      </c>
      <c r="M1080" s="10" t="n">
        <v>0</v>
      </c>
      <c r="N1080" s="10" t="n">
        <v>0</v>
      </c>
      <c r="O1080" s="10" t="n">
        <v>0</v>
      </c>
      <c r="P1080" s="10" t="n">
        <v>0</v>
      </c>
      <c r="Q1080" s="10" t="n">
        <v>42</v>
      </c>
      <c r="R1080" s="10" t="n">
        <v>0</v>
      </c>
      <c r="S1080" s="10" t="n">
        <v>0</v>
      </c>
      <c r="T1080" s="10" t="n">
        <v>11</v>
      </c>
      <c r="U1080" s="10" t="n">
        <v>0</v>
      </c>
    </row>
    <row r="1081" customFormat="false" ht="15" hidden="false" customHeight="false" outlineLevel="0" collapsed="false">
      <c r="A1081" s="7" t="s">
        <v>931</v>
      </c>
      <c r="B1081" s="7" t="s">
        <v>94</v>
      </c>
      <c r="C1081" s="7" t="s">
        <v>980</v>
      </c>
      <c r="D1081" s="10" t="n">
        <v>0</v>
      </c>
      <c r="E1081" s="10" t="n">
        <v>0</v>
      </c>
      <c r="F1081" s="10" t="n">
        <v>1</v>
      </c>
      <c r="G1081" s="10" t="n">
        <v>0</v>
      </c>
      <c r="H1081" s="10" t="n">
        <v>0</v>
      </c>
      <c r="I1081" s="10" t="n">
        <v>29</v>
      </c>
      <c r="J1081" s="10" t="n">
        <v>0</v>
      </c>
      <c r="K1081" s="10" t="n">
        <v>0</v>
      </c>
      <c r="L1081" s="10" t="n">
        <v>0</v>
      </c>
      <c r="M1081" s="10" t="n">
        <v>0</v>
      </c>
      <c r="N1081" s="10" t="n">
        <v>0</v>
      </c>
      <c r="O1081" s="10" t="n">
        <v>0</v>
      </c>
      <c r="P1081" s="10" t="n">
        <v>0</v>
      </c>
      <c r="Q1081" s="10" t="n">
        <v>29</v>
      </c>
      <c r="R1081" s="10" t="n">
        <v>0</v>
      </c>
      <c r="S1081" s="10" t="n">
        <v>0</v>
      </c>
      <c r="T1081" s="10" t="n">
        <v>5</v>
      </c>
      <c r="U1081" s="10" t="n">
        <v>0</v>
      </c>
    </row>
    <row r="1082" customFormat="false" ht="15" hidden="false" customHeight="false" outlineLevel="0" collapsed="false">
      <c r="A1082" s="7" t="s">
        <v>931</v>
      </c>
      <c r="B1082" s="7" t="s">
        <v>107</v>
      </c>
      <c r="C1082" s="7" t="s">
        <v>981</v>
      </c>
      <c r="D1082" s="10" t="n">
        <v>0</v>
      </c>
      <c r="E1082" s="10" t="n">
        <v>0</v>
      </c>
      <c r="F1082" s="10" t="n">
        <v>1</v>
      </c>
      <c r="G1082" s="10" t="n">
        <v>0</v>
      </c>
      <c r="H1082" s="10" t="n">
        <v>0</v>
      </c>
      <c r="I1082" s="10" t="n">
        <v>23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n">
        <v>0</v>
      </c>
      <c r="O1082" s="10" t="n">
        <v>0</v>
      </c>
      <c r="P1082" s="10" t="n">
        <v>0</v>
      </c>
      <c r="Q1082" s="10" t="n">
        <v>23</v>
      </c>
      <c r="R1082" s="10" t="n">
        <v>0</v>
      </c>
      <c r="S1082" s="10" t="n">
        <v>0</v>
      </c>
      <c r="T1082" s="10" t="n">
        <v>9</v>
      </c>
      <c r="U1082" s="10" t="n">
        <v>0</v>
      </c>
    </row>
    <row r="1083" customFormat="false" ht="15" hidden="false" customHeight="false" outlineLevel="0" collapsed="false">
      <c r="A1083" s="7" t="s">
        <v>931</v>
      </c>
      <c r="B1083" s="7" t="s">
        <v>107</v>
      </c>
      <c r="C1083" s="7" t="s">
        <v>982</v>
      </c>
      <c r="D1083" s="10" t="n">
        <v>0</v>
      </c>
      <c r="E1083" s="10" t="n">
        <v>0</v>
      </c>
      <c r="F1083" s="10" t="n">
        <v>1</v>
      </c>
      <c r="G1083" s="10" t="n">
        <v>0</v>
      </c>
      <c r="H1083" s="10" t="n">
        <v>0</v>
      </c>
      <c r="I1083" s="10" t="n">
        <v>41</v>
      </c>
      <c r="J1083" s="10" t="n">
        <v>0</v>
      </c>
      <c r="K1083" s="10" t="n">
        <v>0</v>
      </c>
      <c r="L1083" s="10" t="n">
        <v>0</v>
      </c>
      <c r="M1083" s="10" t="n">
        <v>0</v>
      </c>
      <c r="N1083" s="10" t="n">
        <v>0</v>
      </c>
      <c r="O1083" s="10" t="n">
        <v>0</v>
      </c>
      <c r="P1083" s="10" t="n">
        <v>0</v>
      </c>
      <c r="Q1083" s="10" t="n">
        <v>41</v>
      </c>
      <c r="R1083" s="10" t="n">
        <v>0</v>
      </c>
      <c r="S1083" s="10" t="n">
        <v>0</v>
      </c>
      <c r="T1083" s="10" t="n">
        <v>14</v>
      </c>
      <c r="U1083" s="10" t="n">
        <v>0</v>
      </c>
    </row>
    <row r="1084" customFormat="false" ht="15" hidden="false" customHeight="false" outlineLevel="0" collapsed="false">
      <c r="A1084" s="7" t="s">
        <v>931</v>
      </c>
      <c r="B1084" s="7" t="s">
        <v>126</v>
      </c>
      <c r="C1084" s="7" t="s">
        <v>983</v>
      </c>
      <c r="D1084" s="10" t="n">
        <v>0</v>
      </c>
      <c r="E1084" s="10" t="n">
        <v>0</v>
      </c>
      <c r="F1084" s="10" t="n">
        <v>2</v>
      </c>
      <c r="G1084" s="10" t="n">
        <v>0</v>
      </c>
      <c r="H1084" s="10" t="n">
        <v>0</v>
      </c>
      <c r="I1084" s="10" t="n">
        <v>31</v>
      </c>
      <c r="J1084" s="10" t="n">
        <v>0</v>
      </c>
      <c r="K1084" s="10" t="n">
        <v>0</v>
      </c>
      <c r="L1084" s="10" t="n">
        <v>0</v>
      </c>
      <c r="M1084" s="10" t="n">
        <v>0</v>
      </c>
      <c r="N1084" s="10" t="n">
        <v>0</v>
      </c>
      <c r="O1084" s="10" t="n">
        <v>0</v>
      </c>
      <c r="P1084" s="10" t="n">
        <v>0</v>
      </c>
      <c r="Q1084" s="10" t="n">
        <v>31</v>
      </c>
      <c r="R1084" s="10" t="n">
        <v>0</v>
      </c>
      <c r="S1084" s="10" t="n">
        <v>0</v>
      </c>
      <c r="T1084" s="10" t="n">
        <v>8</v>
      </c>
      <c r="U1084" s="10" t="n">
        <v>0</v>
      </c>
    </row>
    <row r="1085" customFormat="false" ht="15" hidden="false" customHeight="false" outlineLevel="0" collapsed="false">
      <c r="A1085" s="7" t="s">
        <v>931</v>
      </c>
      <c r="B1085" s="7" t="s">
        <v>38</v>
      </c>
      <c r="C1085" s="7" t="s">
        <v>917</v>
      </c>
      <c r="D1085" s="10" t="n">
        <v>0</v>
      </c>
      <c r="E1085" s="10" t="n">
        <v>0</v>
      </c>
      <c r="F1085" s="10" t="n">
        <v>8</v>
      </c>
      <c r="G1085" s="10" t="n">
        <v>0</v>
      </c>
      <c r="H1085" s="10" t="n">
        <v>0</v>
      </c>
      <c r="I1085" s="10" t="n">
        <v>37</v>
      </c>
      <c r="J1085" s="10" t="n">
        <v>0</v>
      </c>
      <c r="K1085" s="10" t="n">
        <v>0</v>
      </c>
      <c r="L1085" s="10" t="n">
        <v>0</v>
      </c>
      <c r="M1085" s="10" t="n">
        <v>0</v>
      </c>
      <c r="N1085" s="10" t="n">
        <v>0</v>
      </c>
      <c r="O1085" s="10" t="n">
        <v>0</v>
      </c>
      <c r="P1085" s="10" t="n">
        <v>0</v>
      </c>
      <c r="Q1085" s="10" t="n">
        <v>37</v>
      </c>
      <c r="R1085" s="10" t="n">
        <v>0</v>
      </c>
      <c r="S1085" s="10" t="n">
        <v>0</v>
      </c>
      <c r="T1085" s="10" t="n">
        <v>0</v>
      </c>
      <c r="U1085" s="10" t="n">
        <v>0</v>
      </c>
    </row>
    <row r="1086" customFormat="false" ht="15" hidden="false" customHeight="false" outlineLevel="0" collapsed="false">
      <c r="A1086" s="7" t="s">
        <v>931</v>
      </c>
      <c r="B1086" s="7" t="s">
        <v>38</v>
      </c>
      <c r="C1086" s="7" t="s">
        <v>918</v>
      </c>
      <c r="D1086" s="10" t="n">
        <v>0</v>
      </c>
      <c r="E1086" s="10" t="n">
        <v>0</v>
      </c>
      <c r="F1086" s="10" t="n">
        <v>7</v>
      </c>
      <c r="G1086" s="10" t="n">
        <v>0</v>
      </c>
      <c r="H1086" s="10" t="n">
        <v>0</v>
      </c>
      <c r="I1086" s="10" t="n">
        <v>128</v>
      </c>
      <c r="J1086" s="10" t="n">
        <v>0</v>
      </c>
      <c r="K1086" s="10" t="n">
        <v>0</v>
      </c>
      <c r="L1086" s="10" t="n">
        <v>0</v>
      </c>
      <c r="M1086" s="10" t="n">
        <v>0</v>
      </c>
      <c r="N1086" s="10" t="n">
        <v>0</v>
      </c>
      <c r="O1086" s="10" t="n">
        <v>0</v>
      </c>
      <c r="P1086" s="10" t="n">
        <v>0</v>
      </c>
      <c r="Q1086" s="10" t="n">
        <v>128</v>
      </c>
      <c r="R1086" s="10" t="n">
        <v>0</v>
      </c>
      <c r="S1086" s="10" t="n">
        <v>0</v>
      </c>
      <c r="T1086" s="10" t="n">
        <v>0</v>
      </c>
      <c r="U1086" s="10" t="n">
        <v>0</v>
      </c>
    </row>
    <row r="1087" customFormat="false" ht="15" hidden="false" customHeight="false" outlineLevel="0" collapsed="false">
      <c r="A1087" s="7" t="s">
        <v>931</v>
      </c>
      <c r="B1087" s="7" t="s">
        <v>38</v>
      </c>
      <c r="C1087" s="7" t="s">
        <v>919</v>
      </c>
      <c r="D1087" s="10" t="n">
        <v>0</v>
      </c>
      <c r="E1087" s="10" t="n">
        <v>0</v>
      </c>
      <c r="F1087" s="10" t="n">
        <v>11</v>
      </c>
      <c r="G1087" s="10" t="n">
        <v>0</v>
      </c>
      <c r="H1087" s="10" t="n">
        <v>0</v>
      </c>
      <c r="I1087" s="10" t="n">
        <v>316</v>
      </c>
      <c r="J1087" s="10" t="n">
        <v>0</v>
      </c>
      <c r="K1087" s="10" t="n">
        <v>0</v>
      </c>
      <c r="L1087" s="10" t="n">
        <v>0</v>
      </c>
      <c r="M1087" s="10" t="n">
        <v>0</v>
      </c>
      <c r="N1087" s="10" t="n">
        <v>0</v>
      </c>
      <c r="O1087" s="10" t="n">
        <v>0</v>
      </c>
      <c r="P1087" s="10" t="n">
        <v>0</v>
      </c>
      <c r="Q1087" s="10" t="n">
        <v>316</v>
      </c>
      <c r="R1087" s="10" t="n">
        <v>0</v>
      </c>
      <c r="S1087" s="10" t="n">
        <v>0</v>
      </c>
      <c r="T1087" s="10" t="n">
        <v>0</v>
      </c>
      <c r="U1087" s="10" t="n">
        <v>0</v>
      </c>
    </row>
    <row r="1088" customFormat="false" ht="15" hidden="false" customHeight="false" outlineLevel="0" collapsed="false">
      <c r="A1088" s="7" t="s">
        <v>931</v>
      </c>
      <c r="B1088" s="7" t="s">
        <v>39</v>
      </c>
      <c r="C1088" s="7" t="s">
        <v>920</v>
      </c>
      <c r="D1088" s="10" t="n">
        <v>0</v>
      </c>
      <c r="E1088" s="10" t="n">
        <v>0</v>
      </c>
      <c r="F1088" s="10" t="n">
        <v>8</v>
      </c>
      <c r="G1088" s="10" t="n">
        <v>0</v>
      </c>
      <c r="H1088" s="10" t="n">
        <v>0</v>
      </c>
      <c r="I1088" s="10" t="n">
        <v>38</v>
      </c>
      <c r="J1088" s="10" t="n">
        <v>0</v>
      </c>
      <c r="K1088" s="10" t="n">
        <v>0</v>
      </c>
      <c r="L1088" s="10" t="n">
        <v>0</v>
      </c>
      <c r="M1088" s="10" t="n">
        <v>0</v>
      </c>
      <c r="N1088" s="10" t="n">
        <v>0</v>
      </c>
      <c r="O1088" s="10" t="n">
        <v>0</v>
      </c>
      <c r="P1088" s="10" t="n">
        <v>0</v>
      </c>
      <c r="Q1088" s="10" t="n">
        <v>38</v>
      </c>
      <c r="R1088" s="10" t="n">
        <v>0</v>
      </c>
      <c r="S1088" s="10" t="n">
        <v>0</v>
      </c>
      <c r="T1088" s="10" t="n">
        <v>0</v>
      </c>
      <c r="U1088" s="10" t="n">
        <v>0</v>
      </c>
    </row>
    <row r="1089" customFormat="false" ht="15" hidden="false" customHeight="false" outlineLevel="0" collapsed="false">
      <c r="A1089" s="7" t="s">
        <v>931</v>
      </c>
      <c r="B1089" s="7" t="s">
        <v>40</v>
      </c>
      <c r="C1089" s="7" t="s">
        <v>920</v>
      </c>
      <c r="D1089" s="10" t="n">
        <v>0</v>
      </c>
      <c r="E1089" s="10" t="n">
        <v>0</v>
      </c>
      <c r="F1089" s="10" t="n">
        <v>10</v>
      </c>
      <c r="G1089" s="10" t="n">
        <v>0</v>
      </c>
      <c r="H1089" s="10" t="n">
        <v>0</v>
      </c>
      <c r="I1089" s="10" t="n">
        <v>144</v>
      </c>
      <c r="J1089" s="10" t="n">
        <v>0</v>
      </c>
      <c r="K1089" s="10" t="n">
        <v>0</v>
      </c>
      <c r="L1089" s="10" t="n">
        <v>0</v>
      </c>
      <c r="M1089" s="10" t="n">
        <v>0</v>
      </c>
      <c r="N1089" s="10" t="n">
        <v>0</v>
      </c>
      <c r="O1089" s="10" t="n">
        <v>0</v>
      </c>
      <c r="P1089" s="10" t="n">
        <v>0</v>
      </c>
      <c r="Q1089" s="10" t="n">
        <v>144</v>
      </c>
      <c r="R1089" s="10" t="n">
        <v>0</v>
      </c>
      <c r="S1089" s="10" t="n">
        <v>0</v>
      </c>
      <c r="T1089" s="10" t="n">
        <v>0</v>
      </c>
      <c r="U1089" s="10" t="n">
        <v>0</v>
      </c>
    </row>
    <row r="1090" customFormat="false" ht="15" hidden="false" customHeight="false" outlineLevel="0" collapsed="false">
      <c r="A1090" s="7" t="s">
        <v>931</v>
      </c>
      <c r="B1090" s="7" t="s">
        <v>41</v>
      </c>
      <c r="C1090" s="7" t="s">
        <v>920</v>
      </c>
      <c r="D1090" s="10" t="n">
        <v>0</v>
      </c>
      <c r="E1090" s="10" t="n">
        <v>0</v>
      </c>
      <c r="F1090" s="10" t="n">
        <v>9</v>
      </c>
      <c r="G1090" s="10" t="n">
        <v>0</v>
      </c>
      <c r="H1090" s="10" t="n">
        <v>0</v>
      </c>
      <c r="I1090" s="10" t="n">
        <v>236</v>
      </c>
      <c r="J1090" s="10" t="n">
        <v>0</v>
      </c>
      <c r="K1090" s="10" t="n">
        <v>0</v>
      </c>
      <c r="L1090" s="10" t="n">
        <v>0</v>
      </c>
      <c r="M1090" s="10" t="n">
        <v>0</v>
      </c>
      <c r="N1090" s="10" t="n">
        <v>0</v>
      </c>
      <c r="O1090" s="10" t="n">
        <v>0</v>
      </c>
      <c r="P1090" s="10" t="n">
        <v>0</v>
      </c>
      <c r="Q1090" s="10" t="n">
        <v>236</v>
      </c>
      <c r="R1090" s="10" t="n">
        <v>0</v>
      </c>
      <c r="S1090" s="10" t="n">
        <v>0</v>
      </c>
      <c r="T1090" s="10" t="n">
        <v>0</v>
      </c>
      <c r="U1090" s="10" t="n">
        <v>0</v>
      </c>
    </row>
    <row r="1091" customFormat="false" ht="15" hidden="false" customHeight="false" outlineLevel="0" collapsed="false">
      <c r="A1091" s="7" t="s">
        <v>931</v>
      </c>
      <c r="B1091" s="7" t="s">
        <v>39</v>
      </c>
      <c r="C1091" s="7" t="s">
        <v>921</v>
      </c>
      <c r="D1091" s="10" t="n">
        <v>0</v>
      </c>
      <c r="E1091" s="10" t="n">
        <v>0</v>
      </c>
      <c r="F1091" s="10" t="n">
        <v>6</v>
      </c>
      <c r="G1091" s="10" t="n">
        <v>0</v>
      </c>
      <c r="H1091" s="10" t="n">
        <v>0</v>
      </c>
      <c r="I1091" s="10" t="n">
        <v>74</v>
      </c>
      <c r="J1091" s="10" t="n">
        <v>0</v>
      </c>
      <c r="K1091" s="10" t="n">
        <v>0</v>
      </c>
      <c r="L1091" s="10" t="n">
        <v>0</v>
      </c>
      <c r="M1091" s="10" t="n">
        <v>0</v>
      </c>
      <c r="N1091" s="10" t="n">
        <v>0</v>
      </c>
      <c r="O1091" s="10" t="n">
        <v>0</v>
      </c>
      <c r="P1091" s="10" t="n">
        <v>0</v>
      </c>
      <c r="Q1091" s="10" t="n">
        <v>74</v>
      </c>
      <c r="R1091" s="10" t="n">
        <v>0</v>
      </c>
      <c r="S1091" s="10" t="n">
        <v>0</v>
      </c>
      <c r="T1091" s="10" t="n">
        <v>0</v>
      </c>
      <c r="U1091" s="10" t="n">
        <v>0</v>
      </c>
    </row>
    <row r="1092" customFormat="false" ht="15" hidden="false" customHeight="false" outlineLevel="0" collapsed="false">
      <c r="A1092" s="7" t="s">
        <v>931</v>
      </c>
      <c r="B1092" s="7" t="s">
        <v>40</v>
      </c>
      <c r="C1092" s="7" t="s">
        <v>921</v>
      </c>
      <c r="D1092" s="10" t="n">
        <v>0</v>
      </c>
      <c r="E1092" s="10" t="n">
        <v>0</v>
      </c>
      <c r="F1092" s="10" t="n">
        <v>15</v>
      </c>
      <c r="G1092" s="10" t="n">
        <v>0</v>
      </c>
      <c r="H1092" s="10" t="n">
        <v>0</v>
      </c>
      <c r="I1092" s="10" t="n">
        <v>378</v>
      </c>
      <c r="J1092" s="10" t="n">
        <v>0</v>
      </c>
      <c r="K1092" s="10" t="n">
        <v>0</v>
      </c>
      <c r="L1092" s="10" t="n">
        <v>0</v>
      </c>
      <c r="M1092" s="10" t="n">
        <v>0</v>
      </c>
      <c r="N1092" s="10" t="n">
        <v>0</v>
      </c>
      <c r="O1092" s="10" t="n">
        <v>0</v>
      </c>
      <c r="P1092" s="10" t="n">
        <v>0</v>
      </c>
      <c r="Q1092" s="10" t="n">
        <v>378</v>
      </c>
      <c r="R1092" s="10" t="n">
        <v>0</v>
      </c>
      <c r="S1092" s="10" t="n">
        <v>0</v>
      </c>
      <c r="T1092" s="10" t="n">
        <v>0</v>
      </c>
      <c r="U1092" s="10" t="n">
        <v>0</v>
      </c>
    </row>
    <row r="1093" customFormat="false" ht="15" hidden="false" customHeight="false" outlineLevel="0" collapsed="false">
      <c r="A1093" s="7" t="s">
        <v>931</v>
      </c>
      <c r="B1093" s="7" t="s">
        <v>41</v>
      </c>
      <c r="C1093" s="7" t="s">
        <v>921</v>
      </c>
      <c r="D1093" s="10" t="n">
        <v>0</v>
      </c>
      <c r="E1093" s="10" t="n">
        <v>0</v>
      </c>
      <c r="F1093" s="10" t="n">
        <v>14</v>
      </c>
      <c r="G1093" s="10" t="n">
        <v>0</v>
      </c>
      <c r="H1093" s="10" t="n">
        <v>0</v>
      </c>
      <c r="I1093" s="10" t="n">
        <v>553</v>
      </c>
      <c r="J1093" s="10" t="n">
        <v>0</v>
      </c>
      <c r="K1093" s="10" t="n">
        <v>0</v>
      </c>
      <c r="L1093" s="10" t="n">
        <v>0</v>
      </c>
      <c r="M1093" s="10" t="n">
        <v>0</v>
      </c>
      <c r="N1093" s="10" t="n">
        <v>0</v>
      </c>
      <c r="O1093" s="10" t="n">
        <v>0</v>
      </c>
      <c r="P1093" s="10" t="n">
        <v>0</v>
      </c>
      <c r="Q1093" s="10" t="n">
        <v>553</v>
      </c>
      <c r="R1093" s="10" t="n">
        <v>0</v>
      </c>
      <c r="S1093" s="10" t="n">
        <v>0</v>
      </c>
      <c r="T1093" s="10" t="n">
        <v>0</v>
      </c>
      <c r="U1093" s="10" t="n">
        <v>0</v>
      </c>
    </row>
    <row r="1094" customFormat="false" ht="15" hidden="false" customHeight="false" outlineLevel="0" collapsed="false">
      <c r="A1094" s="7" t="s">
        <v>931</v>
      </c>
      <c r="B1094" s="7" t="s">
        <v>378</v>
      </c>
      <c r="C1094" s="7" t="s">
        <v>984</v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>
        <v>0</v>
      </c>
      <c r="J1094" s="10" t="n">
        <v>0</v>
      </c>
      <c r="K1094" s="10" t="n">
        <v>0</v>
      </c>
      <c r="L1094" s="10" t="n">
        <v>0</v>
      </c>
      <c r="M1094" s="10" t="n">
        <v>0</v>
      </c>
      <c r="N1094" s="10" t="n">
        <v>0</v>
      </c>
      <c r="O1094" s="10" t="n">
        <v>0</v>
      </c>
      <c r="P1094" s="10" t="n">
        <v>0</v>
      </c>
      <c r="Q1094" s="10" t="n">
        <v>0</v>
      </c>
      <c r="R1094" s="10" t="n">
        <v>0</v>
      </c>
      <c r="S1094" s="10" t="n">
        <v>0</v>
      </c>
      <c r="T1094" s="10" t="n">
        <v>131</v>
      </c>
      <c r="U1094" s="10" t="n">
        <v>0</v>
      </c>
    </row>
    <row r="1095" customFormat="false" ht="15" hidden="false" customHeight="false" outlineLevel="0" collapsed="false">
      <c r="A1095" s="7" t="s">
        <v>931</v>
      </c>
      <c r="B1095" s="7" t="s">
        <v>380</v>
      </c>
      <c r="C1095" s="7" t="s">
        <v>985</v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>
        <v>0</v>
      </c>
      <c r="J1095" s="10" t="n">
        <v>0</v>
      </c>
      <c r="K1095" s="10" t="n">
        <v>0</v>
      </c>
      <c r="L1095" s="10" t="n">
        <v>0</v>
      </c>
      <c r="M1095" s="10" t="n">
        <v>0</v>
      </c>
      <c r="N1095" s="10" t="n">
        <v>0</v>
      </c>
      <c r="O1095" s="10" t="n">
        <v>0</v>
      </c>
      <c r="P1095" s="10" t="n">
        <v>0</v>
      </c>
      <c r="Q1095" s="10" t="n">
        <v>0</v>
      </c>
      <c r="R1095" s="10" t="n">
        <v>0</v>
      </c>
      <c r="S1095" s="10" t="n">
        <v>0</v>
      </c>
      <c r="T1095" s="10" t="n">
        <v>16</v>
      </c>
      <c r="U1095" s="10" t="n">
        <v>0</v>
      </c>
    </row>
    <row r="1096" customFormat="false" ht="15" hidden="false" customHeight="false" outlineLevel="0" collapsed="false">
      <c r="A1096" s="7" t="s">
        <v>931</v>
      </c>
      <c r="B1096" s="7" t="s">
        <v>384</v>
      </c>
      <c r="C1096" s="7" t="s">
        <v>695</v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>
        <v>0</v>
      </c>
      <c r="J1096" s="10" t="n">
        <v>0</v>
      </c>
      <c r="K1096" s="10" t="n">
        <v>0</v>
      </c>
      <c r="L1096" s="10" t="n">
        <v>0</v>
      </c>
      <c r="M1096" s="10" t="n">
        <v>0</v>
      </c>
      <c r="N1096" s="10" t="n">
        <v>0</v>
      </c>
      <c r="O1096" s="10" t="n">
        <v>0</v>
      </c>
      <c r="P1096" s="10" t="n">
        <v>0</v>
      </c>
      <c r="Q1096" s="10" t="n">
        <v>0</v>
      </c>
      <c r="R1096" s="10" t="n">
        <v>0</v>
      </c>
      <c r="S1096" s="10" t="n">
        <v>0</v>
      </c>
      <c r="T1096" s="10" t="n">
        <v>3</v>
      </c>
      <c r="U1096" s="10" t="n">
        <v>0</v>
      </c>
    </row>
    <row r="1097" customFormat="false" ht="15" hidden="false" customHeight="false" outlineLevel="0" collapsed="false">
      <c r="A1097" s="7" t="s">
        <v>931</v>
      </c>
      <c r="B1097" s="7" t="s">
        <v>111</v>
      </c>
      <c r="C1097" s="7" t="s">
        <v>986</v>
      </c>
      <c r="D1097" s="10" t="n">
        <v>0</v>
      </c>
      <c r="E1097" s="10" t="n">
        <v>0</v>
      </c>
      <c r="F1097" s="10" t="n">
        <v>8</v>
      </c>
      <c r="G1097" s="10" t="n">
        <v>0</v>
      </c>
      <c r="H1097" s="10" t="n">
        <v>0</v>
      </c>
      <c r="I1097" s="10" t="n">
        <v>40</v>
      </c>
      <c r="J1097" s="10" t="n">
        <v>0</v>
      </c>
      <c r="K1097" s="10" t="n">
        <v>0</v>
      </c>
      <c r="L1097" s="10" t="n">
        <v>0</v>
      </c>
      <c r="M1097" s="10" t="n">
        <v>0</v>
      </c>
      <c r="N1097" s="10" t="n">
        <v>0</v>
      </c>
      <c r="O1097" s="10" t="n">
        <v>0</v>
      </c>
      <c r="P1097" s="10" t="n">
        <v>0</v>
      </c>
      <c r="Q1097" s="10" t="n">
        <v>40</v>
      </c>
      <c r="R1097" s="10" t="n">
        <v>0</v>
      </c>
      <c r="S1097" s="10" t="n">
        <v>0</v>
      </c>
      <c r="T1097" s="10" t="n">
        <v>21</v>
      </c>
      <c r="U1097" s="10" t="n">
        <v>0</v>
      </c>
    </row>
    <row r="1098" customFormat="false" ht="15" hidden="false" customHeight="false" outlineLevel="0" collapsed="false">
      <c r="A1098" s="7" t="s">
        <v>931</v>
      </c>
      <c r="B1098" s="7" t="s">
        <v>382</v>
      </c>
      <c r="C1098" s="7" t="s">
        <v>987</v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>
        <v>0</v>
      </c>
      <c r="J1098" s="10" t="n">
        <v>0</v>
      </c>
      <c r="K1098" s="10" t="n">
        <v>0</v>
      </c>
      <c r="L1098" s="10" t="n">
        <v>0</v>
      </c>
      <c r="M1098" s="10" t="n">
        <v>0</v>
      </c>
      <c r="N1098" s="10" t="n">
        <v>0</v>
      </c>
      <c r="O1098" s="10" t="n">
        <v>0</v>
      </c>
      <c r="P1098" s="10" t="n">
        <v>0</v>
      </c>
      <c r="Q1098" s="10" t="n">
        <v>0</v>
      </c>
      <c r="R1098" s="10" t="n">
        <v>0</v>
      </c>
      <c r="S1098" s="10" t="n">
        <v>0</v>
      </c>
      <c r="T1098" s="10" t="n">
        <v>32</v>
      </c>
      <c r="U1098" s="10" t="n">
        <v>0</v>
      </c>
    </row>
    <row r="1099" customFormat="false" ht="15" hidden="false" customHeight="false" outlineLevel="0" collapsed="false">
      <c r="A1099" s="7" t="s">
        <v>931</v>
      </c>
      <c r="B1099" s="7" t="s">
        <v>132</v>
      </c>
      <c r="C1099" s="7" t="s">
        <v>923</v>
      </c>
      <c r="D1099" s="10" t="n">
        <v>0</v>
      </c>
      <c r="E1099" s="10" t="n">
        <v>0</v>
      </c>
      <c r="F1099" s="10" t="n">
        <v>17</v>
      </c>
      <c r="G1099" s="10" t="n">
        <v>0</v>
      </c>
      <c r="H1099" s="10" t="n">
        <v>0</v>
      </c>
      <c r="I1099" s="10" t="n">
        <v>20</v>
      </c>
      <c r="J1099" s="10" t="n">
        <v>0</v>
      </c>
      <c r="K1099" s="10" t="n">
        <v>0</v>
      </c>
      <c r="L1099" s="10" t="n">
        <v>0</v>
      </c>
      <c r="M1099" s="10" t="n">
        <v>0</v>
      </c>
      <c r="N1099" s="10" t="n">
        <v>0</v>
      </c>
      <c r="O1099" s="10" t="n">
        <v>0</v>
      </c>
      <c r="P1099" s="10" t="n">
        <v>0</v>
      </c>
      <c r="Q1099" s="10" t="n">
        <v>20</v>
      </c>
      <c r="R1099" s="10" t="n">
        <v>0</v>
      </c>
      <c r="S1099" s="10" t="n">
        <v>0</v>
      </c>
      <c r="T1099" s="10" t="n">
        <v>16</v>
      </c>
      <c r="U1099" s="10" t="n">
        <v>0</v>
      </c>
    </row>
    <row r="1100" customFormat="false" ht="15" hidden="false" customHeight="false" outlineLevel="0" collapsed="false">
      <c r="A1100" s="7" t="s">
        <v>931</v>
      </c>
      <c r="B1100" s="7" t="s">
        <v>132</v>
      </c>
      <c r="C1100" s="7" t="s">
        <v>924</v>
      </c>
      <c r="D1100" s="10" t="n">
        <v>0</v>
      </c>
      <c r="E1100" s="10" t="n">
        <v>0</v>
      </c>
      <c r="F1100" s="10" t="n">
        <v>16</v>
      </c>
      <c r="G1100" s="10" t="n">
        <v>0</v>
      </c>
      <c r="H1100" s="10" t="n">
        <v>0</v>
      </c>
      <c r="I1100" s="10" t="n">
        <v>20</v>
      </c>
      <c r="J1100" s="10" t="n">
        <v>0</v>
      </c>
      <c r="K1100" s="10" t="n">
        <v>0</v>
      </c>
      <c r="L1100" s="10" t="n">
        <v>0</v>
      </c>
      <c r="M1100" s="10" t="n">
        <v>0</v>
      </c>
      <c r="N1100" s="10" t="n">
        <v>0</v>
      </c>
      <c r="O1100" s="10" t="n">
        <v>0</v>
      </c>
      <c r="P1100" s="10" t="n">
        <v>0</v>
      </c>
      <c r="Q1100" s="10" t="n">
        <v>20</v>
      </c>
      <c r="R1100" s="10" t="n">
        <v>0</v>
      </c>
      <c r="S1100" s="10" t="n">
        <v>0</v>
      </c>
      <c r="T1100" s="10" t="n">
        <v>27</v>
      </c>
      <c r="U1100" s="10" t="n">
        <v>0</v>
      </c>
    </row>
    <row r="1101" customFormat="false" ht="15" hidden="false" customHeight="false" outlineLevel="0" collapsed="false">
      <c r="A1101" s="7" t="s">
        <v>931</v>
      </c>
      <c r="B1101" s="7" t="s">
        <v>295</v>
      </c>
      <c r="C1101" s="7" t="s">
        <v>988</v>
      </c>
      <c r="D1101" s="10" t="n">
        <v>0</v>
      </c>
      <c r="E1101" s="10" t="n">
        <v>0</v>
      </c>
      <c r="F1101" s="10" t="n">
        <v>8</v>
      </c>
      <c r="G1101" s="10" t="n">
        <v>0</v>
      </c>
      <c r="H1101" s="10" t="n">
        <v>0</v>
      </c>
      <c r="I1101" s="10" t="n">
        <v>0</v>
      </c>
      <c r="J1101" s="10" t="n">
        <v>0</v>
      </c>
      <c r="K1101" s="10" t="n">
        <v>0</v>
      </c>
      <c r="L1101" s="10" t="n">
        <v>0</v>
      </c>
      <c r="M1101" s="10" t="n">
        <v>0</v>
      </c>
      <c r="N1101" s="10" t="n">
        <v>0</v>
      </c>
      <c r="O1101" s="10" t="n">
        <v>0</v>
      </c>
      <c r="P1101" s="10" t="n">
        <v>0</v>
      </c>
      <c r="Q1101" s="10" t="n">
        <v>0</v>
      </c>
      <c r="R1101" s="10" t="n">
        <v>0</v>
      </c>
      <c r="S1101" s="10" t="n">
        <v>0</v>
      </c>
      <c r="T1101" s="10" t="n">
        <v>0</v>
      </c>
      <c r="U1101" s="10" t="n">
        <v>0</v>
      </c>
    </row>
    <row r="1102" customFormat="false" ht="15" hidden="false" customHeight="false" outlineLevel="0" collapsed="false">
      <c r="A1102" s="7" t="s">
        <v>931</v>
      </c>
      <c r="B1102" s="7" t="s">
        <v>144</v>
      </c>
      <c r="C1102" s="7" t="s">
        <v>925</v>
      </c>
      <c r="D1102" s="10" t="n">
        <v>0</v>
      </c>
      <c r="E1102" s="10" t="n">
        <v>0</v>
      </c>
      <c r="F1102" s="10" t="n">
        <v>468</v>
      </c>
      <c r="G1102" s="10" t="n">
        <v>0</v>
      </c>
      <c r="H1102" s="10" t="n">
        <v>0</v>
      </c>
      <c r="I1102" s="10" t="n">
        <v>536</v>
      </c>
      <c r="J1102" s="10" t="n">
        <v>0</v>
      </c>
      <c r="K1102" s="10" t="n">
        <v>0</v>
      </c>
      <c r="L1102" s="10" t="n">
        <v>0</v>
      </c>
      <c r="M1102" s="10" t="n">
        <v>0</v>
      </c>
      <c r="N1102" s="10" t="n">
        <v>0</v>
      </c>
      <c r="O1102" s="10" t="n">
        <v>0</v>
      </c>
      <c r="P1102" s="10" t="n">
        <v>0</v>
      </c>
      <c r="Q1102" s="10" t="n">
        <v>536</v>
      </c>
      <c r="R1102" s="10" t="n">
        <v>0</v>
      </c>
      <c r="S1102" s="10" t="n">
        <v>0</v>
      </c>
      <c r="T1102" s="10" t="n">
        <v>29</v>
      </c>
      <c r="U1102" s="10" t="n">
        <v>0</v>
      </c>
    </row>
    <row r="1103" customFormat="false" ht="15" hidden="false" customHeight="false" outlineLevel="0" collapsed="false">
      <c r="A1103" s="7" t="s">
        <v>931</v>
      </c>
      <c r="B1103" s="7" t="s">
        <v>64</v>
      </c>
      <c r="C1103" s="7" t="s">
        <v>926</v>
      </c>
      <c r="D1103" s="10" t="n">
        <v>0</v>
      </c>
      <c r="E1103" s="10" t="n">
        <v>0</v>
      </c>
      <c r="F1103" s="10" t="n">
        <v>14</v>
      </c>
      <c r="G1103" s="10" t="n">
        <v>0</v>
      </c>
      <c r="H1103" s="10" t="n">
        <v>0</v>
      </c>
      <c r="I1103" s="10" t="n">
        <v>17</v>
      </c>
      <c r="J1103" s="10" t="n">
        <v>0</v>
      </c>
      <c r="K1103" s="10" t="n">
        <v>0</v>
      </c>
      <c r="L1103" s="10" t="n">
        <v>0</v>
      </c>
      <c r="M1103" s="10" t="n">
        <v>0</v>
      </c>
      <c r="N1103" s="10" t="n">
        <v>0</v>
      </c>
      <c r="O1103" s="10" t="n">
        <v>0</v>
      </c>
      <c r="P1103" s="10" t="n">
        <v>0</v>
      </c>
      <c r="Q1103" s="10" t="n">
        <v>17</v>
      </c>
      <c r="R1103" s="10" t="n">
        <v>0</v>
      </c>
      <c r="S1103" s="10" t="n">
        <v>0</v>
      </c>
      <c r="T1103" s="10" t="n">
        <v>12</v>
      </c>
      <c r="U1103" s="10" t="n">
        <v>0</v>
      </c>
    </row>
    <row r="1104" customFormat="false" ht="15" hidden="false" customHeight="false" outlineLevel="0" collapsed="false">
      <c r="A1104" s="7" t="s">
        <v>931</v>
      </c>
      <c r="B1104" s="7" t="s">
        <v>64</v>
      </c>
      <c r="C1104" s="7" t="s">
        <v>927</v>
      </c>
      <c r="D1104" s="10" t="n">
        <v>0</v>
      </c>
      <c r="E1104" s="10" t="n">
        <v>0</v>
      </c>
      <c r="F1104" s="10" t="n">
        <v>20</v>
      </c>
      <c r="G1104" s="10" t="n">
        <v>0</v>
      </c>
      <c r="H1104" s="10" t="n">
        <v>0</v>
      </c>
      <c r="I1104" s="10" t="n">
        <v>20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n">
        <v>0</v>
      </c>
      <c r="O1104" s="10" t="n">
        <v>0</v>
      </c>
      <c r="P1104" s="10" t="n">
        <v>0</v>
      </c>
      <c r="Q1104" s="10" t="n">
        <v>20</v>
      </c>
      <c r="R1104" s="10" t="n">
        <v>0</v>
      </c>
      <c r="S1104" s="10" t="n">
        <v>0</v>
      </c>
      <c r="T1104" s="10" t="n">
        <v>0</v>
      </c>
      <c r="U1104" s="10" t="n">
        <v>0</v>
      </c>
    </row>
    <row r="1105" customFormat="false" ht="15" hidden="false" customHeight="false" outlineLevel="0" collapsed="false">
      <c r="A1105" s="7" t="s">
        <v>931</v>
      </c>
      <c r="B1105" s="7" t="s">
        <v>64</v>
      </c>
      <c r="C1105" s="7" t="s">
        <v>928</v>
      </c>
      <c r="D1105" s="10" t="n">
        <v>0</v>
      </c>
      <c r="E1105" s="10" t="n">
        <v>0</v>
      </c>
      <c r="F1105" s="10" t="n">
        <v>22</v>
      </c>
      <c r="G1105" s="10" t="n">
        <v>0</v>
      </c>
      <c r="H1105" s="10" t="n">
        <v>0</v>
      </c>
      <c r="I1105" s="10" t="n">
        <v>26</v>
      </c>
      <c r="J1105" s="10" t="n">
        <v>0</v>
      </c>
      <c r="K1105" s="10" t="n">
        <v>0</v>
      </c>
      <c r="L1105" s="10" t="n">
        <v>0</v>
      </c>
      <c r="M1105" s="10" t="n">
        <v>0</v>
      </c>
      <c r="N1105" s="10" t="n">
        <v>0</v>
      </c>
      <c r="O1105" s="10" t="n">
        <v>0</v>
      </c>
      <c r="P1105" s="10" t="n">
        <v>0</v>
      </c>
      <c r="Q1105" s="10" t="n">
        <v>26</v>
      </c>
      <c r="R1105" s="10" t="n">
        <v>0</v>
      </c>
      <c r="S1105" s="10" t="n">
        <v>0</v>
      </c>
      <c r="T1105" s="10" t="n">
        <v>17</v>
      </c>
      <c r="U1105" s="10" t="n">
        <v>0</v>
      </c>
    </row>
    <row r="1106" customFormat="false" ht="15" hidden="false" customHeight="false" outlineLevel="0" collapsed="false">
      <c r="A1106" s="7" t="s">
        <v>931</v>
      </c>
      <c r="B1106" s="7" t="s">
        <v>64</v>
      </c>
      <c r="C1106" s="7" t="s">
        <v>929</v>
      </c>
      <c r="D1106" s="10" t="n">
        <v>0</v>
      </c>
      <c r="E1106" s="10" t="n">
        <v>0</v>
      </c>
      <c r="F1106" s="10" t="n">
        <v>26</v>
      </c>
      <c r="G1106" s="10" t="n">
        <v>0</v>
      </c>
      <c r="H1106" s="10" t="n">
        <v>0</v>
      </c>
      <c r="I1106" s="10" t="n">
        <v>42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0</v>
      </c>
      <c r="O1106" s="10" t="n">
        <v>0</v>
      </c>
      <c r="P1106" s="10" t="n">
        <v>0</v>
      </c>
      <c r="Q1106" s="10" t="n">
        <v>42</v>
      </c>
      <c r="R1106" s="10" t="n">
        <v>0</v>
      </c>
      <c r="S1106" s="10" t="n">
        <v>0</v>
      </c>
      <c r="T1106" s="10" t="n">
        <v>25</v>
      </c>
      <c r="U1106" s="10" t="n">
        <v>0</v>
      </c>
    </row>
    <row r="1107" customFormat="false" ht="15" hidden="false" customHeight="false" outlineLevel="0" collapsed="false">
      <c r="A1107" s="7" t="s">
        <v>931</v>
      </c>
      <c r="B1107" s="7" t="s">
        <v>64</v>
      </c>
      <c r="C1107" s="7" t="s">
        <v>930</v>
      </c>
      <c r="D1107" s="10" t="n">
        <v>0</v>
      </c>
      <c r="E1107" s="10" t="n">
        <v>0</v>
      </c>
      <c r="F1107" s="10" t="n">
        <v>20</v>
      </c>
      <c r="G1107" s="10" t="n">
        <v>0</v>
      </c>
      <c r="H1107" s="10" t="n">
        <v>0</v>
      </c>
      <c r="I1107" s="10" t="n">
        <v>30</v>
      </c>
      <c r="J1107" s="10" t="n">
        <v>0</v>
      </c>
      <c r="K1107" s="10" t="n">
        <v>0</v>
      </c>
      <c r="L1107" s="10" t="n">
        <v>0</v>
      </c>
      <c r="M1107" s="10" t="n">
        <v>0</v>
      </c>
      <c r="N1107" s="10" t="n">
        <v>0</v>
      </c>
      <c r="O1107" s="10" t="n">
        <v>0</v>
      </c>
      <c r="P1107" s="10" t="n">
        <v>0</v>
      </c>
      <c r="Q1107" s="10" t="n">
        <v>30</v>
      </c>
      <c r="R1107" s="10" t="n">
        <v>0</v>
      </c>
      <c r="S1107" s="10" t="n">
        <v>0</v>
      </c>
      <c r="T1107" s="10" t="n">
        <v>26</v>
      </c>
      <c r="U1107" s="10" t="n">
        <v>0</v>
      </c>
    </row>
    <row r="1108" customFormat="false" ht="15" hidden="false" customHeight="false" outlineLevel="0" collapsed="false">
      <c r="A1108" s="7" t="s">
        <v>931</v>
      </c>
      <c r="B1108" s="7" t="s">
        <v>64</v>
      </c>
      <c r="C1108" s="7" t="s">
        <v>989</v>
      </c>
      <c r="D1108" s="10" t="n">
        <v>0</v>
      </c>
      <c r="E1108" s="10" t="n">
        <v>0</v>
      </c>
      <c r="F1108" s="10" t="n">
        <v>12</v>
      </c>
      <c r="G1108" s="10" t="n">
        <v>0</v>
      </c>
      <c r="H1108" s="10" t="n">
        <v>0</v>
      </c>
      <c r="I1108" s="10" t="n">
        <v>14</v>
      </c>
      <c r="J1108" s="10" t="n">
        <v>0</v>
      </c>
      <c r="K1108" s="10" t="n">
        <v>0</v>
      </c>
      <c r="L1108" s="10" t="n">
        <v>0</v>
      </c>
      <c r="M1108" s="10" t="n">
        <v>0</v>
      </c>
      <c r="N1108" s="10" t="n">
        <v>0</v>
      </c>
      <c r="O1108" s="10" t="n">
        <v>0</v>
      </c>
      <c r="P1108" s="10" t="n">
        <v>0</v>
      </c>
      <c r="Q1108" s="10" t="n">
        <v>14</v>
      </c>
      <c r="R1108" s="10" t="n">
        <v>0</v>
      </c>
      <c r="S1108" s="10" t="n">
        <v>0</v>
      </c>
      <c r="T1108" s="10" t="n">
        <v>17</v>
      </c>
      <c r="U1108" s="10" t="n"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2026-09-19T12:48:27Z</dcterms:created>
  <dc:creator>openpyxl</dc:creator>
  <dc:description/>
  <dc:language>en-US</dc:language>
  <cp:lastModifiedBy/>
  <dcterms:modified xsi:type="dcterms:W3CDTF">2026-09-19T12:48:29Z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