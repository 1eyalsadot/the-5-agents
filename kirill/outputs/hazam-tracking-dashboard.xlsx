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חאזם" sheetId="1" state="visible" r:id="rId3"/>
    <sheet name="דודו" sheetId="2" state="visible" r:id="rId4"/>
    <sheet name="חיים" sheetId="3" state="visible" r:id="rId5"/>
    <sheet name="סטאס" sheetId="4" state="visible" r:id="rId6"/>
    <sheet name="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<sst xmlns="http://schemas.openxmlformats.org/spreadsheetml/2006/main" count="155" uniqueCount="53">
  <si>
    <t xml:space="preserve">מעקב ביצועי סוכן חאזם</t>
  </si>
  <si>
    <t xml:space="preserve">תאריך חישוב:</t>
  </si>
  <si>
    <t xml:space="preserve">יום בדיקה (קלט ידני):</t>
  </si>
  <si>
    <t xml:space="preserve">תחילת החודש הרלוונטי:</t>
  </si>
  <si>
    <t xml:space="preserve">סוף החודש הרלוונטי:</t>
  </si>
  <si>
    <t xml:space="preserve">סה"כ ימי א'-ה' בחודש:</t>
  </si>
  <si>
    <t xml:space="preserve">ימי א'-ה' שעברו (מ-1 בחודש עד יום הבדיקה):</t>
  </si>
  <si>
    <t xml:space="preserve">הערה: עמודות D ('מכירות') ו-E ('פתוחות') הן צילום מצב (snapshot) של הערכים האחרונים שנשמרו בקאש של קובץ המקור שהועלה (hazam-tracking-source.xlsx). בקובץ המקור עמודות אלה היו מקושרות לקובץ אקסל חיצוני שבור (קישורי '[1]מכירות!...' / '[1]פתוחות!...') שאין אליו גישה כעת - לכן הוחלפו כאן בערכים קשיחים מהקאש. זה אינו לינק חי. אם יש קובץ מקור מעודכן יותר, יש לספק אותו לעדכון.</t>
  </si>
  <si>
    <t xml:space="preserve">גיליון זה = נתוני מקור וחישוב (Working Data): כל הנוסחאות, המקור וה-snapshot המלאים נמצאים כאן. לתצוגת סיכום ויזואלית עם גרפים למנהל  ⇦  עבור לגיליון DASHBOARD.</t>
  </si>
  <si>
    <t xml:space="preserve">סוכן</t>
  </si>
  <si>
    <t xml:space="preserve">קטגוריה</t>
  </si>
  <si>
    <t xml:space="preserve">יעד חודשי (₪)</t>
  </si>
  <si>
    <t xml:space="preserve">מכירות (snapshot)</t>
  </si>
  <si>
    <t xml:space="preserve">פתוחות (snapshot)</t>
  </si>
  <si>
    <t xml:space="preserve">מכירות עד לבדיקה (₪)</t>
  </si>
  <si>
    <t xml:space="preserve">אחוז ביצוע לפי יעד</t>
  </si>
  <si>
    <t xml:space="preserve">כמה נשאר לסיום החודש (₪)</t>
  </si>
  <si>
    <t xml:space="preserve">קצב אומדן סוף חודש (₪)</t>
  </si>
  <si>
    <t xml:space="preserve">קצב %</t>
  </si>
  <si>
    <t xml:space="preserve">חאזם</t>
  </si>
  <si>
    <t xml:space="preserve">בתי מרקחת פרטיים</t>
  </si>
  <si>
    <t xml:space="preserve">BE</t>
  </si>
  <si>
    <t xml:space="preserve">סופרפארם</t>
  </si>
  <si>
    <t xml:space="preserve">סה"כ</t>
  </si>
  <si>
    <t xml:space="preserve">מכוני אורטופדיה</t>
  </si>
  <si>
    <t xml:space="preserve">מכוני פיזוטרפיה</t>
  </si>
  <si>
    <t xml:space="preserve">מאוחדת</t>
  </si>
  <si>
    <t xml:space="preserve">חנויות פרטיות</t>
  </si>
  <si>
    <t xml:space="preserve">חנויות ספורט</t>
  </si>
  <si>
    <t xml:space="preserve">סה"כ כללי</t>
  </si>
  <si>
    <t xml:space="preserve">סיכום ביצועים — סה"כ כללי (חאזם)</t>
  </si>
  <si>
    <t xml:space="preserve">ימים שנותרו (א'-ה', עד סוף החודש)</t>
  </si>
  <si>
    <t xml:space="preserve">יעד יומי נדרש להשלמה (₪)</t>
  </si>
  <si>
    <t xml:space="preserve">אחוז ביצוע נוכחי (מתוך היעד הכולל)</t>
  </si>
  <si>
    <t xml:space="preserve">הערה: "ימים שנותרו" = סה"כ ימי א'-ה' בחודש (B6) פחות ימי א'-ה' שעברו עד יום הבדיקה (B7). "יעד יומי נדרש" = הסכום שנותר להשלמת היעד הכללי (H21) חלקי הימים שנותרו. עיצוב מותנה על תא האחוז: אדום מתחת ל-33%, צהוב 33%-66%, ירוק מעל 66%.</t>
  </si>
  <si>
    <t xml:space="preserve">מעקב ביצועי סוכן דודו</t>
  </si>
  <si>
    <t xml:space="preserve">הערה: עמודות D ('מכירות') ו-E ('פתוחות') הן צילום מצב (snapshot) של הערכים המחושבים (קאש) שכבר קיימים בקובץ המקור שהועלה (agents-tracking-source-full.xlsx, גיליון 'דודו'),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מכוני פיזוטרפיה; חנויות ספורט. עד להשלמה ידנית, אחוז ביצוע וקצב % לקטגוריות אלה יוצגו כריק.</t>
  </si>
  <si>
    <t xml:space="preserve">דודו</t>
  </si>
  <si>
    <t xml:space="preserve">סיכום ביצועים — סה"כ כללי (דודו)</t>
  </si>
  <si>
    <t xml:space="preserve">מעקב ביצועי סוכן חיים</t>
  </si>
  <si>
    <t xml:space="preserve">הערה: עמודות D ('מכירות') ו-E ('פתוחות') הן צילום מצב (snapshot) של הערכים המחושבים (קאש) שכבר קיימים בקובץ המקור שהועלה (agents-tracking-source-full.xlsx, גיליון 'חיים'),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חנויות ספורט. עד להשלמה ידנית, אחוז ביצוע וקצב % לקטגוריות אלה יוצגו כריק.</t>
  </si>
  <si>
    <t xml:space="preserve">חיים</t>
  </si>
  <si>
    <t xml:space="preserve">סיכום ביצועים — סה"כ כללי (חיים)</t>
  </si>
  <si>
    <t xml:space="preserve">מעקב ביצועי סוכן סטאס</t>
  </si>
  <si>
    <t xml:space="preserve">הערה: עמודות D ('מכירות') ו-E ('פתוחות') הן צילום מצב (snapshot) של הערכים המחושבים (קאש) שכבר קיימים בקובץ המקור שהועלה (agents-tracking-source-full.xlsx, גיליון 'סטאס'),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חנויות ספורט. עד להשלמה ידנית, אחוז ביצוע וקצב % לקטגוריות אלה יוצגו כריק.</t>
  </si>
  <si>
    <t xml:space="preserve">סטאס</t>
  </si>
  <si>
    <t xml:space="preserve">סיכום ביצועים — סה"כ כללי (סטאס)</t>
  </si>
  <si>
    <t xml:space="preserve">דשבורד מרכז — השוואת ביצועי כל הסוכנים</t>
  </si>
  <si>
    <t xml:space="preserve">גיליון זה = תצוגת מרכז ומעקב לכל 4 הסוכנים יחד: כל תא כאן הוא קישור חי לבלוק הסיכום (שורה 21 ושורות 25-26) בגיליון הסוכן המתאים. לנתוני המקור, הקטגוריות והנוסחאות המלאות של סוכן ספציפי  ⇦  עבור לגיליון שלו (חאזם / דודו / חיים / סטאס).</t>
  </si>
  <si>
    <t xml:space="preserve">אחוז ביצוע</t>
  </si>
  <si>
    <t xml:space="preserve">ימים שנותרו</t>
  </si>
  <si>
    <t xml:space="preserve">הערות: (1) "יעד חודשי", "מכירות עד לבדיקה", "ימים שנותרו" ו"יעד יומי נדרש" נמשכים בנוסחה חיה מבלוק הסיכום (שורה 21, ושורות 25-26) בגיליון כל סוכן. (2) "ימים שנותרו" זהה לכל הסוכנים (אותו חודש ואותו יום בדיקה) ולכן שורת "סה"כ כללי" מציגה את אותו המספר, לא סכום. (3) עיצוב מותנה על עמודת "אחוז ביצוע": אדום מתחת ל-33%, צהוב 33%-66%, ירוק מעל 66% — זהה לעיצוב שבכל גיליון סוכן.</t>
  </si>
  <si>
    <t xml:space="preserve">גרף - השוואת אחוז ביצוע בין סוכנים</t>
  </si>
</sst>
</file>

<file path=xl/styles.xml><?xml version="1.0" encoding="utf-8"?>
<styleSheet xmlns="http://schemas.openxmlformats.org/spreadsheetml/2006/main">
  <numFmts count="6">
    <numFmt numFmtId="164" formatCode="General"/>
    <numFmt numFmtId="165" formatCode="dd/mm/yy"/>
    <numFmt numFmtId="166" formatCode="0"/>
    <numFmt numFmtId="167" formatCode="_ * #,##0_ ;_ * \-#,##0_ ;_ * \-??_ ;_ @_ "/>
    <numFmt numFmtId="168" formatCode="0%"/>
    <numFmt numFmtId="169" formatCode="0.0%"/>
  </numFmts>
  <fonts count="21">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b val="true"/>
      <sz val="11"/>
      <color rgb="FF000000"/>
      <name val="Arial"/>
      <family val="0"/>
      <charset val="1"/>
    </font>
    <font>
      <sz val="11"/>
      <color rgb="FF000000"/>
      <name val="Arial"/>
      <family val="0"/>
      <charset val="1"/>
    </font>
    <font>
      <i val="true"/>
      <sz val="9"/>
      <color rgb="FF000000"/>
      <name val="Arial"/>
      <family val="0"/>
      <charset val="1"/>
    </font>
    <font>
      <b val="true"/>
      <i val="true"/>
      <sz val="10.5"/>
      <color rgb="FF1F4E78"/>
      <name val="Arial"/>
      <family val="0"/>
      <charset val="1"/>
    </font>
    <font>
      <b val="true"/>
      <sz val="10.5"/>
      <color rgb="FFFFFFFF"/>
      <name val="Arial"/>
      <family val="0"/>
      <charset val="1"/>
    </font>
    <font>
      <b val="true"/>
      <sz val="13"/>
      <color rgb="FFFFFFFF"/>
      <name val="Arial"/>
      <family val="0"/>
      <charset val="1"/>
    </font>
    <font>
      <b val="true"/>
      <sz val="14"/>
      <color rgb="FF000000"/>
      <name val="Arial"/>
      <family val="0"/>
      <charset val="1"/>
    </font>
    <font>
      <i val="true"/>
      <sz val="9"/>
      <color rgb="FF595959"/>
      <name val="Arial"/>
      <family val="0"/>
      <charset val="1"/>
    </font>
    <font>
      <b val="true"/>
      <sz val="10.5"/>
      <color rgb="FF1F4E78"/>
      <name val="Arial"/>
      <family val="0"/>
      <charset val="1"/>
    </font>
    <font>
      <b val="true"/>
      <sz val="18"/>
      <color rgb="FF000000"/>
      <name val="Arial"/>
      <family val="0"/>
      <charset val="1"/>
    </font>
    <font>
      <i val="true"/>
      <sz val="11"/>
      <color rgb="FF1F4E78"/>
      <name val="Arial"/>
      <family val="0"/>
      <charset val="1"/>
    </font>
    <font>
      <b val="true"/>
      <i val="true"/>
      <sz val="10.5"/>
      <color rgb="FF375623"/>
      <name val="Arial"/>
      <family val="0"/>
      <charset val="1"/>
    </font>
    <font>
      <b val="true"/>
      <sz val="11"/>
      <color rgb="FFFFFFFF"/>
      <name val="Arial"/>
      <family val="0"/>
      <charset val="1"/>
    </font>
    <font>
      <b val="true"/>
      <sz val="18"/>
      <color rgb="FF000000"/>
      <name val="FreeSans"/>
      <family val="2"/>
    </font>
    <font>
      <sz val="10"/>
      <color rgb="FF000000"/>
      <name val="Calibri"/>
      <family val="2"/>
    </font>
    <font>
      <b val="true"/>
      <sz val="10"/>
      <color rgb="FF000000"/>
      <name val="FreeSans"/>
      <family val="2"/>
    </font>
  </fonts>
  <fills count="9">
    <fill>
      <patternFill patternType="none"/>
    </fill>
    <fill>
      <patternFill patternType="gray125"/>
    </fill>
    <fill>
      <patternFill patternType="solid">
        <fgColor rgb="FFFFFF00"/>
        <bgColor rgb="FFFFFF00"/>
      </patternFill>
    </fill>
    <fill>
      <patternFill patternType="solid">
        <fgColor rgb="FFDCE6F1"/>
        <bgColor rgb="FFE2EFDA"/>
      </patternFill>
    </fill>
    <fill>
      <patternFill patternType="solid">
        <fgColor rgb="FF1F4E78"/>
        <bgColor rgb="FF003366"/>
      </patternFill>
    </fill>
    <fill>
      <patternFill patternType="solid">
        <fgColor rgb="FFF2F2F2"/>
        <bgColor rgb="FFE2EFDA"/>
      </patternFill>
    </fill>
    <fill>
      <patternFill patternType="solid">
        <fgColor rgb="FFD9D9D9"/>
        <bgColor rgb="FFDCE6F1"/>
      </patternFill>
    </fill>
    <fill>
      <patternFill patternType="solid">
        <fgColor rgb="FF92D050"/>
        <bgColor rgb="FF63BE7B"/>
      </patternFill>
    </fill>
    <fill>
      <patternFill patternType="solid">
        <fgColor rgb="FFE2EFDA"/>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right"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6" fillId="5"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7" fontId="5" fillId="6" borderId="1" xfId="0" applyFont="true" applyBorder="true" applyAlignment="true" applyProtection="false">
      <alignment horizontal="general" vertical="bottom" textRotation="0" wrapText="false" indent="0" shrinkToFit="false"/>
      <protection locked="true" hidden="false"/>
    </xf>
    <xf numFmtId="168" fontId="5" fillId="6"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bottom" textRotation="0" wrapText="false" indent="0" shrinkToFit="false"/>
      <protection locked="true" hidden="false"/>
    </xf>
    <xf numFmtId="167" fontId="5" fillId="7" borderId="1" xfId="0" applyFont="true" applyBorder="true" applyAlignment="true" applyProtection="false">
      <alignment horizontal="general" vertical="bottom" textRotation="0" wrapText="false" indent="0" shrinkToFit="false"/>
      <protection locked="true" hidden="false"/>
    </xf>
    <xf numFmtId="168" fontId="5" fillId="7" borderId="1" xfId="0" applyFont="true" applyBorder="true" applyAlignment="tru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3" borderId="0"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7" fontId="6" fillId="2"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6" fillId="8" borderId="0" xfId="0" applyFont="true" applyBorder="true" applyAlignment="true" applyProtection="false">
      <alignment horizontal="right"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7" fontId="6" fillId="0"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7" fontId="5" fillId="7" borderId="0" xfId="0" applyFont="true" applyBorder="false" applyAlignment="true" applyProtection="false">
      <alignment horizontal="center" vertical="center" textRotation="0" wrapText="false" indent="0" shrinkToFit="false"/>
      <protection locked="true" hidden="false"/>
    </xf>
    <xf numFmtId="169" fontId="5" fillId="7" borderId="0" xfId="0" applyFont="true" applyBorder="false" applyAlignment="true" applyProtection="false">
      <alignment horizontal="center" vertical="center" textRotation="0" wrapText="false" indent="0" shrinkToFit="false"/>
      <protection locked="true" hidden="false"/>
    </xf>
    <xf numFmtId="166" fontId="5" fillId="7"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b val="1"/>
        <color rgb="FF9C0006"/>
        <sz val="14"/>
      </font>
      <fill>
        <patternFill>
          <bgColor rgb="FFF8696B"/>
        </patternFill>
      </fill>
    </dxf>
    <dxf>
      <font>
        <name val="Arial"/>
        <charset val="1"/>
        <family val="0"/>
        <b val="1"/>
        <color rgb="FF9C6500"/>
        <sz val="14"/>
      </font>
      <fill>
        <patternFill>
          <bgColor rgb="FFFFEB84"/>
        </patternFill>
      </fill>
    </dxf>
    <dxf>
      <font>
        <name val="Arial"/>
        <charset val="1"/>
        <family val="0"/>
        <b val="1"/>
        <color rgb="FF006100"/>
        <sz val="14"/>
      </font>
      <fill>
        <patternFill>
          <bgColor rgb="FF63BE7B"/>
        </patternFill>
      </fill>
    </dxf>
    <dxf>
      <font>
        <name val="Arial"/>
        <charset val="1"/>
        <family val="0"/>
        <b val="1"/>
        <color rgb="FF9C0006"/>
      </font>
      <fill>
        <patternFill>
          <bgColor rgb="FFF8696B"/>
        </patternFill>
      </fill>
    </dxf>
    <dxf>
      <font>
        <name val="Arial"/>
        <charset val="1"/>
        <family val="0"/>
        <b val="1"/>
        <color rgb="FF9C6500"/>
      </font>
      <fill>
        <patternFill>
          <bgColor rgb="FFFFEB84"/>
        </patternFill>
      </fill>
    </dxf>
    <dxf>
      <font>
        <name val="Arial"/>
        <charset val="1"/>
        <family val="0"/>
        <b val="1"/>
        <color rgb="FF006100"/>
      </font>
      <fill>
        <patternFill>
          <bgColor rgb="FF63BE7B"/>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2F2F2"/>
      <rgbColor rgb="FFDCE6F1"/>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B84"/>
      <rgbColor rgb="FF99CCFF"/>
      <rgbColor rgb="FFFF99CC"/>
      <rgbColor rgb="FFCC99FF"/>
      <rgbColor rgb="FFFFCC99"/>
      <rgbColor rgb="FF4F81BD"/>
      <rgbColor rgb="FF63BE7B"/>
      <rgbColor rgb="FF92D050"/>
      <rgbColor rgb="FFFFCC00"/>
      <rgbColor rgb="FFFF9900"/>
      <rgbColor rgb="FFFF6600"/>
      <rgbColor rgb="FF595959"/>
      <rgbColor rgb="FFB3B3B3"/>
      <rgbColor rgb="FF003366"/>
      <rgbColor rgb="FF548235"/>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אחוז ביצוע לפי סוכן</a:t>
            </a:r>
          </a:p>
        </c:rich>
      </c:tx>
      <c:overlay val="0"/>
      <c:spPr>
        <a:noFill/>
        <a:ln w="0">
          <a:noFill/>
        </a:ln>
      </c:spPr>
    </c:title>
    <c:autoTitleDeleted val="0"/>
    <c:plotArea>
      <c:barChart>
        <c:barDir val="col"/>
        <c:grouping val="clustered"/>
        <c:varyColors val="0"/>
        <c:ser>
          <c:idx val="0"/>
          <c:order val="0"/>
          <c:tx>
            <c:strRef>
              <c:f>DASHBOARD!D5</c:f>
              <c:strCache>
                <c:ptCount val="1"/>
                <c:pt idx="0">
                  <c:v>אחוז ביצוע</c:v>
                </c:pt>
              </c:strCache>
            </c:strRef>
          </c:tx>
          <c:spPr>
            <a:solidFill>
              <a:srgbClr val="4f81bd"/>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DASHBOARD!$A$6:$A$9</c:f>
              <c:strCache>
                <c:ptCount val="4"/>
                <c:pt idx="0">
                  <c:v>חאזם</c:v>
                </c:pt>
                <c:pt idx="1">
                  <c:v>דודו</c:v>
                </c:pt>
                <c:pt idx="2">
                  <c:v>חיים</c:v>
                </c:pt>
                <c:pt idx="3">
                  <c:v>סטאס</c:v>
                </c:pt>
              </c:strCache>
            </c:strRef>
          </c:cat>
          <c:val>
            <c:numRef>
              <c:f>DASHBOARD!$D$6:$D$9</c:f>
              <c:numCache>
                <c:formatCode>0.0%</c:formatCode>
                <c:ptCount val="4"/>
                <c:pt idx="0">
                  <c:v>0.342101739328683</c:v>
                </c:pt>
                <c:pt idx="1">
                  <c:v>0.480464301909609</c:v>
                </c:pt>
                <c:pt idx="2">
                  <c:v>0.370892343773642</c:v>
                </c:pt>
                <c:pt idx="3">
                  <c:v>0.34403129060115</c:v>
                </c:pt>
              </c:numCache>
            </c:numRef>
          </c:val>
        </c:ser>
        <c:gapWidth val="150"/>
        <c:overlap val="0"/>
        <c:axId val="65546120"/>
        <c:axId val="16085936"/>
      </c:barChart>
      <c:catAx>
        <c:axId val="6554612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סוכן</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6085936"/>
        <c:crosses val="autoZero"/>
        <c:auto val="1"/>
        <c:lblAlgn val="ctr"/>
        <c:lblOffset val="100"/>
        <c:noMultiLvlLbl val="0"/>
      </c:catAx>
      <c:valAx>
        <c:axId val="1608593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אחוז ביצוע</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554612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-70200</xdr:colOff>
      <xdr:row>15</xdr:row>
      <xdr:rowOff>0</xdr:rowOff>
    </xdr:from>
    <xdr:to>
      <xdr:col>4</xdr:col>
      <xdr:colOff>0</xdr:colOff>
      <xdr:row>30</xdr:row>
      <xdr:rowOff>22320</xdr:rowOff>
    </xdr:to>
    <xdr:graphicFrame>
      <xdr:nvGraphicFramePr>
        <xdr:cNvPr id="0" name="Chart 1"/>
        <xdr:cNvGraphicFramePr/>
      </xdr:nvGraphicFramePr>
      <xdr:xfrm>
        <a:off x="-5759640" y="42292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4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3"/>
    <col collapsed="false" customWidth="true" hidden="false" outlineLevel="0" max="4" min="4" style="1" width="15"/>
    <col collapsed="false" customWidth="true" hidden="false" outlineLevel="0" max="5" min="5" style="1" width="13"/>
    <col collapsed="false" customWidth="true" hidden="false" outlineLevel="0" max="6" min="6" style="1" width="16"/>
    <col collapsed="false" customWidth="true" hidden="false" outlineLevel="0" max="7" min="7" style="1" width="13"/>
    <col collapsed="false" customWidth="true" hidden="false" outlineLevel="0" max="9" min="8" style="1" width="16"/>
    <col collapsed="false" customWidth="true" hidden="false" outlineLevel="0" max="10" min="10" style="1" width="10"/>
  </cols>
  <sheetData>
    <row r="1" customFormat="false" ht="19.5" hidden="false" customHeight="true" outlineLevel="0" collapsed="false">
      <c r="A1" s="2" t="s">
        <v>0</v>
      </c>
      <c r="B1" s="2"/>
      <c r="C1" s="2"/>
      <c r="D1" s="2"/>
      <c r="E1" s="2"/>
      <c r="F1" s="2"/>
      <c r="G1" s="2"/>
      <c r="H1" s="2"/>
      <c r="I1" s="2"/>
      <c r="J1" s="2"/>
    </row>
    <row r="2" customFormat="false" ht="15" hidden="false" customHeight="true" outlineLevel="0" collapsed="false">
      <c r="A2" s="3" t="s">
        <v>1</v>
      </c>
      <c r="B2" s="4" t="n">
        <v>46250</v>
      </c>
    </row>
    <row r="3" customFormat="false" ht="15" hidden="false" customHeight="true" outlineLevel="0" collapsed="false">
      <c r="A3" s="3" t="s">
        <v>2</v>
      </c>
      <c r="B3" s="5" t="n">
        <v>46249</v>
      </c>
    </row>
    <row r="4" customFormat="false" ht="15" hidden="false" customHeight="true" outlineLevel="0" collapsed="false">
      <c r="A4" s="3" t="s">
        <v>3</v>
      </c>
      <c r="B4" s="4" t="n">
        <f aca="false">EOMONTH(B3,-1)+1</f>
        <v>46235</v>
      </c>
    </row>
    <row r="5" customFormat="false" ht="15" hidden="false" customHeight="true" outlineLevel="0" collapsed="false">
      <c r="A5" s="3" t="s">
        <v>4</v>
      </c>
      <c r="B5" s="4" t="n">
        <f aca="false">EOMONTH(B3,0)</f>
        <v>46265</v>
      </c>
    </row>
    <row r="6" customFormat="false" ht="15" hidden="false" customHeight="true" outlineLevel="0" collapsed="false">
      <c r="A6" s="3" t="s">
        <v>5</v>
      </c>
      <c r="B6" s="6" t="n">
        <f aca="true">SUMPRODUCT((WEEKDAY(ROW(INDIRECT(B4&amp;":"&amp;B5)))&lt;6)*1)</f>
        <v>22</v>
      </c>
    </row>
    <row r="7" customFormat="false" ht="15" hidden="false" customHeight="true" outlineLevel="0" collapsed="false">
      <c r="A7" s="3" t="s">
        <v>6</v>
      </c>
      <c r="B7" s="6" t="n">
        <f aca="true">SUMPRODUCT((WEEKDAY(ROW(INDIRECT(B4&amp;":"&amp;B3)))&lt;6)*1)</f>
        <v>10</v>
      </c>
    </row>
    <row r="8" customFormat="false" ht="45" hidden="false" customHeight="true" outlineLevel="0" collapsed="false">
      <c r="A8" s="7" t="s">
        <v>7</v>
      </c>
      <c r="B8" s="7"/>
      <c r="C8" s="7"/>
      <c r="D8" s="7"/>
      <c r="E8" s="7"/>
      <c r="F8" s="7"/>
      <c r="G8" s="7"/>
      <c r="H8" s="7"/>
      <c r="I8" s="7"/>
      <c r="J8" s="7"/>
    </row>
    <row r="9" customFormat="false" ht="24" hidden="false" customHeight="true" outlineLevel="0" collapsed="false">
      <c r="A9" s="8" t="s">
        <v>8</v>
      </c>
      <c r="B9" s="8"/>
      <c r="C9" s="8"/>
      <c r="D9" s="8"/>
      <c r="E9" s="8"/>
      <c r="F9" s="8"/>
      <c r="G9" s="8"/>
      <c r="H9" s="8"/>
      <c r="I9" s="8"/>
      <c r="J9" s="8"/>
    </row>
    <row r="10" customFormat="false" ht="31.5" hidden="false" customHeight="true" outlineLevel="0" collapsed="false">
      <c r="A10" s="9" t="s">
        <v>9</v>
      </c>
      <c r="B10" s="9" t="s">
        <v>10</v>
      </c>
      <c r="C10" s="9" t="s">
        <v>11</v>
      </c>
      <c r="D10" s="9" t="s">
        <v>12</v>
      </c>
      <c r="E10" s="9" t="s">
        <v>13</v>
      </c>
      <c r="F10" s="9" t="s">
        <v>14</v>
      </c>
      <c r="G10" s="9" t="s">
        <v>15</v>
      </c>
      <c r="H10" s="9" t="s">
        <v>16</v>
      </c>
      <c r="I10" s="9" t="s">
        <v>17</v>
      </c>
      <c r="J10" s="9" t="s">
        <v>18</v>
      </c>
    </row>
    <row r="11" customFormat="false" ht="15" hidden="false" customHeight="true" outlineLevel="0" collapsed="false">
      <c r="A11" s="10" t="s">
        <v>19</v>
      </c>
      <c r="B11" s="11" t="s">
        <v>20</v>
      </c>
      <c r="C11" s="12" t="n">
        <v>109000</v>
      </c>
      <c r="D11" s="12" t="n">
        <v>20013.1</v>
      </c>
      <c r="E11" s="12" t="n">
        <v>4595</v>
      </c>
      <c r="F11" s="13" t="n">
        <f aca="false">D11+E11</f>
        <v>24608.1</v>
      </c>
      <c r="G11" s="14" t="n">
        <f aca="false">IFERROR(F11/C11,"")</f>
        <v>0.225762385321101</v>
      </c>
      <c r="H11" s="13" t="n">
        <f aca="false">IF(C11="","",C11-F11)</f>
        <v>84391.9</v>
      </c>
      <c r="I11" s="13" t="n">
        <f aca="false">IFERROR((F11/$B$7)*$B$6,"")</f>
        <v>54137.82</v>
      </c>
      <c r="J11" s="14" t="n">
        <f aca="false">IFERROR(I11/C11,"")</f>
        <v>0.496677247706422</v>
      </c>
    </row>
    <row r="12" customFormat="false" ht="15" hidden="false" customHeight="true" outlineLevel="0" collapsed="false">
      <c r="A12" s="10"/>
      <c r="B12" s="11" t="s">
        <v>21</v>
      </c>
      <c r="C12" s="12" t="n">
        <v>25070</v>
      </c>
      <c r="D12" s="12" t="n">
        <v>9809.2</v>
      </c>
      <c r="E12" s="12" t="n">
        <v>646</v>
      </c>
      <c r="F12" s="13" t="n">
        <f aca="false">D12+E12</f>
        <v>10455.2</v>
      </c>
      <c r="G12" s="14" t="n">
        <f aca="false">IFERROR(F12/C12,"")</f>
        <v>0.417040287195852</v>
      </c>
      <c r="H12" s="13" t="n">
        <f aca="false">IF(C12="","",C12-F12)</f>
        <v>14614.8</v>
      </c>
      <c r="I12" s="13" t="n">
        <f aca="false">IFERROR((F12/$B$7)*$B$6,"")</f>
        <v>23001.44</v>
      </c>
      <c r="J12" s="14" t="n">
        <f aca="false">IFERROR(I12/C12,"")</f>
        <v>0.917488631830874</v>
      </c>
    </row>
    <row r="13" customFormat="false" ht="15" hidden="false" customHeight="true" outlineLevel="0" collapsed="false">
      <c r="A13" s="10"/>
      <c r="B13" s="11" t="s">
        <v>22</v>
      </c>
      <c r="C13" s="12" t="n">
        <v>119900</v>
      </c>
      <c r="D13" s="12" t="n">
        <v>50294</v>
      </c>
      <c r="E13" s="12"/>
      <c r="F13" s="13" t="n">
        <f aca="false">D13+E13</f>
        <v>50294</v>
      </c>
      <c r="G13" s="14" t="n">
        <f aca="false">IFERROR(F13/C13,"")</f>
        <v>0.419466221851543</v>
      </c>
      <c r="H13" s="13" t="n">
        <f aca="false">IF(C13="","",C13-F13)</f>
        <v>69606</v>
      </c>
      <c r="I13" s="13" t="n">
        <f aca="false">IFERROR((F13/$B$7)*$B$6,"")</f>
        <v>110646.8</v>
      </c>
      <c r="J13" s="14" t="n">
        <f aca="false">IFERROR(I13/C13,"")</f>
        <v>0.922825688073394</v>
      </c>
    </row>
    <row r="14" customFormat="false" ht="15" hidden="false" customHeight="true" outlineLevel="0" collapsed="false">
      <c r="A14" s="10"/>
      <c r="B14" s="15" t="s">
        <v>23</v>
      </c>
      <c r="C14" s="16" t="n">
        <f aca="false">SUM(C11:C13)</f>
        <v>253970</v>
      </c>
      <c r="D14" s="16" t="n">
        <f aca="false">SUM(D11:D13)</f>
        <v>80116.3</v>
      </c>
      <c r="E14" s="16" t="n">
        <f aca="false">SUM(E11:E13)</f>
        <v>5241</v>
      </c>
      <c r="F14" s="16" t="n">
        <f aca="false">SUM(F11:F13)</f>
        <v>85357.3</v>
      </c>
      <c r="G14" s="17" t="n">
        <f aca="false">IFERROR(F14/C14,"")</f>
        <v>0.3360920581171</v>
      </c>
      <c r="H14" s="16" t="n">
        <f aca="false">IF(C14="","",C14-F14)</f>
        <v>168612.7</v>
      </c>
      <c r="I14" s="16" t="n">
        <f aca="false">IFERROR((F14/$B$7)*$B$6,"")</f>
        <v>187786.06</v>
      </c>
      <c r="J14" s="17" t="n">
        <f aca="false">IFERROR(I14/C14,"")</f>
        <v>0.739402527857621</v>
      </c>
    </row>
    <row r="15" customFormat="false" ht="15" hidden="false" customHeight="true" outlineLevel="0" collapsed="false">
      <c r="A15" s="10"/>
      <c r="B15" s="11" t="s">
        <v>24</v>
      </c>
      <c r="C15" s="12" t="n">
        <v>47457</v>
      </c>
      <c r="D15" s="12" t="n">
        <v>19629</v>
      </c>
      <c r="E15" s="12"/>
      <c r="F15" s="13" t="n">
        <f aca="false">D15+E15</f>
        <v>19629</v>
      </c>
      <c r="G15" s="14" t="n">
        <f aca="false">IFERROR(F15/C15,"")</f>
        <v>0.413616537075669</v>
      </c>
      <c r="H15" s="13" t="n">
        <f aca="false">IF(C15="","",C15-F15)</f>
        <v>27828</v>
      </c>
      <c r="I15" s="13" t="n">
        <f aca="false">IFERROR((F15/$B$7)*$B$6,"")</f>
        <v>43183.8</v>
      </c>
      <c r="J15" s="14" t="n">
        <f aca="false">IFERROR(I15/C15,"")</f>
        <v>0.909956381566471</v>
      </c>
    </row>
    <row r="16" customFormat="false" ht="15" hidden="false" customHeight="true" outlineLevel="0" collapsed="false">
      <c r="A16" s="10"/>
      <c r="B16" s="11" t="s">
        <v>25</v>
      </c>
      <c r="C16" s="12" t="n">
        <f aca="false">16734+302</f>
        <v>17036</v>
      </c>
      <c r="D16" s="12" t="n">
        <v>5352</v>
      </c>
      <c r="E16" s="12"/>
      <c r="F16" s="13" t="n">
        <f aca="false">D16+E16</f>
        <v>5352</v>
      </c>
      <c r="G16" s="14" t="n">
        <f aca="false">IFERROR(F16/C16,"")</f>
        <v>0.314158253111059</v>
      </c>
      <c r="H16" s="13" t="n">
        <f aca="false">IF(C16="","",C16-F16)</f>
        <v>11684</v>
      </c>
      <c r="I16" s="13" t="n">
        <f aca="false">IFERROR((F16/$B$7)*$B$6,"")</f>
        <v>11774.4</v>
      </c>
      <c r="J16" s="14" t="n">
        <f aca="false">IFERROR(I16/C16,"")</f>
        <v>0.69114815684433</v>
      </c>
    </row>
    <row r="17" customFormat="false" ht="15" hidden="false" customHeight="true" outlineLevel="0" collapsed="false">
      <c r="A17" s="10"/>
      <c r="B17" s="11" t="s">
        <v>26</v>
      </c>
      <c r="C17" s="12" t="n">
        <v>21800</v>
      </c>
      <c r="D17" s="12" t="n">
        <v>6626.4</v>
      </c>
      <c r="E17" s="12" t="n">
        <v>302</v>
      </c>
      <c r="F17" s="13" t="n">
        <f aca="false">D17+E17</f>
        <v>6928.4</v>
      </c>
      <c r="G17" s="14" t="n">
        <f aca="false">IFERROR(F17/C17,"")</f>
        <v>0.317816513761468</v>
      </c>
      <c r="H17" s="13" t="n">
        <f aca="false">IF(C17="","",C17-F17)</f>
        <v>14871.6</v>
      </c>
      <c r="I17" s="13" t="n">
        <f aca="false">IFERROR((F17/$B$7)*$B$6,"")</f>
        <v>15242.48</v>
      </c>
      <c r="J17" s="14" t="n">
        <f aca="false">IFERROR(I17/C17,"")</f>
        <v>0.699196330275229</v>
      </c>
    </row>
    <row r="18" customFormat="false" ht="15" hidden="false" customHeight="true" outlineLevel="0" collapsed="false">
      <c r="A18" s="10"/>
      <c r="B18" s="11" t="s">
        <v>27</v>
      </c>
      <c r="C18" s="12" t="n">
        <v>6250</v>
      </c>
      <c r="D18" s="12" t="n">
        <v>0</v>
      </c>
      <c r="E18" s="12"/>
      <c r="F18" s="13" t="n">
        <f aca="false">D18+E18</f>
        <v>0</v>
      </c>
      <c r="G18" s="14" t="n">
        <f aca="false">IFERROR(F18/C18,"")</f>
        <v>0</v>
      </c>
      <c r="H18" s="13" t="n">
        <f aca="false">IF(C18="","",C18-F18)</f>
        <v>6250</v>
      </c>
      <c r="I18" s="13" t="n">
        <f aca="false">IFERROR((F18/$B$7)*$B$6,"")</f>
        <v>0</v>
      </c>
      <c r="J18" s="14" t="n">
        <f aca="false">IFERROR(I18/C18,"")</f>
        <v>0</v>
      </c>
    </row>
    <row r="19" customFormat="false" ht="15" hidden="false" customHeight="true" outlineLevel="0" collapsed="false">
      <c r="A19" s="10"/>
      <c r="B19" s="11" t="s">
        <v>28</v>
      </c>
      <c r="C19" s="12"/>
      <c r="D19" s="12" t="n">
        <v>1276</v>
      </c>
      <c r="E19" s="12"/>
      <c r="F19" s="13" t="n">
        <f aca="false">D19+E19</f>
        <v>1276</v>
      </c>
      <c r="G19" s="14" t="str">
        <f aca="false">IFERROR(F19/C19,"")</f>
        <v/>
      </c>
      <c r="H19" s="13" t="str">
        <f aca="false">IF(C19="","",C19-F19)</f>
        <v/>
      </c>
      <c r="I19" s="13" t="n">
        <f aca="false">IFERROR((F19/$B$7)*$B$6,"")</f>
        <v>2807.2</v>
      </c>
      <c r="J19" s="14" t="str">
        <f aca="false">IFERROR(I19/C19,"")</f>
        <v/>
      </c>
    </row>
    <row r="20" customFormat="false" ht="15" hidden="false" customHeight="true" outlineLevel="0" collapsed="false">
      <c r="A20" s="18"/>
      <c r="B20" s="15" t="s">
        <v>23</v>
      </c>
      <c r="C20" s="16" t="n">
        <f aca="false">SUM(C15:C19)</f>
        <v>92543</v>
      </c>
      <c r="D20" s="16" t="n">
        <f aca="false">SUM(D15:D19)</f>
        <v>32883.4</v>
      </c>
      <c r="E20" s="16" t="n">
        <f aca="false">SUM(E15:E19)</f>
        <v>302</v>
      </c>
      <c r="F20" s="16" t="n">
        <f aca="false">SUM(F15:F19)</f>
        <v>33185.4</v>
      </c>
      <c r="G20" s="17" t="n">
        <f aca="false">IFERROR(F20/C20,"")</f>
        <v>0.358594383151616</v>
      </c>
      <c r="H20" s="16" t="n">
        <f aca="false">IF(C20="","",C20-F20)</f>
        <v>59357.6</v>
      </c>
      <c r="I20" s="16" t="n">
        <f aca="false">IFERROR((F20/$B$7)*$B$6,"")</f>
        <v>73007.88</v>
      </c>
      <c r="J20" s="17" t="n">
        <f aca="false">IFERROR(I20/C20,"")</f>
        <v>0.788907642933555</v>
      </c>
    </row>
    <row r="21" customFormat="false" ht="15" hidden="false" customHeight="true" outlineLevel="0" collapsed="false">
      <c r="A21" s="19"/>
      <c r="B21" s="20" t="s">
        <v>29</v>
      </c>
      <c r="C21" s="21" t="n">
        <f aca="false">C14+C20</f>
        <v>346513</v>
      </c>
      <c r="D21" s="21" t="n">
        <f aca="false">D14+D20</f>
        <v>112999.7</v>
      </c>
      <c r="E21" s="21" t="n">
        <f aca="false">E14+E20</f>
        <v>5543</v>
      </c>
      <c r="F21" s="21" t="n">
        <f aca="false">F14+F20</f>
        <v>118542.7</v>
      </c>
      <c r="G21" s="22" t="n">
        <f aca="false">IFERROR(F21/C21,"")</f>
        <v>0.342101739328683</v>
      </c>
      <c r="H21" s="21" t="n">
        <f aca="false">IF(C21="","",C21-F21)</f>
        <v>227970.3</v>
      </c>
      <c r="I21" s="21" t="n">
        <f aca="false">IFERROR((F21/$B$7)*$B$6,"")</f>
        <v>260793.94</v>
      </c>
      <c r="J21" s="22" t="n">
        <f aca="false">IFERROR(I21/C21,"")</f>
        <v>0.752623826523103</v>
      </c>
    </row>
    <row r="23" customFormat="false" ht="19.5" hidden="false" customHeight="true" outlineLevel="0" collapsed="false">
      <c r="A23" s="23" t="s">
        <v>30</v>
      </c>
      <c r="B23" s="23"/>
      <c r="C23" s="23"/>
      <c r="D23" s="23"/>
      <c r="E23" s="23"/>
      <c r="F23" s="23"/>
      <c r="G23" s="23"/>
      <c r="H23" s="23"/>
      <c r="I23" s="23"/>
      <c r="J23" s="23"/>
    </row>
    <row r="24" customFormat="false" ht="7.5" hidden="false" customHeight="true" outlineLevel="0" collapsed="false"/>
    <row r="25" customFormat="false" ht="30" hidden="false" customHeight="true" outlineLevel="0" collapsed="false">
      <c r="A25" s="9" t="s">
        <v>31</v>
      </c>
      <c r="B25" s="9"/>
      <c r="C25" s="9"/>
      <c r="D25" s="9" t="s">
        <v>32</v>
      </c>
      <c r="E25" s="9"/>
      <c r="F25" s="9"/>
      <c r="G25" s="9" t="s">
        <v>33</v>
      </c>
      <c r="H25" s="9"/>
      <c r="I25" s="9"/>
      <c r="J25" s="9"/>
    </row>
    <row r="26" customFormat="false" ht="25.5" hidden="false" customHeight="true" outlineLevel="0" collapsed="false">
      <c r="A26" s="24" t="n">
        <f aca="false">IFERROR(B6-B7,"—")</f>
        <v>12</v>
      </c>
      <c r="B26" s="24"/>
      <c r="C26" s="24"/>
      <c r="D26" s="25" t="n">
        <f aca="false">IFERROR(H21/(B6-B7),"—")</f>
        <v>18997.525</v>
      </c>
      <c r="E26" s="25"/>
      <c r="F26" s="25"/>
      <c r="G26" s="26" t="n">
        <f aca="false">IFERROR((D21+E21)/C21,"—")</f>
        <v>0.342101739328683</v>
      </c>
      <c r="H26" s="26"/>
      <c r="I26" s="26"/>
      <c r="J26" s="26"/>
    </row>
    <row r="27" customFormat="false" ht="15" hidden="false" customHeight="true" outlineLevel="0" collapsed="false"/>
    <row r="28" customFormat="false" ht="27.75" hidden="false" customHeight="true" outlineLevel="0" collapsed="false">
      <c r="A28" s="27" t="s">
        <v>34</v>
      </c>
      <c r="B28" s="27"/>
      <c r="C28" s="27"/>
      <c r="D28" s="27"/>
      <c r="E28" s="27"/>
      <c r="F28" s="27"/>
      <c r="G28" s="27"/>
      <c r="H28" s="27"/>
      <c r="I28" s="27"/>
      <c r="J28" s="27"/>
    </row>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39.75" hidden="false" customHeight="true" outlineLevel="0" collapsed="false"/>
    <row r="41" customFormat="false" ht="18" hidden="false" customHeight="true" outlineLevel="0" collapsed="false"/>
  </sheetData>
  <mergeCells count="12">
    <mergeCell ref="A1:J1"/>
    <mergeCell ref="A8:J8"/>
    <mergeCell ref="A9:J9"/>
    <mergeCell ref="A11:A19"/>
    <mergeCell ref="A23:J23"/>
    <mergeCell ref="A25:C25"/>
    <mergeCell ref="D25:F25"/>
    <mergeCell ref="G25:J25"/>
    <mergeCell ref="A26:C26"/>
    <mergeCell ref="D26:F26"/>
    <mergeCell ref="G26:J26"/>
    <mergeCell ref="A28:J28"/>
  </mergeCells>
  <conditionalFormatting sqref="G26">
    <cfRule type="cellIs" priority="2" operator="lessThan" aboveAverage="0" equalAverage="0" bottom="0" percent="0" rank="0" text="" dxfId="0">
      <formula>0.33</formula>
    </cfRule>
    <cfRule type="cellIs" priority="3" operator="lessThan" aboveAverage="0" equalAverage="0" bottom="0" percent="0" rank="0" text="" dxfId="1">
      <formula>0.66</formula>
    </cfRule>
    <cfRule type="cellIs" priority="4" operator="greaterThanOrEqual" aboveAverage="0" equalAverage="0" bottom="0" percent="0" rank="0" text="" dxfId="2">
      <formula>0.66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3"/>
    <col collapsed="false" customWidth="true" hidden="false" outlineLevel="0" max="4" min="4" style="1" width="15"/>
    <col collapsed="false" customWidth="true" hidden="false" outlineLevel="0" max="5" min="5" style="1" width="13"/>
    <col collapsed="false" customWidth="true" hidden="false" outlineLevel="0" max="6" min="6" style="1" width="16"/>
    <col collapsed="false" customWidth="true" hidden="false" outlineLevel="0" max="7" min="7" style="1" width="13"/>
    <col collapsed="false" customWidth="true" hidden="false" outlineLevel="0" max="9" min="8" style="1" width="16"/>
    <col collapsed="false" customWidth="true" hidden="false" outlineLevel="0" max="10" min="10" style="1" width="10"/>
  </cols>
  <sheetData>
    <row r="1" customFormat="false" ht="19.5" hidden="false" customHeight="true" outlineLevel="0" collapsed="false">
      <c r="A1" s="2" t="s">
        <v>35</v>
      </c>
      <c r="B1" s="2"/>
      <c r="C1" s="2"/>
      <c r="D1" s="2"/>
      <c r="E1" s="2"/>
      <c r="F1" s="2"/>
      <c r="G1" s="2"/>
      <c r="H1" s="2"/>
      <c r="I1" s="2"/>
      <c r="J1" s="2"/>
    </row>
    <row r="2" customFormat="false" ht="15" hidden="false" customHeight="true" outlineLevel="0" collapsed="false">
      <c r="A2" s="3" t="s">
        <v>1</v>
      </c>
      <c r="B2" s="4" t="n">
        <v>46250</v>
      </c>
    </row>
    <row r="3" customFormat="false" ht="15" hidden="false" customHeight="true" outlineLevel="0" collapsed="false">
      <c r="A3" s="3" t="s">
        <v>2</v>
      </c>
      <c r="B3" s="5" t="n">
        <v>46249</v>
      </c>
    </row>
    <row r="4" customFormat="false" ht="15" hidden="false" customHeight="true" outlineLevel="0" collapsed="false">
      <c r="A4" s="3" t="s">
        <v>3</v>
      </c>
      <c r="B4" s="4" t="n">
        <f aca="false">EOMONTH(B3,-1)+1</f>
        <v>46235</v>
      </c>
    </row>
    <row r="5" customFormat="false" ht="15" hidden="false" customHeight="true" outlineLevel="0" collapsed="false">
      <c r="A5" s="3" t="s">
        <v>4</v>
      </c>
      <c r="B5" s="4" t="n">
        <f aca="false">EOMONTH(B3,0)</f>
        <v>46265</v>
      </c>
    </row>
    <row r="6" customFormat="false" ht="15" hidden="false" customHeight="true" outlineLevel="0" collapsed="false">
      <c r="A6" s="3" t="s">
        <v>5</v>
      </c>
      <c r="B6" s="6" t="n">
        <f aca="true">SUMPRODUCT((WEEKDAY(ROW(INDIRECT(B4&amp;":"&amp;B5)))&lt;6)*1)</f>
        <v>22</v>
      </c>
    </row>
    <row r="7" customFormat="false" ht="15" hidden="false" customHeight="true" outlineLevel="0" collapsed="false">
      <c r="A7" s="3" t="s">
        <v>6</v>
      </c>
      <c r="B7" s="6" t="n">
        <f aca="true">SUMPRODUCT((WEEKDAY(ROW(INDIRECT(B4&amp;":"&amp;B3)))&lt;6)*1)</f>
        <v>10</v>
      </c>
    </row>
    <row r="8" customFormat="false" ht="45" hidden="false" customHeight="true" outlineLevel="0" collapsed="false">
      <c r="A8" s="7" t="s">
        <v>36</v>
      </c>
      <c r="B8" s="7"/>
      <c r="C8" s="7"/>
      <c r="D8" s="7"/>
      <c r="E8" s="7"/>
      <c r="F8" s="7"/>
      <c r="G8" s="7"/>
      <c r="H8" s="7"/>
      <c r="I8" s="7"/>
      <c r="J8" s="7"/>
    </row>
    <row r="9" customFormat="false" ht="24" hidden="false" customHeight="true" outlineLevel="0" collapsed="false">
      <c r="A9" s="28" t="s">
        <v>8</v>
      </c>
      <c r="B9" s="28"/>
      <c r="C9" s="28"/>
      <c r="D9" s="28"/>
      <c r="E9" s="28"/>
      <c r="F9" s="28"/>
      <c r="G9" s="28"/>
      <c r="H9" s="28"/>
      <c r="I9" s="28"/>
      <c r="J9" s="28"/>
    </row>
    <row r="10" customFormat="false" ht="31.5" hidden="false" customHeight="true" outlineLevel="0" collapsed="false">
      <c r="A10" s="9" t="s">
        <v>9</v>
      </c>
      <c r="B10" s="9" t="s">
        <v>10</v>
      </c>
      <c r="C10" s="9" t="s">
        <v>11</v>
      </c>
      <c r="D10" s="9" t="s">
        <v>12</v>
      </c>
      <c r="E10" s="9" t="s">
        <v>13</v>
      </c>
      <c r="F10" s="9" t="s">
        <v>14</v>
      </c>
      <c r="G10" s="9" t="s">
        <v>15</v>
      </c>
      <c r="H10" s="9" t="s">
        <v>16</v>
      </c>
      <c r="I10" s="9" t="s">
        <v>17</v>
      </c>
      <c r="J10" s="9" t="s">
        <v>18</v>
      </c>
    </row>
    <row r="11" customFormat="false" ht="15" hidden="false" customHeight="true" outlineLevel="0" collapsed="false">
      <c r="A11" s="10" t="s">
        <v>37</v>
      </c>
      <c r="B11" s="11" t="s">
        <v>20</v>
      </c>
      <c r="C11" s="12" t="n">
        <v>45780</v>
      </c>
      <c r="D11" s="12" t="n">
        <v>28518.9</v>
      </c>
      <c r="E11" s="12" t="n">
        <v>885</v>
      </c>
      <c r="F11" s="13" t="n">
        <f aca="false">D11+E11</f>
        <v>29403.9</v>
      </c>
      <c r="G11" s="14" t="n">
        <f aca="false">IFERROR(F11/C11,"")</f>
        <v>0.642287024901704</v>
      </c>
      <c r="H11" s="13" t="n">
        <f aca="false">IF(C11="","",C11-F11)</f>
        <v>16376.1</v>
      </c>
      <c r="I11" s="13" t="n">
        <f aca="false">IFERROR((F11/$B$7)*$B$6,"")</f>
        <v>64688.58</v>
      </c>
      <c r="J11" s="14" t="n">
        <f aca="false">IFERROR(I11/C11,"")</f>
        <v>1.41303145478375</v>
      </c>
    </row>
    <row r="12" customFormat="false" ht="15" hidden="false" customHeight="true" outlineLevel="0" collapsed="false">
      <c r="A12" s="10"/>
      <c r="B12" s="11" t="s">
        <v>21</v>
      </c>
      <c r="C12" s="12" t="n">
        <v>25070</v>
      </c>
      <c r="D12" s="12" t="n">
        <v>5330.1</v>
      </c>
      <c r="E12" s="12" t="n">
        <v>320</v>
      </c>
      <c r="F12" s="13" t="n">
        <f aca="false">D12+E12</f>
        <v>5650.1</v>
      </c>
      <c r="G12" s="14" t="n">
        <f aca="false">IFERROR(F12/C12,"")</f>
        <v>0.225372955723973</v>
      </c>
      <c r="H12" s="13" t="n">
        <f aca="false">IF(C12="","",C12-F12)</f>
        <v>19419.9</v>
      </c>
      <c r="I12" s="13" t="n">
        <f aca="false">IFERROR((F12/$B$7)*$B$6,"")</f>
        <v>12430.22</v>
      </c>
      <c r="J12" s="14" t="n">
        <f aca="false">IFERROR(I12/C12,"")</f>
        <v>0.49582050259274</v>
      </c>
    </row>
    <row r="13" customFormat="false" ht="15" hidden="false" customHeight="true" outlineLevel="0" collapsed="false">
      <c r="A13" s="10"/>
      <c r="B13" s="11" t="s">
        <v>22</v>
      </c>
      <c r="C13" s="12" t="n">
        <v>167860</v>
      </c>
      <c r="D13" s="12" t="n">
        <v>78350.3</v>
      </c>
      <c r="E13" s="29"/>
      <c r="F13" s="13" t="n">
        <f aca="false">D13+E13</f>
        <v>78350.3</v>
      </c>
      <c r="G13" s="14" t="n">
        <f aca="false">IFERROR(F13/C13,"")</f>
        <v>0.466759799833194</v>
      </c>
      <c r="H13" s="13" t="n">
        <f aca="false">IF(C13="","",C13-F13)</f>
        <v>89509.7</v>
      </c>
      <c r="I13" s="13" t="n">
        <f aca="false">IFERROR((F13/$B$7)*$B$6,"")</f>
        <v>172370.66</v>
      </c>
      <c r="J13" s="14" t="n">
        <f aca="false">IFERROR(I13/C13,"")</f>
        <v>1.02687155963303</v>
      </c>
    </row>
    <row r="14" customFormat="false" ht="15" hidden="false" customHeight="true" outlineLevel="0" collapsed="false">
      <c r="A14" s="10"/>
      <c r="B14" s="15" t="s">
        <v>23</v>
      </c>
      <c r="C14" s="16" t="n">
        <f aca="false">SUM(C11:C13)</f>
        <v>238710</v>
      </c>
      <c r="D14" s="16" t="n">
        <f aca="false">SUM(D11:D13)</f>
        <v>112199.3</v>
      </c>
      <c r="E14" s="16" t="n">
        <f aca="false">SUM(E11:E13)</f>
        <v>1205</v>
      </c>
      <c r="F14" s="16" t="n">
        <f aca="false">SUM(F11:F13)</f>
        <v>113404.3</v>
      </c>
      <c r="G14" s="17" t="n">
        <f aca="false">IFERROR(F14/C14,"")</f>
        <v>0.475071425579155</v>
      </c>
      <c r="H14" s="16" t="n">
        <f aca="false">IF(C14="","",C14-F14)</f>
        <v>125305.7</v>
      </c>
      <c r="I14" s="16" t="n">
        <f aca="false">IFERROR((F14/$B$7)*$B$6,"")</f>
        <v>249489.46</v>
      </c>
      <c r="J14" s="17" t="n">
        <f aca="false">IFERROR(I14/C14,"")</f>
        <v>1.04515713627414</v>
      </c>
    </row>
    <row r="15" customFormat="false" ht="15" hidden="false" customHeight="true" outlineLevel="0" collapsed="false">
      <c r="A15" s="10"/>
      <c r="B15" s="11" t="s">
        <v>24</v>
      </c>
      <c r="C15" s="12" t="n">
        <v>28992</v>
      </c>
      <c r="D15" s="12" t="n">
        <v>8622</v>
      </c>
      <c r="E15" s="29"/>
      <c r="F15" s="13" t="n">
        <f aca="false">D15+E15</f>
        <v>8622</v>
      </c>
      <c r="G15" s="14" t="n">
        <f aca="false">IFERROR(F15/C15,"")</f>
        <v>0.29739238410596</v>
      </c>
      <c r="H15" s="13" t="n">
        <f aca="false">IF(C15="","",C15-F15)</f>
        <v>20370</v>
      </c>
      <c r="I15" s="13" t="n">
        <f aca="false">IFERROR((F15/$B$7)*$B$6,"")</f>
        <v>18968.4</v>
      </c>
      <c r="J15" s="14" t="n">
        <f aca="false">IFERROR(I15/C15,"")</f>
        <v>0.654263245033113</v>
      </c>
    </row>
    <row r="16" customFormat="false" ht="15" hidden="false" customHeight="true" outlineLevel="0" collapsed="false">
      <c r="A16" s="10"/>
      <c r="B16" s="11" t="s">
        <v>25</v>
      </c>
      <c r="C16" s="30"/>
      <c r="D16" s="12" t="n">
        <v>0</v>
      </c>
      <c r="E16" s="29"/>
      <c r="F16" s="13" t="n">
        <f aca="false">D16+E16</f>
        <v>0</v>
      </c>
      <c r="G16" s="14" t="str">
        <f aca="false">IFERROR(F16/C16,"")</f>
        <v/>
      </c>
      <c r="H16" s="13" t="str">
        <f aca="false">IF(C16="","",C16-F16)</f>
        <v/>
      </c>
      <c r="I16" s="13" t="n">
        <f aca="false">IFERROR((F16/$B$7)*$B$6,"")</f>
        <v>0</v>
      </c>
      <c r="J16" s="14" t="str">
        <f aca="false">IFERROR(I16/C16,"")</f>
        <v/>
      </c>
    </row>
    <row r="17" customFormat="false" ht="15" hidden="false" customHeight="true" outlineLevel="0" collapsed="false">
      <c r="A17" s="10"/>
      <c r="B17" s="11" t="s">
        <v>26</v>
      </c>
      <c r="C17" s="12" t="n">
        <v>43600</v>
      </c>
      <c r="D17" s="12" t="n">
        <v>27849.1</v>
      </c>
      <c r="E17" s="12" t="n">
        <v>2240</v>
      </c>
      <c r="F17" s="13" t="n">
        <f aca="false">D17+E17</f>
        <v>30089.1</v>
      </c>
      <c r="G17" s="14" t="n">
        <f aca="false">IFERROR(F17/C17,"")</f>
        <v>0.690116972477064</v>
      </c>
      <c r="H17" s="13" t="n">
        <f aca="false">IF(C17="","",C17-F17)</f>
        <v>13510.9</v>
      </c>
      <c r="I17" s="13" t="n">
        <f aca="false">IFERROR((F17/$B$7)*$B$6,"")</f>
        <v>66196.02</v>
      </c>
      <c r="J17" s="14" t="n">
        <f aca="false">IFERROR(I17/C17,"")</f>
        <v>1.51825733944954</v>
      </c>
    </row>
    <row r="18" customFormat="false" ht="15" hidden="false" customHeight="true" outlineLevel="0" collapsed="false">
      <c r="A18" s="10"/>
      <c r="B18" s="11" t="s">
        <v>27</v>
      </c>
      <c r="C18" s="12" t="n">
        <v>6250</v>
      </c>
      <c r="D18" s="12" t="n">
        <v>0</v>
      </c>
      <c r="E18" s="29"/>
      <c r="F18" s="13" t="n">
        <f aca="false">D18+E18</f>
        <v>0</v>
      </c>
      <c r="G18" s="14" t="n">
        <f aca="false">IFERROR(F18/C18,"")</f>
        <v>0</v>
      </c>
      <c r="H18" s="13" t="n">
        <f aca="false">IF(C18="","",C18-F18)</f>
        <v>6250</v>
      </c>
      <c r="I18" s="13" t="n">
        <f aca="false">IFERROR((F18/$B$7)*$B$6,"")</f>
        <v>0</v>
      </c>
      <c r="J18" s="14" t="n">
        <f aca="false">IFERROR(I18/C18,"")</f>
        <v>0</v>
      </c>
    </row>
    <row r="19" customFormat="false" ht="15" hidden="false" customHeight="true" outlineLevel="0" collapsed="false">
      <c r="A19" s="10"/>
      <c r="B19" s="11" t="s">
        <v>28</v>
      </c>
      <c r="C19" s="30"/>
      <c r="D19" s="12" t="n">
        <v>457</v>
      </c>
      <c r="E19" s="29"/>
      <c r="F19" s="13" t="n">
        <f aca="false">D19+E19</f>
        <v>457</v>
      </c>
      <c r="G19" s="14" t="str">
        <f aca="false">IFERROR(F19/C19,"")</f>
        <v/>
      </c>
      <c r="H19" s="13" t="str">
        <f aca="false">IF(C19="","",C19-F19)</f>
        <v/>
      </c>
      <c r="I19" s="13" t="n">
        <f aca="false">IFERROR((F19/$B$7)*$B$6,"")</f>
        <v>1005.4</v>
      </c>
      <c r="J19" s="14" t="str">
        <f aca="false">IFERROR(I19/C19,"")</f>
        <v/>
      </c>
    </row>
    <row r="20" customFormat="false" ht="15" hidden="false" customHeight="true" outlineLevel="0" collapsed="false">
      <c r="A20" s="18"/>
      <c r="B20" s="15" t="s">
        <v>23</v>
      </c>
      <c r="C20" s="16" t="n">
        <f aca="false">SUM(C15:C19)</f>
        <v>78842</v>
      </c>
      <c r="D20" s="16" t="n">
        <f aca="false">SUM(D15:D19)</f>
        <v>36928.1</v>
      </c>
      <c r="E20" s="16" t="n">
        <f aca="false">SUM(E15:E19)</f>
        <v>2240</v>
      </c>
      <c r="F20" s="16" t="n">
        <f aca="false">SUM(F15:F19)</f>
        <v>39168.1</v>
      </c>
      <c r="G20" s="17" t="n">
        <f aca="false">IFERROR(F20/C20,"")</f>
        <v>0.496792318814845</v>
      </c>
      <c r="H20" s="16" t="n">
        <f aca="false">IF(C20="","",C20-F20)</f>
        <v>39673.9</v>
      </c>
      <c r="I20" s="16" t="n">
        <f aca="false">IFERROR((F20/$B$7)*$B$6,"")</f>
        <v>86169.82</v>
      </c>
      <c r="J20" s="17" t="n">
        <f aca="false">IFERROR(I20/C20,"")</f>
        <v>1.09294310139266</v>
      </c>
    </row>
    <row r="21" customFormat="false" ht="15" hidden="false" customHeight="true" outlineLevel="0" collapsed="false">
      <c r="A21" s="19"/>
      <c r="B21" s="20" t="s">
        <v>29</v>
      </c>
      <c r="C21" s="21" t="n">
        <f aca="false">C14+C20</f>
        <v>317552</v>
      </c>
      <c r="D21" s="21" t="n">
        <f aca="false">D14+D20</f>
        <v>149127.4</v>
      </c>
      <c r="E21" s="21" t="n">
        <f aca="false">E14+E20</f>
        <v>3445</v>
      </c>
      <c r="F21" s="21" t="n">
        <f aca="false">F14+F20</f>
        <v>152572.4</v>
      </c>
      <c r="G21" s="22" t="n">
        <f aca="false">IFERROR(F21/C21,"")</f>
        <v>0.480464301909609</v>
      </c>
      <c r="H21" s="21" t="n">
        <f aca="false">IF(C21="","",C21-F21)</f>
        <v>164979.6</v>
      </c>
      <c r="I21" s="21" t="n">
        <f aca="false">IFERROR((F21/$B$7)*$B$6,"")</f>
        <v>335659.28</v>
      </c>
      <c r="J21" s="22" t="n">
        <f aca="false">IFERROR(I21/C21,"")</f>
        <v>1.05702146420114</v>
      </c>
    </row>
    <row r="23" customFormat="false" ht="19.5" hidden="false" customHeight="true" outlineLevel="0" collapsed="false">
      <c r="A23" s="23" t="s">
        <v>38</v>
      </c>
      <c r="B23" s="23"/>
      <c r="C23" s="23"/>
      <c r="D23" s="23"/>
      <c r="E23" s="23"/>
      <c r="F23" s="23"/>
      <c r="G23" s="23"/>
      <c r="H23" s="23"/>
      <c r="I23" s="23"/>
      <c r="J23" s="23"/>
    </row>
    <row r="24" customFormat="false" ht="7.5" hidden="false" customHeight="true" outlineLevel="0" collapsed="false"/>
    <row r="25" customFormat="false" ht="30" hidden="false" customHeight="true" outlineLevel="0" collapsed="false">
      <c r="A25" s="9" t="s">
        <v>31</v>
      </c>
      <c r="B25" s="9"/>
      <c r="C25" s="9"/>
      <c r="D25" s="9" t="s">
        <v>32</v>
      </c>
      <c r="E25" s="9"/>
      <c r="F25" s="9"/>
      <c r="G25" s="9" t="s">
        <v>33</v>
      </c>
      <c r="H25" s="9"/>
      <c r="I25" s="9"/>
      <c r="J25" s="9"/>
    </row>
    <row r="26" customFormat="false" ht="25.5" hidden="false" customHeight="true" outlineLevel="0" collapsed="false">
      <c r="A26" s="24" t="n">
        <f aca="false">IFERROR(B6-B7,"—")</f>
        <v>12</v>
      </c>
      <c r="B26" s="24"/>
      <c r="C26" s="24"/>
      <c r="D26" s="25" t="n">
        <f aca="false">IFERROR(H21/(B6-B7),"—")</f>
        <v>13748.3</v>
      </c>
      <c r="E26" s="25"/>
      <c r="F26" s="25"/>
      <c r="G26" s="26" t="n">
        <f aca="false">IFERROR((D21+E21)/C21,"—")</f>
        <v>0.480464301909609</v>
      </c>
      <c r="H26" s="26"/>
      <c r="I26" s="26"/>
      <c r="J26" s="26"/>
    </row>
    <row r="28" customFormat="false" ht="27.75" hidden="false" customHeight="true" outlineLevel="0" collapsed="false">
      <c r="A28" s="27" t="s">
        <v>34</v>
      </c>
      <c r="B28" s="27"/>
      <c r="C28" s="27"/>
      <c r="D28" s="27"/>
      <c r="E28" s="27"/>
      <c r="F28" s="27"/>
      <c r="G28" s="27"/>
      <c r="H28" s="27"/>
      <c r="I28" s="27"/>
      <c r="J28" s="27"/>
    </row>
  </sheetData>
  <mergeCells count="12">
    <mergeCell ref="A1:J1"/>
    <mergeCell ref="A8:J8"/>
    <mergeCell ref="A9:J9"/>
    <mergeCell ref="A11:A19"/>
    <mergeCell ref="A23:J23"/>
    <mergeCell ref="A25:C25"/>
    <mergeCell ref="D25:F25"/>
    <mergeCell ref="G25:J25"/>
    <mergeCell ref="A26:C26"/>
    <mergeCell ref="D26:F26"/>
    <mergeCell ref="G26:J26"/>
    <mergeCell ref="A28:J28"/>
  </mergeCells>
  <conditionalFormatting sqref="G26">
    <cfRule type="cellIs" priority="2" operator="lessThan" aboveAverage="0" equalAverage="0" bottom="0" percent="0" rank="0" text="" dxfId="0">
      <formula>0.33</formula>
    </cfRule>
    <cfRule type="cellIs" priority="3" operator="lessThan" aboveAverage="0" equalAverage="0" bottom="0" percent="0" rank="0" text="" dxfId="1">
      <formula>0.66</formula>
    </cfRule>
    <cfRule type="cellIs" priority="4" operator="greaterThanOrEqual" aboveAverage="0" equalAverage="0" bottom="0" percent="0" rank="0" text="" dxfId="2">
      <formula>0.66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3"/>
    <col collapsed="false" customWidth="true" hidden="false" outlineLevel="0" max="4" min="4" style="1" width="15"/>
    <col collapsed="false" customWidth="true" hidden="false" outlineLevel="0" max="5" min="5" style="1" width="13"/>
    <col collapsed="false" customWidth="true" hidden="false" outlineLevel="0" max="6" min="6" style="1" width="16"/>
    <col collapsed="false" customWidth="true" hidden="false" outlineLevel="0" max="7" min="7" style="1" width="13"/>
    <col collapsed="false" customWidth="true" hidden="false" outlineLevel="0" max="9" min="8" style="1" width="16"/>
    <col collapsed="false" customWidth="true" hidden="false" outlineLevel="0" max="10" min="10" style="1" width="10"/>
  </cols>
  <sheetData>
    <row r="1" customFormat="false" ht="19.5" hidden="false" customHeight="true" outlineLevel="0" collapsed="false">
      <c r="A1" s="2" t="s">
        <v>39</v>
      </c>
      <c r="B1" s="2"/>
      <c r="C1" s="2"/>
      <c r="D1" s="2"/>
      <c r="E1" s="2"/>
      <c r="F1" s="2"/>
      <c r="G1" s="2"/>
      <c r="H1" s="2"/>
      <c r="I1" s="2"/>
      <c r="J1" s="2"/>
    </row>
    <row r="2" customFormat="false" ht="15" hidden="false" customHeight="true" outlineLevel="0" collapsed="false">
      <c r="A2" s="3" t="s">
        <v>1</v>
      </c>
      <c r="B2" s="4" t="n">
        <v>46250</v>
      </c>
    </row>
    <row r="3" customFormat="false" ht="15" hidden="false" customHeight="true" outlineLevel="0" collapsed="false">
      <c r="A3" s="3" t="s">
        <v>2</v>
      </c>
      <c r="B3" s="5" t="n">
        <v>46249</v>
      </c>
    </row>
    <row r="4" customFormat="false" ht="15" hidden="false" customHeight="true" outlineLevel="0" collapsed="false">
      <c r="A4" s="3" t="s">
        <v>3</v>
      </c>
      <c r="B4" s="4" t="n">
        <f aca="false">EOMONTH(B3,-1)+1</f>
        <v>46235</v>
      </c>
    </row>
    <row r="5" customFormat="false" ht="15" hidden="false" customHeight="true" outlineLevel="0" collapsed="false">
      <c r="A5" s="3" t="s">
        <v>4</v>
      </c>
      <c r="B5" s="4" t="n">
        <f aca="false">EOMONTH(B3,0)</f>
        <v>46265</v>
      </c>
    </row>
    <row r="6" customFormat="false" ht="15" hidden="false" customHeight="true" outlineLevel="0" collapsed="false">
      <c r="A6" s="3" t="s">
        <v>5</v>
      </c>
      <c r="B6" s="6" t="n">
        <f aca="true">SUMPRODUCT((WEEKDAY(ROW(INDIRECT(B4&amp;":"&amp;B5)))&lt;6)*1)</f>
        <v>22</v>
      </c>
    </row>
    <row r="7" customFormat="false" ht="15" hidden="false" customHeight="true" outlineLevel="0" collapsed="false">
      <c r="A7" s="3" t="s">
        <v>6</v>
      </c>
      <c r="B7" s="6" t="n">
        <f aca="true">SUMPRODUCT((WEEKDAY(ROW(INDIRECT(B4&amp;":"&amp;B3)))&lt;6)*1)</f>
        <v>10</v>
      </c>
    </row>
    <row r="8" customFormat="false" ht="45" hidden="false" customHeight="true" outlineLevel="0" collapsed="false">
      <c r="A8" s="7" t="s">
        <v>40</v>
      </c>
      <c r="B8" s="7"/>
      <c r="C8" s="7"/>
      <c r="D8" s="7"/>
      <c r="E8" s="7"/>
      <c r="F8" s="7"/>
      <c r="G8" s="7"/>
      <c r="H8" s="7"/>
      <c r="I8" s="7"/>
      <c r="J8" s="7"/>
    </row>
    <row r="9" customFormat="false" ht="24" hidden="false" customHeight="true" outlineLevel="0" collapsed="false">
      <c r="A9" s="28" t="s">
        <v>8</v>
      </c>
      <c r="B9" s="28"/>
      <c r="C9" s="28"/>
      <c r="D9" s="28"/>
      <c r="E9" s="28"/>
      <c r="F9" s="28"/>
      <c r="G9" s="28"/>
      <c r="H9" s="28"/>
      <c r="I9" s="28"/>
      <c r="J9" s="28"/>
    </row>
    <row r="10" customFormat="false" ht="31.5" hidden="false" customHeight="true" outlineLevel="0" collapsed="false">
      <c r="A10" s="9" t="s">
        <v>9</v>
      </c>
      <c r="B10" s="9" t="s">
        <v>10</v>
      </c>
      <c r="C10" s="9" t="s">
        <v>11</v>
      </c>
      <c r="D10" s="9" t="s">
        <v>12</v>
      </c>
      <c r="E10" s="9" t="s">
        <v>13</v>
      </c>
      <c r="F10" s="9" t="s">
        <v>14</v>
      </c>
      <c r="G10" s="9" t="s">
        <v>15</v>
      </c>
      <c r="H10" s="9" t="s">
        <v>16</v>
      </c>
      <c r="I10" s="9" t="s">
        <v>17</v>
      </c>
      <c r="J10" s="9" t="s">
        <v>18</v>
      </c>
    </row>
    <row r="11" customFormat="false" ht="15" hidden="false" customHeight="true" outlineLevel="0" collapsed="false">
      <c r="A11" s="10" t="s">
        <v>41</v>
      </c>
      <c r="B11" s="11" t="s">
        <v>20</v>
      </c>
      <c r="C11" s="12" t="n">
        <v>30520</v>
      </c>
      <c r="D11" s="12" t="n">
        <v>13592.7</v>
      </c>
      <c r="E11" s="12" t="n">
        <v>75</v>
      </c>
      <c r="F11" s="13" t="n">
        <f aca="false">D11+E11</f>
        <v>13667.7</v>
      </c>
      <c r="G11" s="14" t="n">
        <f aca="false">IFERROR(F11/C11,"")</f>
        <v>0.447827653997379</v>
      </c>
      <c r="H11" s="13" t="n">
        <f aca="false">IF(C11="","",C11-F11)</f>
        <v>16852.3</v>
      </c>
      <c r="I11" s="13" t="n">
        <f aca="false">IFERROR((F11/$B$7)*$B$6,"")</f>
        <v>30068.94</v>
      </c>
      <c r="J11" s="14" t="n">
        <f aca="false">IFERROR(I11/C11,"")</f>
        <v>0.985220838794233</v>
      </c>
    </row>
    <row r="12" customFormat="false" ht="15" hidden="false" customHeight="true" outlineLevel="0" collapsed="false">
      <c r="A12" s="10"/>
      <c r="B12" s="11" t="s">
        <v>21</v>
      </c>
      <c r="C12" s="12" t="n">
        <v>30520</v>
      </c>
      <c r="D12" s="12" t="n">
        <v>9861.2</v>
      </c>
      <c r="E12" s="12" t="n">
        <v>408</v>
      </c>
      <c r="F12" s="13" t="n">
        <f aca="false">D12+E12</f>
        <v>10269.2</v>
      </c>
      <c r="G12" s="14" t="n">
        <f aca="false">IFERROR(F12/C12,"")</f>
        <v>0.336474442988205</v>
      </c>
      <c r="H12" s="13" t="n">
        <f aca="false">IF(C12="","",C12-F12)</f>
        <v>20250.8</v>
      </c>
      <c r="I12" s="13" t="n">
        <f aca="false">IFERROR((F12/$B$7)*$B$6,"")</f>
        <v>22592.24</v>
      </c>
      <c r="J12" s="14" t="n">
        <f aca="false">IFERROR(I12/C12,"")</f>
        <v>0.74024377457405</v>
      </c>
    </row>
    <row r="13" customFormat="false" ht="15" hidden="false" customHeight="true" outlineLevel="0" collapsed="false">
      <c r="A13" s="10"/>
      <c r="B13" s="11" t="s">
        <v>22</v>
      </c>
      <c r="C13" s="12" t="n">
        <v>161865</v>
      </c>
      <c r="D13" s="12" t="n">
        <v>64049.2</v>
      </c>
      <c r="E13" s="29"/>
      <c r="F13" s="13" t="n">
        <f aca="false">D13+E13</f>
        <v>64049.2</v>
      </c>
      <c r="G13" s="14" t="n">
        <f aca="false">IFERROR(F13/C13,"")</f>
        <v>0.395695178080499</v>
      </c>
      <c r="H13" s="13" t="n">
        <f aca="false">IF(C13="","",C13-F13)</f>
        <v>97815.8</v>
      </c>
      <c r="I13" s="13" t="n">
        <f aca="false">IFERROR((F13/$B$7)*$B$6,"")</f>
        <v>140908.24</v>
      </c>
      <c r="J13" s="14" t="n">
        <f aca="false">IFERROR(I13/C13,"")</f>
        <v>0.870529391777098</v>
      </c>
    </row>
    <row r="14" customFormat="false" ht="15" hidden="false" customHeight="true" outlineLevel="0" collapsed="false">
      <c r="A14" s="10"/>
      <c r="B14" s="15" t="s">
        <v>23</v>
      </c>
      <c r="C14" s="16" t="n">
        <f aca="false">SUM(C11:C13)</f>
        <v>222905</v>
      </c>
      <c r="D14" s="16" t="n">
        <f aca="false">SUM(D11:D13)</f>
        <v>87503.1</v>
      </c>
      <c r="E14" s="16" t="n">
        <f aca="false">SUM(E11:E13)</f>
        <v>483</v>
      </c>
      <c r="F14" s="16" t="n">
        <f aca="false">SUM(F11:F13)</f>
        <v>87986.1</v>
      </c>
      <c r="G14" s="17" t="n">
        <f aca="false">IFERROR(F14/C14,"")</f>
        <v>0.394724658486799</v>
      </c>
      <c r="H14" s="16" t="n">
        <f aca="false">IF(C14="","",C14-F14)</f>
        <v>134918.9</v>
      </c>
      <c r="I14" s="16" t="n">
        <f aca="false">IFERROR((F14/$B$7)*$B$6,"")</f>
        <v>193569.42</v>
      </c>
      <c r="J14" s="17" t="n">
        <f aca="false">IFERROR(I14/C14,"")</f>
        <v>0.868394248670959</v>
      </c>
    </row>
    <row r="15" customFormat="false" ht="15" hidden="false" customHeight="true" outlineLevel="0" collapsed="false">
      <c r="A15" s="10"/>
      <c r="B15" s="11" t="s">
        <v>24</v>
      </c>
      <c r="C15" s="12" t="n">
        <v>12794</v>
      </c>
      <c r="D15" s="12" t="n">
        <v>4269</v>
      </c>
      <c r="E15" s="29"/>
      <c r="F15" s="13" t="n">
        <f aca="false">D15+E15</f>
        <v>4269</v>
      </c>
      <c r="G15" s="14" t="n">
        <f aca="false">IFERROR(F15/C15,"")</f>
        <v>0.333672033765828</v>
      </c>
      <c r="H15" s="13" t="n">
        <f aca="false">IF(C15="","",C15-F15)</f>
        <v>8525</v>
      </c>
      <c r="I15" s="13" t="n">
        <f aca="false">IFERROR((F15/$B$7)*$B$6,"")</f>
        <v>9391.8</v>
      </c>
      <c r="J15" s="14" t="n">
        <f aca="false">IFERROR(I15/C15,"")</f>
        <v>0.734078474284821</v>
      </c>
    </row>
    <row r="16" customFormat="false" ht="15" hidden="false" customHeight="true" outlineLevel="0" collapsed="false">
      <c r="A16" s="10"/>
      <c r="B16" s="11" t="s">
        <v>25</v>
      </c>
      <c r="C16" s="12" t="n">
        <v>0</v>
      </c>
      <c r="D16" s="12" t="n">
        <v>0</v>
      </c>
      <c r="E16" s="29"/>
      <c r="F16" s="13" t="n">
        <f aca="false">D16+E16</f>
        <v>0</v>
      </c>
      <c r="G16" s="14" t="str">
        <f aca="false">IFERROR(F16/C16,"")</f>
        <v/>
      </c>
      <c r="H16" s="13" t="n">
        <f aca="false">IF(C16="","",C16-F16)</f>
        <v>0</v>
      </c>
      <c r="I16" s="13" t="n">
        <f aca="false">IFERROR((F16/$B$7)*$B$6,"")</f>
        <v>0</v>
      </c>
      <c r="J16" s="14" t="str">
        <f aca="false">IFERROR(I16/C16,"")</f>
        <v/>
      </c>
    </row>
    <row r="17" customFormat="false" ht="15" hidden="false" customHeight="true" outlineLevel="0" collapsed="false">
      <c r="A17" s="10"/>
      <c r="B17" s="11" t="s">
        <v>26</v>
      </c>
      <c r="C17" s="12" t="n">
        <v>6625</v>
      </c>
      <c r="D17" s="12" t="n">
        <v>4045</v>
      </c>
      <c r="E17" s="12" t="n">
        <v>537</v>
      </c>
      <c r="F17" s="13" t="n">
        <f aca="false">D17+E17</f>
        <v>4582</v>
      </c>
      <c r="G17" s="14" t="n">
        <f aca="false">IFERROR(F17/C17,"")</f>
        <v>0.691622641509434</v>
      </c>
      <c r="H17" s="13" t="n">
        <f aca="false">IF(C17="","",C17-F17)</f>
        <v>2043</v>
      </c>
      <c r="I17" s="13" t="n">
        <f aca="false">IFERROR((F17/$B$7)*$B$6,"")</f>
        <v>10080.4</v>
      </c>
      <c r="J17" s="14" t="n">
        <f aca="false">IFERROR(I17/C17,"")</f>
        <v>1.52156981132075</v>
      </c>
    </row>
    <row r="18" customFormat="false" ht="15" hidden="false" customHeight="true" outlineLevel="0" collapsed="false">
      <c r="A18" s="10"/>
      <c r="B18" s="11" t="s">
        <v>27</v>
      </c>
      <c r="C18" s="12" t="n">
        <v>22036</v>
      </c>
      <c r="D18" s="12" t="n">
        <v>1212</v>
      </c>
      <c r="E18" s="29"/>
      <c r="F18" s="13" t="n">
        <f aca="false">D18+E18</f>
        <v>1212</v>
      </c>
      <c r="G18" s="14" t="n">
        <f aca="false">IFERROR(F18/C18,"")</f>
        <v>0.0550009076057361</v>
      </c>
      <c r="H18" s="13" t="n">
        <f aca="false">IF(C18="","",C18-F18)</f>
        <v>20824</v>
      </c>
      <c r="I18" s="13" t="n">
        <f aca="false">IFERROR((F18/$B$7)*$B$6,"")</f>
        <v>2666.4</v>
      </c>
      <c r="J18" s="14" t="n">
        <f aca="false">IFERROR(I18/C18,"")</f>
        <v>0.121001996732619</v>
      </c>
    </row>
    <row r="19" customFormat="false" ht="15" hidden="false" customHeight="true" outlineLevel="0" collapsed="false">
      <c r="A19" s="10"/>
      <c r="B19" s="11" t="s">
        <v>28</v>
      </c>
      <c r="C19" s="30"/>
      <c r="D19" s="12"/>
      <c r="E19" s="29"/>
      <c r="F19" s="13" t="n">
        <f aca="false">D19+E19</f>
        <v>0</v>
      </c>
      <c r="G19" s="14" t="str">
        <f aca="false">IFERROR(F19/C19,"")</f>
        <v/>
      </c>
      <c r="H19" s="13" t="str">
        <f aca="false">IF(C19="","",C19-F19)</f>
        <v/>
      </c>
      <c r="I19" s="13" t="n">
        <f aca="false">IFERROR((F19/$B$7)*$B$6,"")</f>
        <v>0</v>
      </c>
      <c r="J19" s="14" t="str">
        <f aca="false">IFERROR(I19/C19,"")</f>
        <v/>
      </c>
    </row>
    <row r="20" customFormat="false" ht="15" hidden="false" customHeight="true" outlineLevel="0" collapsed="false">
      <c r="A20" s="18"/>
      <c r="B20" s="15" t="s">
        <v>23</v>
      </c>
      <c r="C20" s="16" t="n">
        <f aca="false">SUM(C15:C19)</f>
        <v>41455</v>
      </c>
      <c r="D20" s="16" t="n">
        <f aca="false">SUM(D15:D19)</f>
        <v>9526</v>
      </c>
      <c r="E20" s="16" t="n">
        <f aca="false">SUM(E15:E19)</f>
        <v>537</v>
      </c>
      <c r="F20" s="16" t="n">
        <f aca="false">SUM(F15:F19)</f>
        <v>10063</v>
      </c>
      <c r="G20" s="17" t="n">
        <f aca="false">IFERROR(F20/C20,"")</f>
        <v>0.242745145338319</v>
      </c>
      <c r="H20" s="16" t="n">
        <f aca="false">IF(C20="","",C20-F20)</f>
        <v>31392</v>
      </c>
      <c r="I20" s="16" t="n">
        <f aca="false">IFERROR((F20/$B$7)*$B$6,"")</f>
        <v>22138.6</v>
      </c>
      <c r="J20" s="17" t="n">
        <f aca="false">IFERROR(I20/C20,"")</f>
        <v>0.534039319744301</v>
      </c>
    </row>
    <row r="21" customFormat="false" ht="15" hidden="false" customHeight="true" outlineLevel="0" collapsed="false">
      <c r="A21" s="19"/>
      <c r="B21" s="20" t="s">
        <v>29</v>
      </c>
      <c r="C21" s="21" t="n">
        <f aca="false">C14+C20</f>
        <v>264360</v>
      </c>
      <c r="D21" s="21" t="n">
        <f aca="false">D14+D20</f>
        <v>97029.1</v>
      </c>
      <c r="E21" s="21" t="n">
        <f aca="false">E14+E20</f>
        <v>1020</v>
      </c>
      <c r="F21" s="21" t="n">
        <f aca="false">F14+F20</f>
        <v>98049.1</v>
      </c>
      <c r="G21" s="22" t="n">
        <f aca="false">IFERROR(F21/C21,"")</f>
        <v>0.370892343773642</v>
      </c>
      <c r="H21" s="21" t="n">
        <f aca="false">IF(C21="","",C21-F21)</f>
        <v>166310.9</v>
      </c>
      <c r="I21" s="21" t="n">
        <f aca="false">IFERROR((F21/$B$7)*$B$6,"")</f>
        <v>215708.02</v>
      </c>
      <c r="J21" s="22" t="n">
        <f aca="false">IFERROR(I21/C21,"")</f>
        <v>0.815963156302012</v>
      </c>
    </row>
    <row r="23" customFormat="false" ht="19.5" hidden="false" customHeight="true" outlineLevel="0" collapsed="false">
      <c r="A23" s="23" t="s">
        <v>42</v>
      </c>
      <c r="B23" s="23"/>
      <c r="C23" s="23"/>
      <c r="D23" s="23"/>
      <c r="E23" s="23"/>
      <c r="F23" s="23"/>
      <c r="G23" s="23"/>
      <c r="H23" s="23"/>
      <c r="I23" s="23"/>
      <c r="J23" s="23"/>
    </row>
    <row r="24" customFormat="false" ht="7.5" hidden="false" customHeight="true" outlineLevel="0" collapsed="false"/>
    <row r="25" customFormat="false" ht="30" hidden="false" customHeight="true" outlineLevel="0" collapsed="false">
      <c r="A25" s="9" t="s">
        <v>31</v>
      </c>
      <c r="B25" s="9"/>
      <c r="C25" s="9"/>
      <c r="D25" s="9" t="s">
        <v>32</v>
      </c>
      <c r="E25" s="9"/>
      <c r="F25" s="9"/>
      <c r="G25" s="9" t="s">
        <v>33</v>
      </c>
      <c r="H25" s="9"/>
      <c r="I25" s="9"/>
      <c r="J25" s="9"/>
    </row>
    <row r="26" customFormat="false" ht="25.5" hidden="false" customHeight="true" outlineLevel="0" collapsed="false">
      <c r="A26" s="24" t="n">
        <f aca="false">IFERROR(B6-B7,"—")</f>
        <v>12</v>
      </c>
      <c r="B26" s="24"/>
      <c r="C26" s="24"/>
      <c r="D26" s="25" t="n">
        <f aca="false">IFERROR(H21/(B6-B7),"—")</f>
        <v>13859.2416666667</v>
      </c>
      <c r="E26" s="25"/>
      <c r="F26" s="25"/>
      <c r="G26" s="26" t="n">
        <f aca="false">IFERROR((D21+E21)/C21,"—")</f>
        <v>0.370892343773642</v>
      </c>
      <c r="H26" s="26"/>
      <c r="I26" s="26"/>
      <c r="J26" s="26"/>
    </row>
    <row r="28" customFormat="false" ht="27.75" hidden="false" customHeight="true" outlineLevel="0" collapsed="false">
      <c r="A28" s="27" t="s">
        <v>34</v>
      </c>
      <c r="B28" s="27"/>
      <c r="C28" s="27"/>
      <c r="D28" s="27"/>
      <c r="E28" s="27"/>
      <c r="F28" s="27"/>
      <c r="G28" s="27"/>
      <c r="H28" s="27"/>
      <c r="I28" s="27"/>
      <c r="J28" s="27"/>
    </row>
  </sheetData>
  <mergeCells count="12">
    <mergeCell ref="A1:J1"/>
    <mergeCell ref="A8:J8"/>
    <mergeCell ref="A9:J9"/>
    <mergeCell ref="A11:A19"/>
    <mergeCell ref="A23:J23"/>
    <mergeCell ref="A25:C25"/>
    <mergeCell ref="D25:F25"/>
    <mergeCell ref="G25:J25"/>
    <mergeCell ref="A26:C26"/>
    <mergeCell ref="D26:F26"/>
    <mergeCell ref="G26:J26"/>
    <mergeCell ref="A28:J28"/>
  </mergeCells>
  <conditionalFormatting sqref="G26">
    <cfRule type="cellIs" priority="2" operator="lessThan" aboveAverage="0" equalAverage="0" bottom="0" percent="0" rank="0" text="" dxfId="0">
      <formula>0.33</formula>
    </cfRule>
    <cfRule type="cellIs" priority="3" operator="lessThan" aboveAverage="0" equalAverage="0" bottom="0" percent="0" rank="0" text="" dxfId="1">
      <formula>0.66</formula>
    </cfRule>
    <cfRule type="cellIs" priority="4" operator="greaterThanOrEqual" aboveAverage="0" equalAverage="0" bottom="0" percent="0" rank="0" text="" dxfId="2">
      <formula>0.66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3"/>
    <col collapsed="false" customWidth="true" hidden="false" outlineLevel="0" max="4" min="4" style="1" width="15"/>
    <col collapsed="false" customWidth="true" hidden="false" outlineLevel="0" max="5" min="5" style="1" width="13"/>
    <col collapsed="false" customWidth="true" hidden="false" outlineLevel="0" max="6" min="6" style="1" width="16"/>
    <col collapsed="false" customWidth="true" hidden="false" outlineLevel="0" max="7" min="7" style="1" width="13"/>
    <col collapsed="false" customWidth="true" hidden="false" outlineLevel="0" max="9" min="8" style="1" width="16"/>
    <col collapsed="false" customWidth="true" hidden="false" outlineLevel="0" max="10" min="10" style="1" width="10"/>
  </cols>
  <sheetData>
    <row r="1" customFormat="false" ht="19.5" hidden="false" customHeight="true" outlineLevel="0" collapsed="false">
      <c r="A1" s="2" t="s">
        <v>43</v>
      </c>
      <c r="B1" s="2"/>
      <c r="C1" s="2"/>
      <c r="D1" s="2"/>
      <c r="E1" s="2"/>
      <c r="F1" s="2"/>
      <c r="G1" s="2"/>
      <c r="H1" s="2"/>
      <c r="I1" s="2"/>
      <c r="J1" s="2"/>
    </row>
    <row r="2" customFormat="false" ht="15" hidden="false" customHeight="true" outlineLevel="0" collapsed="false">
      <c r="A2" s="3" t="s">
        <v>1</v>
      </c>
      <c r="B2" s="4" t="n">
        <v>46250</v>
      </c>
    </row>
    <row r="3" customFormat="false" ht="15" hidden="false" customHeight="true" outlineLevel="0" collapsed="false">
      <c r="A3" s="3" t="s">
        <v>2</v>
      </c>
      <c r="B3" s="5" t="n">
        <v>46249</v>
      </c>
    </row>
    <row r="4" customFormat="false" ht="15" hidden="false" customHeight="true" outlineLevel="0" collapsed="false">
      <c r="A4" s="3" t="s">
        <v>3</v>
      </c>
      <c r="B4" s="4" t="n">
        <f aca="false">EOMONTH(B3,-1)+1</f>
        <v>46235</v>
      </c>
    </row>
    <row r="5" customFormat="false" ht="15" hidden="false" customHeight="true" outlineLevel="0" collapsed="false">
      <c r="A5" s="3" t="s">
        <v>4</v>
      </c>
      <c r="B5" s="4" t="n">
        <f aca="false">EOMONTH(B3,0)</f>
        <v>46265</v>
      </c>
    </row>
    <row r="6" customFormat="false" ht="15" hidden="false" customHeight="true" outlineLevel="0" collapsed="false">
      <c r="A6" s="3" t="s">
        <v>5</v>
      </c>
      <c r="B6" s="6" t="n">
        <f aca="true">SUMPRODUCT((WEEKDAY(ROW(INDIRECT(B4&amp;":"&amp;B5)))&lt;6)*1)</f>
        <v>22</v>
      </c>
    </row>
    <row r="7" customFormat="false" ht="15" hidden="false" customHeight="true" outlineLevel="0" collapsed="false">
      <c r="A7" s="3" t="s">
        <v>6</v>
      </c>
      <c r="B7" s="6" t="n">
        <f aca="true">SUMPRODUCT((WEEKDAY(ROW(INDIRECT(B4&amp;":"&amp;B3)))&lt;6)*1)</f>
        <v>10</v>
      </c>
    </row>
    <row r="8" customFormat="false" ht="45" hidden="false" customHeight="true" outlineLevel="0" collapsed="false">
      <c r="A8" s="7" t="s">
        <v>44</v>
      </c>
      <c r="B8" s="7"/>
      <c r="C8" s="7"/>
      <c r="D8" s="7"/>
      <c r="E8" s="7"/>
      <c r="F8" s="7"/>
      <c r="G8" s="7"/>
      <c r="H8" s="7"/>
      <c r="I8" s="7"/>
      <c r="J8" s="7"/>
    </row>
    <row r="9" customFormat="false" ht="24" hidden="false" customHeight="true" outlineLevel="0" collapsed="false">
      <c r="A9" s="28" t="s">
        <v>8</v>
      </c>
      <c r="B9" s="28"/>
      <c r="C9" s="28"/>
      <c r="D9" s="28"/>
      <c r="E9" s="28"/>
      <c r="F9" s="28"/>
      <c r="G9" s="28"/>
      <c r="H9" s="28"/>
      <c r="I9" s="28"/>
      <c r="J9" s="28"/>
    </row>
    <row r="10" customFormat="false" ht="31.5" hidden="false" customHeight="true" outlineLevel="0" collapsed="false">
      <c r="A10" s="9" t="s">
        <v>9</v>
      </c>
      <c r="B10" s="9" t="s">
        <v>10</v>
      </c>
      <c r="C10" s="9" t="s">
        <v>11</v>
      </c>
      <c r="D10" s="9" t="s">
        <v>12</v>
      </c>
      <c r="E10" s="9" t="s">
        <v>13</v>
      </c>
      <c r="F10" s="9" t="s">
        <v>14</v>
      </c>
      <c r="G10" s="9" t="s">
        <v>15</v>
      </c>
      <c r="H10" s="9" t="s">
        <v>16</v>
      </c>
      <c r="I10" s="9" t="s">
        <v>17</v>
      </c>
      <c r="J10" s="9" t="s">
        <v>18</v>
      </c>
    </row>
    <row r="11" customFormat="false" ht="15" hidden="false" customHeight="true" outlineLevel="0" collapsed="false">
      <c r="A11" s="10" t="s">
        <v>45</v>
      </c>
      <c r="B11" s="11" t="s">
        <v>20</v>
      </c>
      <c r="C11" s="12" t="n">
        <v>32700</v>
      </c>
      <c r="D11" s="12" t="n">
        <v>10036.8</v>
      </c>
      <c r="E11" s="12" t="n">
        <v>0</v>
      </c>
      <c r="F11" s="13" t="n">
        <f aca="false">D11+E11</f>
        <v>10036.8</v>
      </c>
      <c r="G11" s="14" t="n">
        <f aca="false">IFERROR(F11/C11,"")</f>
        <v>0.306935779816514</v>
      </c>
      <c r="H11" s="13" t="n">
        <f aca="false">IF(C11="","",C11-F11)</f>
        <v>22663.2</v>
      </c>
      <c r="I11" s="13" t="n">
        <f aca="false">IFERROR((F11/$B$7)*$B$6,"")</f>
        <v>22080.96</v>
      </c>
      <c r="J11" s="14" t="n">
        <f aca="false">IFERROR(I11/C11,"")</f>
        <v>0.67525871559633</v>
      </c>
    </row>
    <row r="12" customFormat="false" ht="15" hidden="false" customHeight="true" outlineLevel="0" collapsed="false">
      <c r="A12" s="10"/>
      <c r="B12" s="11" t="s">
        <v>21</v>
      </c>
      <c r="C12" s="12" t="n">
        <v>28340</v>
      </c>
      <c r="D12" s="12" t="n">
        <v>11639.9</v>
      </c>
      <c r="E12" s="12" t="n">
        <v>481</v>
      </c>
      <c r="F12" s="13" t="n">
        <f aca="false">D12+E12</f>
        <v>12120.9</v>
      </c>
      <c r="G12" s="14" t="n">
        <f aca="false">IFERROR(F12/C12,"")</f>
        <v>0.427695836273818</v>
      </c>
      <c r="H12" s="13" t="n">
        <f aca="false">IF(C12="","",C12-F12)</f>
        <v>16219.1</v>
      </c>
      <c r="I12" s="13" t="n">
        <f aca="false">IFERROR((F12/$B$7)*$B$6,"")</f>
        <v>26665.98</v>
      </c>
      <c r="J12" s="14" t="n">
        <f aca="false">IFERROR(I12/C12,"")</f>
        <v>0.940930839802399</v>
      </c>
    </row>
    <row r="13" customFormat="false" ht="15" hidden="false" customHeight="true" outlineLevel="0" collapsed="false">
      <c r="A13" s="10"/>
      <c r="B13" s="11" t="s">
        <v>22</v>
      </c>
      <c r="C13" s="12" t="n">
        <v>149875</v>
      </c>
      <c r="D13" s="12" t="n">
        <v>56289.2</v>
      </c>
      <c r="E13" s="29"/>
      <c r="F13" s="13" t="n">
        <f aca="false">D13+E13</f>
        <v>56289.2</v>
      </c>
      <c r="G13" s="14" t="n">
        <f aca="false">IFERROR(F13/C13,"")</f>
        <v>0.375574311926606</v>
      </c>
      <c r="H13" s="13" t="n">
        <f aca="false">IF(C13="","",C13-F13)</f>
        <v>93585.8</v>
      </c>
      <c r="I13" s="13" t="n">
        <f aca="false">IFERROR((F13/$B$7)*$B$6,"")</f>
        <v>123836.24</v>
      </c>
      <c r="J13" s="14" t="n">
        <f aca="false">IFERROR(I13/C13,"")</f>
        <v>0.826263486238532</v>
      </c>
    </row>
    <row r="14" customFormat="false" ht="15" hidden="false" customHeight="true" outlineLevel="0" collapsed="false">
      <c r="A14" s="10"/>
      <c r="B14" s="15" t="s">
        <v>23</v>
      </c>
      <c r="C14" s="16" t="n">
        <f aca="false">SUM(C11:C13)</f>
        <v>210915</v>
      </c>
      <c r="D14" s="16" t="n">
        <f aca="false">SUM(D11:D13)</f>
        <v>77965.9</v>
      </c>
      <c r="E14" s="16" t="n">
        <f aca="false">SUM(E11:E13)</f>
        <v>481</v>
      </c>
      <c r="F14" s="16" t="n">
        <f aca="false">SUM(F11:F13)</f>
        <v>78446.9</v>
      </c>
      <c r="G14" s="17" t="n">
        <f aca="false">IFERROR(F14/C14,"")</f>
        <v>0.371936087997535</v>
      </c>
      <c r="H14" s="16" t="n">
        <f aca="false">IF(C14="","",C14-F14)</f>
        <v>132468.1</v>
      </c>
      <c r="I14" s="16" t="n">
        <f aca="false">IFERROR((F14/$B$7)*$B$6,"")</f>
        <v>172583.18</v>
      </c>
      <c r="J14" s="17" t="n">
        <f aca="false">IFERROR(I14/C14,"")</f>
        <v>0.818259393594576</v>
      </c>
    </row>
    <row r="15" customFormat="false" ht="15" hidden="false" customHeight="true" outlineLevel="0" collapsed="false">
      <c r="A15" s="10"/>
      <c r="B15" s="11" t="s">
        <v>24</v>
      </c>
      <c r="C15" s="12" t="n">
        <v>10756</v>
      </c>
      <c r="D15" s="12" t="n">
        <v>1222</v>
      </c>
      <c r="E15" s="29"/>
      <c r="F15" s="13" t="n">
        <f aca="false">D15+E15</f>
        <v>1222</v>
      </c>
      <c r="G15" s="14" t="n">
        <f aca="false">IFERROR(F15/C15,"")</f>
        <v>0.113611007809595</v>
      </c>
      <c r="H15" s="13" t="n">
        <f aca="false">IF(C15="","",C15-F15)</f>
        <v>9534</v>
      </c>
      <c r="I15" s="13" t="n">
        <f aca="false">IFERROR((F15/$B$7)*$B$6,"")</f>
        <v>2688.4</v>
      </c>
      <c r="J15" s="14" t="n">
        <f aca="false">IFERROR(I15/C15,"")</f>
        <v>0.249944217181108</v>
      </c>
    </row>
    <row r="16" customFormat="false" ht="15" hidden="false" customHeight="true" outlineLevel="0" collapsed="false">
      <c r="A16" s="10"/>
      <c r="B16" s="11" t="s">
        <v>25</v>
      </c>
      <c r="C16" s="12" t="n">
        <v>7964</v>
      </c>
      <c r="D16" s="12" t="n">
        <v>899</v>
      </c>
      <c r="E16" s="29"/>
      <c r="F16" s="13" t="n">
        <f aca="false">D16+E16</f>
        <v>899</v>
      </c>
      <c r="G16" s="14" t="n">
        <f aca="false">IFERROR(F16/C16,"")</f>
        <v>0.112882973380211</v>
      </c>
      <c r="H16" s="13" t="n">
        <f aca="false">IF(C16="","",C16-F16)</f>
        <v>7065</v>
      </c>
      <c r="I16" s="13" t="n">
        <f aca="false">IFERROR((F16/$B$7)*$B$6,"")</f>
        <v>1977.8</v>
      </c>
      <c r="J16" s="14" t="n">
        <f aca="false">IFERROR(I16/C16,"")</f>
        <v>0.248342541436464</v>
      </c>
    </row>
    <row r="17" customFormat="false" ht="15" hidden="false" customHeight="true" outlineLevel="0" collapsed="false">
      <c r="A17" s="10"/>
      <c r="B17" s="11" t="s">
        <v>26</v>
      </c>
      <c r="C17" s="12" t="n">
        <v>21564</v>
      </c>
      <c r="D17" s="12" t="n">
        <v>7584.6</v>
      </c>
      <c r="E17" s="12" t="n">
        <v>132</v>
      </c>
      <c r="F17" s="13" t="n">
        <f aca="false">D17+E17</f>
        <v>7716.6</v>
      </c>
      <c r="G17" s="14" t="n">
        <f aca="false">IFERROR(F17/C17,"")</f>
        <v>0.357846410684474</v>
      </c>
      <c r="H17" s="13" t="n">
        <f aca="false">IF(C17="","",C17-F17)</f>
        <v>13847.4</v>
      </c>
      <c r="I17" s="13" t="n">
        <f aca="false">IFERROR((F17/$B$7)*$B$6,"")</f>
        <v>16976.52</v>
      </c>
      <c r="J17" s="14" t="n">
        <f aca="false">IFERROR(I17/C17,"")</f>
        <v>0.787262103505843</v>
      </c>
    </row>
    <row r="18" customFormat="false" ht="15" hidden="false" customHeight="true" outlineLevel="0" collapsed="false">
      <c r="A18" s="10"/>
      <c r="B18" s="11" t="s">
        <v>27</v>
      </c>
      <c r="C18" s="12" t="n">
        <v>5875</v>
      </c>
      <c r="D18" s="12" t="n">
        <v>157</v>
      </c>
      <c r="E18" s="29"/>
      <c r="F18" s="13" t="n">
        <f aca="false">D18+E18</f>
        <v>157</v>
      </c>
      <c r="G18" s="14" t="n">
        <f aca="false">IFERROR(F18/C18,"")</f>
        <v>0.0267234042553192</v>
      </c>
      <c r="H18" s="13" t="n">
        <f aca="false">IF(C18="","",C18-F18)</f>
        <v>5718</v>
      </c>
      <c r="I18" s="13" t="n">
        <f aca="false">IFERROR((F18/$B$7)*$B$6,"")</f>
        <v>345.4</v>
      </c>
      <c r="J18" s="14" t="n">
        <f aca="false">IFERROR(I18/C18,"")</f>
        <v>0.0587914893617021</v>
      </c>
    </row>
    <row r="19" customFormat="false" ht="15" hidden="false" customHeight="true" outlineLevel="0" collapsed="false">
      <c r="A19" s="10"/>
      <c r="B19" s="11" t="s">
        <v>28</v>
      </c>
      <c r="C19" s="30"/>
      <c r="D19" s="12"/>
      <c r="E19" s="29"/>
      <c r="F19" s="13" t="n">
        <f aca="false">D19+E19</f>
        <v>0</v>
      </c>
      <c r="G19" s="14" t="str">
        <f aca="false">IFERROR(F19/C19,"")</f>
        <v/>
      </c>
      <c r="H19" s="13" t="str">
        <f aca="false">IF(C19="","",C19-F19)</f>
        <v/>
      </c>
      <c r="I19" s="13" t="n">
        <f aca="false">IFERROR((F19/$B$7)*$B$6,"")</f>
        <v>0</v>
      </c>
      <c r="J19" s="14" t="str">
        <f aca="false">IFERROR(I19/C19,"")</f>
        <v/>
      </c>
    </row>
    <row r="20" customFormat="false" ht="15" hidden="false" customHeight="true" outlineLevel="0" collapsed="false">
      <c r="A20" s="18"/>
      <c r="B20" s="15" t="s">
        <v>23</v>
      </c>
      <c r="C20" s="16" t="n">
        <f aca="false">SUM(C15:C19)</f>
        <v>46159</v>
      </c>
      <c r="D20" s="16" t="n">
        <f aca="false">SUM(D15:D19)</f>
        <v>9862.6</v>
      </c>
      <c r="E20" s="16" t="n">
        <f aca="false">SUM(E15:E19)</f>
        <v>132</v>
      </c>
      <c r="F20" s="16" t="n">
        <f aca="false">SUM(F15:F19)</f>
        <v>9994.6</v>
      </c>
      <c r="G20" s="17" t="n">
        <f aca="false">IFERROR(F20/C20,"")</f>
        <v>0.216525487987175</v>
      </c>
      <c r="H20" s="16" t="n">
        <f aca="false">IF(C20="","",C20-F20)</f>
        <v>36164.4</v>
      </c>
      <c r="I20" s="16" t="n">
        <f aca="false">IFERROR((F20/$B$7)*$B$6,"")</f>
        <v>21988.12</v>
      </c>
      <c r="J20" s="17" t="n">
        <f aca="false">IFERROR(I20/C20,"")</f>
        <v>0.476356073571785</v>
      </c>
    </row>
    <row r="21" customFormat="false" ht="15" hidden="false" customHeight="true" outlineLevel="0" collapsed="false">
      <c r="A21" s="19"/>
      <c r="B21" s="20" t="s">
        <v>29</v>
      </c>
      <c r="C21" s="21" t="n">
        <f aca="false">C14+C20</f>
        <v>257074</v>
      </c>
      <c r="D21" s="21" t="n">
        <f aca="false">D14+D20</f>
        <v>87828.5</v>
      </c>
      <c r="E21" s="21" t="n">
        <f aca="false">E14+E20</f>
        <v>613</v>
      </c>
      <c r="F21" s="21" t="n">
        <f aca="false">F14+F20</f>
        <v>88441.5</v>
      </c>
      <c r="G21" s="22" t="n">
        <f aca="false">IFERROR(F21/C21,"")</f>
        <v>0.34403129060115</v>
      </c>
      <c r="H21" s="21" t="n">
        <f aca="false">IF(C21="","",C21-F21)</f>
        <v>168632.5</v>
      </c>
      <c r="I21" s="21" t="n">
        <f aca="false">IFERROR((F21/$B$7)*$B$6,"")</f>
        <v>194571.3</v>
      </c>
      <c r="J21" s="22" t="n">
        <f aca="false">IFERROR(I21/C21,"")</f>
        <v>0.75686883932253</v>
      </c>
    </row>
    <row r="23" customFormat="false" ht="19.5" hidden="false" customHeight="true" outlineLevel="0" collapsed="false">
      <c r="A23" s="23" t="s">
        <v>46</v>
      </c>
      <c r="B23" s="23"/>
      <c r="C23" s="23"/>
      <c r="D23" s="23"/>
      <c r="E23" s="23"/>
      <c r="F23" s="23"/>
      <c r="G23" s="23"/>
      <c r="H23" s="23"/>
      <c r="I23" s="23"/>
      <c r="J23" s="23"/>
    </row>
    <row r="24" customFormat="false" ht="7.5" hidden="false" customHeight="true" outlineLevel="0" collapsed="false"/>
    <row r="25" customFormat="false" ht="30" hidden="false" customHeight="true" outlineLevel="0" collapsed="false">
      <c r="A25" s="9" t="s">
        <v>31</v>
      </c>
      <c r="B25" s="9"/>
      <c r="C25" s="9"/>
      <c r="D25" s="9" t="s">
        <v>32</v>
      </c>
      <c r="E25" s="9"/>
      <c r="F25" s="9"/>
      <c r="G25" s="9" t="s">
        <v>33</v>
      </c>
      <c r="H25" s="9"/>
      <c r="I25" s="9"/>
      <c r="J25" s="9"/>
    </row>
    <row r="26" customFormat="false" ht="25.5" hidden="false" customHeight="true" outlineLevel="0" collapsed="false">
      <c r="A26" s="24" t="n">
        <f aca="false">IFERROR(B6-B7,"—")</f>
        <v>12</v>
      </c>
      <c r="B26" s="24"/>
      <c r="C26" s="24"/>
      <c r="D26" s="25" t="n">
        <f aca="false">IFERROR(H21/(B6-B7),"—")</f>
        <v>14052.7083333333</v>
      </c>
      <c r="E26" s="25"/>
      <c r="F26" s="25"/>
      <c r="G26" s="26" t="n">
        <f aca="false">IFERROR((D21+E21)/C21,"—")</f>
        <v>0.34403129060115</v>
      </c>
      <c r="H26" s="26"/>
      <c r="I26" s="26"/>
      <c r="J26" s="26"/>
    </row>
    <row r="28" customFormat="false" ht="27.75" hidden="false" customHeight="true" outlineLevel="0" collapsed="false">
      <c r="A28" s="27" t="s">
        <v>34</v>
      </c>
      <c r="B28" s="27"/>
      <c r="C28" s="27"/>
      <c r="D28" s="27"/>
      <c r="E28" s="27"/>
      <c r="F28" s="27"/>
      <c r="G28" s="27"/>
      <c r="H28" s="27"/>
      <c r="I28" s="27"/>
      <c r="J28" s="27"/>
    </row>
  </sheetData>
  <mergeCells count="12">
    <mergeCell ref="A1:J1"/>
    <mergeCell ref="A8:J8"/>
    <mergeCell ref="A9:J9"/>
    <mergeCell ref="A11:A19"/>
    <mergeCell ref="A23:J23"/>
    <mergeCell ref="A25:C25"/>
    <mergeCell ref="D25:F25"/>
    <mergeCell ref="G25:J25"/>
    <mergeCell ref="A26:C26"/>
    <mergeCell ref="D26:F26"/>
    <mergeCell ref="G26:J26"/>
    <mergeCell ref="A28:J28"/>
  </mergeCells>
  <conditionalFormatting sqref="G26">
    <cfRule type="cellIs" priority="2" operator="lessThan" aboveAverage="0" equalAverage="0" bottom="0" percent="0" rank="0" text="" dxfId="0">
      <formula>0.33</formula>
    </cfRule>
    <cfRule type="cellIs" priority="3" operator="lessThan" aboveAverage="0" equalAverage="0" bottom="0" percent="0" rank="0" text="" dxfId="1">
      <formula>0.66</formula>
    </cfRule>
    <cfRule type="cellIs" priority="4" operator="greaterThanOrEqual" aboveAverage="0" equalAverage="0" bottom="0" percent="0" rank="0" text="" dxfId="2">
      <formula>0.66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F14"/>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1" width="16"/>
    <col collapsed="false" customWidth="true" hidden="false" outlineLevel="0" max="3" min="3" style="1" width="18"/>
    <col collapsed="false" customWidth="true" hidden="false" outlineLevel="0" max="5" min="4" style="1" width="14"/>
    <col collapsed="false" customWidth="true" hidden="false" outlineLevel="0" max="6" min="6" style="1" width="20"/>
  </cols>
  <sheetData>
    <row r="1" customFormat="false" ht="24" hidden="false" customHeight="true" outlineLevel="0" collapsed="false">
      <c r="A1" s="31" t="s">
        <v>47</v>
      </c>
      <c r="B1" s="31"/>
      <c r="C1" s="31"/>
      <c r="D1" s="31"/>
      <c r="E1" s="31"/>
      <c r="F1" s="31"/>
    </row>
    <row r="2" customFormat="false" ht="21.75" hidden="false" customHeight="true" outlineLevel="0" collapsed="false">
      <c r="A2" s="32" t="str">
        <f aca="false">"תצוגת מרכז לכל הסוכנים — נכון לתאריך חישוב "&amp;TEXT(חאזם!B2,"dd/mm/yy")&amp;" | יום בדיקה: "&amp;TEXT(חאזם!B3,"dd/mm/yy")&amp;"  |  סך ימי א-ה בחודש: "&amp;חאזם!B6&amp;"  |  ימים שעברו: "&amp;חאזם!B7&amp;"  |  ימים שנותרו: "&amp;חאזם!A26</f>
        <v>תצוגת מרכז לכל הסוכנים — נכון לתאריך חישוב 16/08/26 | יום בדיקה: 15/08/26  |  סך ימי א-ה בחודש: 22  |  ימים שעברו: 10  |  ימים שנותרו: 12</v>
      </c>
      <c r="B2" s="32"/>
      <c r="C2" s="32"/>
      <c r="D2" s="32"/>
      <c r="E2" s="32"/>
      <c r="F2" s="32"/>
    </row>
    <row r="3" customFormat="false" ht="36" hidden="false" customHeight="true" outlineLevel="0" collapsed="false">
      <c r="A3" s="33" t="s">
        <v>48</v>
      </c>
      <c r="B3" s="33"/>
      <c r="C3" s="33"/>
      <c r="D3" s="33"/>
      <c r="E3" s="33"/>
      <c r="F3" s="33"/>
    </row>
    <row r="5" customFormat="false" ht="31.5" hidden="false" customHeight="true" outlineLevel="0" collapsed="false">
      <c r="A5" s="34" t="s">
        <v>9</v>
      </c>
      <c r="B5" s="34" t="s">
        <v>11</v>
      </c>
      <c r="C5" s="34" t="s">
        <v>14</v>
      </c>
      <c r="D5" s="34" t="s">
        <v>49</v>
      </c>
      <c r="E5" s="34" t="s">
        <v>50</v>
      </c>
      <c r="F5" s="34" t="s">
        <v>32</v>
      </c>
    </row>
    <row r="6" customFormat="false" ht="18" hidden="false" customHeight="true" outlineLevel="0" collapsed="false">
      <c r="A6" s="35" t="str">
        <f aca="false">חאזם!A11</f>
        <v>חאזם</v>
      </c>
      <c r="B6" s="36" t="n">
        <f aca="false">חאזם!C21</f>
        <v>346513</v>
      </c>
      <c r="C6" s="36" t="n">
        <f aca="false">חאזם!D21+חאזם!E21</f>
        <v>118542.7</v>
      </c>
      <c r="D6" s="37" t="n">
        <f aca="false">חאזם!G21</f>
        <v>0.342101739328683</v>
      </c>
      <c r="E6" s="38" t="n">
        <f aca="false">חאזם!A26</f>
        <v>12</v>
      </c>
      <c r="F6" s="36" t="n">
        <f aca="false">חאזם!D26</f>
        <v>18997.525</v>
      </c>
    </row>
    <row r="7" customFormat="false" ht="18" hidden="false" customHeight="true" outlineLevel="0" collapsed="false">
      <c r="A7" s="35" t="str">
        <f aca="false">דודו!A11</f>
        <v>דודו</v>
      </c>
      <c r="B7" s="36" t="n">
        <f aca="false">דודו!C21</f>
        <v>317552</v>
      </c>
      <c r="C7" s="36" t="n">
        <f aca="false">דודו!D21+דודו!E21</f>
        <v>152572.4</v>
      </c>
      <c r="D7" s="37" t="n">
        <f aca="false">דודו!G21</f>
        <v>0.480464301909609</v>
      </c>
      <c r="E7" s="38" t="n">
        <f aca="false">דודו!A26</f>
        <v>12</v>
      </c>
      <c r="F7" s="36" t="n">
        <f aca="false">דודו!D26</f>
        <v>13748.3</v>
      </c>
    </row>
    <row r="8" customFormat="false" ht="18" hidden="false" customHeight="true" outlineLevel="0" collapsed="false">
      <c r="A8" s="35" t="str">
        <f aca="false">חיים!A11</f>
        <v>חיים</v>
      </c>
      <c r="B8" s="36" t="n">
        <f aca="false">חיים!C21</f>
        <v>264360</v>
      </c>
      <c r="C8" s="36" t="n">
        <f aca="false">חיים!D21+חיים!E21</f>
        <v>98049.1</v>
      </c>
      <c r="D8" s="37" t="n">
        <f aca="false">חיים!G21</f>
        <v>0.370892343773642</v>
      </c>
      <c r="E8" s="38" t="n">
        <f aca="false">חיים!A26</f>
        <v>12</v>
      </c>
      <c r="F8" s="36" t="n">
        <f aca="false">חיים!D26</f>
        <v>13859.2416666667</v>
      </c>
    </row>
    <row r="9" customFormat="false" ht="18" hidden="false" customHeight="true" outlineLevel="0" collapsed="false">
      <c r="A9" s="35" t="str">
        <f aca="false">סטאס!A11</f>
        <v>סטאס</v>
      </c>
      <c r="B9" s="36" t="n">
        <f aca="false">סטאס!C21</f>
        <v>257074</v>
      </c>
      <c r="C9" s="36" t="n">
        <f aca="false">סטאס!D21+סטאס!E21</f>
        <v>88441.5</v>
      </c>
      <c r="D9" s="37" t="n">
        <f aca="false">סטאס!G21</f>
        <v>0.34403129060115</v>
      </c>
      <c r="E9" s="38" t="n">
        <f aca="false">סטאס!A26</f>
        <v>12</v>
      </c>
      <c r="F9" s="36" t="n">
        <f aca="false">סטאס!D26</f>
        <v>14052.7083333333</v>
      </c>
    </row>
    <row r="10" customFormat="false" ht="18" hidden="false" customHeight="true" outlineLevel="0" collapsed="false">
      <c r="A10" s="39" t="s">
        <v>29</v>
      </c>
      <c r="B10" s="40" t="n">
        <f aca="false">SUM(B6:B9)</f>
        <v>1185499</v>
      </c>
      <c r="C10" s="40" t="n">
        <f aca="false">SUM(C6:C9)</f>
        <v>457605.7</v>
      </c>
      <c r="D10" s="41" t="n">
        <f aca="false">IFERROR(C10/B10,"")</f>
        <v>0.386002603123242</v>
      </c>
      <c r="E10" s="42" t="n">
        <f aca="false">E6</f>
        <v>12</v>
      </c>
      <c r="F10" s="40" t="n">
        <f aca="false">IFERROR((B10-C10)/E10,"")</f>
        <v>60657.775</v>
      </c>
    </row>
    <row r="12" customFormat="false" ht="48" hidden="false" customHeight="true" outlineLevel="0" collapsed="false">
      <c r="A12" s="43" t="s">
        <v>51</v>
      </c>
      <c r="B12" s="43"/>
      <c r="C12" s="43"/>
      <c r="D12" s="43"/>
      <c r="E12" s="43"/>
      <c r="F12" s="43"/>
    </row>
    <row r="14" customFormat="false" ht="21.75" hidden="false" customHeight="true" outlineLevel="0" collapsed="false">
      <c r="A14" s="44" t="s">
        <v>52</v>
      </c>
      <c r="B14" s="44"/>
      <c r="C14" s="44"/>
      <c r="D14" s="44"/>
      <c r="E14" s="44"/>
      <c r="F14" s="44"/>
    </row>
  </sheetData>
  <mergeCells count="5">
    <mergeCell ref="A1:F1"/>
    <mergeCell ref="A2:F2"/>
    <mergeCell ref="A3:F3"/>
    <mergeCell ref="A12:F12"/>
    <mergeCell ref="A14:F14"/>
  </mergeCells>
  <conditionalFormatting sqref="D6:D10">
    <cfRule type="cellIs" priority="2" operator="lessThan" aboveAverage="0" equalAverage="0" bottom="0" percent="0" rank="0" text="" dxfId="3">
      <formula>0.33</formula>
    </cfRule>
    <cfRule type="cellIs" priority="3" operator="lessThan" aboveAverage="0" equalAverage="0" bottom="0" percent="0" rank="0" text="" dxfId="4">
      <formula>0.66</formula>
    </cfRule>
    <cfRule type="cellIs" priority="4" operator="greaterThanOrEqual" aboveAverage="0" equalAverage="0" bottom="0" percent="0" rank="0" text="" dxfId="5">
      <formula>0.66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2026-08-16T08:14:53Z</dcterms:created>
  <dc:creator>openpyxl</dc:creator>
  <dc:description/>
  <dc:language>en-US</dc:language>
  <cp:lastModifiedBy/>
  <dcterms:modified xsi:type="dcterms:W3CDTF">2026-08-16T15:10:34Z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