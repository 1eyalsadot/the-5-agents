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חאזם" sheetId="1" state="visible" r:id="rId1"/>
    <sheet xmlns:r="http://schemas.openxmlformats.org/officeDocument/2006/relationships" name="DASHBOAR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"/>
    <numFmt numFmtId="165" formatCode="_ * #,##0_ ;_ * \-#,##0_ ;_ * \-??_ ;_ @_ 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i val="1"/>
      <color rgb="FF1F4E78"/>
      <sz val="10.5"/>
    </font>
    <font>
      <name val="Arial"/>
      <charset val="1"/>
      <family val="0"/>
      <b val="1"/>
      <color rgb="FFFFFFFF"/>
      <sz val="10.5"/>
    </font>
    <font>
      <name val="FreeSans"/>
      <family val="2"/>
      <sz val="10"/>
    </font>
    <font>
      <name val="Arial"/>
      <family val="2"/>
      <sz val="10"/>
    </font>
    <font>
      <name val="Arial"/>
      <charset val="1"/>
      <family val="0"/>
      <b val="1"/>
      <color rgb="FF000000"/>
      <sz val="18"/>
    </font>
    <font>
      <name val="Arial"/>
      <charset val="1"/>
      <family val="0"/>
      <i val="1"/>
      <color rgb="FF1F4E78"/>
      <sz val="11"/>
    </font>
    <font>
      <name val="Arial"/>
      <charset val="1"/>
      <family val="0"/>
      <b val="1"/>
      <i val="1"/>
      <color rgb="FF375623"/>
      <sz val="10.5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8000"/>
      <sz val="11"/>
    </font>
    <font>
      <name val="Arial"/>
      <i val="1"/>
      <color rgb="FF808080"/>
      <sz val="9"/>
    </font>
    <font>
      <name val="Arial"/>
      <b val="1"/>
      <color rgb="FFFFFFFF"/>
      <sz val="13"/>
    </font>
  </fonts>
  <fills count="10">
    <fill>
      <patternFill/>
    </fill>
    <fill>
      <patternFill patternType="gray125"/>
    </fill>
    <fill>
      <patternFill patternType="solid">
        <fgColor rgb="FFDCE6F1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DCE6F1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FBFBF"/>
      </patternFill>
    </fill>
    <fill>
      <patternFill patternType="solid">
        <fgColor rgb="FFE2EFDA"/>
        <bgColor rgb="FFDCE6F1"/>
      </patternFill>
    </fill>
    <fill>
      <patternFill patternType="solid">
        <fgColor rgb="FFF2F2F2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165" fontId="5" fillId="4" borderId="1" applyAlignment="1" pivotButton="0" quotePrefix="0" xfId="0">
      <alignment horizontal="general" vertical="bottom"/>
    </xf>
    <xf numFmtId="9" fontId="5" fillId="4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165" fontId="5" fillId="6" borderId="1" applyAlignment="1" pivotButton="0" quotePrefix="0" xfId="0">
      <alignment horizontal="general" vertical="bottom"/>
    </xf>
    <xf numFmtId="9" fontId="5" fillId="6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9" fontId="16" fillId="0" borderId="1" applyAlignment="1" pivotButton="0" quotePrefix="0" xfId="0">
      <alignment horizontal="general" vertical="bottom"/>
    </xf>
    <xf numFmtId="0" fontId="17" fillId="4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9" fontId="17" fillId="4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9" fontId="17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165" fontId="5" fillId="4" borderId="1" applyAlignment="1" pivotButton="0" quotePrefix="0" xfId="0">
      <alignment horizontal="general" vertical="bottom"/>
    </xf>
    <xf numFmtId="9" fontId="5" fillId="4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general" vertical="bottom"/>
    </xf>
    <xf numFmtId="165" fontId="5" fillId="6" borderId="1" applyAlignment="1" pivotButton="0" quotePrefix="0" xfId="0">
      <alignment horizontal="general" vertical="bottom"/>
    </xf>
    <xf numFmtId="9" fontId="5" fillId="6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8" fillId="8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9" fontId="16" fillId="0" borderId="1" applyAlignment="1" pivotButton="0" quotePrefix="0" xfId="0">
      <alignment horizontal="general" vertical="bottom"/>
    </xf>
    <xf numFmtId="9" fontId="18" fillId="0" borderId="0" applyAlignment="1" pivotButton="0" quotePrefix="0" xfId="0">
      <alignment horizontal="center"/>
    </xf>
    <xf numFmtId="0" fontId="17" fillId="4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9" fontId="17" fillId="4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9" fontId="17" fillId="6" borderId="1" applyAlignment="1" pivotButton="0" quotePrefix="0" xfId="0">
      <alignment horizontal="general" vertical="bottom"/>
    </xf>
    <xf numFmtId="0" fontId="19" fillId="9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E2EFDA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8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יעד מול מכירות עד לבדיקה - לפי קטגוריה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prstDash val="solid"/>
            </a:ln>
          </spPr>
          <cat>
            <numRef>
              <f>'DASHBOARD'!$A$5:$A$12</f>
            </numRef>
          </cat>
          <val>
            <numRef>
              <f>'DASHBOARD'!$B$5:$B$12</f>
            </numRef>
          </val>
        </ser>
        <ser>
          <idx val="1"/>
          <order val="1"/>
          <tx>
            <strRef>
              <f>'DASHBOARD'!C4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prstDash val="solid"/>
            </a:ln>
          </spPr>
          <cat>
            <numRef>
              <f>'DASHBOARD'!$A$5:$A$12</f>
            </numRef>
          </cat>
          <val>
            <numRef>
              <f>'DASHBOARD'!$C$5:$C$12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קטגוריה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סכום (₪)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קצב % לפי קטגוריה (קו אדום = רף 100%)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'DASHBOARD'!G4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'DASHBOARD'!$A$5:$A$12</f>
            </numRef>
          </cat>
          <val>
            <numRef>
              <f>'DASHBOARD'!$G$5:$G$12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'DASHBOARD'!I4</f>
            </strRef>
          </tx>
          <spPr>
            <a:ln xmlns:a="http://schemas.openxmlformats.org/drawingml/2006/main" w="20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'DASHBOARD'!$A$5:$A$12</f>
            </numRef>
          </cat>
          <val>
            <numRef>
              <f>'DASHBOARD'!$I$5:$I$12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קטגוריה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קצב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פילוח יעד חודשי כולל בין קטגוריות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'DASHBOARD'!$A$5:$A$12</f>
            </numRef>
          </cat>
          <val>
            <numRef>
              <f>'DASHBOARD'!$B$5:$B$12</f>
            </numRef>
          </val>
        </ser>
        <dLbls>
          <showLegendKey val="0"/>
          <showVal val="0"/>
          <showCatName val="0"/>
          <showSerName val="0"/>
          <showPercent val="1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3" authorId="0" shapeId="0">
      <text>
        <t>שדה זה מוזן ידנית ואינו מחושב אוטומטית - זהו התאריך היחיד בגיליון שאינו נוסחה חיה. נכון להיום (16/08/26) יום הבדיקה נקבע לאמצע החודש (15/08/26). כל שאר החישובים (ימים שעברו, קצב, אחוז ביצוע) מתעדכנים אוטומטית לפי תאריך זה - כדי לבדוק תאריך אחר, פשוט לעדכן תא זה.</t>
      </text>
    </comment>
    <comment ref="B6" authorId="0" shapeId="0">
      <text>
        <t>ספירה חיה של ימי ראשון עד חמישי (ללא שישי-שבת) בכל טווח החודש (מתחילתו עד סופו). שיטה: WEEKDAY בברירת המחדל (1=ראשון...7=שבת), וספירת כל יום שבו weekday&lt;6 (כלומר לא שישי ולא שבת) בעזרת SUMPRODUCT+ROW(INDIRECT(...)). לאוגוסט 2026 התוצאה היא 22 ימים.</t>
      </text>
    </comment>
    <comment ref="B7" authorId="0" shapeId="0">
      <text>
        <t>אותה שיטת ספירה כמו B6, אך רק מתחילת החודש ועד יום הבדיקה (B3). לבדיקה ב-15/08/26 התוצאה היא 10 ימים.</t>
      </text>
    </comment>
    <comment ref="C19" authorId="0" shapeId="0">
      <text>
        <t>פער בנתוני המקור: לא נמצא יעד חודשי מוגדר לקטגוריה 'חנויות ספורט' בקובץ המקור (hazam-tracking-source.xlsx, C11 היה ריק). יש להשלים ידנית מול הסוכן/המנהל. עד להשלמה, אחוז ביצוע וקצב % לקטגוריה זו יוצגו כריק.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57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J21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0" customWidth="1" style="35" min="1" max="1"/>
    <col width="22" customWidth="1" style="35" min="2" max="2"/>
    <col width="13" customWidth="1" style="35" min="3" max="3"/>
    <col width="15" customWidth="1" style="35" min="4" max="4"/>
    <col width="13" customWidth="1" style="35" min="5" max="5"/>
    <col width="16" customWidth="1" style="35" min="6" max="6"/>
    <col width="13" customWidth="1" style="35" min="7" max="7"/>
    <col width="16" customWidth="1" style="35" min="8" max="9"/>
    <col width="10" customWidth="1" style="35" min="10" max="10"/>
  </cols>
  <sheetData>
    <row r="1" ht="19.5" customHeight="1" s="36">
      <c r="A1" s="37" t="inlineStr">
        <is>
          <t>מעקב ביצועי סוכן חאזם</t>
        </is>
      </c>
    </row>
    <row r="2" ht="15" customHeight="1" s="36">
      <c r="A2" s="38" t="inlineStr">
        <is>
          <t>תאריך חישוב:</t>
        </is>
      </c>
      <c r="B2" s="39" t="n">
        <v>46250</v>
      </c>
    </row>
    <row r="3" ht="15" customHeight="1" s="36">
      <c r="A3" s="38" t="inlineStr">
        <is>
          <t>יום בדיקה (קלט ידני):</t>
        </is>
      </c>
      <c r="B3" s="39" t="n">
        <v>46249</v>
      </c>
    </row>
    <row r="4" ht="15" customHeight="1" s="36">
      <c r="A4" s="38" t="inlineStr">
        <is>
          <t>תחילת החודש הרלוונטי:</t>
        </is>
      </c>
      <c r="B4" s="39">
        <f>EOMONTH(B3,-1)+1</f>
        <v/>
      </c>
    </row>
    <row r="5" ht="15" customHeight="1" s="36">
      <c r="A5" s="38" t="inlineStr">
        <is>
          <t>סוף החודש הרלוונטי:</t>
        </is>
      </c>
      <c r="B5" s="39">
        <f>EOMONTH(B3,0)</f>
        <v/>
      </c>
    </row>
    <row r="6" ht="15" customHeight="1" s="36">
      <c r="A6" s="38" t="inlineStr">
        <is>
          <t>סה"כ ימי א'-ה' בחודש:</t>
        </is>
      </c>
      <c r="B6" s="40">
        <f>SUMPRODUCT((WEEKDAY(ROW(INDIRECT(B4&amp;":"&amp;B5)))&lt;6)*1)</f>
        <v/>
      </c>
    </row>
    <row r="7" ht="15" customHeight="1" s="36">
      <c r="A7" s="38" t="inlineStr">
        <is>
          <t>ימי א'-ה' שעברו (מ-1 בחודש עד יום הבדיקה):</t>
        </is>
      </c>
      <c r="B7" s="40">
        <f>SUMPRODUCT((WEEKDAY(ROW(INDIRECT(B4&amp;":"&amp;B3)))&lt;6)*1)</f>
        <v/>
      </c>
    </row>
    <row r="8" ht="45" customHeight="1" s="36">
      <c r="A8" s="41" t="inlineStr">
        <is>
          <t>הערה: עמודות D ('מכירות') ו-E ('פתוחות') הן צילום מצב (snapshot) של הערכים האחרונים שנשמרו בקאש של קובץ המקור שהועלה (hazam-tracking-source.xlsx). בקובץ המקור עמודות אלה היו מקושרות לקובץ אקסל חיצוני שבור (קישורי '[1]מכירות!...' / '[1]פתוחות!...') שאין אליו גישה כעת - לכן הוחלפו כאן בערכים קשיחים מהקאש. זה אינו לינק חי. אם יש קובץ מקור מעודכן יותר, יש לספק אותו לעדכון.</t>
        </is>
      </c>
    </row>
    <row r="9" ht="24" customHeight="1" s="36">
      <c r="A9" s="42" t="inlineStr">
        <is>
          <t>גיליון זה = נתוני מקור וחישוב (Working Data): כל הנוסחאות, המקור וה-snapshot המלאים נמצאים כאן. לתצוגת סיכום ויזואלית עם גרפים למנהל  ⇦  עבור לגיליון DASHBOARD.</t>
        </is>
      </c>
    </row>
    <row r="10" ht="31.5" customHeight="1" s="36">
      <c r="A10" s="43" t="inlineStr">
        <is>
          <t>סוכן</t>
        </is>
      </c>
      <c r="B10" s="43" t="inlineStr">
        <is>
          <t>קטגוריה</t>
        </is>
      </c>
      <c r="C10" s="43" t="inlineStr">
        <is>
          <t>יעד חודשי (₪)</t>
        </is>
      </c>
      <c r="D10" s="43" t="inlineStr">
        <is>
          <t>מכירות (snapshot)</t>
        </is>
      </c>
      <c r="E10" s="43" t="inlineStr">
        <is>
          <t>פתוחות (snapshot)</t>
        </is>
      </c>
      <c r="F10" s="43" t="inlineStr">
        <is>
          <t>מכירות עד לבדיקה (₪)</t>
        </is>
      </c>
      <c r="G10" s="43" t="inlineStr">
        <is>
          <t>אחוז ביצוע לפי יעד</t>
        </is>
      </c>
      <c r="H10" s="43" t="inlineStr">
        <is>
          <t>כמה נשאר לסיום החודש (₪)</t>
        </is>
      </c>
      <c r="I10" s="43" t="inlineStr">
        <is>
          <t>קצב אומדן סוף חודש (₪)</t>
        </is>
      </c>
      <c r="J10" s="43" t="inlineStr">
        <is>
          <t>קצב %</t>
        </is>
      </c>
    </row>
    <row r="11" ht="15" customHeight="1" s="36">
      <c r="A11" s="44" t="inlineStr">
        <is>
          <t>חאזם</t>
        </is>
      </c>
      <c r="B11" s="45" t="inlineStr">
        <is>
          <t>בתי מרקחת פרטיים</t>
        </is>
      </c>
      <c r="C11" s="46" t="n">
        <v>109000</v>
      </c>
      <c r="D11" s="46" t="n">
        <v>20013.1</v>
      </c>
      <c r="E11" s="46" t="n">
        <v>4595</v>
      </c>
      <c r="F11" s="46">
        <f>D11+E11</f>
        <v/>
      </c>
      <c r="G11" s="47">
        <f>IFERROR(F11/C11,"")</f>
        <v/>
      </c>
      <c r="H11" s="46">
        <f>IF(C11="","",C11-F11)</f>
        <v/>
      </c>
      <c r="I11" s="46">
        <f>IFERROR((F11/$B$7)*$B$6,"")</f>
        <v/>
      </c>
      <c r="J11" s="47">
        <f>IFERROR(I11/C11,"")</f>
        <v/>
      </c>
    </row>
    <row r="12" ht="15" customHeight="1" s="36">
      <c r="B12" s="45" t="inlineStr">
        <is>
          <t>BE</t>
        </is>
      </c>
      <c r="C12" s="46" t="n">
        <v>25070</v>
      </c>
      <c r="D12" s="46" t="n">
        <v>9809.200000000001</v>
      </c>
      <c r="E12" s="46" t="n">
        <v>646</v>
      </c>
      <c r="F12" s="46">
        <f>D12+E12</f>
        <v/>
      </c>
      <c r="G12" s="47">
        <f>IFERROR(F12/C12,"")</f>
        <v/>
      </c>
      <c r="H12" s="46">
        <f>IF(C12="","",C12-F12)</f>
        <v/>
      </c>
      <c r="I12" s="46">
        <f>IFERROR((F12/$B$7)*$B$6,"")</f>
        <v/>
      </c>
      <c r="J12" s="47">
        <f>IFERROR(I12/C12,"")</f>
        <v/>
      </c>
    </row>
    <row r="13" ht="15" customHeight="1" s="36">
      <c r="B13" s="45" t="inlineStr">
        <is>
          <t>סופרפארם</t>
        </is>
      </c>
      <c r="C13" s="46" t="n">
        <v>119900</v>
      </c>
      <c r="D13" s="46" t="n">
        <v>50294</v>
      </c>
      <c r="E13" s="46" t="n"/>
      <c r="F13" s="46">
        <f>D13+E13</f>
        <v/>
      </c>
      <c r="G13" s="47">
        <f>IFERROR(F13/C13,"")</f>
        <v/>
      </c>
      <c r="H13" s="46">
        <f>IF(C13="","",C13-F13)</f>
        <v/>
      </c>
      <c r="I13" s="46">
        <f>IFERROR((F13/$B$7)*$B$6,"")</f>
        <v/>
      </c>
      <c r="J13" s="47">
        <f>IFERROR(I13/C13,"")</f>
        <v/>
      </c>
    </row>
    <row r="14" ht="15" customHeight="1" s="36">
      <c r="B14" s="48" t="inlineStr">
        <is>
          <t>סה"כ</t>
        </is>
      </c>
      <c r="C14" s="49">
        <f>SUM(C11:C13)</f>
        <v/>
      </c>
      <c r="D14" s="49">
        <f>SUM(D11:D13)</f>
        <v/>
      </c>
      <c r="E14" s="49">
        <f>SUM(E11:E13)</f>
        <v/>
      </c>
      <c r="F14" s="49">
        <f>SUM(F11:F13)</f>
        <v/>
      </c>
      <c r="G14" s="50">
        <f>IFERROR(F14/C14,"")</f>
        <v/>
      </c>
      <c r="H14" s="49">
        <f>IF(C14="","",C14-F14)</f>
        <v/>
      </c>
      <c r="I14" s="49">
        <f>IFERROR((F14/$B$7)*$B$6,"")</f>
        <v/>
      </c>
      <c r="J14" s="50">
        <f>IFERROR(I14/C14,"")</f>
        <v/>
      </c>
    </row>
    <row r="15" ht="15" customHeight="1" s="36">
      <c r="B15" s="45" t="inlineStr">
        <is>
          <t>מכוני אורטופדיה</t>
        </is>
      </c>
      <c r="C15" s="46" t="n">
        <v>47457</v>
      </c>
      <c r="D15" s="46" t="n">
        <v>19629</v>
      </c>
      <c r="E15" s="46" t="n"/>
      <c r="F15" s="46">
        <f>D15+E15</f>
        <v/>
      </c>
      <c r="G15" s="47">
        <f>IFERROR(F15/C15,"")</f>
        <v/>
      </c>
      <c r="H15" s="46">
        <f>IF(C15="","",C15-F15)</f>
        <v/>
      </c>
      <c r="I15" s="46">
        <f>IFERROR((F15/$B$7)*$B$6,"")</f>
        <v/>
      </c>
      <c r="J15" s="47">
        <f>IFERROR(I15/C15,"")</f>
        <v/>
      </c>
    </row>
    <row r="16" ht="15" customHeight="1" s="36">
      <c r="B16" s="45" t="inlineStr">
        <is>
          <t>מכוני פיזוטרפיה</t>
        </is>
      </c>
      <c r="C16" s="46">
        <f>16734+302</f>
        <v/>
      </c>
      <c r="D16" s="46" t="n">
        <v>5352</v>
      </c>
      <c r="E16" s="46" t="n"/>
      <c r="F16" s="46">
        <f>D16+E16</f>
        <v/>
      </c>
      <c r="G16" s="47">
        <f>IFERROR(F16/C16,"")</f>
        <v/>
      </c>
      <c r="H16" s="46">
        <f>IF(C16="","",C16-F16)</f>
        <v/>
      </c>
      <c r="I16" s="46">
        <f>IFERROR((F16/$B$7)*$B$6,"")</f>
        <v/>
      </c>
      <c r="J16" s="47">
        <f>IFERROR(I16/C16,"")</f>
        <v/>
      </c>
    </row>
    <row r="17" ht="15" customHeight="1" s="36">
      <c r="B17" s="45" t="inlineStr">
        <is>
          <t>מאוחדת</t>
        </is>
      </c>
      <c r="C17" s="46" t="n">
        <v>21800</v>
      </c>
      <c r="D17" s="46" t="n">
        <v>6626.4</v>
      </c>
      <c r="E17" s="46" t="n">
        <v>302</v>
      </c>
      <c r="F17" s="46">
        <f>D17+E17</f>
        <v/>
      </c>
      <c r="G17" s="47">
        <f>IFERROR(F17/C17,"")</f>
        <v/>
      </c>
      <c r="H17" s="46">
        <f>IF(C17="","",C17-F17)</f>
        <v/>
      </c>
      <c r="I17" s="46">
        <f>IFERROR((F17/$B$7)*$B$6,"")</f>
        <v/>
      </c>
      <c r="J17" s="47">
        <f>IFERROR(I17/C17,"")</f>
        <v/>
      </c>
    </row>
    <row r="18" ht="15" customHeight="1" s="36">
      <c r="B18" s="45" t="inlineStr">
        <is>
          <t>חנויות פרטיות</t>
        </is>
      </c>
      <c r="C18" s="46" t="n">
        <v>6250</v>
      </c>
      <c r="D18" s="46" t="n">
        <v>0</v>
      </c>
      <c r="E18" s="46" t="n"/>
      <c r="F18" s="46">
        <f>D18+E18</f>
        <v/>
      </c>
      <c r="G18" s="47">
        <f>IFERROR(F18/C18,"")</f>
        <v/>
      </c>
      <c r="H18" s="46">
        <f>IF(C18="","",C18-F18)</f>
        <v/>
      </c>
      <c r="I18" s="46">
        <f>IFERROR((F18/$B$7)*$B$6,"")</f>
        <v/>
      </c>
      <c r="J18" s="47">
        <f>IFERROR(I18/C18,"")</f>
        <v/>
      </c>
    </row>
    <row r="19" ht="15" customHeight="1" s="36">
      <c r="B19" s="45" t="inlineStr">
        <is>
          <t>חנויות ספורט</t>
        </is>
      </c>
      <c r="C19" s="51" t="n"/>
      <c r="D19" s="46" t="n">
        <v>1276</v>
      </c>
      <c r="E19" s="46" t="n"/>
      <c r="F19" s="46">
        <f>D19+E19</f>
        <v/>
      </c>
      <c r="G19" s="47">
        <f>IFERROR(F19/C19,"")</f>
        <v/>
      </c>
      <c r="H19" s="46">
        <f>IF(C19="","",C19-F19)</f>
        <v/>
      </c>
      <c r="I19" s="46">
        <f>IFERROR((F19/$B$7)*$B$6,"")</f>
        <v/>
      </c>
      <c r="J19" s="47">
        <f>IFERROR(I19/C19,"")</f>
        <v/>
      </c>
    </row>
    <row r="20" ht="15" customHeight="1" s="36">
      <c r="A20" s="52" t="n"/>
      <c r="B20" s="48" t="inlineStr">
        <is>
          <t>סה"כ</t>
        </is>
      </c>
      <c r="C20" s="49">
        <f>SUM(C15:C19)</f>
        <v/>
      </c>
      <c r="D20" s="49">
        <f>SUM(D15:D19)</f>
        <v/>
      </c>
      <c r="E20" s="49">
        <f>SUM(E15:E19)</f>
        <v/>
      </c>
      <c r="F20" s="49">
        <f>SUM(F15:F19)</f>
        <v/>
      </c>
      <c r="G20" s="50">
        <f>IFERROR(F20/C20,"")</f>
        <v/>
      </c>
      <c r="H20" s="49">
        <f>IF(C20="","",C20-F20)</f>
        <v/>
      </c>
      <c r="I20" s="49">
        <f>IFERROR((F20/$B$7)*$B$6,"")</f>
        <v/>
      </c>
      <c r="J20" s="50">
        <f>IFERROR(I20/C20,"")</f>
        <v/>
      </c>
    </row>
    <row r="21" ht="15" customHeight="1" s="36">
      <c r="A21" s="53" t="n"/>
      <c r="B21" s="54" t="inlineStr">
        <is>
          <t>סה"כ כללי</t>
        </is>
      </c>
      <c r="C21" s="55">
        <f>C14+C20</f>
        <v/>
      </c>
      <c r="D21" s="55">
        <f>D14+D20</f>
        <v/>
      </c>
      <c r="E21" s="55">
        <f>E14+E20</f>
        <v/>
      </c>
      <c r="F21" s="55">
        <f>F14+F20</f>
        <v/>
      </c>
      <c r="G21" s="56">
        <f>IFERROR(F21/C21,"")</f>
        <v/>
      </c>
      <c r="H21" s="55">
        <f>IF(C21="","",C21-F21)</f>
        <v/>
      </c>
      <c r="I21" s="55">
        <f>IFERROR((F21/$B$7)*$B$6,"")</f>
        <v/>
      </c>
      <c r="J21" s="56">
        <f>IFERROR(I21/C21,"")</f>
        <v/>
      </c>
    </row>
  </sheetData>
  <mergeCells count="4">
    <mergeCell ref="A1:J1"/>
    <mergeCell ref="A11:A19"/>
    <mergeCell ref="A9:J9"/>
    <mergeCell ref="A8:J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19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35" min="1" max="1"/>
    <col width="14" customWidth="1" style="35" min="2" max="2"/>
    <col width="16" customWidth="1" style="35" min="3" max="3"/>
    <col width="15" customWidth="1" style="35" min="4" max="4"/>
    <col width="17" customWidth="1" style="35" min="5" max="6"/>
    <col width="11" customWidth="1" style="35" min="7" max="7"/>
    <col width="13" customWidth="1" style="36" min="9" max="9"/>
  </cols>
  <sheetData>
    <row r="1" ht="21.75" customHeight="1" s="36">
      <c r="A1" s="57" t="inlineStr">
        <is>
          <t>דשבורד ביצועי סוכן חאזם</t>
        </is>
      </c>
    </row>
    <row r="2" ht="21.75" customHeight="1" s="36">
      <c r="A2" s="58">
        <f>"נכון לתאריך חישוב "&amp;TEXT(חאזם!B2,"dd/mm/yy")&amp;" | יום בדיקה: "&amp;TEXT(חאזם!B3,"dd/mm/yy")&amp;"  |  סך ימי א-ה בחודש: "&amp;חאזם!B6&amp;"  |  ימים שעברו: "&amp;חאזם!B7</f>
        <v/>
      </c>
    </row>
    <row r="3" ht="24" customHeight="1" s="36">
      <c r="A3" s="59" t="inlineStr">
        <is>
          <t>גיליון זה = תצוגת סיכום ויזואלית למנהל: כל התאים כאן הם קישורים חיים לגיליון חאזם. לצפייה בנוסחאות המלאות ובנתוני המקור  ⇦  עבור לגיליון חאזם.</t>
        </is>
      </c>
    </row>
    <row r="4" ht="31.5" customHeight="1" s="36">
      <c r="A4" s="60" t="inlineStr">
        <is>
          <t>קטגוריה</t>
        </is>
      </c>
      <c r="B4" s="60" t="inlineStr">
        <is>
          <t>יעד חודשי (₪)</t>
        </is>
      </c>
      <c r="C4" s="60" t="inlineStr">
        <is>
          <t>מכירות עד לבדיקה (₪)</t>
        </is>
      </c>
      <c r="D4" s="60" t="inlineStr">
        <is>
          <t>אחוז ביצוע לפי יעד</t>
        </is>
      </c>
      <c r="E4" s="60" t="inlineStr">
        <is>
          <t>כמה נשאר לסיום החודש (₪)</t>
        </is>
      </c>
      <c r="F4" s="60" t="inlineStr">
        <is>
          <t>קצב אומדן סוף חודש (₪)</t>
        </is>
      </c>
      <c r="G4" s="60" t="inlineStr">
        <is>
          <t>קצב %</t>
        </is>
      </c>
      <c r="I4" s="61" t="inlineStr">
        <is>
          <t>רף יעד 100% (עזר לגרף בלבד)</t>
        </is>
      </c>
    </row>
    <row r="5" ht="15" customHeight="1" s="36">
      <c r="A5" s="62">
        <f>חאזם!B11</f>
        <v/>
      </c>
      <c r="B5" s="63">
        <f>IF(חאזם!C11="","",חאזם!C11)</f>
        <v/>
      </c>
      <c r="C5" s="63">
        <f>חאזם!F11</f>
        <v/>
      </c>
      <c r="D5" s="64">
        <f>חאזם!G11</f>
        <v/>
      </c>
      <c r="E5" s="63">
        <f>חאזם!H11</f>
        <v/>
      </c>
      <c r="F5" s="63">
        <f>חאזם!I11</f>
        <v/>
      </c>
      <c r="G5" s="64">
        <f>חאזם!J11</f>
        <v/>
      </c>
      <c r="I5" s="65" t="n">
        <v>1</v>
      </c>
    </row>
    <row r="6" ht="15" customHeight="1" s="36">
      <c r="A6" s="62">
        <f>חאזם!B12</f>
        <v/>
      </c>
      <c r="B6" s="63">
        <f>IF(חאזם!C12="","",חאזם!C12)</f>
        <v/>
      </c>
      <c r="C6" s="63">
        <f>חאזם!F12</f>
        <v/>
      </c>
      <c r="D6" s="64">
        <f>חאזם!G12</f>
        <v/>
      </c>
      <c r="E6" s="63">
        <f>חאזם!H12</f>
        <v/>
      </c>
      <c r="F6" s="63">
        <f>חאזם!I12</f>
        <v/>
      </c>
      <c r="G6" s="64">
        <f>חאזם!J12</f>
        <v/>
      </c>
      <c r="I6" s="65" t="n">
        <v>1</v>
      </c>
    </row>
    <row r="7" ht="15" customHeight="1" s="36">
      <c r="A7" s="62">
        <f>חאזם!B13</f>
        <v/>
      </c>
      <c r="B7" s="63">
        <f>IF(חאזם!C13="","",חאזם!C13)</f>
        <v/>
      </c>
      <c r="C7" s="63">
        <f>חאזם!F13</f>
        <v/>
      </c>
      <c r="D7" s="64">
        <f>חאזם!G13</f>
        <v/>
      </c>
      <c r="E7" s="63">
        <f>חאזם!H13</f>
        <v/>
      </c>
      <c r="F7" s="63">
        <f>חאזם!I13</f>
        <v/>
      </c>
      <c r="G7" s="64">
        <f>חאזם!J13</f>
        <v/>
      </c>
      <c r="I7" s="65" t="n">
        <v>1</v>
      </c>
    </row>
    <row r="8" ht="15" customHeight="1" s="36">
      <c r="A8" s="62">
        <f>חאזם!B15</f>
        <v/>
      </c>
      <c r="B8" s="63">
        <f>IF(חאזם!C15="","",חאזם!C15)</f>
        <v/>
      </c>
      <c r="C8" s="63">
        <f>חאזם!F15</f>
        <v/>
      </c>
      <c r="D8" s="64">
        <f>חאזם!G15</f>
        <v/>
      </c>
      <c r="E8" s="63">
        <f>חאזם!H15</f>
        <v/>
      </c>
      <c r="F8" s="63">
        <f>חאזם!I15</f>
        <v/>
      </c>
      <c r="G8" s="64">
        <f>חאזם!J15</f>
        <v/>
      </c>
      <c r="I8" s="65" t="n">
        <v>1</v>
      </c>
    </row>
    <row r="9" ht="15" customHeight="1" s="36">
      <c r="A9" s="62">
        <f>חאזם!B16</f>
        <v/>
      </c>
      <c r="B9" s="63">
        <f>IF(חאזם!C16="","",חאזם!C16)</f>
        <v/>
      </c>
      <c r="C9" s="63">
        <f>חאזם!F16</f>
        <v/>
      </c>
      <c r="D9" s="64">
        <f>חאזם!G16</f>
        <v/>
      </c>
      <c r="E9" s="63">
        <f>חאזם!H16</f>
        <v/>
      </c>
      <c r="F9" s="63">
        <f>חאזם!I16</f>
        <v/>
      </c>
      <c r="G9" s="64">
        <f>חאזם!J16</f>
        <v/>
      </c>
      <c r="I9" s="65" t="n">
        <v>1</v>
      </c>
    </row>
    <row r="10" ht="15" customHeight="1" s="36">
      <c r="A10" s="62">
        <f>חאזם!B17</f>
        <v/>
      </c>
      <c r="B10" s="63">
        <f>IF(חאזם!C17="","",חאזם!C17)</f>
        <v/>
      </c>
      <c r="C10" s="63">
        <f>חאזם!F17</f>
        <v/>
      </c>
      <c r="D10" s="64">
        <f>חאזם!G17</f>
        <v/>
      </c>
      <c r="E10" s="63">
        <f>חאזם!H17</f>
        <v/>
      </c>
      <c r="F10" s="63">
        <f>חאזם!I17</f>
        <v/>
      </c>
      <c r="G10" s="64">
        <f>חאזם!J17</f>
        <v/>
      </c>
      <c r="I10" s="65" t="n">
        <v>1</v>
      </c>
    </row>
    <row r="11" ht="15" customHeight="1" s="36">
      <c r="A11" s="62">
        <f>חאזם!B18</f>
        <v/>
      </c>
      <c r="B11" s="63">
        <f>IF(חאזם!C18="","",חאזם!C18)</f>
        <v/>
      </c>
      <c r="C11" s="63">
        <f>חאזם!F18</f>
        <v/>
      </c>
      <c r="D11" s="64">
        <f>חאזם!G18</f>
        <v/>
      </c>
      <c r="E11" s="63">
        <f>חאזם!H18</f>
        <v/>
      </c>
      <c r="F11" s="63">
        <f>חאזם!I18</f>
        <v/>
      </c>
      <c r="G11" s="64">
        <f>חאזם!J18</f>
        <v/>
      </c>
      <c r="I11" s="65" t="n">
        <v>1</v>
      </c>
    </row>
    <row r="12" ht="15" customHeight="1" s="36">
      <c r="A12" s="62">
        <f>חאזם!B19</f>
        <v/>
      </c>
      <c r="B12" s="63">
        <f>IF(חאזם!C19="","",חאזם!C19)</f>
        <v/>
      </c>
      <c r="C12" s="63">
        <f>חאזם!F19</f>
        <v/>
      </c>
      <c r="D12" s="64">
        <f>חאזם!G19</f>
        <v/>
      </c>
      <c r="E12" s="63">
        <f>חאזם!H19</f>
        <v/>
      </c>
      <c r="F12" s="63">
        <f>חאזם!I19</f>
        <v/>
      </c>
      <c r="G12" s="64">
        <f>חאזם!J19</f>
        <v/>
      </c>
      <c r="I12" s="65" t="n">
        <v>1</v>
      </c>
    </row>
    <row r="13" ht="15" customHeight="1" s="36">
      <c r="A13" s="66">
        <f>חאזם!B14</f>
        <v/>
      </c>
      <c r="B13" s="67">
        <f>IF(חאזם!C14="","",חאזם!C14)</f>
        <v/>
      </c>
      <c r="C13" s="67">
        <f>חאזם!F14</f>
        <v/>
      </c>
      <c r="D13" s="68">
        <f>חאזם!G14</f>
        <v/>
      </c>
      <c r="E13" s="67">
        <f>חאזם!H14</f>
        <v/>
      </c>
      <c r="F13" s="67">
        <f>חאזם!I14</f>
        <v/>
      </c>
      <c r="G13" s="68">
        <f>חאזם!J14</f>
        <v/>
      </c>
    </row>
    <row r="14" ht="15" customHeight="1" s="36">
      <c r="A14" s="66">
        <f>חאזם!B20</f>
        <v/>
      </c>
      <c r="B14" s="67">
        <f>IF(חאזם!C20="","",חאזם!C20)</f>
        <v/>
      </c>
      <c r="C14" s="67">
        <f>חאזם!F20</f>
        <v/>
      </c>
      <c r="D14" s="68">
        <f>חאזם!G20</f>
        <v/>
      </c>
      <c r="E14" s="67">
        <f>חאזם!H20</f>
        <v/>
      </c>
      <c r="F14" s="67">
        <f>חאזם!I20</f>
        <v/>
      </c>
      <c r="G14" s="68">
        <f>חאזם!J20</f>
        <v/>
      </c>
    </row>
    <row r="15" ht="15" customHeight="1" s="36">
      <c r="A15" s="69">
        <f>חאזם!B21</f>
        <v/>
      </c>
      <c r="B15" s="70">
        <f>IF(חאזם!C21="","",חאזם!C21)</f>
        <v/>
      </c>
      <c r="C15" s="70">
        <f>חאזם!F21</f>
        <v/>
      </c>
      <c r="D15" s="71">
        <f>חאזם!G21</f>
        <v/>
      </c>
      <c r="E15" s="70">
        <f>חאזם!H21</f>
        <v/>
      </c>
      <c r="F15" s="70">
        <f>חאזם!I21</f>
        <v/>
      </c>
      <c r="G15" s="71">
        <f>חאזם!J21</f>
        <v/>
      </c>
    </row>
    <row r="17" ht="45" customHeight="1" s="36">
      <c r="A17" s="41" t="inlineStr">
        <is>
          <t>הערות: (1) עמודות "מכירות" ו"פתוחות" בגיליון חאזם הן צילום מצב (snapshot) מהקובץ שהועלה - לא לינק חי לקובץ המקור החיצוני שהיה שבור. (2) לקטגוריה "חנויות ספורט" לא נמצא יעד חודשי מוגדר במקור - אחוז ביצוע וקצב % מוצגים ריקים עד להשלמת הנתון. (3) ירוק = קצב/ביצוע 100% ומעלה, אדום = מתחת ל-100%.</t>
        </is>
      </c>
    </row>
    <row r="19" ht="22" customHeight="1" s="36">
      <c r="A19" s="72" t="inlineStr">
        <is>
          <t>גרפים - תמונת מצב חזותית</t>
        </is>
      </c>
    </row>
  </sheetData>
  <mergeCells count="5">
    <mergeCell ref="A1:G1"/>
    <mergeCell ref="A17:G17"/>
    <mergeCell ref="A3:G3"/>
    <mergeCell ref="A2:G2"/>
    <mergeCell ref="A19:G19"/>
  </mergeCells>
  <conditionalFormatting sqref="D5:D15">
    <cfRule type="expression" rank="0" priority="2" equalAverage="0" aboveAverage="0" dxfId="0" text="" percent="0" bottom="0">
      <formula>AND(ISNUMBER(D5),D5&gt;=1)</formula>
    </cfRule>
    <cfRule type="expression" rank="0" priority="3" equalAverage="0" aboveAverage="0" dxfId="1" text="" percent="0" bottom="0">
      <formula>AND(ISNUMBER(D5),D5&lt;1)</formula>
    </cfRule>
  </conditionalFormatting>
  <conditionalFormatting sqref="G5:G15">
    <cfRule type="expression" rank="0" priority="4" equalAverage="0" aboveAverage="0" dxfId="0" text="" percent="0" bottom="0">
      <formula>AND(ISNUMBER(G5),G5&gt;=1)</formula>
    </cfRule>
    <cfRule type="expression" rank="0" priority="5" equalAverage="0" aboveAverage="0" dxfId="1" text="" percent="0" bottom="0">
      <formula>AND(ISNUMBER(G5),G5&lt;1)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2026-08-16T08:14:53Z</dcterms:created>
  <dcterms:modified xmlns:dcterms="http://purl.org/dc/terms/" xmlns:xsi="http://www.w3.org/2001/XMLSchema-instance" xsi:type="dcterms:W3CDTF">2026-08-16T08:43:28Z</dcterms:modified>
  <cp:revision>0</cp:revision>
</cp:coreProperties>
</file>