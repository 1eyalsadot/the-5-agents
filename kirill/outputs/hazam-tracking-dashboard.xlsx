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חאזם" sheetId="1" state="visible" r:id="rId3"/>
    <sheet name="DASHBO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FreeSans"/>
            <family val="2"/>
          </rPr>
          <t xml:space="preserve">שדה זה מוזן ידנית ואינו מחושב אוטומטית - זהו התאריך היחיד בגיליון שאינו נוסחה חיה. נכון להיום (</t>
        </r>
        <r>
          <rPr>
            <sz val="10"/>
            <rFont val="Arial"/>
            <family val="2"/>
          </rPr>
          <t xml:space="preserve">16/08/26) יום הבדיקה נקבע לאמצע החודש (15/08/26). כל שאר החישובים (ימים שעברו, קצב, אחוז ביצוע) מתעדכנים אוטומטית לפי תאריך זה - כדי לבדוק תאריך אחר, פשוט לעדכן תא זה.</t>
        </r>
      </text>
    </comment>
    <comment ref="B6" authorId="0">
      <text>
        <r>
          <rPr>
            <sz val="10"/>
            <rFont val="FreeSans"/>
            <family val="2"/>
          </rPr>
          <t xml:space="preserve">ספירה חיה של ימי ראשון עד חמישי (ללא שישי-שבת) בכל טווח החודש (מתחילתו עד סופו). שיטה</t>
        </r>
        <r>
          <rPr>
            <sz val="10"/>
            <rFont val="Arial"/>
            <family val="2"/>
          </rPr>
          <t xml:space="preserve">: WEEKDAY </t>
        </r>
        <r>
          <rPr>
            <sz val="10"/>
            <rFont val="FreeSans"/>
            <family val="2"/>
          </rPr>
          <t xml:space="preserve">בברירת המחדל (</t>
        </r>
        <r>
          <rPr>
            <sz val="10"/>
            <rFont val="Arial"/>
            <family val="2"/>
          </rPr>
          <t xml:space="preserve">1=ראשון...7=שבת), וספירת כל יום שבו weekday&lt;6 (</t>
        </r>
        <r>
          <rPr>
            <sz val="10"/>
            <rFont val="FreeSans"/>
            <family val="2"/>
          </rPr>
          <t xml:space="preserve">כלומר לא שישי ולא שבת</t>
        </r>
        <r>
          <rPr>
            <sz val="10"/>
            <rFont val="Arial"/>
            <family val="2"/>
          </rPr>
          <t xml:space="preserve">) </t>
        </r>
        <r>
          <rPr>
            <sz val="10"/>
            <rFont val="FreeSans"/>
            <family val="2"/>
          </rPr>
          <t xml:space="preserve">בעזרת </t>
        </r>
        <r>
          <rPr>
            <sz val="10"/>
            <rFont val="Arial"/>
            <family val="2"/>
          </rPr>
          <t xml:space="preserve">SUMPRODUCT+ROW(INDIRECT(...)). </t>
        </r>
        <r>
          <rPr>
            <sz val="10"/>
            <rFont val="FreeSans"/>
            <family val="2"/>
          </rPr>
          <t xml:space="preserve">לאוגוסט </t>
        </r>
        <r>
          <rPr>
            <sz val="10"/>
            <rFont val="Arial"/>
            <family val="2"/>
          </rPr>
          <t xml:space="preserve">2026 התוצאה היא 22 ימים.</t>
        </r>
      </text>
    </comment>
    <comment ref="B7" authorId="0">
      <text>
        <r>
          <rPr>
            <sz val="10"/>
            <rFont val="FreeSans"/>
            <family val="2"/>
          </rPr>
          <t xml:space="preserve">אותה שיטת ספירה כמו </t>
        </r>
        <r>
          <rPr>
            <sz val="10"/>
            <rFont val="Arial"/>
            <family val="2"/>
          </rPr>
          <t xml:space="preserve">B6, </t>
        </r>
        <r>
          <rPr>
            <sz val="10"/>
            <rFont val="FreeSans"/>
            <family val="2"/>
          </rPr>
          <t xml:space="preserve">אך רק מתחילת החודש ועד יום הבדיקה </t>
        </r>
        <r>
          <rPr>
            <sz val="10"/>
            <rFont val="Arial"/>
            <family val="2"/>
          </rPr>
          <t xml:space="preserve">(B3). </t>
        </r>
        <r>
          <rPr>
            <sz val="10"/>
            <rFont val="FreeSans"/>
            <family val="2"/>
          </rPr>
          <t xml:space="preserve">לבדיקה ב-</t>
        </r>
        <r>
          <rPr>
            <sz val="10"/>
            <rFont val="Arial"/>
            <family val="2"/>
          </rPr>
          <t xml:space="preserve">15/08/26 התוצאה היא 10 ימים.</t>
        </r>
      </text>
    </comment>
    <comment ref="C19" authorId="0">
      <text>
        <r>
          <rPr>
            <sz val="10"/>
            <rFont val="FreeSans"/>
            <family val="2"/>
          </rPr>
          <t xml:space="preserve">פער בנתוני המקור: לא נמצא יעד חודשי מוגדר לקטגוריה 'חנויות ספורט' בקובץ המקור </t>
        </r>
        <r>
          <rPr>
            <sz val="10"/>
            <rFont val="Arial"/>
            <family val="2"/>
          </rPr>
          <t xml:space="preserve">(hazam-tracking-source.xlsx, C11 </t>
        </r>
        <r>
          <rPr>
            <sz val="10"/>
            <rFont val="FreeSans"/>
            <family val="2"/>
          </rPr>
          <t xml:space="preserve">היה ריק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יש להשלים ידנית מול הסוכן/המנהל. עד להשלמה, אחוז ביצוע וקצב % לקטגוריה זו יוצגו כריק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<sst xmlns="http://schemas.openxmlformats.org/spreadsheetml/2006/main" count="39" uniqueCount="31">
  <si>
    <t xml:space="preserve">מעקב ביצועי סוכן חאזם</t>
  </si>
  <si>
    <t xml:space="preserve">תאריך חישוב:</t>
  </si>
  <si>
    <t xml:space="preserve">יום בדיקה (קלט ידני):</t>
  </si>
  <si>
    <t xml:space="preserve">תחילת החודש הרלוונטי:</t>
  </si>
  <si>
    <t xml:space="preserve">סוף החודש הרלוונטי:</t>
  </si>
  <si>
    <t xml:space="preserve">סה"כ ימי א'-ה' בחודש:</t>
  </si>
  <si>
    <t xml:space="preserve">ימי א'-ה' שעברו (מ-1 בחודש עד יום הבדיקה):</t>
  </si>
  <si>
    <t xml:space="preserve">הערה: עמודות D ('מכירות') ו-E ('פתוחות') הן צילום מצב (snapshot) של הערכים האחרונים שנשמרו בקאש של קובץ המקור שהועלה (hazam-tracking-source.xlsx). בקובץ המקור עמודות אלה היו מקושרות לקובץ אקסל חיצוני שבור (קישורי '[1]מכירות!...' / '[1]פתוחות!...') שאין אליו גישה כעת - לכן הוחלפו כאן בערכים קשיחים מהקאש. זה אינו לינק חי. אם יש קובץ מקור מעודכן יותר, יש לספק אותו לעדכון.</t>
  </si>
  <si>
    <t xml:space="preserve">סוכן</t>
  </si>
  <si>
    <t xml:space="preserve">קטגוריה</t>
  </si>
  <si>
    <t xml:space="preserve">יעד חודשי (₪)</t>
  </si>
  <si>
    <t xml:space="preserve">מכירות (snapshot)</t>
  </si>
  <si>
    <t xml:space="preserve">פתוחות (snapshot)</t>
  </si>
  <si>
    <t xml:space="preserve">מכירות עד לבדיקה (₪)</t>
  </si>
  <si>
    <t xml:space="preserve">אחוז ביצוע לפי יעד</t>
  </si>
  <si>
    <t xml:space="preserve">כמה נשאר לסיום החודש (₪)</t>
  </si>
  <si>
    <t xml:space="preserve">קצב אומדן סוף חודש (₪)</t>
  </si>
  <si>
    <t xml:space="preserve">קצב %</t>
  </si>
  <si>
    <t xml:space="preserve">חאזם</t>
  </si>
  <si>
    <t xml:space="preserve">בתי מרקחת פרטיים</t>
  </si>
  <si>
    <t xml:space="preserve">BE</t>
  </si>
  <si>
    <t xml:space="preserve">סופרפארם</t>
  </si>
  <si>
    <t xml:space="preserve">סה"כ</t>
  </si>
  <si>
    <t xml:space="preserve">מכוני אורטופדיה</t>
  </si>
  <si>
    <t xml:space="preserve">מכוני פיזוטרפיה</t>
  </si>
  <si>
    <t xml:space="preserve">מאוחדת</t>
  </si>
  <si>
    <t xml:space="preserve">חנויות פרטיות</t>
  </si>
  <si>
    <t xml:space="preserve">חנויות ספורט</t>
  </si>
  <si>
    <t xml:space="preserve">סה"כ כללי</t>
  </si>
  <si>
    <t xml:space="preserve">דשבורד ביצועי סוכן חאזם</t>
  </si>
  <si>
    <t xml:space="preserve">הערות: (1) עמודות "מכירות" ו"פתוחות" בגיליון חאזם הן צילום מצב (snapshot) מהקובץ שהועלה - לא לינק חי לקובץ המקור החיצוני שהיה שבור. (2) לקטגוריה "חנויות ספורט" לא נמצא יעד חודשי מוגדר במקור - אחוז ביצוע וקצב % מוצגים ריקים עד להשלמת הנתון. (3) ירוק = קצב/ביצוע 100% ומעלה, אדום = מתחת ל-100%.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</si>
</sst>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"/>
    <numFmt numFmtId="166" formatCode="0"/>
    <numFmt numFmtId="167" formatCode="_ * #,##0_ ;_ * \-#,##0_ ;_ * \-??_ ;_ @_ "/>
    <numFmt numFmtId="168" formatCode="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sz val="10"/>
      <name val="FreeSans"/>
      <family val="2"/>
    </font>
    <font>
      <sz val="10"/>
      <name val="Arial"/>
      <family val="2"/>
    </font>
    <font>
      <b val="true"/>
      <sz val="18"/>
      <color rgb="FF000000"/>
      <name val="Arial"/>
      <family val="0"/>
      <charset val="1"/>
    </font>
    <font>
      <i val="true"/>
      <sz val="11"/>
      <color rgb="FF1F4E78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D9D9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61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2"/>
    <col collapsed="false" customWidth="true" hidden="false" outlineLevel="0" max="3" min="3" style="0" width="13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13"/>
    <col collapsed="false" customWidth="true" hidden="false" outlineLevel="0" max="9" min="8" style="0" width="16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15" hidden="false" customHeight="false" outlineLevel="0" collapsed="false">
      <c r="A2" s="2" t="s">
        <v>1</v>
      </c>
      <c r="B2" s="3" t="n">
        <v>46250</v>
      </c>
    </row>
    <row r="3" customFormat="false" ht="15" hidden="false" customHeight="false" outlineLevel="0" collapsed="false">
      <c r="A3" s="2" t="s">
        <v>2</v>
      </c>
      <c r="B3" s="3" t="n">
        <v>46249</v>
      </c>
    </row>
    <row r="4" customFormat="false" ht="15" hidden="false" customHeight="false" outlineLevel="0" collapsed="false">
      <c r="A4" s="2" t="s">
        <v>3</v>
      </c>
      <c r="B4" s="3" t="n">
        <f aca="false">EOMONTH(B3,-1)+1</f>
        <v>46235</v>
      </c>
    </row>
    <row r="5" customFormat="false" ht="15" hidden="false" customHeight="false" outlineLevel="0" collapsed="false">
      <c r="A5" s="2" t="s">
        <v>4</v>
      </c>
      <c r="B5" s="3" t="n">
        <f aca="false">EOMONTH(B3,0)</f>
        <v>46265</v>
      </c>
    </row>
    <row r="6" customFormat="false" ht="15" hidden="false" customHeight="false" outlineLevel="0" collapsed="false">
      <c r="A6" s="2" t="s">
        <v>5</v>
      </c>
      <c r="B6" s="4" t="n">
        <f aca="true">SUMPRODUCT((WEEKDAY(ROW(INDIRECT(B4&amp;":"&amp;B5)))&lt;6)*1)</f>
        <v>22</v>
      </c>
    </row>
    <row r="7" customFormat="false" ht="15" hidden="false" customHeight="false" outlineLevel="0" collapsed="false">
      <c r="A7" s="2" t="s">
        <v>6</v>
      </c>
      <c r="B7" s="4" t="n">
        <f aca="true">SUMPRODUCT((WEEKDAY(ROW(INDIRECT(B4&amp;":"&amp;B3)))&lt;6)*1)</f>
        <v>10</v>
      </c>
    </row>
    <row r="8" customFormat="false" ht="45" hidden="false" customHeight="true" outlineLevel="0" collapsed="false">
      <c r="A8" s="5" t="s">
        <v>7</v>
      </c>
      <c r="B8" s="5"/>
      <c r="C8" s="5"/>
      <c r="D8" s="5"/>
      <c r="E8" s="5"/>
      <c r="F8" s="5"/>
      <c r="G8" s="5"/>
      <c r="H8" s="5"/>
      <c r="I8" s="5"/>
      <c r="J8" s="5"/>
    </row>
    <row r="10" customFormat="false" ht="31.5" hidden="false" customHeight="true" outlineLevel="0" collapsed="false">
      <c r="A10" s="6" t="s">
        <v>8</v>
      </c>
      <c r="B10" s="6" t="s">
        <v>9</v>
      </c>
      <c r="C10" s="6" t="s">
        <v>10</v>
      </c>
      <c r="D10" s="6" t="s">
        <v>11</v>
      </c>
      <c r="E10" s="6" t="s">
        <v>12</v>
      </c>
      <c r="F10" s="6" t="s">
        <v>13</v>
      </c>
      <c r="G10" s="6" t="s">
        <v>14</v>
      </c>
      <c r="H10" s="6" t="s">
        <v>15</v>
      </c>
      <c r="I10" s="6" t="s">
        <v>16</v>
      </c>
      <c r="J10" s="6" t="s">
        <v>17</v>
      </c>
    </row>
    <row r="11" customFormat="false" ht="15" hidden="false" customHeight="false" outlineLevel="0" collapsed="false">
      <c r="A11" s="7" t="s">
        <v>18</v>
      </c>
      <c r="B11" s="8" t="s">
        <v>19</v>
      </c>
      <c r="C11" s="9" t="n">
        <v>109000</v>
      </c>
      <c r="D11" s="9" t="n">
        <v>20013.1</v>
      </c>
      <c r="E11" s="9" t="n">
        <v>4595</v>
      </c>
      <c r="F11" s="9" t="n">
        <f aca="false">D11+E11</f>
        <v>24608.1</v>
      </c>
      <c r="G11" s="10" t="n">
        <f aca="false">IFERROR(F11/C11,"")</f>
        <v>0.225762385321101</v>
      </c>
      <c r="H11" s="9" t="n">
        <f aca="false">IF(C11="","",C11-F11)</f>
        <v>84391.9</v>
      </c>
      <c r="I11" s="9" t="n">
        <f aca="false">IFERROR((F11/$B$7)*$B$6,"")</f>
        <v>54137.82</v>
      </c>
      <c r="J11" s="10" t="n">
        <f aca="false">IFERROR(I11/C11,"")</f>
        <v>0.496677247706422</v>
      </c>
    </row>
    <row r="12" customFormat="false" ht="15" hidden="false" customHeight="false" outlineLevel="0" collapsed="false">
      <c r="A12" s="7"/>
      <c r="B12" s="8" t="s">
        <v>20</v>
      </c>
      <c r="C12" s="9" t="n">
        <v>25070</v>
      </c>
      <c r="D12" s="9" t="n">
        <v>9809.2</v>
      </c>
      <c r="E12" s="9" t="n">
        <v>646</v>
      </c>
      <c r="F12" s="9" t="n">
        <f aca="false">D12+E12</f>
        <v>10455.2</v>
      </c>
      <c r="G12" s="10" t="n">
        <f aca="false">IFERROR(F12/C12,"")</f>
        <v>0.417040287195852</v>
      </c>
      <c r="H12" s="9" t="n">
        <f aca="false">IF(C12="","",C12-F12)</f>
        <v>14614.8</v>
      </c>
      <c r="I12" s="9" t="n">
        <f aca="false">IFERROR((F12/$B$7)*$B$6,"")</f>
        <v>23001.44</v>
      </c>
      <c r="J12" s="10" t="n">
        <f aca="false">IFERROR(I12/C12,"")</f>
        <v>0.917488631830874</v>
      </c>
    </row>
    <row r="13" customFormat="false" ht="15" hidden="false" customHeight="false" outlineLevel="0" collapsed="false">
      <c r="A13" s="7"/>
      <c r="B13" s="8" t="s">
        <v>21</v>
      </c>
      <c r="C13" s="9" t="n">
        <v>119900</v>
      </c>
      <c r="D13" s="9" t="n">
        <v>50294</v>
      </c>
      <c r="E13" s="9"/>
      <c r="F13" s="9" t="n">
        <f aca="false">D13+E13</f>
        <v>50294</v>
      </c>
      <c r="G13" s="10" t="n">
        <f aca="false">IFERROR(F13/C13,"")</f>
        <v>0.419466221851543</v>
      </c>
      <c r="H13" s="9" t="n">
        <f aca="false">IF(C13="","",C13-F13)</f>
        <v>69606</v>
      </c>
      <c r="I13" s="9" t="n">
        <f aca="false">IFERROR((F13/$B$7)*$B$6,"")</f>
        <v>110646.8</v>
      </c>
      <c r="J13" s="10" t="n">
        <f aca="false">IFERROR(I13/C13,"")</f>
        <v>0.922825688073394</v>
      </c>
    </row>
    <row r="14" customFormat="false" ht="15" hidden="false" customHeight="false" outlineLevel="0" collapsed="false">
      <c r="A14" s="7"/>
      <c r="B14" s="11" t="s">
        <v>22</v>
      </c>
      <c r="C14" s="12" t="n">
        <f aca="false">SUM(C11:C13)</f>
        <v>253970</v>
      </c>
      <c r="D14" s="12" t="n">
        <f aca="false">SUM(D11:D13)</f>
        <v>80116.3</v>
      </c>
      <c r="E14" s="12" t="n">
        <f aca="false">SUM(E11:E13)</f>
        <v>5241</v>
      </c>
      <c r="F14" s="12" t="n">
        <f aca="false">SUM(F11:F13)</f>
        <v>85357.3</v>
      </c>
      <c r="G14" s="13" t="n">
        <f aca="false">IFERROR(F14/C14,"")</f>
        <v>0.3360920581171</v>
      </c>
      <c r="H14" s="12" t="n">
        <f aca="false">IF(C14="","",C14-F14)</f>
        <v>168612.7</v>
      </c>
      <c r="I14" s="12" t="n">
        <f aca="false">IFERROR((F14/$B$7)*$B$6,"")</f>
        <v>187786.06</v>
      </c>
      <c r="J14" s="13" t="n">
        <f aca="false">IFERROR(I14/C14,"")</f>
        <v>0.739402527857621</v>
      </c>
    </row>
    <row r="15" customFormat="false" ht="15" hidden="false" customHeight="false" outlineLevel="0" collapsed="false">
      <c r="A15" s="7"/>
      <c r="B15" s="8" t="s">
        <v>23</v>
      </c>
      <c r="C15" s="9" t="n">
        <v>47457</v>
      </c>
      <c r="D15" s="9" t="n">
        <v>19629</v>
      </c>
      <c r="E15" s="9"/>
      <c r="F15" s="9" t="n">
        <f aca="false">D15+E15</f>
        <v>19629</v>
      </c>
      <c r="G15" s="10" t="n">
        <f aca="false">IFERROR(F15/C15,"")</f>
        <v>0.413616537075669</v>
      </c>
      <c r="H15" s="9" t="n">
        <f aca="false">IF(C15="","",C15-F15)</f>
        <v>27828</v>
      </c>
      <c r="I15" s="9" t="n">
        <f aca="false">IFERROR((F15/$B$7)*$B$6,"")</f>
        <v>43183.8</v>
      </c>
      <c r="J15" s="10" t="n">
        <f aca="false">IFERROR(I15/C15,"")</f>
        <v>0.909956381566471</v>
      </c>
    </row>
    <row r="16" customFormat="false" ht="15" hidden="false" customHeight="false" outlineLevel="0" collapsed="false">
      <c r="A16" s="7"/>
      <c r="B16" s="8" t="s">
        <v>24</v>
      </c>
      <c r="C16" s="9" t="n">
        <f aca="false">16734+302</f>
        <v>17036</v>
      </c>
      <c r="D16" s="9" t="n">
        <v>5352</v>
      </c>
      <c r="E16" s="9"/>
      <c r="F16" s="9" t="n">
        <f aca="false">D16+E16</f>
        <v>5352</v>
      </c>
      <c r="G16" s="10" t="n">
        <f aca="false">IFERROR(F16/C16,"")</f>
        <v>0.314158253111059</v>
      </c>
      <c r="H16" s="9" t="n">
        <f aca="false">IF(C16="","",C16-F16)</f>
        <v>11684</v>
      </c>
      <c r="I16" s="9" t="n">
        <f aca="false">IFERROR((F16/$B$7)*$B$6,"")</f>
        <v>11774.4</v>
      </c>
      <c r="J16" s="10" t="n">
        <f aca="false">IFERROR(I16/C16,"")</f>
        <v>0.69114815684433</v>
      </c>
    </row>
    <row r="17" customFormat="false" ht="15" hidden="false" customHeight="false" outlineLevel="0" collapsed="false">
      <c r="A17" s="7"/>
      <c r="B17" s="8" t="s">
        <v>25</v>
      </c>
      <c r="C17" s="9" t="n">
        <v>21800</v>
      </c>
      <c r="D17" s="9" t="n">
        <v>6626.4</v>
      </c>
      <c r="E17" s="9" t="n">
        <v>302</v>
      </c>
      <c r="F17" s="9" t="n">
        <f aca="false">D17+E17</f>
        <v>6928.4</v>
      </c>
      <c r="G17" s="10" t="n">
        <f aca="false">IFERROR(F17/C17,"")</f>
        <v>0.317816513761468</v>
      </c>
      <c r="H17" s="9" t="n">
        <f aca="false">IF(C17="","",C17-F17)</f>
        <v>14871.6</v>
      </c>
      <c r="I17" s="9" t="n">
        <f aca="false">IFERROR((F17/$B$7)*$B$6,"")</f>
        <v>15242.48</v>
      </c>
      <c r="J17" s="10" t="n">
        <f aca="false">IFERROR(I17/C17,"")</f>
        <v>0.699196330275229</v>
      </c>
    </row>
    <row r="18" customFormat="false" ht="15" hidden="false" customHeight="false" outlineLevel="0" collapsed="false">
      <c r="A18" s="7"/>
      <c r="B18" s="8" t="s">
        <v>26</v>
      </c>
      <c r="C18" s="9" t="n">
        <v>6250</v>
      </c>
      <c r="D18" s="9" t="n">
        <v>0</v>
      </c>
      <c r="E18" s="9"/>
      <c r="F18" s="9" t="n">
        <f aca="false">D18+E18</f>
        <v>0</v>
      </c>
      <c r="G18" s="10" t="n">
        <f aca="false">IFERROR(F18/C18,"")</f>
        <v>0</v>
      </c>
      <c r="H18" s="9" t="n">
        <f aca="false">IF(C18="","",C18-F18)</f>
        <v>6250</v>
      </c>
      <c r="I18" s="9" t="n">
        <f aca="false">IFERROR((F18/$B$7)*$B$6,"")</f>
        <v>0</v>
      </c>
      <c r="J18" s="10" t="n">
        <f aca="false">IFERROR(I18/C18,"")</f>
        <v>0</v>
      </c>
    </row>
    <row r="19" customFormat="false" ht="15" hidden="false" customHeight="false" outlineLevel="0" collapsed="false">
      <c r="A19" s="7"/>
      <c r="B19" s="8" t="s">
        <v>27</v>
      </c>
      <c r="C19" s="14"/>
      <c r="D19" s="9" t="n">
        <v>1276</v>
      </c>
      <c r="E19" s="9"/>
      <c r="F19" s="9" t="n">
        <f aca="false">D19+E19</f>
        <v>1276</v>
      </c>
      <c r="G19" s="10" t="str">
        <f aca="false">IFERROR(F19/C19,"")</f>
        <v/>
      </c>
      <c r="H19" s="9" t="str">
        <f aca="false">IF(C19="","",C19-F19)</f>
        <v/>
      </c>
      <c r="I19" s="9" t="n">
        <f aca="false">IFERROR((F19/$B$7)*$B$6,"")</f>
        <v>2807.2</v>
      </c>
      <c r="J19" s="10" t="str">
        <f aca="false">IFERROR(I19/C19,"")</f>
        <v/>
      </c>
    </row>
    <row r="20" customFormat="false" ht="15" hidden="false" customHeight="false" outlineLevel="0" collapsed="false">
      <c r="A20" s="15"/>
      <c r="B20" s="11" t="s">
        <v>22</v>
      </c>
      <c r="C20" s="12" t="n">
        <f aca="false">SUM(C15:C19)</f>
        <v>92543</v>
      </c>
      <c r="D20" s="12" t="n">
        <f aca="false">SUM(D15:D19)</f>
        <v>32883.4</v>
      </c>
      <c r="E20" s="12" t="n">
        <f aca="false">SUM(E15:E19)</f>
        <v>302</v>
      </c>
      <c r="F20" s="12" t="n">
        <f aca="false">SUM(F15:F19)</f>
        <v>33185.4</v>
      </c>
      <c r="G20" s="13" t="n">
        <f aca="false">IFERROR(F20/C20,"")</f>
        <v>0.358594383151616</v>
      </c>
      <c r="H20" s="12" t="n">
        <f aca="false">IF(C20="","",C20-F20)</f>
        <v>59357.6</v>
      </c>
      <c r="I20" s="12" t="n">
        <f aca="false">IFERROR((F20/$B$7)*$B$6,"")</f>
        <v>73007.88</v>
      </c>
      <c r="J20" s="13" t="n">
        <f aca="false">IFERROR(I20/C20,"")</f>
        <v>0.788907642933555</v>
      </c>
    </row>
    <row r="21" customFormat="false" ht="15" hidden="false" customHeight="false" outlineLevel="0" collapsed="false">
      <c r="A21" s="16"/>
      <c r="B21" s="17" t="s">
        <v>28</v>
      </c>
      <c r="C21" s="18" t="n">
        <f aca="false">C14+C20</f>
        <v>346513</v>
      </c>
      <c r="D21" s="18" t="n">
        <f aca="false">D14+D20</f>
        <v>112999.7</v>
      </c>
      <c r="E21" s="18" t="n">
        <f aca="false">E14+E20</f>
        <v>5543</v>
      </c>
      <c r="F21" s="18" t="n">
        <f aca="false">F14+F20</f>
        <v>118542.7</v>
      </c>
      <c r="G21" s="19" t="n">
        <f aca="false">IFERROR(F21/C21,"")</f>
        <v>0.342101739328683</v>
      </c>
      <c r="H21" s="18" t="n">
        <f aca="false">IF(C21="","",C21-F21)</f>
        <v>227970.3</v>
      </c>
      <c r="I21" s="18" t="n">
        <f aca="false">IFERROR((F21/$B$7)*$B$6,"")</f>
        <v>260793.94</v>
      </c>
      <c r="J21" s="19" t="n">
        <f aca="false">IFERROR(I21/C21,"")</f>
        <v>0.752623826523103</v>
      </c>
    </row>
  </sheetData>
  <mergeCells count="3">
    <mergeCell ref="A1:J1"/>
    <mergeCell ref="A8:J8"/>
    <mergeCell ref="A11:A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5"/>
    <col collapsed="false" customWidth="true" hidden="false" outlineLevel="0" max="6" min="5" style="0" width="17"/>
    <col collapsed="false" customWidth="true" hidden="false" outlineLevel="0" max="7" min="7" style="0" width="11"/>
  </cols>
  <sheetData>
    <row r="1" customFormat="false" ht="22.05" hidden="false" customHeight="false" outlineLevel="0" collapsed="false">
      <c r="A1" s="20" t="s">
        <v>29</v>
      </c>
      <c r="B1" s="20"/>
      <c r="C1" s="20"/>
      <c r="D1" s="20"/>
      <c r="E1" s="20"/>
      <c r="F1" s="20"/>
      <c r="G1" s="20"/>
    </row>
    <row r="2" customFormat="false" ht="21.75" hidden="false" customHeight="true" outlineLevel="0" collapsed="false">
      <c r="A2" s="21" t="str">
        <f aca="false">"נכון לתאריך חישוב "&amp;TEXT(חאזם!B2,"dd/mm/yy")&amp;" | יום בדיקה: "&amp;TEXT(חאזם!B3,"dd/mm/yy")&amp;"  |  סך ימי א-ה בחודש: "&amp;חאזם!B6&amp;"  |  ימים שעברו: "&amp;חאזם!B7</f>
        <v>נכון לתאריך חישוב 16/08/26 | יום בדיקה: 15/08/26  |  סך ימי א-ה בחודש: 22  |  ימים שעברו: 10</v>
      </c>
      <c r="B2" s="21"/>
      <c r="C2" s="21"/>
      <c r="D2" s="21"/>
      <c r="E2" s="21"/>
      <c r="F2" s="21"/>
      <c r="G2" s="21"/>
    </row>
    <row r="4" customFormat="false" ht="31.5" hidden="false" customHeight="true" outlineLevel="0" collapsed="false">
      <c r="A4" s="22" t="s">
        <v>9</v>
      </c>
      <c r="B4" s="22" t="s">
        <v>10</v>
      </c>
      <c r="C4" s="22" t="s">
        <v>13</v>
      </c>
      <c r="D4" s="22" t="s">
        <v>14</v>
      </c>
      <c r="E4" s="22" t="s">
        <v>15</v>
      </c>
      <c r="F4" s="22" t="s">
        <v>16</v>
      </c>
      <c r="G4" s="22" t="s">
        <v>17</v>
      </c>
    </row>
    <row r="5" customFormat="false" ht="15" hidden="false" customHeight="false" outlineLevel="0" collapsed="false">
      <c r="A5" s="23" t="str">
        <f aca="false">חאזם!B11</f>
        <v>בתי מרקחת פרטיים</v>
      </c>
      <c r="B5" s="24" t="n">
        <f aca="false">IF(חאזם!C11="","",חאזם!C11)</f>
        <v>109000</v>
      </c>
      <c r="C5" s="24" t="n">
        <f aca="false">חאזם!F11</f>
        <v>24608.1</v>
      </c>
      <c r="D5" s="25" t="n">
        <f aca="false">חאזם!G11</f>
        <v>0.225762385321101</v>
      </c>
      <c r="E5" s="24" t="n">
        <f aca="false">חאזם!H11</f>
        <v>84391.9</v>
      </c>
      <c r="F5" s="24" t="n">
        <f aca="false">חאזם!I11</f>
        <v>54137.82</v>
      </c>
      <c r="G5" s="25" t="n">
        <f aca="false">חאזם!J11</f>
        <v>0.496677247706422</v>
      </c>
    </row>
    <row r="6" customFormat="false" ht="15" hidden="false" customHeight="false" outlineLevel="0" collapsed="false">
      <c r="A6" s="23" t="str">
        <f aca="false">חאזם!B12</f>
        <v>BE</v>
      </c>
      <c r="B6" s="24" t="n">
        <f aca="false">IF(חאזם!C12="","",חאזם!C12)</f>
        <v>25070</v>
      </c>
      <c r="C6" s="24" t="n">
        <f aca="false">חאזם!F12</f>
        <v>10455.2</v>
      </c>
      <c r="D6" s="25" t="n">
        <f aca="false">חאזם!G12</f>
        <v>0.417040287195852</v>
      </c>
      <c r="E6" s="24" t="n">
        <f aca="false">חאזם!H12</f>
        <v>14614.8</v>
      </c>
      <c r="F6" s="24" t="n">
        <f aca="false">חאזם!I12</f>
        <v>23001.44</v>
      </c>
      <c r="G6" s="25" t="n">
        <f aca="false">חאזם!J12</f>
        <v>0.917488631830874</v>
      </c>
    </row>
    <row r="7" customFormat="false" ht="15" hidden="false" customHeight="false" outlineLevel="0" collapsed="false">
      <c r="A7" s="23" t="str">
        <f aca="false">חאזם!B13</f>
        <v>סופרפארם</v>
      </c>
      <c r="B7" s="24" t="n">
        <f aca="false">IF(חאזם!C13="","",חאזם!C13)</f>
        <v>119900</v>
      </c>
      <c r="C7" s="24" t="n">
        <f aca="false">חאזם!F13</f>
        <v>50294</v>
      </c>
      <c r="D7" s="25" t="n">
        <f aca="false">חאזם!G13</f>
        <v>0.419466221851543</v>
      </c>
      <c r="E7" s="24" t="n">
        <f aca="false">חאזם!H13</f>
        <v>69606</v>
      </c>
      <c r="F7" s="24" t="n">
        <f aca="false">חאזם!I13</f>
        <v>110646.8</v>
      </c>
      <c r="G7" s="25" t="n">
        <f aca="false">חאזם!J13</f>
        <v>0.922825688073394</v>
      </c>
    </row>
    <row r="8" customFormat="false" ht="15" hidden="false" customHeight="false" outlineLevel="0" collapsed="false">
      <c r="A8" s="23" t="str">
        <f aca="false">חאזם!B15</f>
        <v>מכוני אורטופדיה</v>
      </c>
      <c r="B8" s="24" t="n">
        <f aca="false">IF(חאזם!C15="","",חאזם!C15)</f>
        <v>47457</v>
      </c>
      <c r="C8" s="24" t="n">
        <f aca="false">חאזם!F15</f>
        <v>19629</v>
      </c>
      <c r="D8" s="25" t="n">
        <f aca="false">חאזם!G15</f>
        <v>0.413616537075669</v>
      </c>
      <c r="E8" s="24" t="n">
        <f aca="false">חאזם!H15</f>
        <v>27828</v>
      </c>
      <c r="F8" s="24" t="n">
        <f aca="false">חאזם!I15</f>
        <v>43183.8</v>
      </c>
      <c r="G8" s="25" t="n">
        <f aca="false">חאזם!J15</f>
        <v>0.909956381566471</v>
      </c>
    </row>
    <row r="9" customFormat="false" ht="15" hidden="false" customHeight="false" outlineLevel="0" collapsed="false">
      <c r="A9" s="23" t="str">
        <f aca="false">חאזם!B16</f>
        <v>מכוני פיזוטרפיה</v>
      </c>
      <c r="B9" s="24" t="n">
        <f aca="false">IF(חאזם!C16="","",חאזם!C16)</f>
        <v>17036</v>
      </c>
      <c r="C9" s="24" t="n">
        <f aca="false">חאזם!F16</f>
        <v>5352</v>
      </c>
      <c r="D9" s="25" t="n">
        <f aca="false">חאזם!G16</f>
        <v>0.314158253111059</v>
      </c>
      <c r="E9" s="24" t="n">
        <f aca="false">חאזם!H16</f>
        <v>11684</v>
      </c>
      <c r="F9" s="24" t="n">
        <f aca="false">חאזם!I16</f>
        <v>11774.4</v>
      </c>
      <c r="G9" s="25" t="n">
        <f aca="false">חאזם!J16</f>
        <v>0.69114815684433</v>
      </c>
    </row>
    <row r="10" customFormat="false" ht="15" hidden="false" customHeight="false" outlineLevel="0" collapsed="false">
      <c r="A10" s="23" t="str">
        <f aca="false">חאזם!B17</f>
        <v>מאוחדת</v>
      </c>
      <c r="B10" s="24" t="n">
        <f aca="false">IF(חאזם!C17="","",חאזם!C17)</f>
        <v>21800</v>
      </c>
      <c r="C10" s="24" t="n">
        <f aca="false">חאזם!F17</f>
        <v>6928.4</v>
      </c>
      <c r="D10" s="25" t="n">
        <f aca="false">חאזם!G17</f>
        <v>0.317816513761468</v>
      </c>
      <c r="E10" s="24" t="n">
        <f aca="false">חאזם!H17</f>
        <v>14871.6</v>
      </c>
      <c r="F10" s="24" t="n">
        <f aca="false">חאזם!I17</f>
        <v>15242.48</v>
      </c>
      <c r="G10" s="25" t="n">
        <f aca="false">חאזם!J17</f>
        <v>0.699196330275229</v>
      </c>
    </row>
    <row r="11" customFormat="false" ht="15" hidden="false" customHeight="false" outlineLevel="0" collapsed="false">
      <c r="A11" s="23" t="str">
        <f aca="false">חאזם!B18</f>
        <v>חנויות פרטיות</v>
      </c>
      <c r="B11" s="24" t="n">
        <f aca="false">IF(חאזם!C18="","",חאזם!C18)</f>
        <v>6250</v>
      </c>
      <c r="C11" s="24" t="n">
        <f aca="false">חאזם!F18</f>
        <v>0</v>
      </c>
      <c r="D11" s="25" t="n">
        <f aca="false">חאזם!G18</f>
        <v>0</v>
      </c>
      <c r="E11" s="24" t="n">
        <f aca="false">חאזם!H18</f>
        <v>6250</v>
      </c>
      <c r="F11" s="24" t="n">
        <f aca="false">חאזם!I18</f>
        <v>0</v>
      </c>
      <c r="G11" s="25" t="n">
        <f aca="false">חאזם!J18</f>
        <v>0</v>
      </c>
    </row>
    <row r="12" customFormat="false" ht="15" hidden="false" customHeight="false" outlineLevel="0" collapsed="false">
      <c r="A12" s="23" t="str">
        <f aca="false">חאזם!B19</f>
        <v>חנויות ספורט</v>
      </c>
      <c r="B12" s="24" t="str">
        <f aca="false">IF(חאזם!C19="","",חאזם!C19)</f>
        <v/>
      </c>
      <c r="C12" s="24" t="n">
        <f aca="false">חאזם!F19</f>
        <v>1276</v>
      </c>
      <c r="D12" s="25" t="str">
        <f aca="false">חאזם!G19</f>
        <v/>
      </c>
      <c r="E12" s="24" t="str">
        <f aca="false">חאזם!H19</f>
        <v/>
      </c>
      <c r="F12" s="24" t="n">
        <f aca="false">חאזם!I19</f>
        <v>2807.2</v>
      </c>
      <c r="G12" s="25" t="str">
        <f aca="false">חאזם!J19</f>
        <v/>
      </c>
    </row>
    <row r="13" customFormat="false" ht="15" hidden="false" customHeight="false" outlineLevel="0" collapsed="false">
      <c r="A13" s="26" t="str">
        <f aca="false">חאזם!B14</f>
        <v>סה"כ</v>
      </c>
      <c r="B13" s="27" t="n">
        <f aca="false">IF(חאזם!C14="","",חאזם!C14)</f>
        <v>253970</v>
      </c>
      <c r="C13" s="27" t="n">
        <f aca="false">חאזם!F14</f>
        <v>85357.3</v>
      </c>
      <c r="D13" s="28" t="n">
        <f aca="false">חאזם!G14</f>
        <v>0.3360920581171</v>
      </c>
      <c r="E13" s="27" t="n">
        <f aca="false">חאזם!H14</f>
        <v>168612.7</v>
      </c>
      <c r="F13" s="27" t="n">
        <f aca="false">חאזם!I14</f>
        <v>187786.06</v>
      </c>
      <c r="G13" s="28" t="n">
        <f aca="false">חאזם!J14</f>
        <v>0.739402527857621</v>
      </c>
    </row>
    <row r="14" customFormat="false" ht="15" hidden="false" customHeight="false" outlineLevel="0" collapsed="false">
      <c r="A14" s="26" t="str">
        <f aca="false">חאזם!B20</f>
        <v>סה"כ</v>
      </c>
      <c r="B14" s="27" t="n">
        <f aca="false">IF(חאזם!C20="","",חאזם!C20)</f>
        <v>92543</v>
      </c>
      <c r="C14" s="27" t="n">
        <f aca="false">חאזם!F20</f>
        <v>33185.4</v>
      </c>
      <c r="D14" s="28" t="n">
        <f aca="false">חאזם!G20</f>
        <v>0.358594383151616</v>
      </c>
      <c r="E14" s="27" t="n">
        <f aca="false">חאזם!H20</f>
        <v>59357.6</v>
      </c>
      <c r="F14" s="27" t="n">
        <f aca="false">חאזם!I20</f>
        <v>73007.88</v>
      </c>
      <c r="G14" s="28" t="n">
        <f aca="false">חאזם!J20</f>
        <v>0.788907642933555</v>
      </c>
    </row>
    <row r="15" customFormat="false" ht="15" hidden="false" customHeight="false" outlineLevel="0" collapsed="false">
      <c r="A15" s="29" t="str">
        <f aca="false">חאזם!B21</f>
        <v>סה"כ כללי</v>
      </c>
      <c r="B15" s="30" t="n">
        <f aca="false">IF(חאזם!C21="","",חאזם!C21)</f>
        <v>346513</v>
      </c>
      <c r="C15" s="30" t="n">
        <f aca="false">חאזם!F21</f>
        <v>118542.7</v>
      </c>
      <c r="D15" s="31" t="n">
        <f aca="false">חאזם!G21</f>
        <v>0.342101739328683</v>
      </c>
      <c r="E15" s="30" t="n">
        <f aca="false">חאזם!H21</f>
        <v>227970.3</v>
      </c>
      <c r="F15" s="30" t="n">
        <f aca="false">חאזם!I21</f>
        <v>260793.94</v>
      </c>
      <c r="G15" s="31" t="n">
        <f aca="false">חאזם!J21</f>
        <v>0.752623826523103</v>
      </c>
    </row>
    <row r="17" customFormat="false" ht="45" hidden="false" customHeight="true" outlineLevel="0" collapsed="false">
      <c r="A17" s="5" t="s">
        <v>30</v>
      </c>
      <c r="B17" s="5"/>
      <c r="C17" s="5"/>
      <c r="D17" s="5"/>
      <c r="E17" s="5"/>
      <c r="F17" s="5"/>
      <c r="G17" s="5"/>
    </row>
  </sheetData>
  <mergeCells count="3">
    <mergeCell ref="A1:G1"/>
    <mergeCell ref="A2:G2"/>
    <mergeCell ref="A17:G17"/>
  </mergeCells>
  <conditionalFormatting sqref="D5:D15">
    <cfRule type="expression" priority="2" aboveAverage="0" equalAverage="0" bottom="0" percent="0" rank="0" text="" dxfId="0">
      <formula>AND(ISNUMBER(D5),D5&gt;=1)</formula>
    </cfRule>
    <cfRule type="expression" priority="3" aboveAverage="0" equalAverage="0" bottom="0" percent="0" rank="0" text="" dxfId="1">
      <formula>AND(ISNUMBER(D5),D5&lt;1)</formula>
    </cfRule>
  </conditionalFormatting>
  <conditionalFormatting sqref="G5:G15">
    <cfRule type="expression" priority="4" aboveAverage="0" equalAverage="0" bottom="0" percent="0" rank="0" text="" dxfId="0">
      <formula>AND(ISNUMBER(G5),G5&gt;=1)</formula>
    </cfRule>
    <cfRule type="expression" priority="5" aboveAverage="0" equalAverage="0" bottom="0" percent="0" rank="0" text="" dxfId="1">
      <formula>AND(ISNUMBER(G5),G5&lt;1)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2026-08-16T08:14:53Z</dcterms:created>
  <dc:creator>openpyxl</dc:creator>
  <dc:description/>
  <dc:language>en-US</dc:language>
  <cp:lastModifiedBy/>
  <dcterms:modified xsi:type="dcterms:W3CDTF">2026-08-16T08:14:53Z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