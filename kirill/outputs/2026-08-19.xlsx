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<sst xmlns="http://schemas.openxmlformats.org/spreadsheetml/2006/main" count="128" uniqueCount="100">
  <si>
    <t xml:space="preserve">דוח מכירות אוגוסט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</si>
  <si>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</si>
  <si>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</si>
  <si>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</si>
  <si>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</si>
  <si>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</si>
  <si>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</si>
  <si>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</si>
  <si>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</si>
  <si>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</si>
  <si>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</si>
  <si>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</si>
  <si>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</si>
  <si>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</si>
  <si>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</si>
  <si>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</si>
  <si>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</si>
  <si>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</si>
  <si>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</si>
  <si>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</si>
  <si>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</si>
  <si>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</si>
  <si>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</si>
  <si>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</si>
  <si>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</si>
  <si>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</si>
  <si>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</si>
  <si>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</si>
  <si>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</si>
  <si>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</si>
  <si>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</si>
  <si>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</si>
  <si>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</si>
  <si>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</si>
  <si>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</si>
  <si>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</si>
  <si>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</si>
  <si>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</si>
  <si>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</si>
  <si>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</si>
  <si>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</si>
  <si>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</si>
  <si>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</si>
  <si>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</si>
  <si>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</si>
  <si>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</si>
  <si>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</si>
  <si>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</si>
  <si>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</si>
  <si>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</si>
  <si>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</si>
  <si>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</si>
  <si>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</si>
  <si>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</si>
  <si>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</si>
  <si>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</si>
  <si>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</si>
  <si>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</si>
  <si>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</si>
  <si>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</si>
  <si>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</si>
  <si>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</si>
  <si>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</si>
  <si>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</si>
  <si>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</si>
  <si>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</si>
  <si>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</si>
  <si>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</si>
  <si>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</si>
  <si>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</si>
  <si>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</si>
  <si>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</si>
  <si>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</si>
  <si>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</si>
  <si>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</si>
  <si>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</si>
  <si>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</si>
  <si>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</si>
  <si>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</si>
  <si>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</si>
  <si>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</si>
  <si>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</si>
  <si>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</si>
  <si>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</si>
  <si>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</si>
  <si>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</si>
  <si>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</si>
  <si>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</si>
  <si>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Source: PPlay1.xlsx (0a042390), "PPlay1 of uriel (Reporter)", נוצר 19/08/2026 09:12:34, תקופה 2026/Aug, Month-to-Date. נשלפו 9 שורות קטגוריה שיש להן נתונים עד כה החודש, מתוך 12 הקטגוריות במקרא גיליון Pplay1 (3 הקטגוריות הנותרות — גוד פארם מרכז, 0צרכנים פרטיים, 0שונות — אין להן עדיין נתונים החודש; תקין ל-MTD, לא נתון חסר). שורת "Customers" בדוח המקור (₪496,111.4) היא שורת סה"כ-אב ואינה שווה לסכום שורות הקטגוריה (₪858,735.7) — כפי שהיה גם בדוחות הקודמים, זו שורת מטה-דוח שאינה תואמת אף ערך במקרא ולכן לא יובאה, בהתאם למוסכמת עבודה. שורה נוספת בדוח המקור, "זיכויים BE" (₪-188.1), שוב אינה תואמת אף ערך במקרא הקבוע (12 הקטגוריות) — הוחרגה לפי מוסכמת "שם תואם בדיוק למקרא", ולא צורפה לקטגוריית BE הקיימת ללא אישור מפורש. מכר נטו = עמודה B × 0.91 (מקדם קבוע, מאושר ב-kirill.md).</t>
  </si>
  <si>
    <t xml:space="preserve">2026/Aug (סכום גולמי, MTD)</t>
  </si>
  <si>
    <t xml:space="preserve">הערה</t>
  </si>
  <si>
    <t xml:space="preserve">Source: CustomSalesbyCustomerSummary273.xls (4bfd58d8), Meditex Group IL, Custom Sales by Customer Summary, 01 August 2026 - 31 August 2026, Month-to-Date, נמסר 19/08/2026. נשלפו 13 שורות הסיכום (קטגוריה) שיש להן מכירות עד כה החודש, מתוך 27 הקטגוריות במקרא "ריכוז" (14 הקטגוריות הנותרות אין להן מכירות עדיין החודש — תקין ל-MTD, לא נתון חסר). לא יובאו שורות פירוט חשבוניות/לקוחות-בת מהדוח הגולמי (1,283 שורות בקובץ המקור), לפי מוסכמת עבודה. סה"כ שורת "Total" בדוח הגולמי המלא: 933,869.26 — תואם בדיוק לסכום 13 שורות הקטגוריה שנשלפו, כך שלא נותרה מכירה כלשהי שלא סווגה. כולל את "202 - Super-Pharm POLAND" (132,101.57) ו-"214 - Alfred Gera&amp; Sons Ltd. MALTA" (25,951.00), שממופות כבר בגיליון "ריכוז" (שורות 17-18) ללקוחות #20 ו-#33 בגיליון סה"כ, בהתאם למקרא הקבוע (ראה kirill.md).</t>
  </si>
  <si>
    <t xml:space="preserve">Customer</t>
  </si>
  <si>
    <t xml:space="preserve">Sales</t>
  </si>
  <si>
    <t xml:space="preserve">Source: צילום מסך שסופק על ידי המשתמש (ראובן), לוח בקרה Sellerboard "Month to date, 1-18 August 2026", נמסר 19/08/2026. אין קובץ מקור — נתון ידני מתועד. נתונים נוספים בצילום (לא בשימוש בנוסחה): Sales +0.4% מול תקופה קודמת, Orders/Units 1,435/1,457, Refunds 118, Est. payout $14,948.84, Gross profit $6,952.24, Net profit $6,952.24 (+16.9%) — כפי שמוצג בצילום המקור (Net profit זהה ל-Gross profit בתמונה, תמלול מדויק).</t>
  </si>
  <si>
    <t xml:space="preserve">תיאור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</si>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</sst>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46253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SUMIF(Pplay1!$F$3:$F$14,A3,Pplay1!$H$3:$H$14)+SUMIF(ריכוז!$B$3:$B$16,A3,ריכוז!$C$3:$C$16)</f>
        <v>299421.55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SUMIF(Pplay1!$F$3:$F$14,A4,Pplay1!$H$3:$H$14)+SUMIF(ריכוז!$B$3:$B$16,A4,ריכוז!$C$3:$C$16)</f>
        <v>282663.381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SUMIF(Pplay1!$F$3:$F$14,A5,Pplay1!$H$3:$H$14)+SUMIF(ריכוז!$B$3:$B$16,A5,ריכוז!$C$3:$C$16)</f>
        <v>47271.133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SUMIF(Pplay1!$F$3:$F$14,A6,Pplay1!$H$3:$H$14)+SUMIF(ריכוז!$B$3:$B$16,A6,ריכוז!$C$3:$C$16)</f>
        <v>80059.026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SUMIF(Pplay1!$F$3:$F$14,A7,Pplay1!$H$3:$H$14)+SUMIF(ריכוז!$B$3:$B$16,A7,ריכוז!$C$3:$C$16)</f>
        <v>152965.5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SUMIF(Pplay1!$F$3:$F$14,A8,Pplay1!$H$3:$H$14)+SUMIF(ריכוז!$B$3:$B$16,A8,ריכוז!$C$3:$C$16)</f>
        <v>49871.185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SUMIF(Pplay1!$F$3:$F$14,A9,Pplay1!$H$3:$H$14)+SUMIF(ריכוז!$B$3:$B$16,A9,ריכוז!$C$3:$C$16)</f>
        <v>46722.22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SUMIF(Pplay1!$F$3:$F$14,A10,Pplay1!$H$3:$H$14)+SUMIF(ריכוז!$B$3:$B$16,A10,ריכוז!$C$3:$C$16)</f>
        <v>4601.74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SUMIF(Pplay1!$F$3:$F$14,A11,Pplay1!$H$3:$H$14)+SUMIF(ריכוז!$B$3:$B$16,A11,ריכוז!$C$3:$C$16)</f>
        <v>1368.95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SUMIF(Pplay1!$F$3:$F$14,A12,Pplay1!$H$3:$H$14)+SUMIF(ריכוז!$B$3:$B$16,A12,ריכוז!$C$3:$C$16)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SUMIF(Pplay1!$F$3:$F$14,A13,Pplay1!$H$3:$H$14)+SUMIF(ריכוז!$B$3:$B$16,A13,ריכוז!$C$3:$C$16)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SUMIF(Pplay1!$F$3:$F$14,A14,Pplay1!$H$3:$H$14)+SUMIF(ריכוז!$B$3:$B$16,A14,ריכוז!$C$3:$C$16)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SUMIF(Pplay1!$F$3:$F$14,A15,Pplay1!$H$3:$H$14)+SUMIF(ריכוז!$B$3:$B$16,A15,ריכוז!$C$3:$C$16)</f>
        <v>8950.64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973895.325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SUMIF(Pplay1!$F$3:$F$14,A17,Pplay1!$H$3:$H$14)+SUMIF(ריכוז!$B$3:$B$16,A17,ריכוז!$C$3:$C$16)</f>
        <v>204180.41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SUMIF(Pplay1!$F$3:$F$14,A18,Pplay1!$H$3:$H$14)+SUMIF(ריכוז!$B$3:$B$16,A18,ריכוז!$C$3:$C$16)</f>
        <v>537.53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1178613.265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123024.54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SUMIF(Pplay1!$F$3:$F$14,A21,Pplay1!$H$3:$H$14)+SUMIF(ריכוז!$B$3:$B$29,A21,ריכוז!$C$3:$C$29)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SUMIF(Pplay1!$F$3:$F$14,A22,Pplay1!$H$3:$H$14)+SUMIF(ריכוז!$B$3:$B$29,A22,ריכוז!$C$3:$C$29)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SUMIF(Pplay1!$F$3:$F$14,A23,Pplay1!$H$3:$H$14)+SUMIF(ריכוז!$B$3:$B$29,A23,ריכוז!$C$3:$C$29)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SUMIF(Pplay1!$F$3:$F$14,A24,Pplay1!$H$3:$H$14)+SUMIF(ריכוז!$B$3:$B$29,A24,ריכוז!$C$3:$C$29)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SUMIF(Pplay1!$F$3:$F$14,A25,Pplay1!$H$3:$H$14)+SUMIF(ריכוז!$B$3:$B$29,A25,ריכוז!$C$3:$C$29)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SUMIF(Pplay1!$F$3:$F$14,A26,Pplay1!$H$3:$H$14)+SUMIF(ריכוז!$B$3:$B$29,A26,ריכוז!$C$3:$C$29)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SUMIF(Pplay1!$F$3:$F$14,A27,Pplay1!$H$3:$H$14)+SUMIF(ריכוז!$B$3:$B$29,A27,ריכוז!$C$3:$C$29)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SUMIF(Pplay1!$F$3:$F$14,A28,Pplay1!$H$3:$H$14)+SUMIF(ריכוז!$B$3:$B$29,A28,ריכוז!$C$3:$C$29)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SUMIF(Pplay1!$F$3:$F$14,A29,Pplay1!$H$3:$H$14)+SUMIF(ריכוז!$B$3:$B$29,A29,ריכוז!$C$3:$C$29)</f>
        <v>30237.69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SUMIF(Pplay1!$F$3:$F$14,A30,Pplay1!$H$3:$H$14)+SUMIF(ריכוז!$B$3:$B$29,A30,ריכוז!$C$3:$C$29)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SUMIF(Pplay1!$F$3:$F$14,A31,Pplay1!$H$3:$H$14)+SUMIF(ריכוז!$B$3:$B$29,A31,ריכוז!$C$3:$C$29)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SUMIF(Pplay1!$F$3:$F$14,A32,Pplay1!$H$3:$H$14)+SUMIF(ריכוז!$B$3:$B$29,A32,ריכוז!$C$3:$C$29)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SUMIF(Pplay1!$F$3:$F$14,A33,Pplay1!$H$3:$H$14)+SUMIF(ריכוז!$B$3:$B$29,A33,ריכוז!$C$3:$C$29)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SUMIF(Pplay1!$F$3:$F$14,A34,Pplay1!$H$3:$H$14)+SUMIF(ריכוז!$B$3:$B$29,A34,ריכוז!$C$3:$C$29)</f>
        <v>18598.28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SUMIF(Pplay1!$F$3:$F$14,A35,Pplay1!$H$3:$H$14)+SUMIF(ריכוז!$B$3:$B$29,A35,ריכוז!$C$3:$C$29)</f>
        <v>25951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SUMIF(Pplay1!$F$3:$F$14,A36,Pplay1!$H$3:$H$14)+SUMIF(ריכוז!$B$3:$B$29,A36,ריכוז!$C$3:$C$29)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SUMIF(Pplay1!$F$3:$F$14,A37,Pplay1!$H$3:$H$14)+SUMIF(ריכוז!$B$3:$B$29,A37,ריכוז!$C$3:$C$29)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SUMIF(Pplay1!$F$3:$F$14,A38,Pplay1!$H$3:$H$14)+SUMIF(ריכוז!$B$3:$B$29,A38,ריכוז!$C$3:$C$29)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SUMIF(Pplay1!$F$3:$F$14,A39,Pplay1!$H$3:$H$14)+SUMIF(ריכוז!$B$3:$B$29,A39,ריכוז!$C$3:$C$29)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329913.08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1508526.345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78657.7</v>
      </c>
      <c r="H3" s="27" t="n">
        <f aca="false">IF(G3="","",G3*0.91)</f>
        <v>71578.507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214</v>
      </c>
      <c r="H4" s="27" t="n">
        <f aca="false">IF(G4="","",G4*0.91)</f>
        <v>194.74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362436.2</v>
      </c>
      <c r="H5" s="27" t="n">
        <f aca="false">IF(G5="","",G5*0.91)</f>
        <v>329816.942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1648.7</v>
      </c>
      <c r="H6" s="27" t="n">
        <f aca="false">IF(G6="","",G6*0.91)</f>
        <v>1500.317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58.9</v>
      </c>
      <c r="H7" s="27" t="n">
        <f aca="false">IF(G7="","",G7*0.91)</f>
        <v>53.599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IFERROR(INDEX(PPLAY1_מקור!$B:$B,MATCH(A8,PPLAY1_מקור!$A:$A,0)),"")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241.5</v>
      </c>
      <c r="H9" s="27" t="n">
        <f aca="false">IF(G9="","",G9*0.91)</f>
        <v>219.765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310619.1</v>
      </c>
      <c r="H10" s="27" t="n">
        <f aca="false">IF(G10="","",G10*0.91)</f>
        <v>282663.381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50056.1</v>
      </c>
      <c r="H11" s="27" t="n">
        <f aca="false">IF(G11="","",G11*0.91)</f>
        <v>45551.051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54803.5</v>
      </c>
      <c r="H13" s="27" t="n">
        <f aca="false">IF(G13="","",G13*0.91)</f>
        <v>49871.185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46722.22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299421.55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8950.64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1368.95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4601.74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8232.18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152965.5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204180.41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537.53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n">
        <f aca="false">IFERROR(INDEX(NetSuite_מקור!$D:$D,MATCH(A16,NetSuite_מקור!$A:$A,0)),"")</f>
        <v>30237.69</v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25951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n">
        <f aca="false">IFERROR(INDEX(NetSuite_מקור!$D:$D,MATCH(A27,NetSuite_מקור!$A:$A,0)),"")</f>
        <v>18598.28</v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88</v>
      </c>
      <c r="B1" s="24" t="s">
        <v>89</v>
      </c>
      <c r="C1" s="24" t="s">
        <v>47</v>
      </c>
      <c r="D1" s="24" t="s">
        <v>90</v>
      </c>
    </row>
    <row r="2" customFormat="false" ht="14.25" hidden="false" customHeight="true" outlineLevel="0" collapsed="false">
      <c r="A2" s="26" t="s">
        <v>48</v>
      </c>
      <c r="B2" s="27" t="n">
        <v>78657.7</v>
      </c>
      <c r="C2" s="27" t="n">
        <f aca="false">B2*0.91</f>
        <v>71578.507</v>
      </c>
      <c r="D2" s="30"/>
    </row>
    <row r="3" customFormat="false" ht="14.25" hidden="false" customHeight="true" outlineLevel="0" collapsed="false">
      <c r="A3" s="26" t="s">
        <v>49</v>
      </c>
      <c r="B3" s="27" t="n">
        <v>214</v>
      </c>
      <c r="C3" s="27" t="n">
        <f aca="false">B3*0.91</f>
        <v>194.74</v>
      </c>
    </row>
    <row r="4" customFormat="false" ht="14.25" hidden="false" customHeight="true" outlineLevel="0" collapsed="false">
      <c r="A4" s="26" t="s">
        <v>50</v>
      </c>
      <c r="B4" s="27" t="n">
        <v>362436.2</v>
      </c>
      <c r="C4" s="27" t="n">
        <f aca="false">B4*0.91</f>
        <v>329816.942</v>
      </c>
    </row>
    <row r="5" customFormat="false" ht="14.25" hidden="false" customHeight="true" outlineLevel="0" collapsed="false">
      <c r="A5" s="26" t="s">
        <v>51</v>
      </c>
      <c r="B5" s="27" t="n">
        <v>1648.7</v>
      </c>
      <c r="C5" s="27" t="n">
        <f aca="false">B5*0.91</f>
        <v>1500.317</v>
      </c>
    </row>
    <row r="6" customFormat="false" ht="14.25" hidden="false" customHeight="true" outlineLevel="0" collapsed="false">
      <c r="A6" s="26" t="s">
        <v>52</v>
      </c>
      <c r="B6" s="27" t="n">
        <v>58.9</v>
      </c>
      <c r="C6" s="27" t="n">
        <f aca="false">B6*0.91</f>
        <v>53.599</v>
      </c>
    </row>
    <row r="7" customFormat="false" ht="14.25" hidden="false" customHeight="true" outlineLevel="0" collapsed="false">
      <c r="A7" s="26" t="s">
        <v>54</v>
      </c>
      <c r="B7" s="27" t="n">
        <v>241.5</v>
      </c>
      <c r="C7" s="27" t="n">
        <f aca="false">B7*0.91</f>
        <v>219.765</v>
      </c>
    </row>
    <row r="8" customFormat="false" ht="14.25" hidden="false" customHeight="true" outlineLevel="0" collapsed="false">
      <c r="A8" s="26" t="s">
        <v>3</v>
      </c>
      <c r="B8" s="27" t="n">
        <v>310619.1</v>
      </c>
      <c r="C8" s="27" t="n">
        <f aca="false">B8*0.91</f>
        <v>282663.381</v>
      </c>
    </row>
    <row r="9" customFormat="false" ht="14.25" hidden="false" customHeight="true" outlineLevel="0" collapsed="false">
      <c r="A9" s="26" t="s">
        <v>55</v>
      </c>
      <c r="B9" s="27" t="n">
        <v>50056.1</v>
      </c>
      <c r="C9" s="27" t="n">
        <f aca="false">B9*0.91</f>
        <v>45551.051</v>
      </c>
    </row>
    <row r="10" customFormat="false" ht="14.25" hidden="false" customHeight="true" outlineLevel="0" collapsed="false">
      <c r="A10" s="26" t="s">
        <v>57</v>
      </c>
      <c r="B10" s="27" t="n">
        <v>54803.5</v>
      </c>
      <c r="C10" s="27" t="n">
        <f aca="false">B10*0.91</f>
        <v>49871.185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91</v>
      </c>
    </row>
    <row r="2" customFormat="false" ht="15" hidden="false" customHeight="true" outlineLevel="0" collapsed="false">
      <c r="A2" s="24" t="s">
        <v>92</v>
      </c>
      <c r="D2" s="24" t="s">
        <v>93</v>
      </c>
    </row>
    <row r="3" customFormat="false" ht="15" hidden="false" customHeight="true" outlineLevel="0" collapsed="false">
      <c r="A3" s="26" t="s">
        <v>61</v>
      </c>
      <c r="D3" s="29" t="n">
        <v>46722.22</v>
      </c>
    </row>
    <row r="4" customFormat="false" ht="15" hidden="false" customHeight="true" outlineLevel="0" collapsed="false">
      <c r="A4" s="26" t="s">
        <v>62</v>
      </c>
      <c r="D4" s="29" t="n">
        <v>299421.55</v>
      </c>
    </row>
    <row r="5" customFormat="false" ht="15" hidden="false" customHeight="true" outlineLevel="0" collapsed="false">
      <c r="A5" s="26" t="s">
        <v>63</v>
      </c>
      <c r="D5" s="29" t="n">
        <v>8950.64</v>
      </c>
    </row>
    <row r="6" customFormat="false" ht="15" hidden="false" customHeight="true" outlineLevel="0" collapsed="false">
      <c r="A6" s="26" t="s">
        <v>65</v>
      </c>
      <c r="D6" s="29" t="n">
        <v>4601.74</v>
      </c>
    </row>
    <row r="7" customFormat="false" ht="15" hidden="false" customHeight="true" outlineLevel="0" collapsed="false">
      <c r="A7" s="26" t="s">
        <v>66</v>
      </c>
      <c r="D7" s="29" t="n">
        <v>8232.18</v>
      </c>
    </row>
    <row r="8" customFormat="false" ht="15" hidden="false" customHeight="true" outlineLevel="0" collapsed="false">
      <c r="A8" s="26" t="s">
        <v>69</v>
      </c>
      <c r="D8" s="29" t="n">
        <v>152965.5</v>
      </c>
    </row>
    <row r="9" customFormat="false" ht="15" hidden="false" customHeight="true" outlineLevel="0" collapsed="false">
      <c r="A9" s="26" t="s">
        <v>70</v>
      </c>
      <c r="D9" s="29" t="n">
        <v>204180.41</v>
      </c>
    </row>
    <row r="10" customFormat="false" ht="14.25" hidden="false" customHeight="true" outlineLevel="0" collapsed="false">
      <c r="A10" s="26" t="s">
        <v>71</v>
      </c>
      <c r="D10" s="29" t="n">
        <v>537.53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1" t="s">
        <v>76</v>
      </c>
      <c r="B12" s="32"/>
      <c r="C12" s="32"/>
      <c r="D12" s="33" t="n">
        <v>25951</v>
      </c>
      <c r="E12" s="34"/>
    </row>
    <row r="13" customFormat="false" ht="14.25" hidden="false" customHeight="true" outlineLevel="0" collapsed="false">
      <c r="A13" s="31" t="s">
        <v>85</v>
      </c>
      <c r="B13" s="32"/>
      <c r="C13" s="32"/>
      <c r="D13" s="33" t="n">
        <v>18598.28</v>
      </c>
      <c r="E13" s="34"/>
    </row>
    <row r="14" customFormat="false" ht="14.25" hidden="false" customHeight="true" outlineLevel="0" collapsed="false">
      <c r="A14" s="26" t="s">
        <v>74</v>
      </c>
      <c r="D14" s="27" t="n">
        <v>30237.69</v>
      </c>
    </row>
    <row r="15" customFormat="false" ht="14.25" hidden="false" customHeight="true" outlineLevel="0" collapsed="false">
      <c r="A15" s="26" t="s">
        <v>64</v>
      </c>
      <c r="D15" s="27" t="n">
        <v>1368.95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94</v>
      </c>
    </row>
    <row r="2" customFormat="false" ht="15" hidden="false" customHeight="true" outlineLevel="0" collapsed="false">
      <c r="A2" s="24" t="s">
        <v>95</v>
      </c>
      <c r="B2" s="24" t="s">
        <v>96</v>
      </c>
      <c r="C2" s="24" t="s">
        <v>90</v>
      </c>
    </row>
    <row r="3" customFormat="false" ht="15" hidden="false" customHeight="true" outlineLevel="0" collapsed="false">
      <c r="A3" s="26" t="s">
        <v>93</v>
      </c>
      <c r="B3" s="27" t="n">
        <v>44599.86</v>
      </c>
      <c r="C3" s="30" t="s">
        <v>97</v>
      </c>
    </row>
    <row r="4" customFormat="false" ht="15" hidden="false" customHeight="true" outlineLevel="0" collapsed="false">
      <c r="A4" s="26" t="s">
        <v>98</v>
      </c>
      <c r="B4" s="27" t="n">
        <v>-3591.68</v>
      </c>
      <c r="C4" s="3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2026-08-19T06:39:04Z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