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סהכ" sheetId="1" state="visible" r:id="rId1"/>
    <sheet name="Pplay1" sheetId="2" state="visible" r:id="rId2"/>
    <sheet name="ריכוז" sheetId="3" state="visible" r:id="rId3"/>
    <sheet name="PPLAY1_מקור" sheetId="4" state="visible" r:id="rId4"/>
    <sheet name="PPlay_diff" sheetId="5" state="visible" r:id="rId5"/>
    <sheet name="NetSuite_מקור" sheetId="6" state="visible" r:id="rId6"/>
    <sheet name="Amazon_מקור"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dd/mm/yy"/>
    <numFmt numFmtId="165" formatCode="0.0000"/>
    <numFmt numFmtId="166" formatCode="_ * #,##0_ ;_ * \-#,##0_ ;_ * \-??_ ;_ @_ "/>
  </numFmts>
  <fonts count="23">
    <font>
      <name val="Arial"/>
      <charset val="177"/>
      <family val="2"/>
      <color theme="1"/>
      <sz val="11"/>
    </font>
    <font>
      <name val="Arial"/>
      <family val="0"/>
      <sz val="10"/>
    </font>
    <font>
      <name val="Arial"/>
      <family val="0"/>
      <sz val="10"/>
    </font>
    <font>
      <name val="Arial"/>
      <family val="0"/>
      <sz val="10"/>
    </font>
    <font>
      <name val="Arial"/>
      <charset val="1"/>
      <family val="2"/>
      <b val="1"/>
      <color theme="1"/>
      <sz val="12"/>
    </font>
    <font>
      <name val="Arial"/>
      <charset val="1"/>
      <family val="2"/>
      <b val="1"/>
      <color theme="1"/>
      <sz val="9"/>
    </font>
    <font>
      <name val="Arial"/>
      <charset val="1"/>
      <family val="2"/>
      <b val="1"/>
      <sz val="10"/>
    </font>
    <font>
      <name val="Arial"/>
      <charset val="1"/>
      <family val="2"/>
      <b val="1"/>
      <sz val="8"/>
    </font>
    <font>
      <name val="Arial"/>
      <charset val="1"/>
      <family val="2"/>
      <sz val="10"/>
    </font>
    <font>
      <name val="Arial"/>
      <charset val="1"/>
      <family val="2"/>
      <b val="1"/>
      <color theme="1"/>
      <sz val="8"/>
    </font>
    <font>
      <name val="Arial"/>
      <charset val="1"/>
      <family val="2"/>
      <color theme="1"/>
      <sz val="10"/>
    </font>
    <font>
      <name val="Arial"/>
      <charset val="1"/>
      <family val="2"/>
      <b val="1"/>
      <sz val="11"/>
    </font>
    <font>
      <name val="Arial"/>
      <charset val="1"/>
      <family val="2"/>
      <b val="1"/>
      <color theme="1"/>
      <sz val="11"/>
    </font>
    <font>
      <name val="Arial"/>
      <charset val="1"/>
      <family val="0"/>
      <i val="1"/>
      <sz val="9"/>
    </font>
    <font>
      <name val="Arial"/>
      <charset val="1"/>
      <family val="0"/>
      <b val="1"/>
      <sz val="11"/>
    </font>
    <font>
      <name val="Arial"/>
      <charset val="1"/>
      <family val="0"/>
      <sz val="11"/>
    </font>
    <font>
      <name val="Arial"/>
      <charset val="1"/>
      <family val="2"/>
      <b val="1"/>
      <color rgb="FF000000"/>
      <sz val="8"/>
    </font>
    <font>
      <name val="Arial"/>
      <charset val="1"/>
      <family val="0"/>
      <sz val="9"/>
    </font>
    <font>
      <name val="Arial"/>
      <charset val="1"/>
      <family val="0"/>
      <sz val="8"/>
    </font>
    <font>
      <name val="Arial"/>
      <i val="1"/>
      <sz val="9"/>
    </font>
    <font>
      <name val="Arial"/>
      <b val="1"/>
      <sz val="11"/>
    </font>
    <font>
      <name val="Arial"/>
      <sz val="10"/>
    </font>
    <font>
      <name val="Arial"/>
      <color rgb="000000FF"/>
      <sz val="10"/>
    </font>
  </fonts>
  <fills count="7">
    <fill>
      <patternFill/>
    </fill>
    <fill>
      <patternFill patternType="gray125"/>
    </fill>
    <fill>
      <patternFill patternType="solid">
        <fgColor theme="4" tint="0.7998"/>
        <bgColor rgb="FFCCFFFF"/>
      </patternFill>
    </fill>
    <fill>
      <patternFill patternType="solid">
        <fgColor theme="7" tint="0.5998"/>
        <bgColor rgb="FFC1E5F5"/>
      </patternFill>
    </fill>
    <fill>
      <patternFill patternType="solid">
        <fgColor theme="9" tint="0.5998"/>
        <bgColor rgb="FFC1E5F5"/>
      </patternFill>
    </fill>
    <fill>
      <patternFill patternType="solid">
        <fgColor rgb="FF92D050"/>
        <bgColor rgb="FFB4E5A2"/>
      </patternFill>
    </fill>
    <fill>
      <patternFill patternType="solid">
        <fgColor rgb="FFFFFF00"/>
        <bgColor rgb="FFFFFF00"/>
      </patternFill>
    </fill>
  </fills>
  <borders count="3">
    <border>
      <left/>
      <right/>
      <top/>
      <bottom/>
      <diagonal/>
    </border>
    <border>
      <left style="thin"/>
      <right style="thin"/>
      <top style="thin"/>
      <bottom style="thin"/>
      <diagonal/>
    </border>
    <border>
      <left style="thin"/>
      <right style="thin"/>
      <top/>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4" fillId="0" borderId="0" applyAlignment="1" pivotButton="0" quotePrefix="0" xfId="0">
      <alignment horizontal="general" vertical="bottom"/>
    </xf>
    <xf numFmtId="0" fontId="5" fillId="0" borderId="1" applyAlignment="1" pivotButton="0" quotePrefix="0" xfId="0">
      <alignment horizontal="right" vertical="bottom"/>
    </xf>
    <xf numFmtId="164" fontId="6" fillId="0" borderId="1" applyAlignment="1" pivotButton="0" quotePrefix="0" xfId="0">
      <alignment horizontal="center" vertical="bottom"/>
    </xf>
    <xf numFmtId="165" fontId="6" fillId="2" borderId="1" applyAlignment="1" pivotButton="0" quotePrefix="0" xfId="0">
      <alignment horizontal="center" vertical="bottom"/>
    </xf>
    <xf numFmtId="0" fontId="7" fillId="0" borderId="2" applyAlignment="1" pivotButton="0" quotePrefix="0" xfId="0">
      <alignment horizontal="right" vertical="bottom"/>
    </xf>
    <xf numFmtId="0" fontId="8" fillId="0" borderId="1" applyAlignment="1" pivotButton="0" quotePrefix="0" xfId="0">
      <alignment horizontal="right" vertical="bottom"/>
    </xf>
    <xf numFmtId="166" fontId="8" fillId="0" borderId="1" applyAlignment="1" pivotButton="0" quotePrefix="0" xfId="0">
      <alignment horizontal="center" vertical="bottom"/>
    </xf>
    <xf numFmtId="0" fontId="7" fillId="0" borderId="1" applyAlignment="1" pivotButton="0" quotePrefix="0" xfId="0">
      <alignment horizontal="right" vertical="bottom"/>
    </xf>
    <xf numFmtId="0" fontId="9" fillId="0" borderId="1" applyAlignment="1" pivotButton="0" quotePrefix="0" xfId="0">
      <alignment horizontal="right" vertical="bottom"/>
    </xf>
    <xf numFmtId="0" fontId="10" fillId="0" borderId="1" applyAlignment="1" pivotButton="0" quotePrefix="0" xfId="0">
      <alignment horizontal="right" vertical="bottom"/>
    </xf>
    <xf numFmtId="1" fontId="7" fillId="0" borderId="1" applyAlignment="1" pivotButton="0" quotePrefix="0" xfId="0">
      <alignment horizontal="right" vertical="bottom" readingOrder="1"/>
    </xf>
    <xf numFmtId="1" fontId="11" fillId="3" borderId="1" applyAlignment="1" pivotButton="0" quotePrefix="0" xfId="0">
      <alignment horizontal="right" vertical="bottom" readingOrder="1"/>
    </xf>
    <xf numFmtId="166" fontId="11" fillId="3" borderId="1" applyAlignment="1" pivotButton="0" quotePrefix="0" xfId="0">
      <alignment horizontal="center" vertical="bottom"/>
    </xf>
    <xf numFmtId="1" fontId="11" fillId="3" borderId="1" applyAlignment="1" pivotButton="0" quotePrefix="0" xfId="0">
      <alignment horizontal="right" vertical="bottom"/>
    </xf>
    <xf numFmtId="0" fontId="12" fillId="4" borderId="1" applyAlignment="1" pivotButton="0" quotePrefix="0" xfId="0">
      <alignment horizontal="right" vertical="bottom"/>
    </xf>
    <xf numFmtId="166" fontId="12" fillId="4" borderId="1" applyAlignment="1" pivotButton="0" quotePrefix="0" xfId="0">
      <alignment horizontal="center" vertical="bottom"/>
    </xf>
    <xf numFmtId="0" fontId="12" fillId="5" borderId="1" applyAlignment="1" pivotButton="0" quotePrefix="0" xfId="0">
      <alignment horizontal="right" vertical="bottom"/>
    </xf>
    <xf numFmtId="166" fontId="12" fillId="5" borderId="1" applyAlignment="1" pivotButton="0" quotePrefix="0" xfId="0">
      <alignment horizontal="center"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0" fillId="0" borderId="0" applyAlignment="1" pivotButton="0" quotePrefix="0" xfId="0">
      <alignment horizontal="center" vertical="bottom"/>
    </xf>
    <xf numFmtId="0" fontId="14" fillId="0" borderId="0" applyAlignment="1" pivotButton="0" quotePrefix="0" xfId="0">
      <alignment horizontal="general" vertical="bottom"/>
    </xf>
    <xf numFmtId="0" fontId="8" fillId="0" borderId="0" applyAlignment="1" pivotButton="0" quotePrefix="0" xfId="0">
      <alignment horizontal="general" vertical="bottom"/>
    </xf>
    <xf numFmtId="0" fontId="15" fillId="0" borderId="0" applyAlignment="1" pivotButton="0" quotePrefix="0" xfId="0">
      <alignment horizontal="general" vertical="bottom"/>
    </xf>
    <xf numFmtId="4" fontId="15" fillId="0" borderId="0" applyAlignment="1" pivotButton="0" quotePrefix="0" xfId="0">
      <alignment horizontal="general" vertical="bottom"/>
    </xf>
    <xf numFmtId="0" fontId="16" fillId="0" borderId="0" applyAlignment="1" pivotButton="0" quotePrefix="0" xfId="0">
      <alignment horizontal="left" vertical="center"/>
    </xf>
    <xf numFmtId="4" fontId="15" fillId="6" borderId="0" applyAlignment="1" pivotButton="0" quotePrefix="0" xfId="0">
      <alignment horizontal="general" vertical="bottom"/>
    </xf>
    <xf numFmtId="0" fontId="17" fillId="0" borderId="0" applyAlignment="1" pivotButton="0" quotePrefix="0" xfId="0">
      <alignment horizontal="general" vertical="bottom"/>
    </xf>
    <xf numFmtId="0" fontId="15" fillId="0" borderId="0" applyAlignment="1" pivotButton="0" quotePrefix="0" xfId="0">
      <alignment horizontal="left" vertical="center"/>
    </xf>
    <xf numFmtId="0" fontId="18" fillId="0" borderId="0" applyAlignment="1" pivotButton="0" quotePrefix="0" xfId="0">
      <alignment horizontal="left" vertical="center"/>
    </xf>
    <xf numFmtId="4" fontId="15" fillId="0" borderId="0" applyAlignment="1" pivotButton="0" quotePrefix="0" xfId="0">
      <alignment horizontal="right" vertical="center"/>
    </xf>
    <xf numFmtId="4" fontId="18" fillId="0" borderId="0" applyAlignment="1" pivotButton="0" quotePrefix="0" xfId="0">
      <alignment horizontal="right"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4" fillId="0" borderId="0" applyAlignment="1" pivotButton="0" quotePrefix="0" xfId="0">
      <alignment horizontal="general" vertical="bottom"/>
    </xf>
    <xf numFmtId="0" fontId="5" fillId="0" borderId="1" applyAlignment="1" pivotButton="0" quotePrefix="0" xfId="0">
      <alignment horizontal="right" vertical="bottom"/>
    </xf>
    <xf numFmtId="164" fontId="6" fillId="0" borderId="1" applyAlignment="1" pivotButton="0" quotePrefix="0" xfId="0">
      <alignment horizontal="center" vertical="bottom"/>
    </xf>
    <xf numFmtId="165" fontId="6" fillId="2" borderId="1" applyAlignment="1" pivotButton="0" quotePrefix="0" xfId="0">
      <alignment horizontal="center" vertical="bottom"/>
    </xf>
    <xf numFmtId="0" fontId="7" fillId="0" borderId="2" applyAlignment="1" pivotButton="0" quotePrefix="0" xfId="0">
      <alignment horizontal="right" vertical="bottom"/>
    </xf>
    <xf numFmtId="0" fontId="8" fillId="0" borderId="1" applyAlignment="1" pivotButton="0" quotePrefix="0" xfId="0">
      <alignment horizontal="right" vertical="bottom"/>
    </xf>
    <xf numFmtId="166" fontId="8" fillId="0" borderId="1" applyAlignment="1" pivotButton="0" quotePrefix="0" xfId="0">
      <alignment horizontal="center" vertical="bottom"/>
    </xf>
    <xf numFmtId="0" fontId="7" fillId="0" borderId="1" applyAlignment="1" pivotButton="0" quotePrefix="0" xfId="0">
      <alignment horizontal="right" vertical="bottom"/>
    </xf>
    <xf numFmtId="0" fontId="9" fillId="0" borderId="1" applyAlignment="1" pivotButton="0" quotePrefix="0" xfId="0">
      <alignment horizontal="right" vertical="bottom"/>
    </xf>
    <xf numFmtId="0" fontId="10" fillId="0" borderId="1" applyAlignment="1" pivotButton="0" quotePrefix="0" xfId="0">
      <alignment horizontal="right" vertical="bottom"/>
    </xf>
    <xf numFmtId="1" fontId="7" fillId="0" borderId="1" applyAlignment="1" pivotButton="0" quotePrefix="0" xfId="0">
      <alignment horizontal="right" vertical="bottom" readingOrder="1"/>
    </xf>
    <xf numFmtId="1" fontId="11" fillId="3" borderId="1" applyAlignment="1" pivotButton="0" quotePrefix="0" xfId="0">
      <alignment horizontal="right" vertical="bottom" readingOrder="1"/>
    </xf>
    <xf numFmtId="166" fontId="11" fillId="3" borderId="1" applyAlignment="1" pivotButton="0" quotePrefix="0" xfId="0">
      <alignment horizontal="center" vertical="bottom"/>
    </xf>
    <xf numFmtId="1" fontId="11" fillId="3" borderId="1" applyAlignment="1" pivotButton="0" quotePrefix="0" xfId="0">
      <alignment horizontal="right" vertical="bottom"/>
    </xf>
    <xf numFmtId="0" fontId="12" fillId="4" borderId="1" applyAlignment="1" pivotButton="0" quotePrefix="0" xfId="0">
      <alignment horizontal="right" vertical="bottom"/>
    </xf>
    <xf numFmtId="166" fontId="12" fillId="4" borderId="1" applyAlignment="1" pivotButton="0" quotePrefix="0" xfId="0">
      <alignment horizontal="center" vertical="bottom"/>
    </xf>
    <xf numFmtId="0" fontId="12" fillId="5" borderId="1" applyAlignment="1" pivotButton="0" quotePrefix="0" xfId="0">
      <alignment horizontal="right" vertical="bottom"/>
    </xf>
    <xf numFmtId="166" fontId="12" fillId="5" borderId="1" applyAlignment="1" pivotButton="0" quotePrefix="0" xfId="0">
      <alignment horizontal="center"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0" fillId="0" borderId="0" applyAlignment="1" pivotButton="0" quotePrefix="0" xfId="0">
      <alignment horizontal="center" vertical="bottom"/>
    </xf>
    <xf numFmtId="0" fontId="14" fillId="0" borderId="0" applyAlignment="1" pivotButton="0" quotePrefix="0" xfId="0">
      <alignment horizontal="general" vertical="bottom"/>
    </xf>
    <xf numFmtId="0" fontId="8" fillId="0" borderId="0" applyAlignment="1" pivotButton="0" quotePrefix="0" xfId="0">
      <alignment horizontal="general" vertical="bottom"/>
    </xf>
    <xf numFmtId="0" fontId="15" fillId="0" borderId="0" applyAlignment="1" pivotButton="0" quotePrefix="0" xfId="0">
      <alignment horizontal="general" vertical="bottom"/>
    </xf>
    <xf numFmtId="4" fontId="15" fillId="0" borderId="0" applyAlignment="1" pivotButton="0" quotePrefix="0" xfId="0">
      <alignment horizontal="general" vertical="bottom"/>
    </xf>
    <xf numFmtId="0" fontId="16" fillId="0" borderId="0" applyAlignment="1" pivotButton="0" quotePrefix="0" xfId="0">
      <alignment horizontal="left" vertical="center"/>
    </xf>
    <xf numFmtId="4" fontId="15" fillId="6" borderId="0" applyAlignment="1" pivotButton="0" quotePrefix="0" xfId="0">
      <alignment horizontal="general" vertical="bottom"/>
    </xf>
    <xf numFmtId="0" fontId="17" fillId="0" borderId="0" applyAlignment="1" pivotButton="0" quotePrefix="0" xfId="0">
      <alignment horizontal="general" vertical="bottom"/>
    </xf>
    <xf numFmtId="0" fontId="15" fillId="0" borderId="0" applyAlignment="1" pivotButton="0" quotePrefix="0" xfId="0">
      <alignment horizontal="left" vertical="center"/>
    </xf>
    <xf numFmtId="0" fontId="18" fillId="0" borderId="0" applyAlignment="1" pivotButton="0" quotePrefix="0" xfId="0">
      <alignment horizontal="left" vertical="center"/>
    </xf>
    <xf numFmtId="4" fontId="15" fillId="0" borderId="0" applyAlignment="1" pivotButton="0" quotePrefix="0" xfId="0">
      <alignment horizontal="right" vertical="center"/>
    </xf>
    <xf numFmtId="4" fontId="18" fillId="0" borderId="0" applyAlignment="1" pivotButton="0" quotePrefix="0" xfId="0">
      <alignment horizontal="right" vertical="center"/>
    </xf>
    <xf numFmtId="0" fontId="8" fillId="0" borderId="0" pivotButton="0" quotePrefix="0" xfId="0"/>
    <xf numFmtId="0" fontId="15" fillId="0" borderId="0" pivotButton="0" quotePrefix="0" xfId="0"/>
    <xf numFmtId="4" fontId="15" fillId="0" borderId="0" pivotButton="0" quotePrefix="0" xfId="0"/>
    <xf numFmtId="0" fontId="19" fillId="0" borderId="0" applyAlignment="1" pivotButton="0" quotePrefix="0" xfId="0">
      <alignment vertical="top" wrapText="1"/>
    </xf>
    <xf numFmtId="0" fontId="20" fillId="0" borderId="0" pivotButton="0" quotePrefix="0" xfId="0"/>
    <xf numFmtId="0" fontId="21" fillId="0" borderId="0" pivotButton="0" quotePrefix="0" xfId="0"/>
    <xf numFmtId="4" fontId="22" fillId="0" borderId="0" pivotButton="0" quotePrefix="0" xfId="0"/>
    <xf numFmtId="4" fontId="21" fillId="0" borderId="0" pivotButton="0" quotePrefix="0" xfId="0"/>
    <xf numFmtId="0" fontId="19" fillId="0" borderId="0" pivotButton="0" quotePrefix="0" xfId="0"/>
    <xf numFmtId="4" fontId="20" fillId="0" borderId="0" pivotButton="0" quotePrefix="0" xfId="0"/>
    <xf numFmtId="4" fontId="19"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B4E5A2"/>
      <rgbColor rgb="FFFFFF99"/>
      <rgbColor rgb="FF96DCF8"/>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Kirill</author>
  </authors>
  <commentList>
    <comment ref="B2" authorId="0" shapeId="0">
      <text>
        <t>קובץ "טסט" (test.xlsx) — לא חלק מהרצף היומי הרגיל. תאריך התוכן (B2, כמו בקובצי היום-יום) נשאר 31/08/2026 כי גיליונות NetSuite_מקור ו-Amazon_מקור לא רועננו הפעם (לא נמסרו קבצים חדשים עבורם). לעומת זאת, PPLAY1_מקור בקובץ זה כן עודכן לנתונים טריים יותר (PPlay2, נמשך 02/09/2026 12:21) לצורך הבדיקה. תאריך החישוב/ההרכבה בפועל של קובץ זה: 02/09/26.</t>
      </text>
    </comment>
  </commentList>
</comments>
</file>

<file path=xl/comments/comment2.xml><?xml version="1.0" encoding="utf-8"?>
<comments xmlns="http://schemas.openxmlformats.org/spreadsheetml/2006/main">
  <authors>
    <author>Kirill</author>
  </authors>
  <commentList>
    <comment ref="A15" authorId="0" shapeId="0">
      <text>
        <t>נוספה 02/09/2026 לפי הנחיית המשתמש: "זיכויים BE" (זיכוי/ה שלילי בדוח PPLAY1) משויכת כעת ל-BE (לקוח #7, עמודה C=7 — כמו אילת BE / הפרכל הפרפארם / שופרסל BE). הערך שלילי (מקור: PPLAY1_מקור!B12) ולכן מפחית אוטומטית מסך ה-BE כשה-SUMIF בגיליון סה"כ מצרף את שורה זו לשאר שורות ה-BE — אין צורך בנוסחת חיסור נפרדת. בעבר שורה זו לא נכללה כלל בקובצי הנתונים (לא תאמה שם במקרא).</t>
      </text>
    </comment>
  </commentList>
</comments>
</file>

<file path=xl/theme/theme1.xml><?xml version="1.0" encoding="utf-8"?>
<a:theme xmlns:a="http://schemas.openxmlformats.org/drawingml/2006/main" xmlns:r="http://schemas.openxmlformats.org/officeDocument/2006/relationships" name="ערכת נושא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xmlns:ns1="http://schemas.openxmlformats.org/officeDocument/2006/relationships">
  <sheetPr filterMode="0">
    <outlinePr summaryBelow="1" summaryRight="1"/>
    <pageSetUpPr fitToPage="0"/>
  </sheetPr>
  <dimension ref="A1:C41"/>
  <sheetViews>
    <sheetView showFormulas="0" showGridLines="1" showRowColHeaders="1" showZeros="1" rightToLeft="1" tabSelected="1" showOutlineSymbols="1" defaultGridColor="1" view="normal" topLeftCell="A9" colorId="64" zoomScale="100" zoomScaleNormal="100" zoomScalePageLayoutView="100" workbookViewId="0">
      <selection pane="topLeft" activeCell="E37" activeCellId="0" sqref="E37"/>
    </sheetView>
  </sheetViews>
  <sheetFormatPr baseColWidth="8" defaultColWidth="8.625" defaultRowHeight="14.25" zeroHeight="0" outlineLevelRow="0"/>
  <cols>
    <col width="2.38" customWidth="1" style="35" min="1" max="1"/>
    <col width="27" customWidth="1" style="35" min="2" max="2"/>
    <col width="9.869999999999999" customWidth="1" style="35" min="3" max="3"/>
  </cols>
  <sheetData>
    <row r="1" ht="15.75" customHeight="1" s="36">
      <c r="B1" s="37" t="inlineStr">
        <is>
          <t>דוח מכירות אוגוסט 2026</t>
        </is>
      </c>
      <c r="C1" s="38" t="n"/>
    </row>
    <row r="2" ht="14.25" customHeight="1" s="36">
      <c r="A2" s="39" t="inlineStr">
        <is>
          <t>#</t>
        </is>
      </c>
      <c r="B2" s="40" t="n">
        <v>46265</v>
      </c>
      <c r="C2" s="41" t="n">
        <v>8.2026</v>
      </c>
    </row>
    <row r="3" ht="14.25" customHeight="1" s="36">
      <c r="A3" s="42" t="n">
        <v>5</v>
      </c>
      <c r="B3" s="43" t="inlineStr">
        <is>
          <t>סופר פארם לייף</t>
        </is>
      </c>
      <c r="C3" s="44">
        <f>SUMIF(Pplay1!$F$3:$F$15,A3,Pplay1!$H$3:$H$15)+SUMIF(ריכוז!$B$3:$B$30,A3,ריכוז!$C$3:$C$30)</f>
        <v>299421.55</v>
      </c>
    </row>
    <row r="4" ht="14.25" customHeight="1" s="36">
      <c r="A4" s="45" t="n">
        <v>1</v>
      </c>
      <c r="B4" s="43" t="inlineStr">
        <is>
          <t>סופרפארם</t>
        </is>
      </c>
      <c r="C4" s="44">
        <f>SUMIF(Pplay1!$F$3:$F$15,A4,Pplay1!$H$3:$H$15)+SUMIF(ריכוז!$B$3:$B$30,A4,ריכוז!$C$3:$C$30)</f>
        <v>588822.689</v>
      </c>
    </row>
    <row r="5" ht="14.25" customHeight="1" s="36">
      <c r="A5" s="45" t="n">
        <v>7</v>
      </c>
      <c r="B5" s="43" t="inlineStr">
        <is>
          <t>BE</t>
        </is>
      </c>
      <c r="C5" s="44">
        <f>SUMIF(Pplay1!$F$3:$F$15,A5,Pplay1!$H$3:$H$15)+SUMIF(ריכוז!$B$3:$B$30,A5,ריכוז!$C$3:$C$30)</f>
        <v>70518.812</v>
      </c>
    </row>
    <row r="6" ht="14.25" customHeight="1" s="36">
      <c r="A6" s="45" t="n">
        <v>4</v>
      </c>
      <c r="B6" s="43" t="inlineStr">
        <is>
          <t>בתי מרקחת</t>
        </is>
      </c>
      <c r="C6" s="44">
        <f>SUMIF(Pplay1!$F$3:$F$15,A6,Pplay1!$H$3:$H$15)+SUMIF(ריכוז!$B$3:$B$30,A6,ריכוז!$C$3:$C$30)</f>
        <v>160218.084</v>
      </c>
    </row>
    <row r="7" ht="14.25" customHeight="1" s="36">
      <c r="A7" s="45" t="n">
        <v>3</v>
      </c>
      <c r="B7" s="43" t="inlineStr">
        <is>
          <t>כללית</t>
        </is>
      </c>
      <c r="C7" s="44">
        <f>SUMIF(Pplay1!$F$3:$F$15,A7,Pplay1!$H$3:$H$15)+SUMIF(ריכוז!$B$3:$B$30,A7,ריכוז!$C$3:$C$30)</f>
        <v>295436</v>
      </c>
    </row>
    <row r="8" ht="14.25" customHeight="1" s="36">
      <c r="A8" s="45" t="n">
        <v>8</v>
      </c>
      <c r="B8" s="43" t="inlineStr">
        <is>
          <t>מאוחדת</t>
        </is>
      </c>
      <c r="C8" s="44">
        <f>SUMIF(Pplay1!$F$3:$F$15,A8,Pplay1!$H$3:$H$15)+SUMIF(ריכוז!$B$3:$B$30,A8,ריכוז!$C$3:$C$30)</f>
        <v>73310.601</v>
      </c>
    </row>
    <row r="9" ht="14.25" customHeight="1" s="36">
      <c r="A9" s="45" t="n">
        <v>6</v>
      </c>
      <c r="B9" s="43" t="inlineStr">
        <is>
          <t>מכוני אורטופדיה</t>
        </is>
      </c>
      <c r="C9" s="44">
        <f>SUMIF(Pplay1!$F$3:$F$15,A9,Pplay1!$H$3:$H$15)+SUMIF(ריכוז!$B$3:$B$30,A9,ריכוז!$C$3:$C$30)</f>
        <v>76847.55</v>
      </c>
    </row>
    <row r="10" ht="14.25" customHeight="1" s="36">
      <c r="A10" s="46" t="n">
        <v>10</v>
      </c>
      <c r="B10" s="47" t="inlineStr">
        <is>
          <t>לקוחות מפעל</t>
        </is>
      </c>
      <c r="C10" s="44">
        <f>SUMIF(Pplay1!$F$3:$F$15,A10,Pplay1!$H$3:$H$15)+SUMIF(ריכוז!$B$3:$B$30,A10,ריכוז!$C$3:$C$30)</f>
        <v>4321.85</v>
      </c>
    </row>
    <row r="11" ht="14.25" customHeight="1" s="36">
      <c r="A11" s="45" t="n">
        <v>11</v>
      </c>
      <c r="B11" s="43" t="inlineStr">
        <is>
          <t>חנויות פרטיות</t>
        </is>
      </c>
      <c r="C11" s="44">
        <f>SUMIF(Pplay1!$F$3:$F$15,A11,Pplay1!$H$3:$H$15)+SUMIF(ריכוז!$B$3:$B$30,A11,ריכוז!$C$3:$C$30)</f>
        <v>2043.68</v>
      </c>
    </row>
    <row r="12" ht="14.25" customHeight="1" s="36">
      <c r="A12" s="45" t="n">
        <v>14</v>
      </c>
      <c r="B12" s="43" t="inlineStr">
        <is>
          <t>מכוני פדיקור</t>
        </is>
      </c>
      <c r="C12" s="44">
        <f>SUMIF(Pplay1!$F$3:$F$15,A12,Pplay1!$H$3:$H$15)+SUMIF(ריכוז!$B$3:$B$30,A12,ריכוז!$C$3:$C$30)</f>
        <v>728.87</v>
      </c>
    </row>
    <row r="13" ht="14.25" customHeight="1" s="36">
      <c r="A13" s="45" t="n">
        <v>15</v>
      </c>
      <c r="B13" s="43" t="inlineStr">
        <is>
          <t>חנויות נעליים</t>
        </is>
      </c>
      <c r="C13" s="44">
        <f>SUMIF(Pplay1!$F$3:$F$15,A13,Pplay1!$H$3:$H$15)+SUMIF(ריכוז!$B$3:$B$30,A13,ריכוז!$C$3:$C$30)</f>
        <v>0</v>
      </c>
    </row>
    <row r="14" ht="14.25" customHeight="1" s="36">
      <c r="A14" s="45" t="n">
        <v>13</v>
      </c>
      <c r="B14" s="43" t="inlineStr">
        <is>
          <t>בתי חולים ושרות</t>
        </is>
      </c>
      <c r="C14" s="44">
        <f>SUMIF(Pplay1!$F$3:$F$15,A14,Pplay1!$H$3:$H$15)+SUMIF(ריכוז!$B$3:$B$30,A14,ריכוז!$C$3:$C$30)</f>
        <v>0</v>
      </c>
    </row>
    <row r="15" ht="14.25" customHeight="1" s="36">
      <c r="A15" s="45" t="n">
        <v>9</v>
      </c>
      <c r="B15" s="43" t="inlineStr">
        <is>
          <t>מכוני פיזיותרפיה</t>
        </is>
      </c>
      <c r="C15" s="44">
        <f>SUMIF(Pplay1!$F$3:$F$15,A15,Pplay1!$H$3:$H$15)+SUMIF(ריכוז!$B$3:$B$30,A15,ריכוז!$C$3:$C$30)</f>
        <v>10118.69</v>
      </c>
    </row>
    <row r="16" ht="15" customHeight="1" s="36">
      <c r="A16" s="48" t="n"/>
      <c r="B16" s="49" t="inlineStr">
        <is>
          <t>סה"כ ישראל ללא אונליין</t>
        </is>
      </c>
      <c r="C16" s="50">
        <f>SUM(C3:C15)</f>
        <v>1581788.3760000002</v>
      </c>
    </row>
    <row r="17" ht="14.25" customHeight="1" s="36">
      <c r="A17" s="45" t="n">
        <v>2</v>
      </c>
      <c r="B17" s="43" t="inlineStr">
        <is>
          <t>לקוחות אינטרנט</t>
        </is>
      </c>
      <c r="C17" s="44">
        <f>SUMIF(Pplay1!$F$3:$F$15,A17,Pplay1!$H$3:$H$15)+SUMIF(ריכוז!$B$3:$B$30,A17,ריכוז!$C$3:$C$30)</f>
        <v>391167.74</v>
      </c>
    </row>
    <row r="18" ht="14.25" customHeight="1" s="36">
      <c r="A18" s="45" t="n">
        <v>12</v>
      </c>
      <c r="B18" s="43" t="inlineStr">
        <is>
          <t>סופר פארם מרקט פלייס</t>
        </is>
      </c>
      <c r="C18" s="44">
        <f>SUMIF(Pplay1!$F$3:$F$15,A18,Pplay1!$H$3:$H$15)+SUMIF(ריכוז!$B$3:$B$30,A18,ריכוז!$C$3:$C$30)</f>
        <v>1484.7</v>
      </c>
    </row>
    <row r="19" ht="15" customHeight="1" s="36">
      <c r="A19" s="46" t="n"/>
      <c r="B19" s="51" t="inlineStr">
        <is>
          <t>סה"כ ישראל</t>
        </is>
      </c>
      <c r="C19" s="50">
        <f>C18+C17+C16</f>
        <v>1974440.816</v>
      </c>
    </row>
    <row r="20" ht="14.25" customHeight="1" s="36">
      <c r="A20" s="46" t="n">
        <v>50</v>
      </c>
      <c r="B20" s="47" t="inlineStr">
        <is>
          <t>AMAZON</t>
        </is>
      </c>
      <c r="C20" s="44">
        <f>(Amazon_מקור!B3+Amazon_מקור!B4)*3</f>
        <v>202592.25</v>
      </c>
    </row>
    <row r="21" ht="14.25" customHeight="1" s="36">
      <c r="A21" s="46" t="n">
        <v>20</v>
      </c>
      <c r="B21" s="47" t="inlineStr">
        <is>
          <t>SUPER PHARM POLAND</t>
        </is>
      </c>
      <c r="C21" s="44">
        <f>SUMIF(Pplay1!$F$3:$F$15,A21,Pplay1!$H$3:$H$15)+SUMIF(ריכוז!$B$3:$B$30,A21,ריכוז!$C$3:$C$30)</f>
        <v>132101.57</v>
      </c>
    </row>
    <row r="22" ht="14.25" customHeight="1" s="36">
      <c r="A22" s="46" t="n">
        <v>21</v>
      </c>
      <c r="B22" s="47" t="inlineStr">
        <is>
          <t>ORTHO- PARTNER AG.</t>
        </is>
      </c>
      <c r="C22" s="44">
        <f>SUMIF(Pplay1!$F$3:$F$15,A22,Pplay1!$H$3:$H$15)+SUMIF(ריכוז!$B$3:$B$30,A22,ריכוז!$C$3:$C$30)</f>
        <v>10986.57</v>
      </c>
    </row>
    <row r="23" ht="14.25" customHeight="1" s="36">
      <c r="A23" s="46" t="n">
        <v>22</v>
      </c>
      <c r="B23" s="47" t="inlineStr">
        <is>
          <t>SANAFLEX ANATOMIC</t>
        </is>
      </c>
      <c r="C23" s="44">
        <f>SUMIF(Pplay1!$F$3:$F$15,A23,Pplay1!$H$3:$H$15)+SUMIF(ריכוז!$B$3:$B$30,A23,ריכוז!$C$3:$C$30)</f>
        <v>0</v>
      </c>
    </row>
    <row r="24" ht="14.25" customHeight="1" s="36">
      <c r="A24" s="46" t="n">
        <v>23</v>
      </c>
      <c r="B24" s="47" t="inlineStr">
        <is>
          <t>HEALTH CARE PROD. GMBH</t>
        </is>
      </c>
      <c r="C24" s="44">
        <f>SUMIF(Pplay1!$F$3:$F$15,A24,Pplay1!$H$3:$H$15)+SUMIF(ריכוז!$B$3:$B$30,A24,ריכוז!$C$3:$C$30)</f>
        <v>0</v>
      </c>
    </row>
    <row r="25" ht="14.25" customHeight="1" s="36">
      <c r="A25" s="46" t="n">
        <v>24</v>
      </c>
      <c r="B25" s="47" t="inlineStr">
        <is>
          <t>ORTHOMED  LTD</t>
        </is>
      </c>
      <c r="C25" s="44">
        <f>SUMIF(Pplay1!$F$3:$F$15,A25,Pplay1!$H$3:$H$15)+SUMIF(ריכוז!$B$3:$B$30,A25,ריכוז!$C$3:$C$30)</f>
        <v>0</v>
      </c>
    </row>
    <row r="26" ht="14.25" customHeight="1" s="36">
      <c r="A26" s="46" t="n">
        <v>25</v>
      </c>
      <c r="B26" s="47" t="inlineStr">
        <is>
          <t>SALUS</t>
        </is>
      </c>
      <c r="C26" s="44">
        <f>SUMIF(Pplay1!$F$3:$F$15,A26,Pplay1!$H$3:$H$15)+SUMIF(ריכוז!$B$3:$B$30,A26,ריכוז!$C$3:$C$30)</f>
        <v>0</v>
      </c>
    </row>
    <row r="27" ht="14.25" customHeight="1" s="36">
      <c r="A27" s="46" t="n">
        <v>26</v>
      </c>
      <c r="B27" s="47" t="inlineStr">
        <is>
          <t>MAX KONNARIS LTD</t>
        </is>
      </c>
      <c r="C27" s="44">
        <f>SUMIF(Pplay1!$F$3:$F$15,A27,Pplay1!$H$3:$H$15)+SUMIF(ריכוז!$B$3:$B$30,A27,ריכוז!$C$3:$C$30)</f>
        <v>0</v>
      </c>
    </row>
    <row r="28" ht="14.25" customHeight="1" s="36">
      <c r="A28" s="46" t="n">
        <v>27</v>
      </c>
      <c r="B28" s="47" t="inlineStr">
        <is>
          <t>MEDIPAL COMPANY</t>
        </is>
      </c>
      <c r="C28" s="44">
        <f>SUMIF(Pplay1!$F$3:$F$15,A28,Pplay1!$H$3:$H$15)+SUMIF(ריכוז!$B$3:$B$30,A28,ריכוז!$C$3:$C$30)</f>
        <v>0</v>
      </c>
    </row>
    <row r="29" ht="14.25" customHeight="1" s="36">
      <c r="A29" s="46" t="n">
        <v>28</v>
      </c>
      <c r="B29" s="47" t="inlineStr">
        <is>
          <t>ORTOPROFIL PROD. ROMANIA</t>
        </is>
      </c>
      <c r="C29" s="44">
        <f>SUMIF(Pplay1!$F$3:$F$15,A29,Pplay1!$H$3:$H$15)+SUMIF(ריכוז!$B$3:$B$30,A29,ריכוז!$C$3:$C$30)</f>
        <v>30237.69</v>
      </c>
    </row>
    <row r="30" ht="14.25" customHeight="1" s="36">
      <c r="A30" s="46" t="n">
        <v>29</v>
      </c>
      <c r="B30" s="47" t="inlineStr">
        <is>
          <t>OY. EA. AB.</t>
        </is>
      </c>
      <c r="C30" s="44">
        <f>SUMIF(Pplay1!$F$3:$F$15,A30,Pplay1!$H$3:$H$15)+SUMIF(ריכוז!$B$3:$B$30,A30,ריכוז!$C$3:$C$30)</f>
        <v>0</v>
      </c>
    </row>
    <row r="31" ht="14.25" customHeight="1" s="36">
      <c r="A31" s="46" t="n">
        <v>30</v>
      </c>
      <c r="B31" s="47" t="inlineStr">
        <is>
          <t>SEVEN GEAR</t>
        </is>
      </c>
      <c r="C31" s="44">
        <f>SUMIF(Pplay1!$F$3:$F$15,A31,Pplay1!$H$3:$H$15)+SUMIF(ריכוז!$B$3:$B$30,A31,ריכוז!$C$3:$C$30)</f>
        <v>0</v>
      </c>
    </row>
    <row r="32" ht="14.25" customHeight="1" s="36">
      <c r="A32" s="46" t="n">
        <v>31</v>
      </c>
      <c r="B32" s="47" t="inlineStr">
        <is>
          <t>PHARMAG LACHMAIR GES. MBH</t>
        </is>
      </c>
      <c r="C32" s="44">
        <f>SUMIF(Pplay1!$F$3:$F$15,A32,Pplay1!$H$3:$H$15)+SUMIF(ריכוז!$B$3:$B$30,A32,ריכוז!$C$3:$C$30)</f>
        <v>10037.15</v>
      </c>
    </row>
    <row r="33" ht="14.25" customHeight="1" s="36">
      <c r="A33" s="46" t="n">
        <v>37</v>
      </c>
      <c r="B33" s="47" t="inlineStr">
        <is>
          <t>REMEDICARE B.V.</t>
        </is>
      </c>
      <c r="C33" s="44">
        <f>SUMIF(Pplay1!$F$3:$F$15,A33,Pplay1!$H$3:$H$15)+SUMIF(ריכוז!$B$3:$B$30,A33,ריכוז!$C$3:$C$30)</f>
        <v>0</v>
      </c>
    </row>
    <row r="34" ht="14.25" customHeight="1" s="36">
      <c r="A34" s="46" t="n">
        <v>32</v>
      </c>
      <c r="B34" s="47" t="inlineStr">
        <is>
          <t>E.F.M.O.</t>
        </is>
      </c>
      <c r="C34" s="44">
        <f>SUMIF(Pplay1!$F$3:$F$15,A34,Pplay1!$H$3:$H$15)+SUMIF(ריכוז!$B$3:$B$30,A34,ריכוז!$C$3:$C$30)</f>
        <v>18350.05</v>
      </c>
    </row>
    <row r="35" ht="14.25" customHeight="1" s="36">
      <c r="A35" s="46" t="n">
        <v>33</v>
      </c>
      <c r="B35" s="47" t="inlineStr">
        <is>
          <t>ALFRED GERA</t>
        </is>
      </c>
      <c r="C35" s="44">
        <f>SUMIF(Pplay1!$F$3:$F$15,A35,Pplay1!$H$3:$H$15)+SUMIF(ריכוז!$B$3:$B$30,A35,ריכוז!$C$3:$C$30)</f>
        <v>26105.72</v>
      </c>
    </row>
    <row r="36" ht="14.25" customHeight="1" s="36">
      <c r="A36" s="46" t="n">
        <v>38</v>
      </c>
      <c r="B36" s="47" t="inlineStr">
        <is>
          <t>QUADRIFOGLIO MEDICAL</t>
        </is>
      </c>
      <c r="C36" s="44">
        <f>SUMIF(Pplay1!$F$3:$F$15,A36,Pplay1!$H$3:$H$15)+SUMIF(ריכוז!$B$3:$B$30,A36,ריכוז!$C$3:$C$30)</f>
        <v>0</v>
      </c>
    </row>
    <row r="37" ht="14.25" customHeight="1" s="36">
      <c r="A37" s="46" t="n">
        <v>34</v>
      </c>
      <c r="B37" s="47" t="inlineStr">
        <is>
          <t>YOUNG IN HEALTHCARE CO.,</t>
        </is>
      </c>
      <c r="C37" s="44">
        <f>SUMIF(Pplay1!$F$3:$F$15,A37,Pplay1!$H$3:$H$15)+SUMIF(ריכוז!$B$3:$B$30,A37,ריכוז!$C$3:$C$30)</f>
        <v>0</v>
      </c>
    </row>
    <row r="38" ht="14.25" customHeight="1" s="36">
      <c r="A38" s="46" t="n">
        <v>35</v>
      </c>
      <c r="B38" s="47" t="inlineStr">
        <is>
          <t>HANS</t>
        </is>
      </c>
      <c r="C38" s="44">
        <f>SUMIF(Pplay1!$F$3:$F$15,A38,Pplay1!$H$3:$H$15)+SUMIF(ריכוז!$B$3:$B$30,A38,ריכוז!$C$3:$C$30)</f>
        <v>0</v>
      </c>
    </row>
    <row r="39" ht="14.25" customHeight="1" s="36">
      <c r="A39" s="46" t="n">
        <v>36</v>
      </c>
      <c r="B39" s="47" t="inlineStr">
        <is>
          <t>NEW DISTRIBUTORS</t>
        </is>
      </c>
      <c r="C39" s="44">
        <f>SUMIF(Pplay1!$F$3:$F$15,A39,Pplay1!$H$3:$H$15)+SUMIF(ריכוז!$B$3:$B$30,A39,ריכוז!$C$3:$C$30)</f>
        <v>0</v>
      </c>
    </row>
    <row r="40" ht="15" customHeight="1" s="36">
      <c r="A40" s="46" t="n"/>
      <c r="B40" s="52" t="inlineStr">
        <is>
          <t>סה"כ חו"ל</t>
        </is>
      </c>
      <c r="C40" s="53">
        <f>SUM(C20:C39)</f>
        <v>430411.0</v>
      </c>
    </row>
    <row r="41" ht="15" customHeight="1" s="36">
      <c r="A41" s="46" t="n"/>
      <c r="B41" s="54" t="inlineStr">
        <is>
          <t xml:space="preserve">סה"כ מכירות </t>
        </is>
      </c>
      <c r="C41" s="55">
        <f>C40+C19</f>
        <v>2404851.816</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ns1:id="anysvml"/>
</worksheet>
</file>

<file path=xl/worksheets/sheet2.xml><?xml version="1.0" encoding="utf-8"?>
<worksheet xmlns="http://schemas.openxmlformats.org/spreadsheetml/2006/main" xmlns:ns1="http://schemas.openxmlformats.org/officeDocument/2006/relationships">
  <sheetPr filterMode="0">
    <outlinePr summaryBelow="1" summaryRight="1"/>
    <pageSetUpPr fitToPage="0"/>
  </sheetPr>
  <dimension ref="A1:H15"/>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25" defaultRowHeight="14.25" zeroHeight="0" outlineLevelRow="0"/>
  <cols>
    <col width="17.88" customWidth="1" style="35" min="1" max="1"/>
    <col width="11.5" customWidth="1" style="35" min="2" max="2"/>
  </cols>
  <sheetData>
    <row r="1" ht="15" customHeight="1" s="36">
      <c r="A1" s="56" t="inlineStr">
        <is>
          <t>מקרא</t>
        </is>
      </c>
      <c r="F1" s="57" t="inlineStr">
        <is>
          <t>עמודות מחושבות (נוספו)</t>
        </is>
      </c>
    </row>
    <row r="2" ht="14.25" customHeight="1" s="36">
      <c r="B2" s="58" t="inlineStr">
        <is>
          <t>בתי מרקחת</t>
        </is>
      </c>
      <c r="C2" s="58" t="inlineStr">
        <is>
          <t>BE</t>
        </is>
      </c>
      <c r="D2" s="58" t="inlineStr">
        <is>
          <t xml:space="preserve">סופר פארם </t>
        </is>
      </c>
      <c r="E2" s="58" t="inlineStr">
        <is>
          <t xml:space="preserve">מאוחדת </t>
        </is>
      </c>
      <c r="F2" s="59" t="inlineStr">
        <is>
          <t>לקוח #</t>
        </is>
      </c>
      <c r="G2" s="59" t="inlineStr">
        <is>
          <t>סכום גולמי (PPLAY1)</t>
        </is>
      </c>
      <c r="H2" s="59" t="inlineStr">
        <is>
          <t>מכר נטו</t>
        </is>
      </c>
    </row>
    <row r="3" ht="14.25" customHeight="1" s="36">
      <c r="A3" s="60" t="inlineStr">
        <is>
          <t>0בתי מרקחת</t>
        </is>
      </c>
      <c r="B3" s="58" t="n">
        <v>4</v>
      </c>
      <c r="C3" s="58" t="n"/>
      <c r="D3" s="58" t="n"/>
      <c r="E3" s="58" t="n"/>
      <c r="F3" s="61">
        <f>IF(B3&lt;&gt;"",B3,IF(C3&lt;&gt;"",C3,IF(D3&lt;&gt;"",D3,IF(E3&lt;&gt;"",E3,""))))</f>
        <v>4</v>
      </c>
      <c r="G3" s="62">
        <f>IFERROR(INDEX(PPLAY1_מקור!$B:$B,MATCH(A3,PPLAY1_מקור!$A:$A,0)),"")</f>
        <v>153826.9</v>
      </c>
      <c r="H3" s="62">
        <f>IF(G3="","",G3*0.91)</f>
        <v>139982.479</v>
      </c>
    </row>
    <row r="4" ht="14.25" customHeight="1" s="36">
      <c r="A4" s="60" t="inlineStr">
        <is>
          <t>0מפיצי משנה</t>
        </is>
      </c>
      <c r="B4" s="58" t="n">
        <v>4</v>
      </c>
      <c r="C4" s="58" t="n"/>
      <c r="D4" s="58" t="n"/>
      <c r="E4" s="58" t="n"/>
      <c r="F4" s="61">
        <f>IF(B4&lt;&gt;"",B4,IF(C4&lt;&gt;"",C4,IF(D4&lt;&gt;"",D4,IF(E4&lt;&gt;"",E4,""))))</f>
        <v>4</v>
      </c>
      <c r="G4" s="62">
        <f>IFERROR(INDEX(PPLAY1_מקור!$B:$B,MATCH(A4,PPLAY1_מקור!$A:$A,0)),"")</f>
        <v>687.8</v>
      </c>
      <c r="H4" s="62">
        <f>IF(G4="","",G4*0.91)</f>
        <v>625.898</v>
      </c>
    </row>
    <row r="5" ht="14.25" customHeight="1" s="36">
      <c r="A5" s="60" t="inlineStr">
        <is>
          <t>0פארמים</t>
        </is>
      </c>
      <c r="B5" s="58" t="n"/>
      <c r="C5" s="58" t="n"/>
      <c r="D5" s="58" t="n"/>
      <c r="E5" s="58" t="n"/>
      <c r="F5" s="61" t="str">
        <f>IF(B5&lt;&gt;"",B5,IF(C5&lt;&gt;"",C5,IF(D5&lt;&gt;"",D5,IF(E5&lt;&gt;"",E5,""))))</f>
        <v/>
      </c>
      <c r="G5" s="62">
        <f>IFERROR(INDEX(PPLAY1_מקור!$B:$B,MATCH(A5,PPLAY1_מקור!$A:$A,0)),"")</f>
        <v>728176.7</v>
      </c>
      <c r="H5" s="62">
        <f>IF(G5="","",G5*0.91)</f>
        <v>662640.797</v>
      </c>
    </row>
    <row r="6" ht="14.25" customHeight="1" s="36">
      <c r="A6" s="60" t="inlineStr">
        <is>
          <t>אילת BE</t>
        </is>
      </c>
      <c r="B6" s="58" t="n"/>
      <c r="C6" s="58" t="n">
        <v>7</v>
      </c>
      <c r="D6" s="58" t="n"/>
      <c r="E6" s="58" t="n"/>
      <c r="F6" s="61">
        <f>IF(B6&lt;&gt;"",B6,IF(C6&lt;&gt;"",C6,IF(D6&lt;&gt;"",D6,IF(E6&lt;&gt;"",E6,""))))</f>
        <v>7</v>
      </c>
      <c r="G6" s="62">
        <f>IFERROR(INDEX(PPLAY1_מקור!$B:$B,MATCH(A6,PPLAY1_מקור!$A:$A,0)),"")</f>
        <v>3583.7</v>
      </c>
      <c r="H6" s="62">
        <f>IF(G6="","",G6*0.91)</f>
        <v>3261.167</v>
      </c>
    </row>
    <row r="7" ht="14.25" customHeight="1" s="36">
      <c r="A7" s="60" t="inlineStr">
        <is>
          <t>גוד פארם</t>
        </is>
      </c>
      <c r="B7" s="58" t="n">
        <v>4</v>
      </c>
      <c r="C7" s="58" t="n"/>
      <c r="D7" s="58" t="n"/>
      <c r="E7" s="58" t="n"/>
      <c r="F7" s="61">
        <f>IF(B7&lt;&gt;"",B7,IF(C7&lt;&gt;"",C7,IF(D7&lt;&gt;"",D7,IF(E7&lt;&gt;"",E7,""))))</f>
        <v>4</v>
      </c>
      <c r="G7" s="62">
        <f>IFERROR(INDEX(PPLAY1_מקור!$B:$B,MATCH(A7,PPLAY1_מקור!$A:$A,0)),"")</f>
        <v>58.9</v>
      </c>
      <c r="H7" s="62">
        <f>IF(G7="","",G7*0.91)</f>
        <v>53.599</v>
      </c>
    </row>
    <row r="8" ht="14.25" customHeight="1" s="36">
      <c r="A8" s="60" t="inlineStr">
        <is>
          <t>גוד פארם מרכז</t>
        </is>
      </c>
      <c r="B8" s="58" t="n">
        <v>4</v>
      </c>
      <c r="C8" s="58" t="n"/>
      <c r="D8" s="58" t="n"/>
      <c r="E8" s="58" t="n"/>
      <c r="F8" s="61">
        <f>IF(B8&lt;&gt;"",B8,IF(C8&lt;&gt;"",C8,IF(D8&lt;&gt;"",D8,IF(E8&lt;&gt;"",E8,""))))</f>
        <v>4</v>
      </c>
      <c r="G8" s="62">
        <f>IFERROR(INDEX(PPLAY1_מקור!$B:$B,MATCH(A8,PPLAY1_מקור!$A:$A,0)),"")</f>
        <v>3566.8</v>
      </c>
      <c r="H8" s="62">
        <f>IF(G8="","",G8*0.91)</f>
        <v>3245.788</v>
      </c>
    </row>
    <row r="9" ht="14.25" customHeight="1" s="36">
      <c r="A9" s="60" t="inlineStr">
        <is>
          <t>הפרכל הפרפארם</t>
        </is>
      </c>
      <c r="B9" s="58" t="n"/>
      <c r="C9" s="58" t="n">
        <v>7</v>
      </c>
      <c r="D9" s="58" t="n"/>
      <c r="E9" s="58" t="n"/>
      <c r="F9" s="61">
        <f>IF(B9&lt;&gt;"",B9,IF(C9&lt;&gt;"",C9,IF(D9&lt;&gt;"",D9,IF(E9&lt;&gt;"",E9,""))))</f>
        <v>7</v>
      </c>
      <c r="G9" s="62">
        <f>IFERROR(INDEX(PPLAY1_מקור!$B:$B,MATCH(A9,PPLAY1_מקור!$A:$A,0)),"")</f>
        <v>526.9</v>
      </c>
      <c r="H9" s="62">
        <f>IF(G9="","",G9*0.91)</f>
        <v>479.479</v>
      </c>
    </row>
    <row r="10" ht="14.25" customHeight="1" s="36">
      <c r="A10" s="60" t="inlineStr">
        <is>
          <t>סופרפארם</t>
        </is>
      </c>
      <c r="B10" s="58" t="n"/>
      <c r="C10" s="58" t="n"/>
      <c r="D10" s="58" t="n">
        <v>1</v>
      </c>
      <c r="E10" s="58" t="n"/>
      <c r="F10" s="61">
        <f>IF(B10&lt;&gt;"",B10,IF(C10&lt;&gt;"",C10,IF(D10&lt;&gt;"",D10,IF(E10&lt;&gt;"",E10,""))))</f>
        <v>1</v>
      </c>
      <c r="G10" s="62">
        <f>IFERROR(INDEX(PPLAY1_מקור!$B:$B,MATCH(A10,PPLAY1_מקור!$A:$A,0)),"")</f>
        <v>647057.9</v>
      </c>
      <c r="H10" s="62">
        <f>IF(G10="","",G10*0.91)</f>
        <v>588822.689</v>
      </c>
    </row>
    <row r="11" ht="14.25" customHeight="1" s="36">
      <c r="A11" s="60" t="inlineStr">
        <is>
          <t>שופרסל BE</t>
        </is>
      </c>
      <c r="B11" s="58" t="n"/>
      <c r="C11" s="58" t="n">
        <v>7</v>
      </c>
      <c r="D11" s="58" t="n"/>
      <c r="E11" s="58" t="n"/>
      <c r="F11" s="61">
        <f>IF(B11&lt;&gt;"",B11,IF(C11&lt;&gt;"",C11,IF(D11&lt;&gt;"",D11,IF(E11&lt;&gt;"",E11,""))))</f>
        <v>7</v>
      </c>
      <c r="G11" s="62">
        <f>IFERROR(INDEX(PPLAY1_מקור!$B:$B,MATCH(A11,PPLAY1_מקור!$A:$A,0)),"")</f>
        <v>90634.6</v>
      </c>
      <c r="H11" s="62">
        <f>IF(G11="","",G11*0.91)</f>
        <v>82477.486</v>
      </c>
    </row>
    <row r="12" ht="14.25" customHeight="1" s="36">
      <c r="A12" s="60" t="inlineStr">
        <is>
          <t>0צרכנים פרטיים</t>
        </is>
      </c>
      <c r="B12" s="58" t="n">
        <v>4</v>
      </c>
      <c r="C12" s="58" t="n"/>
      <c r="D12" s="58" t="n"/>
      <c r="E12" s="58" t="n"/>
      <c r="F12" s="61">
        <f>IF(B12&lt;&gt;"",B12,IF(C12&lt;&gt;"",C12,IF(D12&lt;&gt;"",D12,IF(E12&lt;&gt;"",E12,""))))</f>
        <v>4</v>
      </c>
      <c r="G12" s="62" t="str">
        <f>IFERROR(INDEX(PPLAY1_מקור!$B:$B,MATCH(A12,PPLAY1_מקור!$A:$A,0)),"")</f>
        <v/>
      </c>
      <c r="H12" s="62" t="str">
        <f>IF(G12="","",G12*0.91)</f>
        <v/>
      </c>
    </row>
    <row r="13" ht="14.25" customHeight="1" s="36">
      <c r="A13" s="60" t="inlineStr">
        <is>
          <t>0קופות חולים</t>
        </is>
      </c>
      <c r="B13" s="58" t="n"/>
      <c r="C13" s="58" t="n"/>
      <c r="D13" s="58" t="n"/>
      <c r="E13" s="58" t="n">
        <v>8</v>
      </c>
      <c r="F13" s="61">
        <f>IF(B13&lt;&gt;"",B13,IF(C13&lt;&gt;"",C13,IF(D13&lt;&gt;"",D13,IF(E13&lt;&gt;"",E13,""))))</f>
        <v>8</v>
      </c>
      <c r="G13" s="62">
        <f>IFERROR(INDEX(PPLAY1_מקור!$B:$B,MATCH(A13,PPLAY1_מקור!$A:$A,0)),"")</f>
        <v>80561.1</v>
      </c>
      <c r="H13" s="62">
        <f>IF(G13="","",G13*0.91)</f>
        <v>73310.601</v>
      </c>
    </row>
    <row r="14" ht="14.25" customHeight="1" s="36">
      <c r="A14" s="60" t="inlineStr">
        <is>
          <t>0שונות</t>
        </is>
      </c>
      <c r="B14" s="58" t="n">
        <v>4</v>
      </c>
      <c r="C14" s="58" t="n"/>
      <c r="D14" s="58" t="n"/>
      <c r="E14" s="58" t="n"/>
      <c r="F14" s="61">
        <f>IF(B14&lt;&gt;"",B14,IF(C14&lt;&gt;"",C14,IF(D14&lt;&gt;"",D14,IF(E14&lt;&gt;"",E14,""))))</f>
        <v>4</v>
      </c>
      <c r="G14" s="62" t="str">
        <f>IFERROR(INDEX(PPLAY1_מקור!$B:$B,MATCH(A14,PPLAY1_מקור!$A:$A,0)),"")</f>
        <v/>
      </c>
      <c r="H14" s="62" t="str">
        <f>IF(G14="","",G14*0.91)</f>
        <v/>
      </c>
    </row>
    <row r="15">
      <c r="A15" s="70" t="inlineStr">
        <is>
          <t>זיכויים BE</t>
        </is>
      </c>
      <c r="C15" t="n">
        <v>7</v>
      </c>
      <c r="F15" s="71">
        <f>IF(B15&lt;&gt;"",B15,IF(C15&lt;&gt;"",C15,IF(D15&lt;&gt;"",D15,IF(E15&lt;&gt;"",E15,""))))</f>
        <v>7</v>
      </c>
      <c r="G15" s="72">
        <f>IFERROR(INDEX(PPLAY1_מקור!$B:$B,MATCH(A15,PPLAY1_מקור!$A:$A,0)),"")</f>
        <v>-17252</v>
      </c>
      <c r="H15" s="72">
        <f>IF(G15="","",G15*0.91)</f>
        <v>-15699.32</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ns1:id="anysvml"/>
</worksheet>
</file>

<file path=xl/worksheets/sheet3.xml><?xml version="1.0" encoding="utf-8"?>
<worksheet xmlns="http://schemas.openxmlformats.org/spreadsheetml/2006/main">
  <sheetPr filterMode="0">
    <outlinePr summaryBelow="1" summaryRight="1"/>
    <pageSetUpPr fitToPage="0"/>
  </sheetPr>
  <dimension ref="A1:C30"/>
  <sheetViews>
    <sheetView showFormulas="0" showGridLines="1" showRowColHeaders="1" showZeros="1" rightToLeft="1" tabSelected="0" showOutlineSymbols="1" defaultGridColor="1" view="normal" topLeftCell="A1" colorId="64" zoomScale="100" zoomScaleNormal="100" zoomScalePageLayoutView="100" workbookViewId="0">
      <selection pane="topLeft" activeCell="C34" activeCellId="0" sqref="C34"/>
    </sheetView>
  </sheetViews>
  <sheetFormatPr baseColWidth="8" defaultColWidth="8.625" defaultRowHeight="14.25" zeroHeight="0" outlineLevelRow="0"/>
  <cols>
    <col width="28.25" customWidth="1" style="35" min="1" max="1"/>
    <col width="20" customWidth="1" style="35" min="3" max="3"/>
  </cols>
  <sheetData>
    <row r="1" ht="15" customHeight="1" s="36">
      <c r="A1" s="56" t="inlineStr">
        <is>
          <t xml:space="preserve">מקרא </t>
        </is>
      </c>
      <c r="C1" s="59" t="inlineStr">
        <is>
          <t>סכום מכירות (NetSuite)</t>
        </is>
      </c>
    </row>
    <row r="2" ht="15" customHeight="1" s="36">
      <c r="A2" s="56" t="n"/>
    </row>
    <row r="3" ht="14.25" customHeight="1" s="36">
      <c r="A3" s="63" t="inlineStr">
        <is>
          <t>102 - Orthopedic institutes</t>
        </is>
      </c>
      <c r="B3" s="35" t="n">
        <v>6</v>
      </c>
      <c r="C3" s="62">
        <f>IFERROR(INDEX(NetSuite_מקור!$D:$D,MATCH(A3,NetSuite_מקור!$A:$A,0)),"")</f>
        <v>76847.55</v>
      </c>
    </row>
    <row r="4" ht="14.25" customHeight="1" s="36">
      <c r="A4" s="63" t="inlineStr">
        <is>
          <t>111 - Superpharm Life</t>
        </is>
      </c>
      <c r="B4" s="35" t="n">
        <v>5</v>
      </c>
      <c r="C4" s="62">
        <f>IFERROR(INDEX(NetSuite_מקור!$D:$D,MATCH(A4,NetSuite_מקור!$A:$A,0)),"")</f>
        <v>299421.55</v>
      </c>
    </row>
    <row r="5" ht="14.25" customHeight="1" s="36">
      <c r="A5" s="63" t="inlineStr">
        <is>
          <t>103 - Physiotherapy institutes</t>
        </is>
      </c>
      <c r="B5" s="35" t="n">
        <v>9</v>
      </c>
      <c r="C5" s="62">
        <f>IFERROR(INDEX(NetSuite_מקור!$D:$D,MATCH(A5,NetSuite_מקור!$A:$A,0)),"")</f>
        <v>10118.69</v>
      </c>
    </row>
    <row r="6" ht="14.25" customHeight="1" s="36">
      <c r="A6" s="63" t="inlineStr">
        <is>
          <t>109 - Private Shops</t>
        </is>
      </c>
      <c r="B6" s="35" t="n">
        <v>11</v>
      </c>
      <c r="C6" s="62">
        <f>IFERROR(INDEX(NetSuite_מקור!$D:$D,MATCH(A6,NetSuite_מקור!$A:$A,0)),"")</f>
        <v>2043.68</v>
      </c>
    </row>
    <row r="7" ht="14.25" customHeight="1" s="36">
      <c r="A7" s="63" t="inlineStr">
        <is>
          <t>101 - Factory customers</t>
        </is>
      </c>
      <c r="B7" s="35" t="n">
        <v>10</v>
      </c>
      <c r="C7" s="62">
        <f>IFERROR(INDEX(NetSuite_מקור!$D:$D,MATCH(A7,NetSuite_מקור!$A:$A,0)),"")</f>
        <v>4321.85</v>
      </c>
    </row>
    <row r="8" ht="14.25" customHeight="1" s="36">
      <c r="A8" s="63" t="inlineStr">
        <is>
          <t>107 - Pharmacies</t>
        </is>
      </c>
      <c r="B8" s="35" t="n">
        <v>4</v>
      </c>
      <c r="C8" s="62">
        <f>IFERROR(INDEX(NetSuite_מקור!$D:$D,MATCH(A8,NetSuite_מקור!$A:$A,0)),"")</f>
        <v>16310.32</v>
      </c>
    </row>
    <row r="9" ht="14.25" customHeight="1" s="36">
      <c r="A9" s="63" t="inlineStr">
        <is>
          <t>106 - Hospitals</t>
        </is>
      </c>
      <c r="B9" s="35" t="n">
        <v>13</v>
      </c>
      <c r="C9" s="62" t="str">
        <f>IFERROR(INDEX(NetSuite_מקור!$D:$D,MATCH(A9,NetSuite_מקור!$A:$A,0)),"")</f>
        <v/>
      </c>
    </row>
    <row r="10" ht="14.25" customHeight="1" s="36">
      <c r="A10" s="63" t="inlineStr">
        <is>
          <t>113 - Kupat Holim Meuhedet</t>
        </is>
      </c>
      <c r="B10" s="35" t="n">
        <v>8</v>
      </c>
      <c r="C10" s="62" t="str">
        <f>IFERROR(INDEX(NetSuite_מקור!$D:$D,MATCH(A10,NetSuite_מקור!$A:$A,0)),"")</f>
        <v/>
      </c>
    </row>
    <row r="11" ht="14.25" customHeight="1" s="36">
      <c r="A11" s="63" t="inlineStr">
        <is>
          <t>112 - Kupat Holim Clalit</t>
        </is>
      </c>
      <c r="B11" s="35" t="n">
        <v>3</v>
      </c>
      <c r="C11" s="62">
        <f>IFERROR(INDEX(NetSuite_מקור!$D:$D,MATCH(A11,NetSuite_מקור!$A:$A,0)),"")</f>
        <v>295436</v>
      </c>
    </row>
    <row r="12" ht="14.25" customHeight="1" s="36">
      <c r="A12" s="63" t="inlineStr">
        <is>
          <t>114 - IL online</t>
        </is>
      </c>
      <c r="B12" s="35" t="n">
        <v>2</v>
      </c>
      <c r="C12" s="62">
        <f>IFERROR(INDEX(NetSuite_מקור!$D:$D,MATCH(A12,NetSuite_מקור!$A:$A,0)),"")</f>
        <v>391167.74</v>
      </c>
    </row>
    <row r="13" ht="14.25" customHeight="1" s="36">
      <c r="A13" s="63" t="inlineStr">
        <is>
          <t>115-SuperPharm Online</t>
        </is>
      </c>
      <c r="B13" s="35" t="n">
        <v>12</v>
      </c>
      <c r="C13" s="62">
        <f>IFERROR(INDEX(NetSuite_מקור!$D:$D,MATCH(A13,NetSuite_מקור!$A:$A,0)),"")</f>
        <v>1484.7</v>
      </c>
    </row>
    <row r="14" ht="14.25" customHeight="1" s="36">
      <c r="A14" s="63" t="inlineStr">
        <is>
          <t>205 - Health Care Prod. Gmbh GERMANY</t>
        </is>
      </c>
      <c r="B14" s="35" t="n">
        <v>23</v>
      </c>
      <c r="C14" s="62" t="str">
        <f>IFERROR(INDEX(NetSuite_מקור!$D:$D,MATCH(A14,NetSuite_מקור!$A:$A,0)),"")</f>
        <v/>
      </c>
    </row>
    <row r="15" ht="14.25" customHeight="1" s="36">
      <c r="A15" s="63" t="inlineStr">
        <is>
          <t>207 - Salus HUNGARY</t>
        </is>
      </c>
      <c r="B15" s="35" t="n">
        <v>25</v>
      </c>
      <c r="C15" s="62" t="str">
        <f>IFERROR(INDEX(NetSuite_מקור!$D:$D,MATCH(A15,NetSuite_מקור!$A:$A,0)),"")</f>
        <v/>
      </c>
    </row>
    <row r="16" ht="14.25" customHeight="1" s="36">
      <c r="A16" s="63" t="inlineStr">
        <is>
          <t>209 - Ortoprofil Prod ROMANIA</t>
        </is>
      </c>
      <c r="B16" s="35" t="n">
        <v>28</v>
      </c>
      <c r="C16" s="62">
        <f>IFERROR(INDEX(NetSuite_מקור!$D:$D,MATCH(A16,NetSuite_מקור!$A:$A,0)),"")</f>
        <v>30237.69</v>
      </c>
    </row>
    <row r="17" ht="14.25" customHeight="1" s="36">
      <c r="A17" s="63" t="inlineStr">
        <is>
          <t>202 - Super-Pharm POLAND</t>
        </is>
      </c>
      <c r="B17" s="35" t="n">
        <v>20</v>
      </c>
      <c r="C17" s="64">
        <f>IFERROR(INDEX(NetSuite_מקור!$D:$D,MATCH(A17,NetSuite_מקור!$A:$A,0)),"")</f>
        <v>132101.57</v>
      </c>
    </row>
    <row r="18" ht="14.25" customHeight="1" s="36">
      <c r="A18" s="63" t="inlineStr">
        <is>
          <t>214 - Alfred Gera&amp; Sons Ltd. MALTA</t>
        </is>
      </c>
      <c r="B18" s="35" t="n">
        <v>33</v>
      </c>
      <c r="C18" s="64">
        <f>IFERROR(INDEX(NetSuite_מקור!$D:$D,MATCH(A18,NetSuite_מקור!$A:$A,0)),"")</f>
        <v>26105.72</v>
      </c>
    </row>
    <row r="19" ht="14.25" customHeight="1" s="36">
      <c r="A19" s="63" t="inlineStr">
        <is>
          <t>203 - Ortho- Partner ag SWITZERLAND</t>
        </is>
      </c>
      <c r="B19" s="35" t="n">
        <v>21</v>
      </c>
      <c r="C19" s="64">
        <f>IFERROR(INDEX(NetSuite_מקור!$D:$D,MATCH(A19,NetSuite_מקור!$A:$A,0)),"")</f>
        <v>10986.57</v>
      </c>
    </row>
    <row r="20" ht="14.25" customHeight="1" s="36">
      <c r="A20" s="63" t="inlineStr">
        <is>
          <t>204 - Sanaflex Anatomic GREECE</t>
        </is>
      </c>
      <c r="B20" s="35" t="n">
        <v>22</v>
      </c>
      <c r="C20" s="64" t="str">
        <f>IFERROR(INDEX(NetSuite_מקור!$D:$D,MATCH(A20,NetSuite_מקור!$A:$A,0)),"")</f>
        <v/>
      </c>
    </row>
    <row r="21" ht="14.25" customHeight="1" s="36">
      <c r="A21" s="63" t="inlineStr">
        <is>
          <t>206 - Orthomed  Ltd BULGARIA</t>
        </is>
      </c>
      <c r="B21" s="35" t="n">
        <v>24</v>
      </c>
      <c r="C21" s="64" t="str">
        <f>IFERROR(INDEX(NetSuite_מקור!$D:$D,MATCH(A21,NetSuite_מקור!$A:$A,0)),"")</f>
        <v/>
      </c>
    </row>
    <row r="22" ht="14.25" customHeight="1" s="36">
      <c r="A22" s="63" t="inlineStr">
        <is>
          <t>216 - Max Konnaris CYPRUS</t>
        </is>
      </c>
      <c r="B22" s="35" t="n">
        <v>26</v>
      </c>
      <c r="C22" s="64" t="str">
        <f>IFERROR(INDEX(NetSuite_מקור!$D:$D,MATCH(A22,NetSuite_מקור!$A:$A,0)),"")</f>
        <v/>
      </c>
    </row>
    <row r="23" ht="14.25" customHeight="1" s="36">
      <c r="A23" s="63" t="inlineStr">
        <is>
          <t>208 - Medipal Company NABLUS</t>
        </is>
      </c>
      <c r="B23" s="35" t="n">
        <v>27</v>
      </c>
      <c r="C23" s="64" t="str">
        <f>IFERROR(INDEX(NetSuite_מקור!$D:$D,MATCH(A23,NetSuite_מקור!$A:$A,0)),"")</f>
        <v/>
      </c>
    </row>
    <row r="24" ht="14.25" customHeight="1" s="36">
      <c r="A24" s="63" t="inlineStr">
        <is>
          <t>210 - Oy. Ea. Ab. FINLAND</t>
        </is>
      </c>
      <c r="B24" s="35" t="n">
        <v>29</v>
      </c>
      <c r="C24" s="64" t="str">
        <f>IFERROR(INDEX(NetSuite_מקור!$D:$D,MATCH(A24,NetSuite_מקור!$A:$A,0)),"")</f>
        <v/>
      </c>
    </row>
    <row r="25" ht="14.25" customHeight="1" s="36">
      <c r="A25" s="63" t="inlineStr">
        <is>
          <t>201- Seven Gear FINLAND oy</t>
        </is>
      </c>
      <c r="B25" s="35" t="n">
        <v>30</v>
      </c>
      <c r="C25" s="64" t="str">
        <f>IFERROR(INDEX(NetSuite_מקור!$D:$D,MATCH(A25,NetSuite_מקור!$A:$A,0)),"")</f>
        <v/>
      </c>
    </row>
    <row r="26" ht="14.25" customHeight="1" s="36">
      <c r="A26" s="63" t="inlineStr">
        <is>
          <t>211 - Pharmag Lachmair Ges. Mbh AUSTRIA</t>
        </is>
      </c>
      <c r="B26" s="35" t="n">
        <v>31</v>
      </c>
      <c r="C26" s="64">
        <f>IFERROR(INDEX(NetSuite_מקור!$D:$D,MATCH(A26,NetSuite_מקור!$A:$A,0)),"")</f>
        <v>10037.15</v>
      </c>
    </row>
    <row r="27" ht="14.25" customHeight="1" s="36">
      <c r="A27" s="63" t="inlineStr">
        <is>
          <t>213 - E.f.m.o. SPAIN</t>
        </is>
      </c>
      <c r="B27" s="35" t="n">
        <v>32</v>
      </c>
      <c r="C27" s="64">
        <f>IFERROR(INDEX(NetSuite_מקור!$D:$D,MATCH(A27,NetSuite_מקור!$A:$A,0)),"")</f>
        <v>18350.05</v>
      </c>
    </row>
    <row r="28" ht="14.25" customHeight="1" s="36">
      <c r="A28" s="63" t="inlineStr">
        <is>
          <t>215 - Young In Healthcare Co. SOUTH KOREA</t>
        </is>
      </c>
      <c r="B28" s="35" t="n">
        <v>34</v>
      </c>
      <c r="C28" s="64" t="str">
        <f>IFERROR(INDEX(NetSuite_מקור!$D:$D,MATCH(A28,NetSuite_מקור!$A:$A,0)),"")</f>
        <v/>
      </c>
    </row>
    <row r="29" ht="14.25" customHeight="1" s="36">
      <c r="A29" s="63" t="inlineStr">
        <is>
          <t>200 - ROW : 217 - N3W FOODS USA</t>
        </is>
      </c>
      <c r="B29" s="35" t="n">
        <v>35</v>
      </c>
      <c r="C29" s="64" t="str">
        <f>IFERROR(INDEX(NetSuite_מקור!$D:$D,MATCH(A29,NetSuite_מקור!$A:$A,0)),"")</f>
        <v/>
      </c>
    </row>
    <row r="30" ht="14.25" customHeight="1" s="36">
      <c r="A30" s="63" t="inlineStr">
        <is>
          <t>105 - Pedicure Salons</t>
        </is>
      </c>
      <c r="B30" s="35" t="n">
        <v>14</v>
      </c>
      <c r="C30" s="64">
        <f>IFERROR(INDEX(NetSuite_מקור!$D:$D,MATCH(A30,NetSuite_מקור!$A:$A,0)),"")</f>
        <v>728.87</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25" defaultRowHeight="14.25" zeroHeight="0" outlineLevelRow="0"/>
  <cols>
    <col width="20" customWidth="1" style="35" min="1" max="1"/>
    <col width="18" customWidth="1" style="35" min="2" max="2"/>
    <col width="14" customWidth="1" style="35" min="3" max="3"/>
    <col width="100" customWidth="1" style="35" min="4" max="4"/>
  </cols>
  <sheetData>
    <row r="1" ht="15" customHeight="1" s="36">
      <c r="A1" s="59" t="inlineStr">
        <is>
          <t>Source: השוואת שני קבצי PPlay1-style באותה תקופה (2026/Aug, MTD) — PPlay1.xlsx (16474ed3), נוצר 01/09/2026 07:55:23, ו-PPlay2.xlsx (5f51f181), נוצר 02/09/2026 12:21:23. בדיקה הראתה: זהו אותו דוח ("PPlay1 of uriel (Reporter)"), אותה תקופה מדווחת (2026/Aug) — לא מקור/גרסה שונים מבחינה מבנית, אלא שתי משיכות (snapshots) עוקבות של אותו דוח חי, יום אחרי יום, כאשר סכומי אוגוסט ממשיכים לגדול גם אחרי סגירת החודש (חשבוניות מאוחרות שנרשמות בתחילת ספטמבר על תקופת אוגוסט). 6 מתוך 11 שורות זהות לחלוטין בין הקבצים (ללא שינוי: אילת BE, גוד פארם, גוד פארם מרכז, הפרכל הפרפארם, זיכויים BE, 0מפיצי משנה); 5 שורות עלו (0בתי מרקחת +4,922.3, 0פארמים +50,152.4, סופרפארם +46,493.6, שופרסל BE +3,658.8, 0קופות חולים +5,041.8; שורת המטה "Customers" עלתה מ-903,136.0 ל-963,252.5, הפרש +60,116.5). קובץ זה (טסט) משתמש ב-PPlay2 (המשיכה המאוחרת יותר, 02/09) כמקור הסמכותי לנתוני PPLAY1, ומוסיף לראשונה את שורת "זיכויים BE" (₪-17,252.0, זהה בשני הקבצים) — עד כה שורה זו הוחרגה כי שמה לא תאם אף ערך במקרא הקבוע; לפי הנחיה מפורשת של המשתמש (02/09/2026) היא נכללת כעת ומשויכת ל-BE (לקוח #7) בגיליון Pplay1, ומופחתת מסך ה-BE (הערך שלילי במקור, ולכן החיבור הרגיל ב-SUMIF מפחית אותו אוטומטית — אין צורך בלוגיקת חיסור נפרדת). ראו גיליון PPlay_diff להשוואה המלאה שורה-שורה בין שני הקבצים. הערת שקיפות טכנית: קובץ PPlay2 הגיע עם ערך צבע לא-תקני (rgb="auto") בתוך xl/styles.xml, שגרם ל-openpyxl לזרוק שגיאת קריאה — תוקן ידנית (הוחלף ל-FF000000) לפני הקריאה, ללא צורך ב-LibreOffice. גיליונות NetSuite_מקור ו-Amazon_מקור לא רועננו בקובץ טסט זה — לא נמסרו קבצי NetSuite/Amazon חדשים הפעם (רק שני קבצי PPlay); הם נשארו בדיוק כפי שהיו בקובץ 2026-08-31.xlsx (סגירת אוגוסט מלאה, MTD 1-31 באוגוסט) — לכן קובץ זה אינו "דוח יומי" מלא/עדכני, אלא בדיקה ממוקדת לזרימת PPLAY1+BE בלבד. מכר נטו = עמודה B × 0.91 (מקדם קבוע, מאושר ב-kirill.md).</t>
        </is>
      </c>
      <c r="B1" s="59" t="inlineStr">
        <is>
          <t>2026/Aug (סכום גולמי, MTD)</t>
        </is>
      </c>
      <c r="C1" s="59" t="inlineStr">
        <is>
          <t>מכר נטו</t>
        </is>
      </c>
      <c r="D1" s="59" t="inlineStr">
        <is>
          <t>הערה</t>
        </is>
      </c>
    </row>
    <row r="2" ht="14.25" customHeight="1" s="36">
      <c r="A2" s="61" t="inlineStr">
        <is>
          <t>0בתי מרקחת</t>
        </is>
      </c>
      <c r="B2" s="62" t="n">
        <v>153826.9</v>
      </c>
      <c r="C2" s="62">
        <f>B2*0.91</f>
        <v>139982.479</v>
      </c>
      <c r="D2" s="65" t="n"/>
    </row>
    <row r="3" ht="14.25" customHeight="1" s="36">
      <c r="A3" s="61" t="inlineStr">
        <is>
          <t>0מפיצי משנה</t>
        </is>
      </c>
      <c r="B3" s="62" t="n">
        <v>687.8</v>
      </c>
      <c r="C3" s="62">
        <f>B3*0.91</f>
        <v>625.898</v>
      </c>
    </row>
    <row r="4" ht="14.25" customHeight="1" s="36">
      <c r="A4" s="61" t="inlineStr">
        <is>
          <t>0פארמים</t>
        </is>
      </c>
      <c r="B4" s="62" t="n">
        <v>728176.7</v>
      </c>
      <c r="C4" s="62">
        <f>B4*0.91</f>
        <v>662640.797</v>
      </c>
    </row>
    <row r="5" ht="14.25" customHeight="1" s="36">
      <c r="A5" s="61" t="inlineStr">
        <is>
          <t>אילת BE</t>
        </is>
      </c>
      <c r="B5" s="62" t="n">
        <v>3583.7</v>
      </c>
      <c r="C5" s="62">
        <f>B5*0.91</f>
        <v>3261.167</v>
      </c>
    </row>
    <row r="6" ht="14.25" customHeight="1" s="36">
      <c r="A6" s="61" t="inlineStr">
        <is>
          <t>גוד פארם</t>
        </is>
      </c>
      <c r="B6" s="62" t="n">
        <v>58.9</v>
      </c>
      <c r="C6" s="62">
        <f>B6*0.91</f>
        <v>53.599</v>
      </c>
    </row>
    <row r="7" ht="14.25" customHeight="1" s="36">
      <c r="A7" s="61" t="inlineStr">
        <is>
          <t>גוד פארם מרכז</t>
        </is>
      </c>
      <c r="B7" s="62" t="n">
        <v>3566.8</v>
      </c>
      <c r="C7" s="62">
        <f>B7*0.91</f>
        <v>3245.788</v>
      </c>
    </row>
    <row r="8" ht="14.25" customHeight="1" s="36">
      <c r="A8" s="61" t="inlineStr">
        <is>
          <t>הפרכל הפרפארם</t>
        </is>
      </c>
      <c r="B8" s="62" t="n">
        <v>526.9</v>
      </c>
      <c r="C8" s="62">
        <f>B8*0.91</f>
        <v>479.479</v>
      </c>
    </row>
    <row r="9" ht="14.25" customHeight="1" s="36">
      <c r="A9" s="61" t="inlineStr">
        <is>
          <t>סופרפארם</t>
        </is>
      </c>
      <c r="B9" s="62" t="n">
        <v>647057.9</v>
      </c>
      <c r="C9" s="62">
        <f>B9*0.91</f>
        <v>588822.689</v>
      </c>
    </row>
    <row r="10" ht="14.25" customHeight="1" s="36">
      <c r="A10" s="61" t="inlineStr">
        <is>
          <t>שופרסל BE</t>
        </is>
      </c>
      <c r="B10" s="62" t="n">
        <v>90634.60000000001</v>
      </c>
      <c r="C10" s="62">
        <f>B10*0.91</f>
        <v>82477.486</v>
      </c>
    </row>
    <row r="11" ht="14.25" customHeight="1" s="36">
      <c r="A11" s="35" t="inlineStr">
        <is>
          <t>0קופות חולים</t>
        </is>
      </c>
      <c r="B11" s="35" t="n">
        <v>80561.10000000001</v>
      </c>
      <c r="C11" s="35">
        <f>B11*0.91</f>
        <v>73310.601</v>
      </c>
    </row>
    <row r="12">
      <c r="A12" t="inlineStr">
        <is>
          <t>זיכויים BE</t>
        </is>
      </c>
      <c r="B12" t="n">
        <v>-17252</v>
      </c>
      <c r="C12">
        <f>B12*0.91</f>
        <v>-15699.32</v>
      </c>
      <c r="D12" t="inlineStr">
        <is>
          <t>נכלל לראשונה בקובץ זה (טסט, 02/09/2026), לפי הנחיה מפורשת של המשתמש: לשייך ל-BE (לקוח #7) בגיליון Pplay1 ולהפחית מסך ה-BE. בעבר הוחרג כי שמו לא תאם אף ערך במקרא. הערך שלילי במקור וזהה בין PPlay1 ל-PPlay2 (₪-17,252.0, ללא שינוי בין שתי המשיכות).</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E23"/>
  <sheetViews>
    <sheetView rightToLeft="1" tabSelected="0" workbookViewId="0">
      <selection activeCell="A1" sqref="A1"/>
    </sheetView>
  </sheetViews>
  <sheetFormatPr baseColWidth="8" defaultRowHeight="15"/>
  <cols>
    <col width="42" customWidth="1" style="36" min="1" max="1"/>
    <col width="20" customWidth="1" style="36" min="2" max="2"/>
    <col width="20" customWidth="1" style="36" min="3" max="3"/>
    <col width="20" customWidth="1" style="36" min="4" max="4"/>
    <col width="50" customWidth="1" style="36" min="5" max="5"/>
  </cols>
  <sheetData>
    <row r="1" ht="90" customHeight="1" s="36">
      <c r="A1" s="73" t="inlineStr">
        <is>
          <t>השוואה בין שני קבצי המקור שנמסרו 02/09/2026: PPlay1.xlsx (16474ed3, נוצר 01/09/2026 07:55:23) מול PPlay2.xlsx (5f51f181, נוצר 02/09/2026 12:21:23). שניהם אותו דוח ("PPlay1 of uriel (Reporter)"), אותה תקופה מדווחת 2026/Aug — הפרש הזמן בין שתי המשיכות (כ-28 שעות) מסביר את העלייה בסכומים המצטברים (חשבוניות אוגוסט שנרשמו בתחילת ספטמבר). ערכי הקלט (עמודות B-C) הוזנו ידנית מהקבצים המקוריים (input, פונט כחול) — עמודת ההפרש (D) מחושבת בנוסחה חיה.</t>
        </is>
      </c>
    </row>
    <row r="2">
      <c r="A2" s="74" t="inlineStr">
        <is>
          <t>קטגוריה</t>
        </is>
      </c>
      <c r="B2" s="74" t="inlineStr">
        <is>
          <t>PPlay1 (01/09 07:55)</t>
        </is>
      </c>
      <c r="C2" s="74" t="inlineStr">
        <is>
          <t>PPlay2 (02/09 12:21)</t>
        </is>
      </c>
      <c r="D2" s="74" t="inlineStr">
        <is>
          <t>הפרש (PPlay2-PPlay1)</t>
        </is>
      </c>
      <c r="E2" s="74" t="inlineStr">
        <is>
          <t>הערה</t>
        </is>
      </c>
    </row>
    <row r="3">
      <c r="A3" s="75" t="inlineStr">
        <is>
          <t>Customers (שורת-אב, לא מסוכמת)</t>
        </is>
      </c>
      <c r="B3" s="76" t="n">
        <v>903136</v>
      </c>
      <c r="C3" s="76" t="n">
        <v>963252.5</v>
      </c>
      <c r="D3" s="77">
        <f>C3-B3</f>
        <v>60116.5</v>
      </c>
      <c r="E3" s="78" t="inlineStr">
        <is>
          <t>שורת מטה-דוח — אינה שווה לסכום שורות הקטגוריה (ר' PPLAY1_מקור)</t>
        </is>
      </c>
    </row>
    <row r="4">
      <c r="A4" s="75" t="inlineStr">
        <is>
          <t>0בתי מרקחת</t>
        </is>
      </c>
      <c r="B4" s="76" t="n">
        <v>148904.6</v>
      </c>
      <c r="C4" s="76" t="n">
        <v>153826.9</v>
      </c>
      <c r="D4" s="77">
        <f>C4-B4</f>
        <v>4922.3</v>
      </c>
      <c r="E4" s="78" t="inlineStr"/>
    </row>
    <row r="5">
      <c r="A5" s="75" t="inlineStr">
        <is>
          <t>0מפיצי משנה</t>
        </is>
      </c>
      <c r="B5" s="76" t="n">
        <v>687.8</v>
      </c>
      <c r="C5" s="76" t="n">
        <v>687.8</v>
      </c>
      <c r="D5" s="77">
        <f>C5-B5</f>
        <v>0.0</v>
      </c>
      <c r="E5" s="78" t="inlineStr">
        <is>
          <t>ללא שינוי</t>
        </is>
      </c>
    </row>
    <row r="6">
      <c r="A6" s="75" t="inlineStr">
        <is>
          <t>0פארמים</t>
        </is>
      </c>
      <c r="B6" s="76" t="n">
        <v>678024.3</v>
      </c>
      <c r="C6" s="76" t="n">
        <v>728176.7</v>
      </c>
      <c r="D6" s="77">
        <f>C6-B6</f>
        <v>50152.3999999999</v>
      </c>
      <c r="E6" s="78" t="inlineStr"/>
    </row>
    <row r="7">
      <c r="A7" s="75" t="inlineStr">
        <is>
          <t>אילת BE</t>
        </is>
      </c>
      <c r="B7" s="76" t="n">
        <v>3583.7</v>
      </c>
      <c r="C7" s="76" t="n">
        <v>3583.7</v>
      </c>
      <c r="D7" s="77">
        <f>C7-B7</f>
        <v>0.0</v>
      </c>
      <c r="E7" s="78" t="inlineStr">
        <is>
          <t>ללא שינוי</t>
        </is>
      </c>
    </row>
    <row r="8">
      <c r="A8" s="75" t="inlineStr">
        <is>
          <t>גוד פארם</t>
        </is>
      </c>
      <c r="B8" s="76" t="n">
        <v>58.9</v>
      </c>
      <c r="C8" s="76" t="n">
        <v>58.9</v>
      </c>
      <c r="D8" s="77">
        <f>C8-B8</f>
        <v>0.0</v>
      </c>
      <c r="E8" s="78" t="inlineStr">
        <is>
          <t>ללא שינוי</t>
        </is>
      </c>
    </row>
    <row r="9">
      <c r="A9" s="75" t="inlineStr">
        <is>
          <t>גוד פארם מרכז</t>
        </is>
      </c>
      <c r="B9" s="76" t="n">
        <v>3566.8</v>
      </c>
      <c r="C9" s="76" t="n">
        <v>3566.8</v>
      </c>
      <c r="D9" s="77">
        <f>C9-B9</f>
        <v>0.0</v>
      </c>
      <c r="E9" s="78" t="inlineStr">
        <is>
          <t>ללא שינוי</t>
        </is>
      </c>
    </row>
    <row r="10">
      <c r="A10" s="75" t="inlineStr">
        <is>
          <t>הפרכל הפרפארם</t>
        </is>
      </c>
      <c r="B10" s="76" t="n">
        <v>526.9</v>
      </c>
      <c r="C10" s="76" t="n">
        <v>526.9</v>
      </c>
      <c r="D10" s="77">
        <f>C10-B10</f>
        <v>0.0</v>
      </c>
      <c r="E10" s="78" t="inlineStr">
        <is>
          <t>ללא שינוי</t>
        </is>
      </c>
    </row>
    <row r="11">
      <c r="A11" s="75" t="inlineStr">
        <is>
          <t>זיכויים BE</t>
        </is>
      </c>
      <c r="B11" s="76" t="n">
        <v>-17252</v>
      </c>
      <c r="C11" s="76" t="n">
        <v>-17252</v>
      </c>
      <c r="D11" s="77">
        <f>C11-B11</f>
        <v>0</v>
      </c>
      <c r="E11" s="78" t="inlineStr">
        <is>
          <t>ללא שינוי — נכלל כעת (ר' Pplay1!A15, PPLAY1_מקור!A12)</t>
        </is>
      </c>
    </row>
    <row r="12">
      <c r="A12" s="75" t="inlineStr">
        <is>
          <t>סופרפארם</t>
        </is>
      </c>
      <c r="B12" s="76" t="n">
        <v>600564.3</v>
      </c>
      <c r="C12" s="76" t="n">
        <v>647057.9</v>
      </c>
      <c r="D12" s="77">
        <f>C12-B12</f>
        <v>46493.6</v>
      </c>
      <c r="E12" s="78" t="inlineStr"/>
    </row>
    <row r="13">
      <c r="A13" s="75" t="inlineStr">
        <is>
          <t>שופרסל BE</t>
        </is>
      </c>
      <c r="B13" s="76" t="n">
        <v>86975.8</v>
      </c>
      <c r="C13" s="76" t="n">
        <v>90634.60000000001</v>
      </c>
      <c r="D13" s="77">
        <f>C13-B13</f>
        <v>3658.8</v>
      </c>
      <c r="E13" s="78" t="inlineStr"/>
    </row>
    <row r="14">
      <c r="A14" s="75" t="inlineStr">
        <is>
          <t>0קופות חולים</t>
        </is>
      </c>
      <c r="B14" s="76" t="n">
        <v>75519.3</v>
      </c>
      <c r="C14" s="76" t="n">
        <v>80561.10000000001</v>
      </c>
      <c r="D14" s="77">
        <f>C14-B14</f>
        <v>5041.8</v>
      </c>
      <c r="E14" s="78" t="inlineStr"/>
    </row>
    <row r="16">
      <c r="A16" s="74" t="inlineStr">
        <is>
          <t>סה"כ שורות קטגוריה (ללא "Customers")</t>
        </is>
      </c>
      <c r="B16" s="79">
        <f>SUM(B4:B14)</f>
        <v>1581160.4000000004</v>
      </c>
      <c r="C16" s="79">
        <f>SUM(C4:C14)</f>
        <v>1691429.3000000003</v>
      </c>
      <c r="D16" s="79">
        <f>SUM(D4:D14)</f>
        <v>110268.8999999999</v>
      </c>
    </row>
    <row r="19">
      <c r="A19" s="74" t="inlineStr">
        <is>
          <t>השפעת "זיכויים BE" על סך ה-BE (לקוח #7) — מכר נטו, מבוסס PPlay2 (הקובץ הראשי)</t>
        </is>
      </c>
    </row>
    <row r="20">
      <c r="A20" s="75" t="inlineStr">
        <is>
          <t>BE לפני זיכויים (אילת+הפרכל+שופרסל), מכר נטו</t>
        </is>
      </c>
      <c r="B20" s="77">
        <f>Pplay1!H6+Pplay1!H9+Pplay1!H11</f>
        <v>86218.132</v>
      </c>
    </row>
    <row r="21">
      <c r="A21" s="75" t="inlineStr">
        <is>
          <t>זיכויים BE, מכר נטו (שלילי)</t>
        </is>
      </c>
      <c r="B21" s="77">
        <f>Pplay1!H15</f>
        <v>-15699.32</v>
      </c>
    </row>
    <row r="22">
      <c r="A22" s="74" t="inlineStr">
        <is>
          <t>BE אחרי זיכויים, מכר נטו (= סה"כ!C5 בפועל)</t>
        </is>
      </c>
      <c r="B22" s="79">
        <f>SUMIF(Pplay1!$F$3:$F$15,7,Pplay1!$H$3:$H$15)</f>
        <v>70518.812</v>
      </c>
    </row>
    <row r="23">
      <c r="A23" s="78" t="inlineStr">
        <is>
          <t>בדיקת עקביות: (לפני) + (זיכויים) - (אחרי) — חייב להיות 0</t>
        </is>
      </c>
      <c r="B23" s="80">
        <f>B20+B21-B22</f>
        <v>0.0</v>
      </c>
    </row>
  </sheetData>
  <mergeCells count="2">
    <mergeCell ref="A1:E1"/>
    <mergeCell ref="A19:E19"/>
  </mergeCells>
  <pageMargins left="0.75" right="0.75" top="1" bottom="1" header="0.5" footer="0.5"/>
</worksheet>
</file>

<file path=xl/worksheets/sheet6.xml><?xml version="1.0" encoding="utf-8"?>
<worksheet xmlns="http://schemas.openxmlformats.org/spreadsheetml/2006/main">
  <sheetPr filterMode="0">
    <outlinePr summaryBelow="1" summaryRight="1"/>
    <pageSetUpPr fitToPage="0"/>
  </sheetPr>
  <dimension ref="A1:E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31" activeCellId="0" sqref="D31"/>
    </sheetView>
  </sheetViews>
  <sheetFormatPr baseColWidth="8" defaultColWidth="8.625" defaultRowHeight="14.25" zeroHeight="0" outlineLevelRow="0"/>
  <cols>
    <col width="45" customWidth="1" style="35" min="1" max="1"/>
    <col width="14" customWidth="1" style="35" min="4" max="4"/>
  </cols>
  <sheetData>
    <row r="1" ht="15" customHeight="1" s="36">
      <c r="A1" s="65" t="inlineStr">
        <is>
          <t>Source: CustomSalesbyCustomerSummary736.xls (e9fe2585), Meditex Group IL, Custom Sales by Customer Summary, 01 August 2026 - 31 August 2026 (סגירת אוגוסט מלאה), נמסר בבוקר שלמחרת (01/09/2026) ונשמר תחת תאריך התוכן 31/08/2026, לפי הבהרת המשתמש. הקובץ הוא בפועל SpreadsheetML XML עם סיומת .xls (לא בינארי) — נפרס ישירות עם xml.etree.ElementTree ללא צורך ב-LibreOffice (שבור בסביבה ברמת תשתית). נשלפו 16 שורות הסיכום (קטגוריה) שיש להן מכירות עד כה החודש, מתוך 28 הקטגוריות במקרא "ריכוז" (12 הקטגוריות הנותרות אין להן מכירות עדיין החודש — תקין ל-MTD, לא נתון חסר). לעומת 30/08, אותן 16 קטגוריות בדיוק — עלייה טבעית בסכומים המצטברים בכל השורות (כעת סגורים לכל החודש). לא יובאו שורות פירוט חשבוניות/לקוחות-בת מהדוח הגולמי (2,380 שורות בקובץ המקור), לפי מוסכמת עבודה. סה"כ שורת "Total" בדוח הגולמי המלא: ₪1,325,699.70 — תואם בדיוק לסכום 16 שורות הקטגוריה שנשלפו, ובוצעה גם בדיקה מלאה שאין שורת "Total -" נוספת מחוץ ל-28 המקרא — לא נמצאה חריגה.</t>
        </is>
      </c>
    </row>
    <row r="2" ht="15" customHeight="1" s="36">
      <c r="A2" s="59" t="inlineStr">
        <is>
          <t>Customer</t>
        </is>
      </c>
      <c r="D2" s="59" t="inlineStr">
        <is>
          <t>Sales</t>
        </is>
      </c>
    </row>
    <row r="3" ht="15" customHeight="1" s="36">
      <c r="A3" s="61" t="inlineStr">
        <is>
          <t>102 - Orthopedic institutes</t>
        </is>
      </c>
      <c r="D3" s="64" t="n">
        <v>76847.55</v>
      </c>
    </row>
    <row r="4" ht="15" customHeight="1" s="36">
      <c r="A4" s="61" t="inlineStr">
        <is>
          <t>111 - Superpharm Life</t>
        </is>
      </c>
      <c r="D4" s="64" t="n">
        <v>299421.55</v>
      </c>
    </row>
    <row r="5" ht="15" customHeight="1" s="36">
      <c r="A5" s="61" t="inlineStr">
        <is>
          <t>103 - Physiotherapy institutes</t>
        </is>
      </c>
      <c r="D5" s="64" t="n">
        <v>10118.69</v>
      </c>
    </row>
    <row r="6" ht="15" customHeight="1" s="36">
      <c r="A6" s="61" t="inlineStr">
        <is>
          <t>101 - Factory customers</t>
        </is>
      </c>
      <c r="D6" s="64" t="n">
        <v>4321.85</v>
      </c>
    </row>
    <row r="7" ht="15" customHeight="1" s="36">
      <c r="A7" s="61" t="inlineStr">
        <is>
          <t>107 - Pharmacies</t>
        </is>
      </c>
      <c r="D7" s="64" t="n">
        <v>16310.32</v>
      </c>
    </row>
    <row r="8" ht="15" customHeight="1" s="36">
      <c r="A8" s="61" t="inlineStr">
        <is>
          <t>112 - Kupat Holim Clalit</t>
        </is>
      </c>
      <c r="D8" s="64" t="n">
        <v>295436</v>
      </c>
    </row>
    <row r="9" ht="15" customHeight="1" s="36">
      <c r="A9" s="61" t="inlineStr">
        <is>
          <t>114 - IL online</t>
        </is>
      </c>
      <c r="D9" s="64" t="n">
        <v>391167.74</v>
      </c>
    </row>
    <row r="10" ht="14.25" customHeight="1" s="36">
      <c r="A10" s="61" t="inlineStr">
        <is>
          <t>115-SuperPharm Online</t>
        </is>
      </c>
      <c r="D10" s="64" t="n">
        <v>1484.7</v>
      </c>
    </row>
    <row r="11" ht="14.25" customHeight="1" s="36">
      <c r="A11" s="61" t="inlineStr">
        <is>
          <t>202 - Super-Pharm POLAND</t>
        </is>
      </c>
      <c r="D11" s="64" t="n">
        <v>132101.57</v>
      </c>
    </row>
    <row r="12" ht="14.25" customHeight="1" s="36">
      <c r="A12" s="66" t="inlineStr">
        <is>
          <t>214 - Alfred Gera&amp; Sons Ltd. MALTA</t>
        </is>
      </c>
      <c r="B12" s="67" t="n"/>
      <c r="C12" s="67" t="n"/>
      <c r="D12" s="68" t="n">
        <v>26105.72</v>
      </c>
      <c r="E12" s="69" t="n"/>
    </row>
    <row r="13" ht="14.25" customHeight="1" s="36">
      <c r="A13" s="66" t="inlineStr">
        <is>
          <t>213 - E.f.m.o. SPAIN</t>
        </is>
      </c>
      <c r="B13" s="67" t="n"/>
      <c r="C13" s="67" t="n"/>
      <c r="D13" s="68" t="n">
        <v>18350.05</v>
      </c>
      <c r="E13" s="69" t="n"/>
    </row>
    <row r="14" ht="14.25" customHeight="1" s="36">
      <c r="A14" s="61" t="inlineStr">
        <is>
          <t>209 - Ortoprofil Prod ROMANIA</t>
        </is>
      </c>
      <c r="D14" s="62" t="n">
        <v>30237.69</v>
      </c>
    </row>
    <row r="15" ht="14.25" customHeight="1" s="36">
      <c r="A15" s="61" t="inlineStr">
        <is>
          <t>109 - Private Shops</t>
        </is>
      </c>
      <c r="D15" s="62" t="n">
        <v>2043.68</v>
      </c>
    </row>
    <row r="16" ht="14.25" customHeight="1" s="36">
      <c r="A16" s="35" t="inlineStr">
        <is>
          <t>203 - Ortho- Partner ag SWITZERLAND</t>
        </is>
      </c>
      <c r="D16" s="35" t="n">
        <v>10986.57</v>
      </c>
    </row>
    <row r="17" ht="14.25" customHeight="1" s="36">
      <c r="A17" s="35" t="inlineStr">
        <is>
          <t>105 - Pedicure Salons</t>
        </is>
      </c>
      <c r="D17" s="35" t="n">
        <v>728.87</v>
      </c>
    </row>
    <row r="18" ht="14.25" customHeight="1" s="36">
      <c r="A18" s="35" t="inlineStr">
        <is>
          <t>211 - Pharmag Lachmair Ges. Mbh AUSTRIA</t>
        </is>
      </c>
      <c r="D18" s="35" t="n">
        <v>10037.15</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C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35" activeCellId="0" sqref="D35"/>
    </sheetView>
  </sheetViews>
  <sheetFormatPr baseColWidth="8" defaultColWidth="8.625" defaultRowHeight="14.25" zeroHeight="0" outlineLevelRow="0"/>
  <cols>
    <col width="16" customWidth="1" style="35" min="1" max="1"/>
    <col width="14" customWidth="1" style="35" min="2" max="2"/>
    <col width="48" customWidth="1" style="35" min="3" max="3"/>
  </cols>
  <sheetData>
    <row r="1" ht="15" customHeight="1" s="36">
      <c r="A1" s="65" t="inlineStr">
        <is>
          <t>Source: צילום מסך שסופק על ידי המשתמש (ראובן), לוח בקרה Sellerboard "Month to date, 1-31 August 2026" (סגירת אוגוסט מלאה — נלקח בבוקר שלמחרת, 01/09/2026, ונשמר תחת תאריך התוכן 31/08/2026 לפי הבהרת המשתמש). אין קובץ תמונה מקורי בהישג יד — הנתונים נמסרו כתמלול טקסטואלי מדויק של צילום המסך בהודעת המשתמש (לא כקובץ מצורף). נתונים נוספים בצילום (לא בשימוש בנוסחה): Sales -8.2% מול תקופה קודמת, Orders/Units 2,333/2,396, Refunds 182, Est. payout $25,150.65, Gross profit $11,915.79, Net profit $11,915.79 (-2.8%) — כפי שמוצג בצילום המקור (Net profit זהה ל-Gross profit בתמונה, תמלול מדויק).</t>
        </is>
      </c>
    </row>
    <row r="2" ht="15" customHeight="1" s="36">
      <c r="A2" s="59" t="inlineStr">
        <is>
          <t>תיאור</t>
        </is>
      </c>
      <c r="B2" s="59" t="inlineStr">
        <is>
          <t>סכום ($)</t>
        </is>
      </c>
      <c r="C2" s="59" t="inlineStr">
        <is>
          <t>הערה</t>
        </is>
      </c>
    </row>
    <row r="3" ht="15" customHeight="1" s="36">
      <c r="A3" s="61" t="inlineStr">
        <is>
          <t>Sales</t>
        </is>
      </c>
      <c r="B3" s="62" t="n">
        <v>72936.42999999999</v>
      </c>
      <c r="C3" s="65" t="inlineStr">
        <is>
          <t>משמש בנוסחת סהכ!C20: =(Sales+Refund cost)×3</t>
        </is>
      </c>
    </row>
    <row r="4" ht="15" customHeight="1" s="36">
      <c r="A4" s="61" t="inlineStr">
        <is>
          <t>Refund cost</t>
        </is>
      </c>
      <c r="B4" s="62" t="n">
        <v>-5405.68</v>
      </c>
      <c r="C4" s="65" t="inlineStr">
        <is>
          <t>מכפיל ×3 לפי הנחיית המשתמש (לא מתועד במקור התמונה)</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Eyal Sadot</dc:creator>
  <dc:language>en-US</dc:language>
  <dcterms:created xsi:type="dcterms:W3CDTF">2026-08-01T12:16:05Z</dcterms:created>
  <dcterms:modified xsi:type="dcterms:W3CDTF">2026-09-02T09:31:21Z</dcterms:modified>
  <cp:lastModifiedBy>Eyal Sadot</cp:lastModifiedBy>
  <cp:revision>0</cp:revision>
</cp:coreProperties>
</file>