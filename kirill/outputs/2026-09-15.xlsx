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<sst xmlns="http://schemas.openxmlformats.org/spreadsheetml/2006/main" count="126" uniqueCount="102">
  <si>
    <t xml:space="preserve">דוח מכירות ספטמבר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</si>
  <si>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</si>
  <si>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</si>
  <si>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</si>
  <si>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</si>
  <si>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</si>
  <si>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</si>
  <si>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</si>
  <si>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</si>
  <si>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</si>
  <si>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</si>
  <si>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</si>
  <si>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</si>
  <si>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</si>
  <si>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</si>
  <si>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</si>
  <si>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</si>
  <si>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</si>
  <si>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</si>
  <si>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</si>
  <si>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</si>
  <si>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</si>
  <si>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</si>
  <si>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</si>
  <si>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</si>
  <si>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</si>
  <si>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</si>
  <si>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</si>
  <si>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</si>
  <si>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</si>
  <si>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</si>
  <si>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</si>
  <si>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</si>
  <si>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</si>
  <si>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</si>
  <si>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</si>
  <si>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</si>
  <si>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</si>
  <si>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</si>
  <si>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</si>
  <si>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</si>
  <si>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</si>
  <si>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</si>
  <si>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</si>
  <si>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</si>
  <si>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</si>
  <si>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</si>
  <si>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</si>
  <si>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</si>
  <si>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</si>
  <si>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</si>
  <si>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</si>
  <si>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</si>
  <si>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</si>
  <si>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</si>
  <si>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</si>
  <si>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</si>
  <si>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</si>
  <si>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</si>
  <si>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</si>
  <si>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</si>
  <si>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</si>
  <si>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</si>
  <si>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</si>
  <si>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</si>
  <si>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</si>
  <si>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</si>
  <si>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</si>
  <si>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</si>
  <si>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</si>
  <si>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</si>
  <si>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</si>
  <si>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</si>
  <si>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</si>
  <si>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</si>
  <si>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</si>
  <si>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</si>
  <si>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</si>
  <si>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</si>
  <si>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</si>
  <si>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</si>
  <si>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</si>
  <si>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</si>
  <si>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</si>
  <si>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</si>
  <si>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</si>
  <si>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</si>
  <si>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</si>
  <si>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</si>
  <si>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</si>
  <si>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PPlay1.xlsx (008c9e32), "PPlay1 of uriel (Reporter)", נוצר 15/09/2026 09:44:55, תקופה 2026/Sep (המשך MTD ספטמבר). חותמת הזמן אומתה מול תאריך ההכנה שנמסר (15/09/2026) — תואמת במדויק. נשלפו 9 שורות קטגוריה שיש להן נתונים עד כה החודש, מתוך 13 הקטגוריות במקרא גיליון Pplay1 (12 המקוריות + "זיכויים BE"). 4 קטגוריות נותרות ללא נתונים עדיין החודש (0מפיצי משנה, גוד פארם מרכז, 0צרכנים פרטיים, 0שונות; תקין ל-MTD, לא נתון חסר). "זיכויים BE" ממשיכה להופיע עם אותו ערך שלילי כמו ב-14/09/2026: ₪-262.5 — כלומר לא נרשמו זיכויי BE חדשים ביום האחרון; ממופה כרגיל ללקוח #7 (BE) לפי הכלל הקבוע ב-kirill.md. שאר הקטגוריות: 0בתי מרקחת, 0פארמים, שופרסל BE ו-0קופות חולים המשיכו לצמוח באופן טבעי מאז 14/09; אילת BE, גוד פארם, הפרכל הפרפארם וסופרפארם הציגו סכום זהה ל-14/09 (אין נתון חדש/תנועה נוספת בתקופה). שורת "Customers" בדוח המקור (₪313,956.3) היא שורת סה"כ-אב ואינה שווה לסכום שורות הקטגוריה (תקין וצפוי, כרגיל) — לא יובאה. מכר נטו = עמודה B × 0.91 (מקדם קבוע, מאושר ב-kirill.md; חל גם על ערך שלילי). הערת שקיפות טכנית: הקובץ הגולמי (xlsx תקני) נכשל בטעינה ישירה ע"י openpyxl עקב rgb="auto" לא תקין ב-xl/styles.xml המוצהר בקידוד windows-1255 — תוקן ע"י פענוח windows-1255, החלפת rgb="auto"→rgb="00000000" ושינוי הצהרת הקידוד ל-UTF-8, ללא LibreOffice.</t>
  </si>
  <si>
    <t xml:space="preserve">2026/Sep (סכום גולמי, MTD)</t>
  </si>
  <si>
    <t xml:space="preserve">הערה</t>
  </si>
  <si>
    <t xml:space="preserve">Source: CustomSalesbyCustomerSummary986.xlsx (07c67b8a), Meditex Group IL, Custom Sales by Customer Summary, 01 September 2026 - 30 September 2026, נמסר 15/09/2026. קובץ xlsx תקני (2007+) — נטען ישירות ע"י openpyxl ללא צורך בתיקון קידוד. נשלפו 9 שורות הסיכום (קטגוריה) שיש להן מכירות עד כה החודש, מתוך 28 הקטגוריות במקרא "ריכוז" (19 הקטגוריות הנותרות אין להן מכירות עדיין החודש — תקין ל-MTD, לא נתון חסר). לעומת 14/09: 106 Hospitals ו-209 Ortoprofil Romania נותרו ללא שינוי (אין תנועה חדשה בתקופה); 102 Orthopedic institutes, 103 Physiotherapy, 109 Private Shops, 101 Factory customers, 107 Pharmacies, 112 Kupat Holim Clalit ו-114 IL online המשיכו לצמוח. לא יובאו שורות פירוט חשבוניות/לקוחות-בת מהדוח הגולמי (1080 שורות בקובץ המקור), לפי מוסכמת עבודה. סה"כ שורת "Total" בדוח הגולמי המלא: ₪391,551.01 — תואם בדיוק לסכום 9 שורות הקטגוריה שנשלפו, ובוצעה גם בדיקה מלאה שאין שורת "Total -" נוספת מחוץ ל-28 המקרא — לא נמצאה חריגה.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</si>
  <si>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</si>
  <si>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</si>
  <si>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1-14 September 2026", נמסר 15/09/2026, כקובץ תמונה מצורף בפועל (amazon_screenshot_0915.png) — נקרא ישירות מהתמונה, לא מתמלול טקסטואלי. נתונים נוספים בצילום (לא בשימוש בנוסחה): Sales -4.0% מול תקופה קודמת, Orders/Units 1,007/1,036, Refunds 99, Est. payout $12,190.15, Gross profit $5,935.01, Net profit $5,935.01 (-10.1%) — כפי שמוצג בצילום המקור (Net profit זהה ל-Gross profit בתמונה, כפי שמופיע במקור).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</si>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</sst>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46280</v>
      </c>
      <c r="C2" s="6" t="n">
        <v>9.2026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SUMIF(Pplay1!$F$3:$F$15,A3,Pplay1!$H$3:$H$15)+SUMIF(ריכוז!$B$3:$B$30,A3,ריכוז!$C$3:$C$30)</f>
        <v>0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SUMIF(Pplay1!$F$3:$F$15,A4,Pplay1!$H$3:$H$15)+SUMIF(ריכוז!$B$3:$B$30,A4,ריכוז!$C$3:$C$30)</f>
        <v>163838.948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SUMIF(Pplay1!$F$3:$F$15,A5,Pplay1!$H$3:$H$15)+SUMIF(ריכוז!$B$3:$B$30,A5,ריכוז!$C$3:$C$30)</f>
        <v>23807.056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SUMIF(Pplay1!$F$3:$F$15,A6,Pplay1!$H$3:$H$15)+SUMIF(ריכוז!$B$3:$B$30,A6,ריכוז!$C$3:$C$30)</f>
        <v>72799.408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SUMIF(Pplay1!$F$3:$F$15,A7,Pplay1!$H$3:$H$15)+SUMIF(ריכוז!$B$3:$B$30,A7,ריכוז!$C$3:$C$30)</f>
        <v>137285.9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SUMIF(Pplay1!$F$3:$F$15,A8,Pplay1!$H$3:$H$15)+SUMIF(ריכוז!$B$3:$B$30,A8,ריכוז!$C$3:$C$30)</f>
        <v>29639.792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SUMIF(Pplay1!$F$3:$F$15,A9,Pplay1!$H$3:$H$15)+SUMIF(ריכוז!$B$3:$B$30,A9,ריכוז!$C$3:$C$30)</f>
        <v>28135.46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SUMIF(Pplay1!$F$3:$F$15,A10,Pplay1!$H$3:$H$15)+SUMIF(ריכוז!$B$3:$B$30,A10,ריכוז!$C$3:$C$30)</f>
        <v>10237.3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SUMIF(Pplay1!$F$3:$F$15,A11,Pplay1!$H$3:$H$15)+SUMIF(ריכוז!$B$3:$B$30,A11,ריכוז!$C$3:$C$30)</f>
        <v>6163.08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SUMIF(Pplay1!$F$3:$F$15,A12,Pplay1!$H$3:$H$15)+SUMIF(ריכוז!$B$3:$B$30,A12,ריכוז!$C$3:$C$30)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SUMIF(Pplay1!$F$3:$F$15,A13,Pplay1!$H$3:$H$15)+SUMIF(ריכוז!$B$3:$B$30,A13,ריכוז!$C$3:$C$30)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SUMIF(Pplay1!$F$3:$F$15,A14,Pplay1!$H$3:$H$15)+SUMIF(ריכוז!$B$3:$B$30,A14,ריכוז!$C$3:$C$30)</f>
        <v>3512.91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SUMIF(Pplay1!$F$3:$F$15,A15,Pplay1!$H$3:$H$15)+SUMIF(ריכוז!$B$3:$B$30,A15,ריכוז!$C$3:$C$30)</f>
        <v>5923.02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481342.874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SUMIF(Pplay1!$F$3:$F$15,A17,Pplay1!$H$3:$H$15)+SUMIF(ריכוז!$B$3:$B$30,A17,ריכוז!$C$3:$C$30)</f>
        <v>170478.270000003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SUMIF(Pplay1!$F$3:$F$15,A18,Pplay1!$H$3:$H$15)+SUMIF(ריכוז!$B$3:$B$30,A18,ריכוז!$C$3:$C$30)</f>
        <v>0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651821.144000003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92225.4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SUMIF(Pplay1!$F$3:$F$15,A21,Pplay1!$H$3:$H$15)+SUMIF(ריכוז!$B$3:$B$30,A21,ריכוז!$C$3:$C$30)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SUMIF(Pplay1!$F$3:$F$15,A22,Pplay1!$H$3:$H$15)+SUMIF(ריכוז!$B$3:$B$30,A22,ריכוז!$C$3:$C$30)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SUMIF(Pplay1!$F$3:$F$15,A23,Pplay1!$H$3:$H$15)+SUMIF(ריכוז!$B$3:$B$30,A23,ריכוז!$C$3:$C$30)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SUMIF(Pplay1!$F$3:$F$15,A24,Pplay1!$H$3:$H$15)+SUMIF(ריכוז!$B$3:$B$30,A24,ריכוז!$C$3:$C$30)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SUMIF(Pplay1!$F$3:$F$15,A25,Pplay1!$H$3:$H$15)+SUMIF(ריכוז!$B$3:$B$30,A25,ריכוז!$C$3:$C$30)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SUMIF(Pplay1!$F$3:$F$15,A26,Pplay1!$H$3:$H$15)+SUMIF(ריכוז!$B$3:$B$30,A26,ריכוז!$C$3:$C$30)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SUMIF(Pplay1!$F$3:$F$15,A27,Pplay1!$H$3:$H$15)+SUMIF(ריכוז!$B$3:$B$30,A27,ריכוז!$C$3:$C$30)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SUMIF(Pplay1!$F$3:$F$15,A28,Pplay1!$H$3:$H$15)+SUMIF(ריכוז!$B$3:$B$30,A28,ריכוז!$C$3:$C$30)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SUMIF(Pplay1!$F$3:$F$15,A29,Pplay1!$H$3:$H$15)+SUMIF(ריכוז!$B$3:$B$30,A29,ריכוז!$C$3:$C$30)</f>
        <v>25430.19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SUMIF(Pplay1!$F$3:$F$15,A30,Pplay1!$H$3:$H$15)+SUMIF(ריכוז!$B$3:$B$30,A30,ריכוז!$C$3:$C$30)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SUMIF(Pplay1!$F$3:$F$15,A31,Pplay1!$H$3:$H$15)+SUMIF(ריכוז!$B$3:$B$30,A31,ריכוז!$C$3:$C$30)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SUMIF(Pplay1!$F$3:$F$15,A32,Pplay1!$H$3:$H$15)+SUMIF(ריכוז!$B$3:$B$30,A32,ריכוז!$C$3:$C$30)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SUMIF(Pplay1!$F$3:$F$15,A33,Pplay1!$H$3:$H$15)+SUMIF(ריכוז!$B$3:$B$30,A33,ריכוז!$C$3:$C$30)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SUMIF(Pplay1!$F$3:$F$15,A34,Pplay1!$H$3:$H$15)+SUMIF(ריכוז!$B$3:$B$30,A34,ריכוז!$C$3:$C$30)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SUMIF(Pplay1!$F$3:$F$15,A35,Pplay1!$H$3:$H$15)+SUMIF(ריכוז!$B$3:$B$30,A35,ריכוז!$C$3:$C$30)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SUMIF(Pplay1!$F$3:$F$15,A36,Pplay1!$H$3:$H$15)+SUMIF(ריכוז!$B$3:$B$30,A36,ריכוז!$C$3:$C$30)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SUMIF(Pplay1!$F$3:$F$15,A37,Pplay1!$H$3:$H$15)+SUMIF(ריכוז!$B$3:$B$30,A37,ריכוז!$C$3:$C$30)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SUMIF(Pplay1!$F$3:$F$15,A38,Pplay1!$H$3:$H$15)+SUMIF(ריכוז!$B$3:$B$30,A38,ריכוז!$C$3:$C$30)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SUMIF(Pplay1!$F$3:$F$15,A39,Pplay1!$H$3:$H$15)+SUMIF(ריכוז!$B$3:$B$30,A39,ריכוז!$C$3:$C$30)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117655.59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769476.734000003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74308.9</v>
      </c>
      <c r="H3" s="27" t="n">
        <f aca="false">IF(G3="","",G3*0.91)</f>
        <v>67621.099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str">
        <f aca="false">IFERROR(INDEX(PPLAY1_מקור!$B:$B,MATCH(A4,PPLAY1_מקור!$A:$A,0)),"")</f>
        <v/>
      </c>
      <c r="H4" s="27" t="str">
        <f aca="false">IF(G4="","",G4*0.91)</f>
        <v/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207076.2</v>
      </c>
      <c r="H5" s="27" t="n">
        <f aca="false">IF(G5="","",G5*0.91)</f>
        <v>188439.342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2445.9</v>
      </c>
      <c r="H6" s="27" t="n">
        <f aca="false">IF(G6="","",G6*0.91)</f>
        <v>2225.769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871.9</v>
      </c>
      <c r="H7" s="27" t="n">
        <f aca="false">IF(G7="","",G7*0.91)</f>
        <v>793.429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163.5</v>
      </c>
      <c r="H9" s="27" t="n">
        <f aca="false">IF(G9="","",G9*0.91)</f>
        <v>148.785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180042.8</v>
      </c>
      <c r="H10" s="27" t="n">
        <f aca="false">IF(G10="","",G10*0.91)</f>
        <v>163838.948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23814.7</v>
      </c>
      <c r="H11" s="27" t="n">
        <f aca="false">IF(G11="","",G11*0.91)</f>
        <v>21671.377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32571.2</v>
      </c>
      <c r="H13" s="27" t="n">
        <f aca="false">IF(G13="","",G13*0.91)</f>
        <v>29639.792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fals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IFERROR(INDEX(PPLAY1_מקור!$B:$B,MATCH(A15,PPLAY1_מקור!$A:$A,0)),"")</f>
        <v>-262.5</v>
      </c>
      <c r="H15" s="27" t="n">
        <f aca="false">IF(G15="","",G15*0.91)</f>
        <v>-238.875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60</v>
      </c>
      <c r="C1" s="24" t="s">
        <v>61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62</v>
      </c>
      <c r="B3" s="1" t="n">
        <v>6</v>
      </c>
      <c r="C3" s="27" t="n">
        <f aca="false">IFERROR(INDEX(NetSuite_מקור!$D:$D,MATCH(A3,NetSuite_מקור!$A:$A,0)),"")</f>
        <v>28135.46</v>
      </c>
    </row>
    <row r="4" customFormat="false" ht="14.25" hidden="false" customHeight="true" outlineLevel="0" collapsed="false">
      <c r="A4" s="28" t="s">
        <v>63</v>
      </c>
      <c r="B4" s="1" t="n">
        <v>5</v>
      </c>
      <c r="C4" s="27" t="str">
        <f aca="false">IFERROR(INDEX(NetSuite_מקור!$D:$D,MATCH(A4,NetSuite_מקור!$A:$A,0)),"")</f>
        <v/>
      </c>
    </row>
    <row r="5" customFormat="false" ht="14.25" hidden="false" customHeight="true" outlineLevel="0" collapsed="false">
      <c r="A5" s="28" t="s">
        <v>64</v>
      </c>
      <c r="B5" s="1" t="n">
        <v>9</v>
      </c>
      <c r="C5" s="27" t="n">
        <f aca="false">IFERROR(INDEX(NetSuite_מקור!$D:$D,MATCH(A5,NetSuite_מקור!$A:$A,0)),"")</f>
        <v>5923.02</v>
      </c>
    </row>
    <row r="6" customFormat="false" ht="14.25" hidden="false" customHeight="true" outlineLevel="0" collapsed="false">
      <c r="A6" s="28" t="s">
        <v>65</v>
      </c>
      <c r="B6" s="1" t="n">
        <v>11</v>
      </c>
      <c r="C6" s="27" t="n">
        <f aca="false">IFERROR(INDEX(NetSuite_מקור!$D:$D,MATCH(A6,NetSuite_מקור!$A:$A,0)),"")</f>
        <v>6163.08</v>
      </c>
    </row>
    <row r="7" customFormat="false" ht="14.25" hidden="false" customHeight="true" outlineLevel="0" collapsed="false">
      <c r="A7" s="28" t="s">
        <v>66</v>
      </c>
      <c r="B7" s="1" t="n">
        <v>10</v>
      </c>
      <c r="C7" s="27" t="n">
        <f aca="false">IFERROR(INDEX(NetSuite_מקור!$D:$D,MATCH(A7,NetSuite_מקור!$A:$A,0)),"")</f>
        <v>10237.3</v>
      </c>
    </row>
    <row r="8" customFormat="false" ht="14.25" hidden="false" customHeight="true" outlineLevel="0" collapsed="false">
      <c r="A8" s="28" t="s">
        <v>67</v>
      </c>
      <c r="B8" s="1" t="n">
        <v>4</v>
      </c>
      <c r="C8" s="27" t="n">
        <f aca="false">IFERROR(INDEX(NetSuite_מקור!$D:$D,MATCH(A8,NetSuite_מקור!$A:$A,0)),"")</f>
        <v>4384.88</v>
      </c>
    </row>
    <row r="9" customFormat="false" ht="14.25" hidden="false" customHeight="true" outlineLevel="0" collapsed="false">
      <c r="A9" s="28" t="s">
        <v>68</v>
      </c>
      <c r="B9" s="1" t="n">
        <v>13</v>
      </c>
      <c r="C9" s="27" t="n">
        <f aca="false">IFERROR(INDEX(NetSuite_מקור!$D:$D,MATCH(A9,NetSuite_מקור!$A:$A,0)),"")</f>
        <v>3512.91</v>
      </c>
    </row>
    <row r="10" customFormat="false" ht="14.25" hidden="false" customHeight="true" outlineLevel="0" collapsed="false">
      <c r="A10" s="28" t="s">
        <v>69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70</v>
      </c>
      <c r="B11" s="1" t="n">
        <v>3</v>
      </c>
      <c r="C11" s="27" t="n">
        <f aca="false">IFERROR(INDEX(NetSuite_מקור!$D:$D,MATCH(A11,NetSuite_מקור!$A:$A,0)),"")</f>
        <v>137285.9</v>
      </c>
    </row>
    <row r="12" customFormat="false" ht="14.25" hidden="false" customHeight="true" outlineLevel="0" collapsed="false">
      <c r="A12" s="28" t="s">
        <v>71</v>
      </c>
      <c r="B12" s="1" t="n">
        <v>2</v>
      </c>
      <c r="C12" s="27" t="n">
        <f aca="false">IFERROR(INDEX(NetSuite_מקור!$D:$D,MATCH(A12,NetSuite_מקור!$A:$A,0)),"")</f>
        <v>170478.270000003</v>
      </c>
    </row>
    <row r="13" customFormat="false" ht="14.25" hidden="false" customHeight="true" outlineLevel="0" collapsed="false">
      <c r="A13" s="28" t="s">
        <v>72</v>
      </c>
      <c r="B13" s="1" t="n">
        <v>12</v>
      </c>
      <c r="C13" s="27" t="str">
        <f aca="false">IFERROR(INDEX(NetSuite_מקור!$D:$D,MATCH(A13,NetSuite_מקור!$A:$A,0)),"")</f>
        <v/>
      </c>
    </row>
    <row r="14" customFormat="false" ht="14.25" hidden="false" customHeight="true" outlineLevel="0" collapsed="false">
      <c r="A14" s="28" t="s">
        <v>73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74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75</v>
      </c>
      <c r="B16" s="1" t="n">
        <v>28</v>
      </c>
      <c r="C16" s="27" t="n">
        <f aca="false">IFERROR(INDEX(NetSuite_מקור!$D:$D,MATCH(A16,NetSuite_מקור!$A:$A,0)),"")</f>
        <v>25430.19</v>
      </c>
    </row>
    <row r="17" customFormat="false" ht="14.25" hidden="false" customHeight="true" outlineLevel="0" collapsed="false">
      <c r="A17" s="28" t="s">
        <v>76</v>
      </c>
      <c r="B17" s="1" t="n">
        <v>20</v>
      </c>
      <c r="C17" s="29" t="str">
        <f aca="false">IFERROR(INDEX(NetSuite_מקור!$D:$D,MATCH(A17,NetSuite_מקור!$A:$A,0)),"")</f>
        <v/>
      </c>
    </row>
    <row r="18" customFormat="false" ht="14.25" hidden="false" customHeight="true" outlineLevel="0" collapsed="false">
      <c r="A18" s="28" t="s">
        <v>77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78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79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80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81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82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83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84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85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86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87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88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89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90</v>
      </c>
      <c r="B1" s="24" t="s">
        <v>91</v>
      </c>
      <c r="C1" s="24" t="s">
        <v>47</v>
      </c>
      <c r="D1" s="24" t="s">
        <v>92</v>
      </c>
    </row>
    <row r="2" customFormat="false" ht="14.25" hidden="false" customHeight="true" outlineLevel="0" collapsed="false">
      <c r="A2" s="26" t="s">
        <v>48</v>
      </c>
      <c r="B2" s="27" t="n">
        <v>74308.9</v>
      </c>
      <c r="C2" s="27" t="n">
        <f aca="false">B2*0.91</f>
        <v>67621.099</v>
      </c>
      <c r="D2" s="30"/>
    </row>
    <row r="3" customFormat="false" ht="14.25" hidden="false" customHeight="true" outlineLevel="0" collapsed="false">
      <c r="A3" s="26" t="s">
        <v>50</v>
      </c>
      <c r="B3" s="27" t="n">
        <v>207076.2</v>
      </c>
      <c r="C3" s="27" t="n">
        <f aca="false">B3*0.91</f>
        <v>188439.342</v>
      </c>
      <c r="D3" s="30"/>
    </row>
    <row r="4" customFormat="false" ht="14.25" hidden="false" customHeight="true" outlineLevel="0" collapsed="false">
      <c r="A4" s="26" t="s">
        <v>51</v>
      </c>
      <c r="B4" s="27" t="n">
        <v>2445.9</v>
      </c>
      <c r="C4" s="27" t="n">
        <f aca="false">B4*0.91</f>
        <v>2225.769</v>
      </c>
      <c r="D4" s="30"/>
    </row>
    <row r="5" customFormat="false" ht="14.25" hidden="false" customHeight="true" outlineLevel="0" collapsed="false">
      <c r="A5" s="26" t="s">
        <v>54</v>
      </c>
      <c r="B5" s="27" t="n">
        <v>163.5</v>
      </c>
      <c r="C5" s="27" t="n">
        <f aca="false">B5*0.91</f>
        <v>148.785</v>
      </c>
      <c r="D5" s="30"/>
    </row>
    <row r="6" customFormat="false" ht="14.25" hidden="false" customHeight="true" outlineLevel="0" collapsed="false">
      <c r="A6" s="26" t="s">
        <v>59</v>
      </c>
      <c r="B6" s="27" t="n">
        <v>-262.5</v>
      </c>
      <c r="C6" s="27" t="n">
        <f aca="false">B6*0.91</f>
        <v>-238.875</v>
      </c>
      <c r="D6" s="30"/>
    </row>
    <row r="7" customFormat="false" ht="14.25" hidden="false" customHeight="true" outlineLevel="0" collapsed="false">
      <c r="A7" s="26" t="s">
        <v>3</v>
      </c>
      <c r="B7" s="27" t="n">
        <v>180042.8</v>
      </c>
      <c r="C7" s="27" t="n">
        <f aca="false">B7*0.91</f>
        <v>163838.948</v>
      </c>
      <c r="D7" s="30"/>
    </row>
    <row r="8" customFormat="false" ht="14.25" hidden="false" customHeight="true" outlineLevel="0" collapsed="false">
      <c r="A8" s="26" t="s">
        <v>55</v>
      </c>
      <c r="B8" s="27" t="n">
        <v>23814.7</v>
      </c>
      <c r="C8" s="27" t="n">
        <f aca="false">B8*0.91</f>
        <v>21671.377</v>
      </c>
      <c r="D8" s="30"/>
    </row>
    <row r="9" customFormat="false" ht="14.25" hidden="false" customHeight="true" outlineLevel="0" collapsed="false">
      <c r="A9" s="26" t="s">
        <v>57</v>
      </c>
      <c r="B9" s="27" t="n">
        <v>32571.2</v>
      </c>
      <c r="C9" s="27" t="n">
        <f aca="false">B9*0.91</f>
        <v>29639.792</v>
      </c>
    </row>
    <row r="10" customFormat="false" ht="14.25" hidden="false" customHeight="true" outlineLevel="0" collapsed="false">
      <c r="A10" s="26" t="s">
        <v>52</v>
      </c>
      <c r="B10" s="27" t="n">
        <v>871.9</v>
      </c>
      <c r="C10" s="27" t="n">
        <f aca="false">B10*0.91</f>
        <v>793.429</v>
      </c>
    </row>
    <row r="11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93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62</v>
      </c>
      <c r="D3" s="29" t="n">
        <v>28135.46</v>
      </c>
    </row>
    <row r="4" customFormat="false" ht="15" hidden="false" customHeight="true" outlineLevel="0" collapsed="false">
      <c r="A4" s="26" t="s">
        <v>64</v>
      </c>
      <c r="D4" s="29" t="n">
        <v>5923.02</v>
      </c>
    </row>
    <row r="5" customFormat="false" ht="15" hidden="false" customHeight="true" outlineLevel="0" collapsed="false">
      <c r="A5" s="26" t="s">
        <v>65</v>
      </c>
      <c r="D5" s="29" t="n">
        <v>6163.08</v>
      </c>
    </row>
    <row r="6" customFormat="false" ht="15" hidden="false" customHeight="true" outlineLevel="0" collapsed="false">
      <c r="A6" s="26" t="s">
        <v>66</v>
      </c>
      <c r="D6" s="29" t="n">
        <v>10237.3</v>
      </c>
    </row>
    <row r="7" customFormat="false" ht="15" hidden="false" customHeight="true" outlineLevel="0" collapsed="false">
      <c r="A7" s="26" t="s">
        <v>67</v>
      </c>
      <c r="D7" s="29" t="n">
        <v>4384.88</v>
      </c>
    </row>
    <row r="8" customFormat="false" ht="15" hidden="false" customHeight="true" outlineLevel="0" collapsed="false">
      <c r="A8" s="26" t="s">
        <v>68</v>
      </c>
      <c r="D8" s="29" t="n">
        <v>3512.91</v>
      </c>
    </row>
    <row r="9" customFormat="false" ht="15" hidden="false" customHeight="true" outlineLevel="0" collapsed="false">
      <c r="A9" s="26" t="s">
        <v>70</v>
      </c>
      <c r="D9" s="29" t="n">
        <v>137285.9</v>
      </c>
    </row>
    <row r="10" customFormat="false" ht="14.25" hidden="false" customHeight="true" outlineLevel="0" collapsed="false">
      <c r="A10" s="26" t="s">
        <v>71</v>
      </c>
      <c r="D10" s="29" t="n">
        <v>170478.270000003</v>
      </c>
    </row>
    <row r="11" customFormat="false" ht="14.25" hidden="false" customHeight="true" outlineLevel="0" collapsed="false">
      <c r="A11" s="26" t="s">
        <v>75</v>
      </c>
      <c r="D11" s="29" t="n">
        <v>25430.19</v>
      </c>
    </row>
    <row r="12" customFormat="false" ht="14.25" hidden="false" customHeight="true" outlineLevel="0" collapsed="false">
      <c r="A12" s="31"/>
      <c r="B12" s="32"/>
      <c r="C12" s="32"/>
      <c r="D12" s="33"/>
      <c r="E12" s="34"/>
    </row>
    <row r="13" customFormat="false" ht="14.25" hidden="false" customHeight="true" outlineLevel="0" collapsed="false">
      <c r="A13" s="31"/>
      <c r="B13" s="32"/>
      <c r="C13" s="32"/>
      <c r="D13" s="33"/>
      <c r="E13" s="34"/>
    </row>
    <row r="14" customFormat="false" ht="14.25" hidden="false" customHeight="true" outlineLevel="0" collapsed="false">
      <c r="A14" s="26"/>
      <c r="D14" s="27"/>
    </row>
    <row r="15" customFormat="false" ht="14.25" hidden="false" customHeight="true" outlineLevel="0" collapsed="false">
      <c r="A15" s="26"/>
      <c r="D15" s="27"/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97</v>
      </c>
      <c r="B2" s="24" t="s">
        <v>98</v>
      </c>
      <c r="C2" s="24" t="s">
        <v>92</v>
      </c>
    </row>
    <row r="3" customFormat="false" ht="15" hidden="false" customHeight="true" outlineLevel="0" collapsed="false">
      <c r="A3" s="26" t="s">
        <v>95</v>
      </c>
      <c r="B3" s="27" t="n">
        <v>33365.71</v>
      </c>
      <c r="C3" s="30" t="s">
        <v>99</v>
      </c>
    </row>
    <row r="4" customFormat="false" ht="15" hidden="false" customHeight="true" outlineLevel="0" collapsed="false">
      <c r="A4" s="26" t="s">
        <v>100</v>
      </c>
      <c r="B4" s="27" t="n">
        <v>-2623.91</v>
      </c>
      <c r="C4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2026-09-15T06:48:05Z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