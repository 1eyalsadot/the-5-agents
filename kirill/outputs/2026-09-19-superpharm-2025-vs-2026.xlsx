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Source 2025" sheetId="2" state="visible" r:id="rId4"/>
    <sheet name="Source 2026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 (percentage undefined). If both years are 0, the cell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 (percentage undefined). If both years are 0, the cell shows 0%.</t>
        </r>
      </text>
    </comment>
  </commentList>
</comments>
</file>

<file path=xl/sharedStrings.xml><?xml version="1.0" encoding="utf-8"?>
<sst xmlns="http://schemas.openxmlformats.org/spreadsheetml/2006/main" count="7098" uniqueCount="934">
  <si>
    <t xml:space="preserve">Super Pharm - Sales Comparison 2025 vs 2026 (by Product CODE)</t>
  </si>
  <si>
    <t xml:space="preserve">Calculation date:</t>
  </si>
  <si>
    <t xml:space="preserve">Source: "1 סופרפארם 2025.xls" and "1 סופרפארם 2026.xls" - PPlay1 of uriel (Reporter) product x customer pivot reports, customer column "סופרפארם" (Super Pharm) only. Each file has two data blocks: "נטו" (Net Amount, NIS) and "סהכ יחידות" (Total Units). Product CODE parsed as the first token of column B (before the first space); size/color variants that share the same base CODE are summed together via SUMIFS. Raw extracted rows are kept, unchanged, in the "Source 2025" / "Source 2026" sheets (Super Pharm column only - the other ~18 customer columns in the original report were not imported). Figures were cross-checked against the block totals printed in row "נטו"/"סהכ יחידות" of each source file and matched (to floating-point rounding). Rows below only include product codes with non-zero Super Pharm quantity or amount in at least one of the two years; codes that appear in the raw pivot with 0 in the Super Pharm column in both years (i.e. sold only to other customers) were excluded as not relevant to a Super Pharm comparison.</t>
  </si>
  <si>
    <t xml:space="preserve">Product Code</t>
  </si>
  <si>
    <t xml:space="preserve">Product Name</t>
  </si>
  <si>
    <t xml:space="preserve">Quantity 2025 (Super Pharm)</t>
  </si>
  <si>
    <t xml:space="preserve">Quantity 2026 (Super Pharm)</t>
  </si>
  <si>
    <t xml:space="preserve">Quantity Change</t>
  </si>
  <si>
    <t xml:space="preserve">Quantity Change %</t>
  </si>
  <si>
    <t xml:space="preserve">Amount 2025 (Super Pharm) (₪)</t>
  </si>
  <si>
    <t xml:space="preserve">Amount 2026 (Super Pharm) (₪)</t>
  </si>
  <si>
    <t xml:space="preserve">Amount Change (₪)</t>
  </si>
  <si>
    <t xml:space="preserve">Amount Change %</t>
  </si>
  <si>
    <t xml:space="preserve">מדרסי</t>
  </si>
  <si>
    <t xml:space="preserve">35-38</t>
  </si>
  <si>
    <t xml:space="preserve">39-42</t>
  </si>
  <si>
    <t xml:space="preserve">43-47</t>
  </si>
  <si>
    <t xml:space="preserve">26</t>
  </si>
  <si>
    <t xml:space="preserve">35C</t>
  </si>
  <si>
    <t xml:space="preserve">21</t>
  </si>
  <si>
    <t xml:space="preserve">397A-גרבי</t>
  </si>
  <si>
    <t xml:space="preserve">397</t>
  </si>
  <si>
    <t xml:space="preserve">34</t>
  </si>
  <si>
    <t xml:space="preserve">AC75</t>
  </si>
  <si>
    <t xml:space="preserve">45C</t>
  </si>
  <si>
    <t xml:space="preserve">45EC</t>
  </si>
  <si>
    <t xml:space="preserve">45E</t>
  </si>
  <si>
    <t xml:space="preserve">28</t>
  </si>
  <si>
    <t xml:space="preserve">266</t>
  </si>
  <si>
    <t xml:space="preserve">078G-XLחגורת</t>
  </si>
  <si>
    <t xml:space="preserve">078G-L</t>
  </si>
  <si>
    <t xml:space="preserve">35</t>
  </si>
  <si>
    <t xml:space="preserve">11</t>
  </si>
  <si>
    <t xml:space="preserve">45</t>
  </si>
  <si>
    <t xml:space="preserve">T25C-חבק</t>
  </si>
  <si>
    <t xml:space="preserve">T25-חבק</t>
  </si>
  <si>
    <t xml:space="preserve">078G-M</t>
  </si>
  <si>
    <t xml:space="preserve">85</t>
  </si>
  <si>
    <t xml:space="preserve">307</t>
  </si>
  <si>
    <t xml:space="preserve">SH422</t>
  </si>
  <si>
    <t xml:space="preserve">95C</t>
  </si>
  <si>
    <t xml:space="preserve">AC45X</t>
  </si>
  <si>
    <t xml:space="preserve">3611</t>
  </si>
  <si>
    <t xml:space="preserve">40-רצועת</t>
  </si>
  <si>
    <t xml:space="preserve">FC342-נוזל</t>
  </si>
  <si>
    <t xml:space="preserve">806CB-BEIGE</t>
  </si>
  <si>
    <t xml:space="preserve">808KT-BL</t>
  </si>
  <si>
    <t xml:space="preserve">808KT-C</t>
  </si>
  <si>
    <t xml:space="preserve">60</t>
  </si>
  <si>
    <t xml:space="preserve">95</t>
  </si>
  <si>
    <t xml:space="preserve">91</t>
  </si>
  <si>
    <t xml:space="preserve">808KT-B</t>
  </si>
  <si>
    <t xml:space="preserve">87</t>
  </si>
  <si>
    <t xml:space="preserve">808KT-P</t>
  </si>
  <si>
    <t xml:space="preserve">10</t>
  </si>
  <si>
    <t xml:space="preserve">T</t>
  </si>
  <si>
    <t xml:space="preserve">3674</t>
  </si>
  <si>
    <t xml:space="preserve">369</t>
  </si>
  <si>
    <t xml:space="preserve">70N</t>
  </si>
  <si>
    <t xml:space="preserve">75</t>
  </si>
  <si>
    <t xml:space="preserve">807B-Bתחבושת</t>
  </si>
  <si>
    <t xml:space="preserve">807CB-BLתחבושת</t>
  </si>
  <si>
    <t xml:space="preserve">FC335</t>
  </si>
  <si>
    <t xml:space="preserve">311'מדב.ג'ל</t>
  </si>
  <si>
    <t xml:space="preserve">305GA</t>
  </si>
  <si>
    <t xml:space="preserve">כרית</t>
  </si>
  <si>
    <t xml:space="preserve">320</t>
  </si>
  <si>
    <t xml:space="preserve">806CB-GREEN</t>
  </si>
  <si>
    <t xml:space="preserve">806CB-BLACK</t>
  </si>
  <si>
    <t xml:space="preserve">213CTSL</t>
  </si>
  <si>
    <t xml:space="preserve">807CB-P</t>
  </si>
  <si>
    <t xml:space="preserve">3672</t>
  </si>
  <si>
    <t xml:space="preserve">078G-S</t>
  </si>
  <si>
    <t xml:space="preserve">FCתרסיס</t>
  </si>
  <si>
    <t xml:space="preserve">078XL</t>
  </si>
  <si>
    <t xml:space="preserve">20</t>
  </si>
  <si>
    <t xml:space="preserve">30</t>
  </si>
  <si>
    <t xml:space="preserve">URI</t>
  </si>
  <si>
    <t xml:space="preserve">078</t>
  </si>
  <si>
    <t xml:space="preserve">386</t>
  </si>
  <si>
    <t xml:space="preserve">T28AC</t>
  </si>
  <si>
    <t xml:space="preserve">239B</t>
  </si>
  <si>
    <t xml:space="preserve">213CTSR</t>
  </si>
  <si>
    <t xml:space="preserve">078G-XXLחגורת</t>
  </si>
  <si>
    <t xml:space="preserve">394B</t>
  </si>
  <si>
    <t xml:space="preserve">AC91</t>
  </si>
  <si>
    <t xml:space="preserve">SH333</t>
  </si>
  <si>
    <t xml:space="preserve">FC321-מלח</t>
  </si>
  <si>
    <t xml:space="preserve">34+</t>
  </si>
  <si>
    <t xml:space="preserve">3622S</t>
  </si>
  <si>
    <t xml:space="preserve">238S</t>
  </si>
  <si>
    <t xml:space="preserve">11TO</t>
  </si>
  <si>
    <t xml:space="preserve">212S</t>
  </si>
  <si>
    <t xml:space="preserve">T20</t>
  </si>
  <si>
    <t xml:space="preserve">390B</t>
  </si>
  <si>
    <t xml:space="preserve">394G</t>
  </si>
  <si>
    <t xml:space="preserve">239TR</t>
  </si>
  <si>
    <t xml:space="preserve">91B</t>
  </si>
  <si>
    <t xml:space="preserve">L</t>
  </si>
  <si>
    <t xml:space="preserve">T20C</t>
  </si>
  <si>
    <t xml:space="preserve">49</t>
  </si>
  <si>
    <t xml:space="preserve">213CTS</t>
  </si>
  <si>
    <t xml:space="preserve">85K</t>
  </si>
  <si>
    <t xml:space="preserve">85B</t>
  </si>
  <si>
    <t xml:space="preserve">806CB-PINK</t>
  </si>
  <si>
    <t xml:space="preserve">M</t>
  </si>
  <si>
    <t xml:space="preserve">211M</t>
  </si>
  <si>
    <t xml:space="preserve">388B</t>
  </si>
  <si>
    <t xml:space="preserve">M078</t>
  </si>
  <si>
    <t xml:space="preserve">4022</t>
  </si>
  <si>
    <t xml:space="preserve">211S</t>
  </si>
  <si>
    <t xml:space="preserve">801</t>
  </si>
  <si>
    <t xml:space="preserve">807CB-Cתחבושת</t>
  </si>
  <si>
    <t xml:space="preserve">XL</t>
  </si>
  <si>
    <t xml:space="preserve">212M</t>
  </si>
  <si>
    <t xml:space="preserve">239P</t>
  </si>
  <si>
    <t xml:space="preserve">390G</t>
  </si>
  <si>
    <t xml:space="preserve">312</t>
  </si>
  <si>
    <t xml:space="preserve">363</t>
  </si>
  <si>
    <t xml:space="preserve">FC334</t>
  </si>
  <si>
    <t xml:space="preserve">שרוול</t>
  </si>
  <si>
    <t xml:space="preserve">3666</t>
  </si>
  <si>
    <t xml:space="preserve">211L</t>
  </si>
  <si>
    <t xml:space="preserve">820</t>
  </si>
  <si>
    <t xml:space="preserve">268</t>
  </si>
  <si>
    <t xml:space="preserve">SC35L</t>
  </si>
  <si>
    <t xml:space="preserve">16</t>
  </si>
  <si>
    <t xml:space="preserve">T11C</t>
  </si>
  <si>
    <t xml:space="preserve">T28A</t>
  </si>
  <si>
    <t xml:space="preserve">212L</t>
  </si>
  <si>
    <t xml:space="preserve">14</t>
  </si>
  <si>
    <t xml:space="preserve">3623</t>
  </si>
  <si>
    <t xml:space="preserve">3444B</t>
  </si>
  <si>
    <t xml:space="preserve">סד</t>
  </si>
  <si>
    <t xml:space="preserve">SC39</t>
  </si>
  <si>
    <t xml:space="preserve">238M</t>
  </si>
  <si>
    <t xml:space="preserve">S</t>
  </si>
  <si>
    <t xml:space="preserve">34+XL</t>
  </si>
  <si>
    <t xml:space="preserve">211XL</t>
  </si>
  <si>
    <t xml:space="preserve">76</t>
  </si>
  <si>
    <t xml:space="preserve">SC35R</t>
  </si>
  <si>
    <t xml:space="preserve">SC95</t>
  </si>
  <si>
    <t xml:space="preserve">48</t>
  </si>
  <si>
    <t xml:space="preserve">390W</t>
  </si>
  <si>
    <t xml:space="preserve">365</t>
  </si>
  <si>
    <t xml:space="preserve">370K</t>
  </si>
  <si>
    <t xml:space="preserve">388L</t>
  </si>
  <si>
    <t xml:space="preserve">422</t>
  </si>
  <si>
    <t xml:space="preserve">079</t>
  </si>
  <si>
    <t xml:space="preserve">238L</t>
  </si>
  <si>
    <t xml:space="preserve">238XL</t>
  </si>
  <si>
    <t xml:space="preserve">AC-28</t>
  </si>
  <si>
    <t xml:space="preserve">394W</t>
  </si>
  <si>
    <t xml:space="preserve">422E</t>
  </si>
  <si>
    <t xml:space="preserve">S078</t>
  </si>
  <si>
    <t xml:space="preserve">SC422</t>
  </si>
  <si>
    <t xml:space="preserve">LF360</t>
  </si>
  <si>
    <t xml:space="preserve">XXL</t>
  </si>
  <si>
    <t xml:space="preserve">G390.43-46</t>
  </si>
  <si>
    <t xml:space="preserve">303</t>
  </si>
  <si>
    <t xml:space="preserve">T78</t>
  </si>
  <si>
    <t xml:space="preserve">SC25</t>
  </si>
  <si>
    <t xml:space="preserve">25</t>
  </si>
  <si>
    <t xml:space="preserve">11PS</t>
  </si>
  <si>
    <t xml:space="preserve">388R</t>
  </si>
  <si>
    <t xml:space="preserve">078C</t>
  </si>
  <si>
    <t xml:space="preserve">T39</t>
  </si>
  <si>
    <t xml:space="preserve">PD341-מקצוע</t>
  </si>
  <si>
    <t xml:space="preserve">41</t>
  </si>
  <si>
    <t xml:space="preserve">PD346-10</t>
  </si>
  <si>
    <t xml:space="preserve">67</t>
  </si>
  <si>
    <t xml:space="preserve">3675</t>
  </si>
  <si>
    <t xml:space="preserve">11EU</t>
  </si>
  <si>
    <t xml:space="preserve">78A</t>
  </si>
  <si>
    <t xml:space="preserve">377</t>
  </si>
  <si>
    <t xml:space="preserve">59R</t>
  </si>
  <si>
    <t xml:space="preserve">59L</t>
  </si>
  <si>
    <t xml:space="preserve">18</t>
  </si>
  <si>
    <t xml:space="preserve">922M.מחבק</t>
  </si>
  <si>
    <t xml:space="preserve">85+</t>
  </si>
  <si>
    <t xml:space="preserve">309</t>
  </si>
  <si>
    <t xml:space="preserve">332CL'מייצב</t>
  </si>
  <si>
    <t xml:space="preserve">19</t>
  </si>
  <si>
    <t xml:space="preserve">T43SKI</t>
  </si>
  <si>
    <t xml:space="preserve">LF377</t>
  </si>
  <si>
    <t xml:space="preserve">50</t>
  </si>
  <si>
    <t xml:space="preserve">FC341-טיפות</t>
  </si>
  <si>
    <t xml:space="preserve">212XL</t>
  </si>
  <si>
    <t xml:space="preserve">06</t>
  </si>
  <si>
    <t xml:space="preserve">T91</t>
  </si>
  <si>
    <t xml:space="preserve">38</t>
  </si>
  <si>
    <t xml:space="preserve">322XL</t>
  </si>
  <si>
    <t xml:space="preserve">322-L</t>
  </si>
  <si>
    <t xml:space="preserve">322XXLמגן</t>
  </si>
  <si>
    <t xml:space="preserve">078XXL</t>
  </si>
  <si>
    <t xml:space="preserve">T28</t>
  </si>
  <si>
    <t xml:space="preserve">L-XL</t>
  </si>
  <si>
    <t xml:space="preserve">S-M</t>
  </si>
  <si>
    <t xml:space="preserve">41X</t>
  </si>
  <si>
    <t xml:space="preserve">333</t>
  </si>
  <si>
    <t xml:space="preserve">LF371</t>
  </si>
  <si>
    <t xml:space="preserve">332CXLמייצב</t>
  </si>
  <si>
    <t xml:space="preserve">332CM'מייצב</t>
  </si>
  <si>
    <t xml:space="preserve">332CS'מייצב</t>
  </si>
  <si>
    <t xml:space="preserve">308</t>
  </si>
  <si>
    <t xml:space="preserve">T45</t>
  </si>
  <si>
    <t xml:space="preserve">267LC</t>
  </si>
  <si>
    <t xml:space="preserve">27</t>
  </si>
  <si>
    <t xml:space="preserve">60XS</t>
  </si>
  <si>
    <t xml:space="preserve">PD342-פומפיה</t>
  </si>
  <si>
    <t xml:space="preserve">11UC</t>
  </si>
  <si>
    <t xml:space="preserve">T40</t>
  </si>
  <si>
    <t xml:space="preserve">55</t>
  </si>
  <si>
    <t xml:space="preserve">FC331Z-</t>
  </si>
  <si>
    <t xml:space="preserve">313</t>
  </si>
  <si>
    <t xml:space="preserve">T28C</t>
  </si>
  <si>
    <t xml:space="preserve">371</t>
  </si>
  <si>
    <t xml:space="preserve">364S</t>
  </si>
  <si>
    <t xml:space="preserve">FC330Z-תתדאו'אנטי</t>
  </si>
  <si>
    <t xml:space="preserve">80</t>
  </si>
  <si>
    <t xml:space="preserve">364</t>
  </si>
  <si>
    <t xml:space="preserve">PD340-קוצץ</t>
  </si>
  <si>
    <t xml:space="preserve">LF374</t>
  </si>
  <si>
    <t xml:space="preserve">3444</t>
  </si>
  <si>
    <t xml:space="preserve">12</t>
  </si>
  <si>
    <t xml:space="preserve">922S.חבק</t>
  </si>
  <si>
    <t xml:space="preserve">27R</t>
  </si>
  <si>
    <t xml:space="preserve">T402</t>
  </si>
  <si>
    <t xml:space="preserve">27L</t>
  </si>
  <si>
    <t xml:space="preserve">95+</t>
  </si>
  <si>
    <t xml:space="preserve">07AU</t>
  </si>
  <si>
    <t xml:space="preserve">13</t>
  </si>
  <si>
    <t xml:space="preserve">TOTAL</t>
  </si>
  <si>
    <t xml:space="preserve">נתוני מקור גולמיים - 2025 - עמודת "סופרפארם" בלבד (מתוך דוח PPlay1 of uriel, ללא שינוי לשורות עצמן)</t>
  </si>
  <si>
    <t xml:space="preserve">Block</t>
  </si>
  <si>
    <t xml:space="preserve">CODE</t>
  </si>
  <si>
    <t xml:space="preserve">Item description (raw)</t>
  </si>
  <si>
    <t xml:space="preserve">Super Pharm value</t>
  </si>
  <si>
    <t xml:space="preserve">Amount (NIS)</t>
  </si>
  <si>
    <t xml:space="preserve">S-L אצבעון מסיליקון יחידה</t>
  </si>
  <si>
    <t xml:space="preserve">XL אצבעון מסיליקון יחידה</t>
  </si>
  <si>
    <t xml:space="preserve">PD</t>
  </si>
  <si>
    <t xml:space="preserve">344-אבן טבעית להסרת עור קשה</t>
  </si>
  <si>
    <t xml:space="preserve">805AT-Cאתלטיק</t>
  </si>
  <si>
    <t xml:space="preserve">טייפ בז' 20מ""מ20</t>
  </si>
  <si>
    <t xml:space="preserve">805AT-B</t>
  </si>
  <si>
    <t xml:space="preserve">אתלטיק טייפ שחור 20מ""מ</t>
  </si>
  <si>
    <t xml:space="preserve">805AT-BLאתלטיק</t>
  </si>
  <si>
    <t xml:space="preserve">טייפ כחול 20מ""מ</t>
  </si>
  <si>
    <t xml:space="preserve">805AT-W</t>
  </si>
  <si>
    <t xml:space="preserve">אתלטיק טייפ לבן 20מ""מ</t>
  </si>
  <si>
    <t xml:space="preserve">בננה לתמיכת אצבעות ז.כרית</t>
  </si>
  <si>
    <t xml:space="preserve">בליסטר פלסטר</t>
  </si>
  <si>
    <t xml:space="preserve">גרב.כסף לסכרתים שחור35-38</t>
  </si>
  <si>
    <t xml:space="preserve">39-42.גרב.כסף לסכרתיים שח</t>
  </si>
  <si>
    <t xml:space="preserve">43-46.גרב.כסף לסכרתיים שח</t>
  </si>
  <si>
    <t xml:space="preserve">ג.כסף לסכרתיים אפור35-38</t>
  </si>
  <si>
    <t xml:space="preserve">39-42.גרב.כסף לסכרתיים אפ</t>
  </si>
  <si>
    <t xml:space="preserve">גרבי כסף לסכרת מידה</t>
  </si>
  <si>
    <t xml:space="preserve">גרב כסף לסכרתיים לבן35-38</t>
  </si>
  <si>
    <t xml:space="preserve">גרב.כסף לסכרתיים לבן39-42</t>
  </si>
  <si>
    <t xml:space="preserve">גרב.כסף לסכרתיים לבן43-46</t>
  </si>
  <si>
    <t xml:space="preserve">0   גרביים+סיליקון</t>
  </si>
  <si>
    <t xml:space="preserve">גרב.כסף לסכרתים שחור39-42</t>
  </si>
  <si>
    <t xml:space="preserve">גרב.כסף לסכרתים שחור43-46</t>
  </si>
  <si>
    <t xml:space="preserve">גרב.כסף לסכרתים אפור35-38</t>
  </si>
  <si>
    <t xml:space="preserve">גרב.כסף לסכרתים אפור39-42</t>
  </si>
  <si>
    <t xml:space="preserve">גרב.כסף לסכרתים אפור43-46</t>
  </si>
  <si>
    <t xml:space="preserve">35-38 גרב.כסף לסכרתים לבן</t>
  </si>
  <si>
    <t xml:space="preserve">39-42 גרב.כסף לסכרתים לבן</t>
  </si>
  <si>
    <t xml:space="preserve">43-46 גרב.כסף לסכרתים לבן</t>
  </si>
  <si>
    <t xml:space="preserve">בקט.לנעל120</t>
  </si>
  <si>
    <t xml:space="preserve">L  ""ח.גב קלה ""מיקדו</t>
  </si>
  <si>
    <t xml:space="preserve">M  ""ח.גב קלה ""מיקדו</t>
  </si>
  <si>
    <t xml:space="preserve">XL ""ח.גב קלה ""מיקדו</t>
  </si>
  <si>
    <t xml:space="preserve">XXL ""ח.גב קלה ""מיקדו</t>
  </si>
  <si>
    <t xml:space="preserve">S ח.גב סג. כפולה שחור+אדום</t>
  </si>
  <si>
    <t xml:space="preserve">L ח.גב סג.כפולה שחור+אדום</t>
  </si>
  <si>
    <t xml:space="preserve">M ח.גב סג.כפולה שחור+אדום</t>
  </si>
  <si>
    <t xml:space="preserve">XL ח.גב סג.כפולה שחור+אדום</t>
  </si>
  <si>
    <t xml:space="preserve">XXLח.גב סג.כפולה שחור+אדום</t>
  </si>
  <si>
    <t xml:space="preserve">S ח.גב ""איטלקית"" אורירית</t>
  </si>
  <si>
    <t xml:space="preserve">L ח.גב ""איטלקית"" אורירית</t>
  </si>
  <si>
    <t xml:space="preserve">M ח.גב ""איטלקית"" אורירית</t>
  </si>
  <si>
    <t xml:space="preserve">XL ח.גב ""איטלקית"" אורירית</t>
  </si>
  <si>
    <t xml:space="preserve">XXL.ח.גב ""איטלקית"" אוריר</t>
  </si>
  <si>
    <t xml:space="preserve">07UC</t>
  </si>
  <si>
    <t xml:space="preserve">L-XLח.גב אמר+סגירה כפ.חום</t>
  </si>
  <si>
    <t xml:space="preserve">S ""חגורת גב ""לומבו</t>
  </si>
  <si>
    <t xml:space="preserve">L ""חגורת גב ""לומבו</t>
  </si>
  <si>
    <t xml:space="preserve">M ""חגורת גב ""לומבו</t>
  </si>
  <si>
    <t xml:space="preserve">XL ""חגורת גב ""לומבו</t>
  </si>
  <si>
    <t xml:space="preserve">XXL""חגורת גב ""לומבו</t>
  </si>
  <si>
    <t xml:space="preserve">S""חגורת בטן""אורירית</t>
  </si>
  <si>
    <t xml:space="preserve">L""חגורת בטן""אורירית</t>
  </si>
  <si>
    <t xml:space="preserve">M""חגורת בטן""אורירית</t>
  </si>
  <si>
    <t xml:space="preserve">XL""חגורת בטן""אורירית</t>
  </si>
  <si>
    <t xml:space="preserve">XXL""חגורת בטן""אורירית</t>
  </si>
  <si>
    <t xml:space="preserve">M ח.גב מגנטית+מוטות תמיכה</t>
  </si>
  <si>
    <t xml:space="preserve">L ח.הריון מכנס למניעת כאבים</t>
  </si>
  <si>
    <t xml:space="preserve">XL.ח.הריון מכנס למניעת כאב</t>
  </si>
  <si>
    <t xml:space="preserve">L חבק יד מתכוון עם צמדן</t>
  </si>
  <si>
    <t xml:space="preserve">M חבק יד מתכוון עם צמדן</t>
  </si>
  <si>
    <t xml:space="preserve">S חבק יד מתכוון עם צמדן</t>
  </si>
  <si>
    <t xml:space="preserve">XL חבק יד מתכוון עם צמדן</t>
  </si>
  <si>
    <t xml:space="preserve">XXL חבק יד מתכוון עם צמדן</t>
  </si>
  <si>
    <t xml:space="preserve">S  חבק יד ארוך</t>
  </si>
  <si>
    <t xml:space="preserve">L  חבק יד ארוך</t>
  </si>
  <si>
    <t xml:space="preserve">M  חבק יד ארוך</t>
  </si>
  <si>
    <t xml:space="preserve">XL חבק יד ארוך</t>
  </si>
  <si>
    <t xml:space="preserve">L חבק יד אגודלי</t>
  </si>
  <si>
    <t xml:space="preserve">M חבק יד אגודלי</t>
  </si>
  <si>
    <t xml:space="preserve">S חבק יד אגודלי</t>
  </si>
  <si>
    <t xml:space="preserve">XL חבק יד אגודלי</t>
  </si>
  <si>
    <t xml:space="preserve">.חבישת""הלוקס ולגוס""לאחר נית</t>
  </si>
  <si>
    <t xml:space="preserve">59D</t>
  </si>
  <si>
    <t xml:space="preserve">S חגורת שבר דו צדדי</t>
  </si>
  <si>
    <t xml:space="preserve">L חגורת שבר דו צדדי</t>
  </si>
  <si>
    <t xml:space="preserve">M חגורת שבר דו צדדי</t>
  </si>
  <si>
    <t xml:space="preserve">XL חגורת שבר דו צדדי</t>
  </si>
  <si>
    <t xml:space="preserve">L חגורת שבר לצד שמאל</t>
  </si>
  <si>
    <t xml:space="preserve">M חגורת שבר לצד שמאל</t>
  </si>
  <si>
    <t xml:space="preserve">S חגורת שבר לצד ימין</t>
  </si>
  <si>
    <t xml:space="preserve">L חגורת שבר לצד ימין</t>
  </si>
  <si>
    <t xml:space="preserve">M חגורת שבר לצד ימין</t>
  </si>
  <si>
    <t xml:space="preserve">XL חגורת שבר לצד ימין</t>
  </si>
  <si>
    <t xml:space="preserve">922L.חבק</t>
  </si>
  <si>
    <t xml:space="preserve">יד לטניס כרית סיליק</t>
  </si>
  <si>
    <t xml:space="preserve">יד לטניס כרית סילי</t>
  </si>
  <si>
    <t xml:space="preserve">חבק ""טניס אלבו רצועה</t>
  </si>
  <si>
    <t xml:space="preserve">S  חגורת גב פוג'יאמה</t>
  </si>
  <si>
    <t xml:space="preserve">L  חגורת גב פוג'יאמה</t>
  </si>
  <si>
    <t xml:space="preserve">M  חגורת גב פוג'יאמה</t>
  </si>
  <si>
    <t xml:space="preserve">XL חגורת גב פוג'יאמה</t>
  </si>
  <si>
    <t xml:space="preserve">XXL חגורת גב פוג'יאמה</t>
  </si>
  <si>
    <t xml:space="preserve">S-M חבק יד עם צמדן</t>
  </si>
  <si>
    <t xml:space="preserve">L-XL  חבק יד עם צמדן</t>
  </si>
  <si>
    <t xml:space="preserve">S-M חבק יד עם צמדןחום</t>
  </si>
  <si>
    <t xml:space="preserve">L-XL חבק יד עם צמדן חום</t>
  </si>
  <si>
    <t xml:space="preserve">יד אגודלי</t>
  </si>
  <si>
    <t xml:space="preserve">11U</t>
  </si>
  <si>
    <t xml:space="preserve">Lחגורת בטן וחזה אחרי ניתוח</t>
  </si>
  <si>
    <t xml:space="preserve">S-M חגורת הריון בכאב חזק</t>
  </si>
  <si>
    <t xml:space="preserve">S ח.בטן לאחר ניתוח</t>
  </si>
  <si>
    <t xml:space="preserve">M ח.בטן לאחר ניתוח</t>
  </si>
  <si>
    <t xml:space="preserve">L ח.בטן לאחר ניתוח</t>
  </si>
  <si>
    <t xml:space="preserve">XLח.בטן לאחר ניתוח</t>
  </si>
  <si>
    <t xml:space="preserve">06U</t>
  </si>
  <si>
    <t xml:space="preserve">L ח.בטן מותנית צר</t>
  </si>
  <si>
    <t xml:space="preserve">XL ח.בטן מותנית צר</t>
  </si>
  <si>
    <t xml:space="preserve">15M</t>
  </si>
  <si>
    <t xml:space="preserve">L חגורת צלעות לגבר</t>
  </si>
  <si>
    <t xml:space="preserve">15W</t>
  </si>
  <si>
    <t xml:space="preserve">XL חגורת צלעות לאשה</t>
  </si>
  <si>
    <t xml:space="preserve">M חגורת צלעות לגבר</t>
  </si>
  <si>
    <t xml:space="preserve">XXL חגורת בטןלאחר ניתוח</t>
  </si>
  <si>
    <t xml:space="preserve">077A</t>
  </si>
  <si>
    <t xml:space="preserve">S-M חגורת גב</t>
  </si>
  <si>
    <t xml:space="preserve">L-XLחגורת גב</t>
  </si>
  <si>
    <t xml:space="preserve">06W</t>
  </si>
  <si>
    <t xml:space="preserve">S חגורת גב לנשים</t>
  </si>
  <si>
    <t xml:space="preserve">776</t>
  </si>
  <si>
    <t xml:space="preserve">S  ח.גב גבוהה</t>
  </si>
  <si>
    <t xml:space="preserve">M  ח.גב גבוהה</t>
  </si>
  <si>
    <t xml:space="preserve">Sחגורה למנותחי בטן</t>
  </si>
  <si>
    <t xml:space="preserve">Mחגורה למנותחי בטן</t>
  </si>
  <si>
    <t xml:space="preserve">Lחגורה למנותחי בטן</t>
  </si>
  <si>
    <t xml:space="preserve">XLחגורה למנותחי בטן</t>
  </si>
  <si>
    <t xml:space="preserve">XXLחגורה למנותחי בטן</t>
  </si>
  <si>
    <t xml:space="preserve">S חגורה למנותחי בית החזה</t>
  </si>
  <si>
    <t xml:space="preserve">M חגורה למנותחי בית החזה</t>
  </si>
  <si>
    <t xml:space="preserve">L חגורה למנותחי בית החזה</t>
  </si>
  <si>
    <t xml:space="preserve">XLחגורה למנותחי בית החזה</t>
  </si>
  <si>
    <t xml:space="preserve">XXLחגורה למנותחי בית החזה</t>
  </si>
  <si>
    <t xml:space="preserve">XS  חגורת בטן</t>
  </si>
  <si>
    <t xml:space="preserve">M חגורה לשבר טבור</t>
  </si>
  <si>
    <t xml:space="preserve">L חגורה לשבר טבור</t>
  </si>
  <si>
    <t xml:space="preserve">XL חגורה לשבר טבור</t>
  </si>
  <si>
    <t xml:space="preserve">XXL חגורה לשבר טבור</t>
  </si>
  <si>
    <t xml:space="preserve">חגורת גב +סגירה כפולה</t>
  </si>
  <si>
    <t xml:space="preserve">L חגורת גב +סגירה</t>
  </si>
  <si>
    <t xml:space="preserve">0 חגורה למנותחי בית חזה</t>
  </si>
  <si>
    <t xml:space="preserve">AC-07</t>
  </si>
  <si>
    <t xml:space="preserve">חגורת גב עם תמיכות</t>
  </si>
  <si>
    <t xml:space="preserve">AC-11</t>
  </si>
  <si>
    <t xml:space="preserve">חגורת בטן קלה</t>
  </si>
  <si>
    <t xml:space="preserve">AC-25</t>
  </si>
  <si>
    <t xml:space="preserve">חבק לשורש כף היד</t>
  </si>
  <si>
    <t xml:space="preserve">חבק טניס</t>
  </si>
  <si>
    <t xml:space="preserve">S-Lטבעת אלסטית מסיליקון</t>
  </si>
  <si>
    <t xml:space="preserve">X-Lטבעת אלסטית מסיליקון</t>
  </si>
  <si>
    <t xml:space="preserve">נגד פטרת הציפורן</t>
  </si>
  <si>
    <t xml:space="preserve">FC314-תתטלק</t>
  </si>
  <si>
    <t xml:space="preserve">נוזלי</t>
  </si>
  <si>
    <t xml:space="preserve">טלק מעושר באלוורה</t>
  </si>
  <si>
    <t xml:space="preserve">מטטרזלי סיליקון362</t>
  </si>
  <si>
    <t xml:space="preserve">כרית ליישור אצבע פטיש</t>
  </si>
  <si>
    <t xml:space="preserve">כרית שינה חלומי</t>
  </si>
  <si>
    <t xml:space="preserve">0 כרית חום וקור</t>
  </si>
  <si>
    <t xml:space="preserve">S מגן קרסול מתכוון עם סקוטש</t>
  </si>
  <si>
    <t xml:space="preserve">L מגן קרסול מתכוון עם סקוטש</t>
  </si>
  <si>
    <t xml:space="preserve">M מגן קרסול מתכוון עם סקוטש</t>
  </si>
  <si>
    <t xml:space="preserve">XL מגן קרסול מתכוון סקוטש</t>
  </si>
  <si>
    <t xml:space="preserve">XXL מגן קרסול מתכוון+סקוטש</t>
  </si>
  <si>
    <t xml:space="preserve">300M</t>
  </si>
  <si>
    <t xml:space="preserve">תתמדרס.ציפוי עור גבר זו43</t>
  </si>
  <si>
    <t xml:space="preserve">תתמדרס/ציפוי עור גבר זו44</t>
  </si>
  <si>
    <t xml:space="preserve">37-38 מדרסי סיליק.לח.סכרת</t>
  </si>
  <si>
    <t xml:space="preserve">39-40 מדרסי סיליק.לח.סכרת</t>
  </si>
  <si>
    <t xml:space="preserve">41-42 מדרסי סיליק.לח.סכרת</t>
  </si>
  <si>
    <t xml:space="preserve">43-44 מדרסי סיליק.לח.סכרת</t>
  </si>
  <si>
    <t xml:space="preserve">45-46 מדרסי סיליק.לח.סכרת</t>
  </si>
  <si>
    <t xml:space="preserve">למניעת שפשוף 5 יח</t>
  </si>
  <si>
    <t xml:space="preserve">9 מ""ס להתאמהX5 מדבקה גדולה</t>
  </si>
  <si>
    <t xml:space="preserve">M מגן קרסול עקב סגור</t>
  </si>
  <si>
    <t xml:space="preserve">S מגן קרסול עקב סגור</t>
  </si>
  <si>
    <t xml:space="preserve">L מגן קרסול עקב סגור</t>
  </si>
  <si>
    <t xml:space="preserve">XL מגן קרסול עקב סגור</t>
  </si>
  <si>
    <t xml:space="preserve">XS מגן קרסול עקב סגור</t>
  </si>
  <si>
    <t xml:space="preserve">XXL מגן קרסול עקב סגור</t>
  </si>
  <si>
    <t xml:space="preserve">S מגן קרסול לבן</t>
  </si>
  <si>
    <t xml:space="preserve">L מגן קרסול לבן</t>
  </si>
  <si>
    <t xml:space="preserve">M מגן קרסול לבן</t>
  </si>
  <si>
    <t xml:space="preserve">XL מגן קרסול לבן</t>
  </si>
  <si>
    <t xml:space="preserve">XXL מגן קרסול לבן</t>
  </si>
  <si>
    <t xml:space="preserve">S מגן קרסול חום</t>
  </si>
  <si>
    <t xml:space="preserve">L מגן קרסול חום</t>
  </si>
  <si>
    <t xml:space="preserve">M מגן קרסול חום</t>
  </si>
  <si>
    <t xml:space="preserve">XL מגן קרסול חום</t>
  </si>
  <si>
    <t xml:space="preserve">מדרס מטטרזלי לנעלי עקב</t>
  </si>
  <si>
    <t xml:space="preserve">מדבקה לשחרור לחץ 2 יח</t>
  </si>
  <si>
    <t xml:space="preserve">Lמפר.אצבע סיליק. ליבל.זוג</t>
  </si>
  <si>
    <t xml:space="preserve">XLמפריד אצבע סיליקון ליבלת</t>
  </si>
  <si>
    <t xml:space="preserve">3641-מיישר</t>
  </si>
  <si>
    <t xml:space="preserve">בוהן סיליקון קשיח</t>
  </si>
  <si>
    <t xml:space="preserve">366S-'מדבק.לשחרור</t>
  </si>
  <si>
    <t xml:space="preserve">לחץ מיבלת2יח</t>
  </si>
  <si>
    <t xml:space="preserve">3677S-מד.לשחרור</t>
  </si>
  <si>
    <t xml:space="preserve">לחץ א.הבוניון</t>
  </si>
  <si>
    <t xml:space="preserve">סד לילה לבוהן</t>
  </si>
  <si>
    <t xml:space="preserve">Sמ.ברך מוצלב+ספירלות בצדדים</t>
  </si>
  <si>
    <t xml:space="preserve">Lמ.ברך מוצלב+ספירלות בצדדים</t>
  </si>
  <si>
    <t xml:space="preserve">Mמ.ברך מוצלב+ספירלות בצדדים</t>
  </si>
  <si>
    <t xml:space="preserve">XL.מ.ברך מוצלב+ספירלות בצד</t>
  </si>
  <si>
    <t xml:space="preserve">L מגן ברך מוצלב+מוט</t>
  </si>
  <si>
    <t xml:space="preserve">S מגן ברך מוצלב+מוט</t>
  </si>
  <si>
    <t xml:space="preserve">XL מגן ברך מוצלב+מוט</t>
  </si>
  <si>
    <t xml:space="preserve">Lמ.ברך+כרית סיל.סביב לפיקה</t>
  </si>
  <si>
    <t xml:space="preserve">Mמ.ברך+כרית סיל.סביב לפיקה</t>
  </si>
  <si>
    <t xml:space="preserve">Sמ.ברך+כרית סיל.סביב לפיקה</t>
  </si>
  <si>
    <t xml:space="preserve">XLמ.ברך+כרית סיל.סביב לפיק</t>
  </si>
  <si>
    <t xml:space="preserve">XXLמ.ברך+כרית סיל.סב. פיקה</t>
  </si>
  <si>
    <t xml:space="preserve">L מגן ברך לבן</t>
  </si>
  <si>
    <t xml:space="preserve">M מגן ברך לבן</t>
  </si>
  <si>
    <t xml:space="preserve">S מגן ברך לבן</t>
  </si>
  <si>
    <t xml:space="preserve">XL מגן ברך לבן</t>
  </si>
  <si>
    <t xml:space="preserve">XXL מגן ברך לבן</t>
  </si>
  <si>
    <t xml:space="preserve">S מגן ברך חום</t>
  </si>
  <si>
    <t xml:space="preserve">L מגן ברך חום</t>
  </si>
  <si>
    <t xml:space="preserve">M מגן ברך חום</t>
  </si>
  <si>
    <t xml:space="preserve">XL מגן ברך חום</t>
  </si>
  <si>
    <t xml:space="preserve">Sמגן ברך ארוך לבן</t>
  </si>
  <si>
    <t xml:space="preserve">L        מגן ברך ארוך לבן</t>
  </si>
  <si>
    <t xml:space="preserve">Mמגן ברך ארוך לבן</t>
  </si>
  <si>
    <t xml:space="preserve">XLמגן ברך ארוך לבן</t>
  </si>
  <si>
    <t xml:space="preserve">XXLמגן ברך ארוך לבן</t>
  </si>
  <si>
    <t xml:space="preserve">S מגן ברך מחמם</t>
  </si>
  <si>
    <t xml:space="preserve">L מגן ברך מחמם</t>
  </si>
  <si>
    <t xml:space="preserve">M מגן ברך מחמם</t>
  </si>
  <si>
    <t xml:space="preserve">XL מגן ברך מחמם</t>
  </si>
  <si>
    <t xml:space="preserve">XXL מגן ברך מחמם</t>
  </si>
  <si>
    <t xml:space="preserve">S מגן ירך</t>
  </si>
  <si>
    <t xml:space="preserve">L מגן ירך</t>
  </si>
  <si>
    <t xml:space="preserve">M מגן ירך</t>
  </si>
  <si>
    <t xml:space="preserve">XL מגן ירך</t>
  </si>
  <si>
    <t xml:space="preserve">XXL מגן ירך</t>
  </si>
  <si>
    <t xml:space="preserve">L מתלה אשכים לאחר ניתוח</t>
  </si>
  <si>
    <t xml:space="preserve">M מתלה אשכים לאחר ניתוח</t>
  </si>
  <si>
    <t xml:space="preserve">XL מתלה אשכים לאחר ניתוח</t>
  </si>
  <si>
    <t xml:space="preserve">XXL מתלה אשכים לאחר ניתוח</t>
  </si>
  <si>
    <t xml:space="preserve">L מתלה אשכים לספורטאים</t>
  </si>
  <si>
    <t xml:space="preserve">M מתלה אשכים לספורטאים</t>
  </si>
  <si>
    <t xml:space="preserve">Sמיישר כתף יציב יישור גב צר</t>
  </si>
  <si>
    <t xml:space="preserve">Lמיישר כתף יציב יישור גב צר</t>
  </si>
  <si>
    <t xml:space="preserve">Mמיישר כתף יציב יישור גב צר</t>
  </si>
  <si>
    <t xml:space="preserve">XLמיישר כתף יציב יישור ג.צר</t>
  </si>
  <si>
    <t xml:space="preserve">XXL מיישר כתף יציב ישור צר</t>
  </si>
  <si>
    <t xml:space="preserve">Sמיישר כתף יציב יישור ג.רחב</t>
  </si>
  <si>
    <t xml:space="preserve">Lמיישר כתף יציב יישור רחב</t>
  </si>
  <si>
    <t xml:space="preserve">Mמיישר כתף יציב,יישור רחב</t>
  </si>
  <si>
    <t xml:space="preserve">XLמיישר כתף יציב יישור רחב</t>
  </si>
  <si>
    <t xml:space="preserve">L (מתלה ליד )כיס</t>
  </si>
  <si>
    <t xml:space="preserve">M (מתלה ליד )כיס</t>
  </si>
  <si>
    <t xml:space="preserve">S (מתלה ליד )כיס</t>
  </si>
  <si>
    <t xml:space="preserve">XL (מתלה ליד )כיס</t>
  </si>
  <si>
    <t xml:space="preserve">L מגן מרפק רגיל לבן</t>
  </si>
  <si>
    <t xml:space="preserve">M מגן מרפק רגיל לבן</t>
  </si>
  <si>
    <t xml:space="preserve">S מגן מרפק רגיל לבן</t>
  </si>
  <si>
    <t xml:space="preserve">XL מגן מרפק רגיל לבן</t>
  </si>
  <si>
    <t xml:space="preserve">XS מגן מרפק רגיל לבן</t>
  </si>
  <si>
    <t xml:space="preserve">XXL מגן מרפק רגיל לבן</t>
  </si>
  <si>
    <t xml:space="preserve">אמבט לכף הרגל</t>
  </si>
  <si>
    <t xml:space="preserve">להסרת עור קשה</t>
  </si>
  <si>
    <t xml:space="preserve">מדרס אורטופ.מתכוון35-36</t>
  </si>
  <si>
    <t xml:space="preserve">מדרס אורטופ.מתכוון37-38</t>
  </si>
  <si>
    <t xml:space="preserve">מדרס אורטופ.מתכוון39-40</t>
  </si>
  <si>
    <t xml:space="preserve">מדרס אורטופ.מתכוון41-42</t>
  </si>
  <si>
    <t xml:space="preserve">מדרס אורטופ.מתכוון43-44</t>
  </si>
  <si>
    <t xml:space="preserve">מדרס אורטופ.מתכוון45-46</t>
  </si>
  <si>
    <t xml:space="preserve">S מגן קרסול עקב סגור+רצוע</t>
  </si>
  <si>
    <t xml:space="preserve">M מגן קרסול עקב סגור+רצוע</t>
  </si>
  <si>
    <t xml:space="preserve">L מגן קרסול עקב סגור+רצוע</t>
  </si>
  <si>
    <t xml:space="preserve">מגן קרסול עקב סגור+רצוע</t>
  </si>
  <si>
    <t xml:space="preserve">S תתמתלה ליד רצועה</t>
  </si>
  <si>
    <t xml:space="preserve">M תתמתלה ליד רצועה</t>
  </si>
  <si>
    <t xml:space="preserve">S מיצב פיקה</t>
  </si>
  <si>
    <t xml:space="preserve">M מיצב פיקה</t>
  </si>
  <si>
    <t xml:space="preserve">L מיצב פיקה</t>
  </si>
  <si>
    <t xml:space="preserve">XL מיצב פיקה</t>
  </si>
  <si>
    <t xml:space="preserve">XXL מיצב פיקה</t>
  </si>
  <si>
    <t xml:space="preserve">Sמתלה ליד)כיס(+רצועת חיזוק</t>
  </si>
  <si>
    <t xml:space="preserve">Mמתלה ליד)כיס(+רצועת חיזוק</t>
  </si>
  <si>
    <t xml:space="preserve">Lמתלה ליד)כיס(+רצועת חיזוק</t>
  </si>
  <si>
    <t xml:space="preserve">XLמתלה ליד)כיס(רצועת חיזוק</t>
  </si>
  <si>
    <t xml:space="preserve">XL מגן שוק</t>
  </si>
  <si>
    <t xml:space="preserve">M מגן שוק</t>
  </si>
  <si>
    <t xml:space="preserve">S מגן שוק</t>
  </si>
  <si>
    <t xml:space="preserve">L מגן שוק</t>
  </si>
  <si>
    <t xml:space="preserve">S מגן ברך רגיל</t>
  </si>
  <si>
    <t xml:space="preserve">45 M מגן ברך רגיל</t>
  </si>
  <si>
    <t xml:space="preserve">45 L מגן ברך רגיל</t>
  </si>
  <si>
    <t xml:space="preserve">45XL מגן ברך רגיל</t>
  </si>
  <si>
    <t xml:space="preserve">S מקבע כתף ויד</t>
  </si>
  <si>
    <t xml:space="preserve">M מקבע כתף ויד</t>
  </si>
  <si>
    <t xml:space="preserve">L מקבע כתף ויד</t>
  </si>
  <si>
    <t xml:space="preserve">XL מקבע כתף ויד</t>
  </si>
  <si>
    <t xml:space="preserve">XXL מקבע כתף ויד</t>
  </si>
  <si>
    <t xml:space="preserve">T95</t>
  </si>
  <si>
    <t xml:space="preserve">S מגן מרפק רגיל</t>
  </si>
  <si>
    <t xml:space="preserve">L מגן מרפק רגיל</t>
  </si>
  <si>
    <t xml:space="preserve">T35</t>
  </si>
  <si>
    <t xml:space="preserve">Mמגן קרסול+ צמדן</t>
  </si>
  <si>
    <t xml:space="preserve">Lמגן קרסול+ צמדן</t>
  </si>
  <si>
    <t xml:space="preserve">XLמגן קרסול+ צמדן</t>
  </si>
  <si>
    <t xml:space="preserve">T45X</t>
  </si>
  <si>
    <t xml:space="preserve">XL מגן ברך רגיל</t>
  </si>
  <si>
    <t xml:space="preserve">M מגן ברך רגיל</t>
  </si>
  <si>
    <t xml:space="preserve">L מגן ברך רגיל</t>
  </si>
  <si>
    <t xml:space="preserve">XXL מישר כתפיים רחב</t>
  </si>
  <si>
    <t xml:space="preserve">L-מדרס סיליקון לנעלי עקב</t>
  </si>
  <si>
    <t xml:space="preserve">M-מדרס סיליקון לנעלי עקב</t>
  </si>
  <si>
    <t xml:space="preserve">S-מדרס סיליקון לנעלי עקב</t>
  </si>
  <si>
    <t xml:space="preserve">L מגן ברך ארוך עם כרית</t>
  </si>
  <si>
    <t xml:space="preserve">S מגן ברך ארוך עם כרית</t>
  </si>
  <si>
    <t xml:space="preserve">XL מגן ברך ארוך עם כרית</t>
  </si>
  <si>
    <t xml:space="preserve">XXL מגן ברך ארוך עם כרית</t>
  </si>
  <si>
    <t xml:space="preserve">XXXL מגן ברך ארוך עם כרית</t>
  </si>
  <si>
    <t xml:space="preserve">מדרס מתכוונן47-48</t>
  </si>
  <si>
    <t xml:space="preserve">XXL מגן ברך רגיל</t>
  </si>
  <si>
    <t xml:space="preserve">34+XXL</t>
  </si>
  <si>
    <t xml:space="preserve">מ.קרסול+עכב סגור+רצועות</t>
  </si>
  <si>
    <t xml:space="preserve">3667 מגן בוניון</t>
  </si>
  <si>
    <t xml:space="preserve">XS מגן קרסול לבן</t>
  </si>
  <si>
    <t xml:space="preserve">AC37</t>
  </si>
  <si>
    <t xml:space="preserve">מגן קרסול נושם</t>
  </si>
  <si>
    <t xml:space="preserve">AC43D</t>
  </si>
  <si>
    <t xml:space="preserve">מגן ברך + צירים</t>
  </si>
  <si>
    <t xml:space="preserve">מגן ברך עם תמיכות</t>
  </si>
  <si>
    <t xml:space="preserve">AC49</t>
  </si>
  <si>
    <t xml:space="preserve">מגן ירך</t>
  </si>
  <si>
    <t xml:space="preserve">AC95</t>
  </si>
  <si>
    <t xml:space="preserve">מגן מרפק</t>
  </si>
  <si>
    <t xml:space="preserve">XS מגן ברך רגיל לבן</t>
  </si>
  <si>
    <t xml:space="preserve">מפריד הלוקס</t>
  </si>
  <si>
    <t xml:space="preserve">422N</t>
  </si>
  <si>
    <t xml:space="preserve">L מ.ברך אפור+כרית סיליקון</t>
  </si>
  <si>
    <t xml:space="preserve">M מ.ברך אפור+כרית סיליקון</t>
  </si>
  <si>
    <t xml:space="preserve">XLמ.ברך אפור+כרית סיליקון</t>
  </si>
  <si>
    <t xml:space="preserve">XXL.מ.ברך אפור+כרית סיליק</t>
  </si>
  <si>
    <t xml:space="preserve">לציפורן חודרנית</t>
  </si>
  <si>
    <t xml:space="preserve">L סד ליד דו צדדי לאחר שבר</t>
  </si>
  <si>
    <t xml:space="preserve">M סד ליד דו צדדי לאחר שבר</t>
  </si>
  <si>
    <t xml:space="preserve">S סד ליד דו צדדי לאחר שבר</t>
  </si>
  <si>
    <t xml:space="preserve">XL סד ליד דו צדדי לאחר שבר</t>
  </si>
  <si>
    <t xml:space="preserve">XXL סד ליד דו צדדי לאחר שבר</t>
  </si>
  <si>
    <t xml:space="preserve">L סד לאגודל לאחר שבר</t>
  </si>
  <si>
    <t xml:space="preserve">M סד לאגודל לאחר שבר</t>
  </si>
  <si>
    <t xml:space="preserve">S סד לאגודל לאחר שבר</t>
  </si>
  <si>
    <t xml:space="preserve">XL סד לאגודל לאחר שבר</t>
  </si>
  <si>
    <t xml:space="preserve">32</t>
  </si>
  <si>
    <t xml:space="preserve">M  סד קרסול+מוטות אלומיניום</t>
  </si>
  <si>
    <t xml:space="preserve">סד לקרסול עם כריות אויר</t>
  </si>
  <si>
    <t xml:space="preserve">28-XS</t>
  </si>
  <si>
    <t xml:space="preserve">סד לאגודל לאחר שבר</t>
  </si>
  <si>
    <t xml:space="preserve">AC-27L</t>
  </si>
  <si>
    <t xml:space="preserve">סד לש.כף יד שמאל</t>
  </si>
  <si>
    <t xml:space="preserve">AC-27R</t>
  </si>
  <si>
    <t xml:space="preserve">סד לש.כף יד ימין</t>
  </si>
  <si>
    <t xml:space="preserve">סד לאגודל</t>
  </si>
  <si>
    <t xml:space="preserve">S סד לאגודל כפפה</t>
  </si>
  <si>
    <t xml:space="preserve">XL סד לאגודל כפפה</t>
  </si>
  <si>
    <t xml:space="preserve">L סד לאגודל כפפה</t>
  </si>
  <si>
    <t xml:space="preserve">M סד לאגודל כפפה</t>
  </si>
  <si>
    <t xml:space="preserve">S-M סד לאגודל</t>
  </si>
  <si>
    <t xml:space="preserve">L-XL סד לאגודל</t>
  </si>
  <si>
    <t xml:space="preserve">סכינים למקצוע</t>
  </si>
  <si>
    <t xml:space="preserve">T33</t>
  </si>
  <si>
    <t xml:space="preserve">M  סד לקרסול</t>
  </si>
  <si>
    <t xml:space="preserve">L  סד לקרסול</t>
  </si>
  <si>
    <t xml:space="preserve">M סד ליד שמאל</t>
  </si>
  <si>
    <t xml:space="preserve">L סד ליד שמאל</t>
  </si>
  <si>
    <t xml:space="preserve">XXL סד לקרסול</t>
  </si>
  <si>
    <t xml:space="preserve">T27L</t>
  </si>
  <si>
    <t xml:space="preserve">XS סד ליד דו צדדי לאחר שבר</t>
  </si>
  <si>
    <t xml:space="preserve">L עקבים לדורבן-זוג כריות</t>
  </si>
  <si>
    <t xml:space="preserve">M עקבים לדורבן-זוג כריות</t>
  </si>
  <si>
    <t xml:space="preserve">S עקבים לדורבן-זוג כריות</t>
  </si>
  <si>
    <t xml:space="preserve">Lעקבים סיליקון כחול לדורבן</t>
  </si>
  <si>
    <t xml:space="preserve">Mעקבים סיליק.כחול לדורבן</t>
  </si>
  <si>
    <t xml:space="preserve">Sעקבים סיליק.כחול לדורבן</t>
  </si>
  <si>
    <t xml:space="preserve">S תתמוקפאעקב סיליקון+ קשת</t>
  </si>
  <si>
    <t xml:space="preserve">PD343-פומפיה</t>
  </si>
  <si>
    <t xml:space="preserve">מאבן להסר.עור</t>
  </si>
  <si>
    <t xml:space="preserve">L צוארון ספוגי</t>
  </si>
  <si>
    <t xml:space="preserve">M צוארון ספוגי</t>
  </si>
  <si>
    <t xml:space="preserve">S צוארון ספוגי</t>
  </si>
  <si>
    <t xml:space="preserve">XL צוארון ספוגי</t>
  </si>
  <si>
    <t xml:space="preserve">XXL צוארון ספוגי</t>
  </si>
  <si>
    <t xml:space="preserve">63</t>
  </si>
  <si>
    <t xml:space="preserve">M צוארון פלסטי מתכוון</t>
  </si>
  <si>
    <t xml:space="preserve">צוארון ספוגי</t>
  </si>
  <si>
    <t xml:space="preserve">FC311-תתקרם</t>
  </si>
  <si>
    <t xml:space="preserve">דאודורנט לכף הרגל</t>
  </si>
  <si>
    <t xml:space="preserve">FC310-תתקרם</t>
  </si>
  <si>
    <t xml:space="preserve">הגנה לכף הרגל</t>
  </si>
  <si>
    <t xml:space="preserve">FC312-תתקרם</t>
  </si>
  <si>
    <t xml:space="preserve">מירוק גרגרי פילינג</t>
  </si>
  <si>
    <t xml:space="preserve">ציפורניים</t>
  </si>
  <si>
    <t xml:space="preserve">FC316</t>
  </si>
  <si>
    <t xml:space="preserve">קרם רגליים שיקומי</t>
  </si>
  <si>
    <t xml:space="preserve">370</t>
  </si>
  <si>
    <t xml:space="preserve">רפידת נוחות-זוג</t>
  </si>
  <si>
    <t xml:space="preserve">רפידת מגבת כותנה-זוג</t>
  </si>
  <si>
    <t xml:space="preserve">372</t>
  </si>
  <si>
    <t xml:space="preserve">רפידת אנטי ריח -זוג</t>
  </si>
  <si>
    <t xml:space="preserve">374</t>
  </si>
  <si>
    <t xml:space="preserve">רפידת בולמת זעזועים -זוג</t>
  </si>
  <si>
    <t xml:space="preserve">רפ.אורטופדית ספורט זוג35</t>
  </si>
  <si>
    <t xml:space="preserve">רפ.אורטופדית ספורט זוג36</t>
  </si>
  <si>
    <t xml:space="preserve">רפ.אורטופדית ספורט זוג37</t>
  </si>
  <si>
    <t xml:space="preserve">רפ.ורטופדית ספורט זוג38</t>
  </si>
  <si>
    <t xml:space="preserve">רפ.אורטופדית ספורט זוג39</t>
  </si>
  <si>
    <t xml:space="preserve">רפידה אורטופ.ספורט זוג41</t>
  </si>
  <si>
    <t xml:space="preserve">רפידה אורטופ.ספורט זוג42</t>
  </si>
  <si>
    <t xml:space="preserve">רפידה אורט.ספורט זוג43</t>
  </si>
  <si>
    <t xml:space="preserve">רפידה אורט.ספורט זוג44</t>
  </si>
  <si>
    <t xml:space="preserve">רפ.אורטופדית ספורט זוג45</t>
  </si>
  <si>
    <t xml:space="preserve">רפ.אורטופדית ספורט זוג46</t>
  </si>
  <si>
    <t xml:space="preserve">פיקה לברך</t>
  </si>
  <si>
    <t xml:space="preserve">רצועת ""פיקה""+כרית</t>
  </si>
  <si>
    <t xml:space="preserve">T90</t>
  </si>
  <si>
    <t xml:space="preserve">רצועת טניס אלבו עם פלסטיק</t>
  </si>
  <si>
    <t xml:space="preserve">L-XL רצועת טניס אלבו</t>
  </si>
  <si>
    <t xml:space="preserve">S-M רצועת טניס אלבו</t>
  </si>
  <si>
    <t xml:space="preserve">רצועת פיקה לברך</t>
  </si>
  <si>
    <t xml:space="preserve">LF370</t>
  </si>
  <si>
    <t xml:space="preserve">ריפוד סיליקון לעקב אחורי</t>
  </si>
  <si>
    <t xml:space="preserve">ריפוד סיליקון לנעלי אצבע</t>
  </si>
  <si>
    <t xml:space="preserve">LFריפוד</t>
  </si>
  <si>
    <t xml:space="preserve">סיליק.לכרית כף הרגל373</t>
  </si>
  <si>
    <t xml:space="preserve">ריפוד סיליק.לעקב תחתון</t>
  </si>
  <si>
    <t xml:space="preserve">3655</t>
  </si>
  <si>
    <t xml:space="preserve">שרוול מסיליקון לאצבע</t>
  </si>
  <si>
    <t xml:space="preserve">שרוול מטטרזלי מסיליקון</t>
  </si>
  <si>
    <t xml:space="preserve">תחבושת אלסטית מקררת</t>
  </si>
  <si>
    <t xml:space="preserve">120 תתתרסיס מרענן לרגל</t>
  </si>
  <si>
    <t xml:space="preserve">S תומך זרוע וכתף</t>
  </si>
  <si>
    <t xml:space="preserve">M תומך זרוע וכתף</t>
  </si>
  <si>
    <t xml:space="preserve">L תומך זרוע וכתף</t>
  </si>
  <si>
    <t xml:space="preserve">XLתומך זרוע וכתף</t>
  </si>
  <si>
    <t xml:space="preserve">XXL תומך זרוע וכתף</t>
  </si>
  <si>
    <t xml:space="preserve">סד ליד דו צדדי</t>
  </si>
  <si>
    <t xml:space="preserve">35-38 גרבי טיסה מידה</t>
  </si>
  <si>
    <t xml:space="preserve">39-42 גרבי טיסה מידה</t>
  </si>
  <si>
    <t xml:space="preserve">43-46 גרבי טיסה מידה</t>
  </si>
  <si>
    <t xml:space="preserve">AC40</t>
  </si>
  <si>
    <t xml:space="preserve">רצועה לפיקת הברך</t>
  </si>
  <si>
    <t xml:space="preserve">חגורת גב אפורה</t>
  </si>
  <si>
    <t xml:space="preserve">גב אפורה</t>
  </si>
  <si>
    <t xml:space="preserve">11 אפורUGחגורת בטן</t>
  </si>
  <si>
    <t xml:space="preserve">11 אפורUG חגורת בטן</t>
  </si>
  <si>
    <t xml:space="preserve">11אפורUGחגורת בטן</t>
  </si>
  <si>
    <t xml:space="preserve">322-S</t>
  </si>
  <si>
    <t xml:space="preserve">מגן קרסול+כרית סילקון</t>
  </si>
  <si>
    <t xml:space="preserve">322-M</t>
  </si>
  <si>
    <t xml:space="preserve">קרסול+כרית סילקון</t>
  </si>
  <si>
    <t xml:space="preserve">L-XL חגורת הריון</t>
  </si>
  <si>
    <t xml:space="preserve">S-M חגורת הריון</t>
  </si>
  <si>
    <t xml:space="preserve">XXL חגורת הריון</t>
  </si>
  <si>
    <t xml:space="preserve">L'חגורת גב+סגירה כפו בז</t>
  </si>
  <si>
    <t xml:space="preserve">M'חגורת גב+סגירה כפו בז</t>
  </si>
  <si>
    <t xml:space="preserve">S'חגורת גב+סגירה כפו בז</t>
  </si>
  <si>
    <t xml:space="preserve">XLתתחגורת גב+סגירה כפו בז</t>
  </si>
  <si>
    <t xml:space="preserve">XXL חגורת גב עם חיזוקים</t>
  </si>
  <si>
    <t xml:space="preserve">804AT-W</t>
  </si>
  <si>
    <t xml:space="preserve">טייפ חבישה לספורט</t>
  </si>
  <si>
    <t xml:space="preserve">804AT-B</t>
  </si>
  <si>
    <t xml:space="preserve">804AT-C</t>
  </si>
  <si>
    <t xml:space="preserve">804AT-BL</t>
  </si>
  <si>
    <t xml:space="preserve">טייפ קינזיולוגי</t>
  </si>
  <si>
    <t xml:space="preserve">XL כרית סיליקון לעקב</t>
  </si>
  <si>
    <t xml:space="preserve">302</t>
  </si>
  <si>
    <t xml:space="preserve">מדרס ג'ל לגבר</t>
  </si>
  <si>
    <t xml:space="preserve">M 'מגן מרפק בז</t>
  </si>
  <si>
    <t xml:space="preserve">L 'מגן מרפק בז</t>
  </si>
  <si>
    <t xml:space="preserve">S 'מגן מרפק בז</t>
  </si>
  <si>
    <t xml:space="preserve">XL'מגן מרפק בז</t>
  </si>
  <si>
    <t xml:space="preserve">XS'מגן מרפק בז</t>
  </si>
  <si>
    <t xml:space="preserve">XXL'מגן מרפק בז</t>
  </si>
  <si>
    <t xml:space="preserve">0 מ.בוניון+מפריד אצבע</t>
  </si>
  <si>
    <t xml:space="preserve">מגן זרת מסיליקון</t>
  </si>
  <si>
    <t xml:space="preserve">W מדרס לאישה</t>
  </si>
  <si>
    <t xml:space="preserve">S 'מגן ברך ארוך בז</t>
  </si>
  <si>
    <t xml:space="preserve">M 'מגן ברך ארוך בז</t>
  </si>
  <si>
    <t xml:space="preserve">L 'מגן ברך ארוך בז</t>
  </si>
  <si>
    <t xml:space="preserve">XL'מגן ברך ארוך בז</t>
  </si>
  <si>
    <t xml:space="preserve">XXL'מגן ברך ארוך בז</t>
  </si>
  <si>
    <t xml:space="preserve">XS מגן יד</t>
  </si>
  <si>
    <t xml:space="preserve">L מגן למפרק כתף</t>
  </si>
  <si>
    <t xml:space="preserve">סד ליישור אצבע</t>
  </si>
  <si>
    <t xml:space="preserve">סט פלסטרים נגד שפשופים</t>
  </si>
  <si>
    <t xml:space="preserve">0 רפידת לילדים אנטי ריח</t>
  </si>
  <si>
    <t xml:space="preserve">35-37</t>
  </si>
  <si>
    <t xml:space="preserve">רפידת ספורט 376 מידה</t>
  </si>
  <si>
    <t xml:space="preserve">41-43</t>
  </si>
  <si>
    <t xml:space="preserve">46-47</t>
  </si>
  <si>
    <t xml:space="preserve">שרוול מגן לבוניון</t>
  </si>
  <si>
    <t xml:space="preserve">תחבושת א.נצמ</t>
  </si>
  <si>
    <t xml:space="preserve">S חבק יד</t>
  </si>
  <si>
    <t xml:space="preserve">M חבק יד</t>
  </si>
  <si>
    <t xml:space="preserve">L חבק יד</t>
  </si>
  <si>
    <t xml:space="preserve">XL חבק יד</t>
  </si>
  <si>
    <t xml:space="preserve">S מגן מרפק</t>
  </si>
  <si>
    <t xml:space="preserve">M מגן מרפק</t>
  </si>
  <si>
    <t xml:space="preserve">L מגן מרפק</t>
  </si>
  <si>
    <t xml:space="preserve">XLמגן מרפק</t>
  </si>
  <si>
    <t xml:space="preserve">XXLמגן שוק</t>
  </si>
  <si>
    <t xml:space="preserve">S מגן קרסול שמאל</t>
  </si>
  <si>
    <t xml:space="preserve">M מגן קרסול שמאל</t>
  </si>
  <si>
    <t xml:space="preserve">L מגן קרסול שמאל</t>
  </si>
  <si>
    <t xml:space="preserve">XL מגן קרסול שמאל</t>
  </si>
  <si>
    <t xml:space="preserve">S מגן קרסול ימין</t>
  </si>
  <si>
    <t xml:space="preserve">M מגן קרסול ימין</t>
  </si>
  <si>
    <t xml:space="preserve">L מגן קרסול ימין</t>
  </si>
  <si>
    <t xml:space="preserve">XLמגן קרסול ימין</t>
  </si>
  <si>
    <t xml:space="preserve">קרסול עם שרוכים בז</t>
  </si>
  <si>
    <t xml:space="preserve">S מגן ברך</t>
  </si>
  <si>
    <t xml:space="preserve">M מגן ברך</t>
  </si>
  <si>
    <t xml:space="preserve">L מגן ברך</t>
  </si>
  <si>
    <t xml:space="preserve">XL מגן ברך</t>
  </si>
  <si>
    <t xml:space="preserve">XXLמגן ברך</t>
  </si>
  <si>
    <t xml:space="preserve">XXL מגן למפרק כתף</t>
  </si>
  <si>
    <t xml:space="preserve">L-XL 'סד יד שמאל בז</t>
  </si>
  <si>
    <t xml:space="preserve">S-M'סד יד שמאל בז</t>
  </si>
  <si>
    <t xml:space="preserve">267RC</t>
  </si>
  <si>
    <t xml:space="preserve">L-XL 'סד יד ימין בז</t>
  </si>
  <si>
    <t xml:space="preserve">S-M 'סד יד ימין בז</t>
  </si>
  <si>
    <t xml:space="preserve">267LB</t>
  </si>
  <si>
    <t xml:space="preserve">L-XLסד יד שמאל שחור</t>
  </si>
  <si>
    <t xml:space="preserve">S-M סד יד שמאל שחור</t>
  </si>
  <si>
    <t xml:space="preserve">267RB</t>
  </si>
  <si>
    <t xml:space="preserve">L-XLסד יד ימין שחור</t>
  </si>
  <si>
    <t xml:space="preserve">S-M סד יד ימין שחור</t>
  </si>
  <si>
    <t xml:space="preserve">BE</t>
  </si>
  <si>
    <t xml:space="preserve">CARE  תחבושת אלסטית 5 ס""מ</t>
  </si>
  <si>
    <t xml:space="preserve">CARE KT BLACK</t>
  </si>
  <si>
    <t xml:space="preserve">CARE KT BLUE</t>
  </si>
  <si>
    <t xml:space="preserve">כפפות לחץ</t>
  </si>
  <si>
    <t xml:space="preserve">כפפות אגודל לחץ</t>
  </si>
  <si>
    <t xml:space="preserve">302SP</t>
  </si>
  <si>
    <t xml:space="preserve">M מדרס ג'ל ספורט לגבר</t>
  </si>
  <si>
    <t xml:space="preserve">Wמדרס ג'ל ספורט לאישה</t>
  </si>
  <si>
    <t xml:space="preserve">מיישר בוניון-האלוקס ולגוס</t>
  </si>
  <si>
    <t xml:space="preserve">מישר כתפיים אקטיב</t>
  </si>
  <si>
    <t xml:space="preserve">מתלה ליד לילדים</t>
  </si>
  <si>
    <t xml:space="preserve">XXL  מיישר כתפיים אקטיב</t>
  </si>
  <si>
    <t xml:space="preserve">605XL</t>
  </si>
  <si>
    <t xml:space="preserve">מסכה אלה</t>
  </si>
  <si>
    <t xml:space="preserve">35B</t>
  </si>
  <si>
    <t xml:space="preserve">L מגן קרסול שחור</t>
  </si>
  <si>
    <t xml:space="preserve">XL מגן קרסול שחור</t>
  </si>
  <si>
    <t xml:space="preserve">M מגן קרסול שחור</t>
  </si>
  <si>
    <t xml:space="preserve">S מגן קרסול שחור</t>
  </si>
  <si>
    <t xml:space="preserve">XXL מגן קרסול שחור</t>
  </si>
  <si>
    <t xml:space="preserve">45B</t>
  </si>
  <si>
    <t xml:space="preserve">L מגן ברך שחור</t>
  </si>
  <si>
    <t xml:space="preserve">XL מגן ברך שחור</t>
  </si>
  <si>
    <t xml:space="preserve">M מגן ברך שחור</t>
  </si>
  <si>
    <t xml:space="preserve">S מגן ברך שחור</t>
  </si>
  <si>
    <t xml:space="preserve">XXLמגן ברך שחור</t>
  </si>
  <si>
    <t xml:space="preserve">95B</t>
  </si>
  <si>
    <t xml:space="preserve">L מגן מרפק שחור</t>
  </si>
  <si>
    <t xml:space="preserve">M מגן מרפק שחור</t>
  </si>
  <si>
    <t xml:space="preserve">S מגן מרפק שחור</t>
  </si>
  <si>
    <t xml:space="preserve">XL מגן מרפק שחור</t>
  </si>
  <si>
    <t xml:space="preserve">XXLמגן מרפק שחור</t>
  </si>
  <si>
    <t xml:space="preserve">קיבוע לאצבע הדק</t>
  </si>
  <si>
    <t xml:space="preserve">381</t>
  </si>
  <si>
    <t xml:space="preserve">HV רצועה אלסטית</t>
  </si>
  <si>
    <t xml:space="preserve">301CW</t>
  </si>
  <si>
    <t xml:space="preserve">36-40 'רפידת ג'ל בז</t>
  </si>
  <si>
    <t xml:space="preserve">301CM</t>
  </si>
  <si>
    <t xml:space="preserve">41-45 'רפידת ג'ל בז</t>
  </si>
  <si>
    <t xml:space="preserve">301JW</t>
  </si>
  <si>
    <t xml:space="preserve">רפידת ג'ל כחול36-40</t>
  </si>
  <si>
    <t xml:space="preserve">לגבס קצר יד</t>
  </si>
  <si>
    <t xml:space="preserve">לגבס ארוך יד</t>
  </si>
  <si>
    <t xml:space="preserve">לגבס קצר רגל</t>
  </si>
  <si>
    <t xml:space="preserve">לגבס ארוך רגל</t>
  </si>
  <si>
    <t xml:space="preserve">נצמדת בז' 20 מ""מ</t>
  </si>
  <si>
    <t xml:space="preserve">נצמדת שחור 20 מ""מ</t>
  </si>
  <si>
    <t xml:space="preserve">נצמדת כחול20מ""מ</t>
  </si>
  <si>
    <t xml:space="preserve">תחבושת נצמדת ורוד 20ממ</t>
  </si>
  <si>
    <t xml:space="preserve">ST3555</t>
  </si>
  <si>
    <t xml:space="preserve">S-Mגרב לילה לטיפ.בדורבן</t>
  </si>
  <si>
    <t xml:space="preserve">11STO</t>
  </si>
  <si>
    <t xml:space="preserve">M חגורה אחרי ניתוח</t>
  </si>
  <si>
    <t xml:space="preserve">310Lמדרס</t>
  </si>
  <si>
    <t xml:space="preserve">3/4לכאבי דורבן וספורט</t>
  </si>
  <si>
    <t xml:space="preserve">L מתלה רשת לזרוע שחור</t>
  </si>
  <si>
    <t xml:space="preserve">M מתלה רשת לזרוע שחור</t>
  </si>
  <si>
    <t xml:space="preserve">XL מתלה רשת לזרוע שחור</t>
  </si>
  <si>
    <t xml:space="preserve">S מתלה רשת לזרוע שחור</t>
  </si>
  <si>
    <t xml:space="preserve">S-M STRAP4U</t>
  </si>
  <si>
    <t xml:space="preserve">L-XL STRAP4U</t>
  </si>
  <si>
    <t xml:space="preserve">דאודורנט אנטיבק.נעל333</t>
  </si>
  <si>
    <t xml:space="preserve">גרבי ג'ל לריכוך עור העקב</t>
  </si>
  <si>
    <t xml:space="preserve">T25B</t>
  </si>
  <si>
    <t xml:space="preserve">חבק יד אגודלי</t>
  </si>
  <si>
    <t xml:space="preserve">חבק טניס אלבו</t>
  </si>
  <si>
    <t xml:space="preserve">אפיק ג'ל מולט.ספורט35-38</t>
  </si>
  <si>
    <t xml:space="preserve">אפיק ג'ל מולטי ספור39-42</t>
  </si>
  <si>
    <t xml:space="preserve">אפיק ג'ל מולט.ספורט43-47</t>
  </si>
  <si>
    <t xml:space="preserve">מדרסי אפיק ג'ל נוחות</t>
  </si>
  <si>
    <t xml:space="preserve">מדרסי אפיק ג'ל עבודה</t>
  </si>
  <si>
    <t xml:space="preserve">XXL מגן קרסול חום</t>
  </si>
  <si>
    <t xml:space="preserve">L סד לילה שחור לבוהן שמאל</t>
  </si>
  <si>
    <t xml:space="preserve">L סד לילה שחור לבוהן ימין</t>
  </si>
  <si>
    <t xml:space="preserve">תרסיס דאודורנט לכף הרגל</t>
  </si>
  <si>
    <t xml:space="preserve">1 תומך ברך גנושילד</t>
  </si>
  <si>
    <t xml:space="preserve">2 תומך ברך גנושילד</t>
  </si>
  <si>
    <t xml:space="preserve">3 תומך ברך גנושילד</t>
  </si>
  <si>
    <t xml:space="preserve">4 תומך ברך גנושילד</t>
  </si>
  <si>
    <t xml:space="preserve">5 תומך ברך גנושילד</t>
  </si>
  <si>
    <t xml:space="preserve">Quantity (units)</t>
  </si>
  <si>
    <t xml:space="preserve">L מגן מרפק+רצועה לטניס</t>
  </si>
  <si>
    <t xml:space="preserve">נתוני מקור גולמיים - 2026 - עמודת "סופרפארם" בלבד (מתוך דוח PPlay1 of uriel, ללא שינוי לשורות עצמן)</t>
  </si>
  <si>
    <t xml:space="preserve">S-XLST422</t>
  </si>
  <si>
    <t xml:space="preserve">מגן ברך+כרית ג'ל</t>
  </si>
  <si>
    <t xml:space="preserve">XL ח.גב מגנטית+מוטות תמיכה</t>
  </si>
  <si>
    <t xml:space="preserve">S ח.הריון מכנס למניעת כאבים</t>
  </si>
  <si>
    <t xml:space="preserve">M ח.הריון מכנס למניעת כאבים</t>
  </si>
  <si>
    <t xml:space="preserve">S חגורת שבר לצד שמאל</t>
  </si>
  <si>
    <t xml:space="preserve">XLחגורת שבר לצד שמאל</t>
  </si>
  <si>
    <t xml:space="preserve">922XLחבק</t>
  </si>
  <si>
    <t xml:space="preserve">L-XLחגורת הריון בכאב.חזק</t>
  </si>
  <si>
    <t xml:space="preserve">M חגורת צלעות לאשה</t>
  </si>
  <si>
    <t xml:space="preserve">L חגורת צלעות לאשה</t>
  </si>
  <si>
    <t xml:space="preserve">M מגן ברך מוצלב+מוט</t>
  </si>
  <si>
    <t xml:space="preserve">S מתלה אשכים לאחר ניתוח</t>
  </si>
  <si>
    <t xml:space="preserve">XL מתלה אשכים לספורטאים</t>
  </si>
  <si>
    <t xml:space="preserve">74</t>
  </si>
  <si>
    <t xml:space="preserve">L-XL מיצב כתפיים</t>
  </si>
  <si>
    <t xml:space="preserve">L מגן ברך לסקי</t>
  </si>
  <si>
    <t xml:space="preserve">T45X-XXLמגן</t>
  </si>
  <si>
    <t xml:space="preserve">ברך רגיל</t>
  </si>
  <si>
    <t xml:space="preserve">XL סד קרסול+מוטות אלומיניום</t>
  </si>
  <si>
    <t xml:space="preserve">XLסד ליד שמאל</t>
  </si>
  <si>
    <t xml:space="preserve">R-M סד ליד ימין</t>
  </si>
  <si>
    <t xml:space="preserve">רפ.אורטופדית ספורט זוג40</t>
  </si>
  <si>
    <t xml:space="preserve">922XXLמגן</t>
  </si>
  <si>
    <t xml:space="preserve">מרפק+כרית סילקון</t>
  </si>
  <si>
    <t xml:space="preserve">S'תתחגורת בטן עממית בז</t>
  </si>
  <si>
    <t xml:space="preserve">44-45</t>
  </si>
  <si>
    <t xml:space="preserve">099 חגורת גב שרוכים</t>
  </si>
  <si>
    <t xml:space="preserve">LF378</t>
  </si>
  <si>
    <t xml:space="preserve">S מדרס ג'ל לנעלי עקב</t>
  </si>
  <si>
    <t xml:space="preserve">M מדרס ג'ל לנעלי עקב</t>
  </si>
  <si>
    <t xml:space="preserve">L מדרס ג'ל לנעלי עקב</t>
  </si>
  <si>
    <t xml:space="preserve">ST3555L-XLגרב</t>
  </si>
  <si>
    <t xml:space="preserve">לילה לטיפ.בדורבן</t>
  </si>
  <si>
    <t xml:space="preserve">S חגורה אחרי ניתוח</t>
  </si>
  <si>
    <t xml:space="preserve">L חגורה אחרי ניתוח</t>
  </si>
  <si>
    <t xml:space="preserve">XL  חגורה אחרי ניתוח</t>
  </si>
  <si>
    <t xml:space="preserve">XXL חגורה אחרי ניתוח</t>
  </si>
  <si>
    <t xml:space="preserve">טיסה אנטי בקטרי35-38</t>
  </si>
  <si>
    <t xml:space="preserve">טיסה אנטי בקטרי39-42</t>
  </si>
  <si>
    <t xml:space="preserve">טיסה אנטי בקטרי43-46</t>
  </si>
  <si>
    <t xml:space="preserve">395B</t>
  </si>
  <si>
    <t xml:space="preserve">גרבי קיץ אנטי בקטריא39-42</t>
  </si>
  <si>
    <t xml:space="preserve">גרבי קיץ אנטי בקטריא43-46</t>
  </si>
  <si>
    <t xml:space="preserve">ST25</t>
  </si>
  <si>
    <t xml:space="preserve">חבק שורש לכף היד</t>
  </si>
  <si>
    <t xml:space="preserve">ST20</t>
  </si>
  <si>
    <t xml:space="preserve">חבק יד</t>
  </si>
  <si>
    <t xml:space="preserve">ST37</t>
  </si>
  <si>
    <t xml:space="preserve">חבק לקרסול</t>
  </si>
  <si>
    <t xml:space="preserve">ST11</t>
  </si>
  <si>
    <t xml:space="preserve">חגורת בטן</t>
  </si>
  <si>
    <t xml:space="preserve">XS חגורת פאבליק</t>
  </si>
  <si>
    <t xml:space="preserve">S חגורת פאבליק</t>
  </si>
  <si>
    <t xml:space="preserve">M חגורת פאבליק</t>
  </si>
  <si>
    <t xml:space="preserve">L חגורת פאבליק</t>
  </si>
  <si>
    <t xml:space="preserve">202</t>
  </si>
  <si>
    <t xml:space="preserve">ONE SIZE חבק יד</t>
  </si>
  <si>
    <t xml:space="preserve">L שמאל CTS כפפות</t>
  </si>
  <si>
    <t xml:space="preserve">M שמאל CTS כפפות</t>
  </si>
  <si>
    <t xml:space="preserve">S שמאל CTS כפפות</t>
  </si>
  <si>
    <t xml:space="preserve">L ימין CTS כפפות</t>
  </si>
  <si>
    <t xml:space="preserve">M ימין CTS כפפות</t>
  </si>
  <si>
    <t xml:space="preserve">S ימין CTS כפפות</t>
  </si>
  <si>
    <t xml:space="preserve">ST91</t>
  </si>
  <si>
    <t xml:space="preserve">מגן מרפק לטניס</t>
  </si>
  <si>
    <t xml:space="preserve">ST433</t>
  </si>
  <si>
    <t xml:space="preserve">H מגן ברך עם ציר</t>
  </si>
  <si>
    <t xml:space="preserve">ST49</t>
  </si>
  <si>
    <t xml:space="preserve">מקבע קרסול</t>
  </si>
  <si>
    <t xml:space="preserve">ST28</t>
  </si>
  <si>
    <t xml:space="preserve">סד אגודלי עם מוט תמיכה</t>
  </si>
  <si>
    <t xml:space="preserve">T40B</t>
  </si>
  <si>
    <t xml:space="preserve">רצועה לפיקה</t>
  </si>
  <si>
    <t xml:space="preserve">6 תומך ברך גנושילד</t>
  </si>
  <si>
    <t xml:space="preserve">M מגן מרפק+רצועה לטניס</t>
  </si>
  <si>
    <t xml:space="preserve">XLסד ליד ימין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</si>
</sst>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#,##0"/>
    <numFmt numFmtId="167" formatCode="0.0%"/>
    <numFmt numFmtId="168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0B4"/>
        <bgColor rgb="FFD9E1F2"/>
      </patternFill>
    </fill>
    <fill>
      <patternFill patternType="solid">
        <fgColor rgb="FFD9E1F2"/>
        <bgColor rgb="FFC6E0B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0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9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customFormat="false" ht="15" hidden="false" customHeight="false" outlineLevel="0" collapsed="false">
      <c r="A6" s="6" t="s">
        <v>13</v>
      </c>
      <c r="B6" s="6" t="str">
        <f aca="false">IFERROR(INDEX('Source 2026'!$C:$C,MATCH($A6,'Source 2026'!$B:$B,0)),IFERROR(INDEX('Source 2025'!$C:$C,MATCH($A6,'Source 2025'!$B:$B,0)),""))</f>
        <v>אפיק ג'ל מולט.ספורט35-38</v>
      </c>
      <c r="C6" s="7" t="n">
        <f aca="false">SUMIFS('Source 2025'!$D:$D,'Source 2025'!$B:$B,$A6,'Source 2025'!$A:$A,"Quantity (units)")</f>
        <v>2855</v>
      </c>
      <c r="D6" s="7" t="n">
        <f aca="false">SUMIFS('Source 2026'!$D:$D,'Source 2026'!$B:$B,$A6,'Source 2026'!$A:$A,"Quantity (units)")</f>
        <v>481</v>
      </c>
      <c r="E6" s="7" t="n">
        <f aca="false">D6-C6</f>
        <v>-2374</v>
      </c>
      <c r="F6" s="8" t="n">
        <f aca="false">IF(AND(C6=0,D6=0),0,IF(C6=0,"New",(D6-C6)/C6))</f>
        <v>-0.831523642732049</v>
      </c>
      <c r="G6" s="9" t="n">
        <f aca="false">SUMIFS('Source 2025'!$D:$D,'Source 2025'!$B:$B,$A6,'Source 2025'!$A:$A,"Amount (NIS)")</f>
        <v>265726.2</v>
      </c>
      <c r="H6" s="9" t="n">
        <f aca="false">SUMIFS('Source 2026'!$D:$D,'Source 2026'!$B:$B,$A6,'Source 2026'!$A:$A,"Amount (NIS)")</f>
        <v>47626.6</v>
      </c>
      <c r="I6" s="9" t="n">
        <f aca="false">H6-G6</f>
        <v>-218099.6</v>
      </c>
      <c r="J6" s="8" t="n">
        <f aca="false">IF(AND(G6=0,H6=0),0,IF(G6=0,"New",(H6-G6)/G6))</f>
        <v>-0.820768144052036</v>
      </c>
    </row>
    <row r="7" customFormat="false" ht="15" hidden="false" customHeight="false" outlineLevel="0" collapsed="false">
      <c r="A7" s="6" t="s">
        <v>14</v>
      </c>
      <c r="B7" s="6" t="str">
        <f aca="false">IFERROR(INDEX('Source 2026'!$C:$C,MATCH($A7,'Source 2026'!$B:$B,0)),IFERROR(INDEX('Source 2025'!$C:$C,MATCH($A7,'Source 2025'!$B:$B,0)),""))</f>
        <v>מדרסי אפיק ג'ל נוחות</v>
      </c>
      <c r="C7" s="7" t="n">
        <f aca="false">SUMIFS('Source 2025'!$D:$D,'Source 2025'!$B:$B,$A7,'Source 2025'!$A:$A,"Quantity (units)")</f>
        <v>1776</v>
      </c>
      <c r="D7" s="7" t="n">
        <f aca="false">SUMIFS('Source 2026'!$D:$D,'Source 2026'!$B:$B,$A7,'Source 2026'!$A:$A,"Quantity (units)")</f>
        <v>112</v>
      </c>
      <c r="E7" s="7" t="n">
        <f aca="false">D7-C7</f>
        <v>-1664</v>
      </c>
      <c r="F7" s="8" t="n">
        <f aca="false">IF(AND(C7=0,D7=0),0,IF(C7=0,"New",(D7-C7)/C7))</f>
        <v>-0.936936936936937</v>
      </c>
      <c r="G7" s="9" t="n">
        <f aca="false">SUMIFS('Source 2025'!$D:$D,'Source 2025'!$B:$B,$A7,'Source 2025'!$A:$A,"Amount (NIS)")</f>
        <v>164431.7</v>
      </c>
      <c r="H7" s="9" t="n">
        <f aca="false">SUMIFS('Source 2026'!$D:$D,'Source 2026'!$B:$B,$A7,'Source 2026'!$A:$A,"Amount (NIS)")</f>
        <v>11519.9</v>
      </c>
      <c r="I7" s="9" t="n">
        <f aca="false">H7-G7</f>
        <v>-152911.8</v>
      </c>
      <c r="J7" s="8" t="n">
        <f aca="false">IF(AND(G7=0,H7=0),0,IF(G7=0,"New",(H7-G7)/G7))</f>
        <v>-0.929941124491202</v>
      </c>
    </row>
    <row r="8" customFormat="false" ht="15" hidden="false" customHeight="false" outlineLevel="0" collapsed="false">
      <c r="A8" s="6" t="s">
        <v>15</v>
      </c>
      <c r="B8" s="6" t="str">
        <f aca="false">IFERROR(INDEX('Source 2026'!$C:$C,MATCH($A8,'Source 2026'!$B:$B,0)),IFERROR(INDEX('Source 2025'!$C:$C,MATCH($A8,'Source 2025'!$B:$B,0)),""))</f>
        <v>מדרסי אפיק ג'ל נוחות</v>
      </c>
      <c r="C8" s="7" t="n">
        <f aca="false">SUMIFS('Source 2025'!$D:$D,'Source 2025'!$B:$B,$A8,'Source 2025'!$A:$A,"Quantity (units)")</f>
        <v>2025</v>
      </c>
      <c r="D8" s="7" t="n">
        <f aca="false">SUMIFS('Source 2026'!$D:$D,'Source 2026'!$B:$B,$A8,'Source 2026'!$A:$A,"Quantity (units)")</f>
        <v>522</v>
      </c>
      <c r="E8" s="7" t="n">
        <f aca="false">D8-C8</f>
        <v>-1503</v>
      </c>
      <c r="F8" s="8" t="n">
        <f aca="false">IF(AND(C8=0,D8=0),0,IF(C8=0,"New",(D8-C8)/C8))</f>
        <v>-0.742222222222222</v>
      </c>
      <c r="G8" s="9" t="n">
        <f aca="false">SUMIFS('Source 2025'!$D:$D,'Source 2025'!$B:$B,$A8,'Source 2025'!$A:$A,"Amount (NIS)")</f>
        <v>188767.1</v>
      </c>
      <c r="H8" s="9" t="n">
        <f aca="false">SUMIFS('Source 2026'!$D:$D,'Source 2026'!$B:$B,$A8,'Source 2026'!$A:$A,"Amount (NIS)")</f>
        <v>52314</v>
      </c>
      <c r="I8" s="9" t="n">
        <f aca="false">H8-G8</f>
        <v>-136453.1</v>
      </c>
      <c r="J8" s="8" t="n">
        <f aca="false">IF(AND(G8=0,H8=0),0,IF(G8=0,"New",(H8-G8)/G8))</f>
        <v>-0.722864842443413</v>
      </c>
    </row>
    <row r="9" customFormat="false" ht="15" hidden="false" customHeight="false" outlineLevel="0" collapsed="false">
      <c r="A9" s="6" t="s">
        <v>16</v>
      </c>
      <c r="B9" s="6" t="str">
        <f aca="false">IFERROR(INDEX('Source 2026'!$C:$C,MATCH($A9,'Source 2026'!$B:$B,0)),IFERROR(INDEX('Source 2025'!$C:$C,MATCH($A9,'Source 2025'!$B:$B,0)),""))</f>
        <v>מדרסי אפיק ג'ל נוחות</v>
      </c>
      <c r="C9" s="7" t="n">
        <f aca="false">SUMIFS('Source 2025'!$D:$D,'Source 2025'!$B:$B,$A9,'Source 2025'!$A:$A,"Quantity (units)")</f>
        <v>2122</v>
      </c>
      <c r="D9" s="7" t="n">
        <f aca="false">SUMIFS('Source 2026'!$D:$D,'Source 2026'!$B:$B,$A9,'Source 2026'!$A:$A,"Quantity (units)")</f>
        <v>789</v>
      </c>
      <c r="E9" s="7" t="n">
        <f aca="false">D9-C9</f>
        <v>-1333</v>
      </c>
      <c r="F9" s="8" t="n">
        <f aca="false">IF(AND(C9=0,D9=0),0,IF(C9=0,"New",(D9-C9)/C9))</f>
        <v>-0.62818096135721</v>
      </c>
      <c r="G9" s="9" t="n">
        <f aca="false">SUMIFS('Source 2025'!$D:$D,'Source 2025'!$B:$B,$A9,'Source 2025'!$A:$A,"Amount (NIS)")</f>
        <v>197774.9</v>
      </c>
      <c r="H9" s="9" t="n">
        <f aca="false">SUMIFS('Source 2026'!$D:$D,'Source 2026'!$B:$B,$A9,'Source 2026'!$A:$A,"Amount (NIS)")</f>
        <v>78734.4</v>
      </c>
      <c r="I9" s="9" t="n">
        <f aca="false">H9-G9</f>
        <v>-119040.5</v>
      </c>
      <c r="J9" s="8" t="n">
        <f aca="false">IF(AND(G9=0,H9=0),0,IF(G9=0,"New",(H9-G9)/G9))</f>
        <v>-0.601898926506852</v>
      </c>
    </row>
    <row r="10" customFormat="false" ht="15" hidden="false" customHeight="false" outlineLevel="0" collapsed="false">
      <c r="A10" s="6" t="s">
        <v>17</v>
      </c>
      <c r="B10" s="6" t="str">
        <f aca="false">IFERROR(INDEX('Source 2026'!$C:$C,MATCH($A10,'Source 2026'!$B:$B,0)),IFERROR(INDEX('Source 2025'!$C:$C,MATCH($A10,'Source 2025'!$B:$B,0)),""))</f>
        <v>L סד ליד דו צדדי לאחר שבר</v>
      </c>
      <c r="C10" s="7" t="n">
        <f aca="false">SUMIFS('Source 2025'!$D:$D,'Source 2025'!$B:$B,$A10,'Source 2025'!$A:$A,"Quantity (units)")</f>
        <v>2550</v>
      </c>
      <c r="D10" s="7" t="n">
        <f aca="false">SUMIFS('Source 2026'!$D:$D,'Source 2026'!$B:$B,$A10,'Source 2026'!$A:$A,"Quantity (units)")</f>
        <v>1172</v>
      </c>
      <c r="E10" s="7" t="n">
        <f aca="false">D10-C10</f>
        <v>-1378</v>
      </c>
      <c r="F10" s="8" t="n">
        <f aca="false">IF(AND(C10=0,D10=0),0,IF(C10=0,"New",(D10-C10)/C10))</f>
        <v>-0.540392156862745</v>
      </c>
      <c r="G10" s="9" t="n">
        <f aca="false">SUMIFS('Source 2025'!$D:$D,'Source 2025'!$B:$B,$A10,'Source 2025'!$A:$A,"Amount (NIS)")</f>
        <v>208574.2</v>
      </c>
      <c r="H10" s="9" t="n">
        <f aca="false">SUMIFS('Source 2026'!$D:$D,'Source 2026'!$B:$B,$A10,'Source 2026'!$A:$A,"Amount (NIS)")</f>
        <v>97035.9</v>
      </c>
      <c r="I10" s="9" t="n">
        <f aca="false">H10-G10</f>
        <v>-111538.3</v>
      </c>
      <c r="J10" s="8" t="n">
        <f aca="false">IF(AND(G10=0,H10=0),0,IF(G10=0,"New",(H10-G10)/G10))</f>
        <v>-0.534765565443856</v>
      </c>
    </row>
    <row r="11" customFormat="false" ht="15" hidden="false" customHeight="false" outlineLevel="0" collapsed="false">
      <c r="A11" s="6" t="s">
        <v>18</v>
      </c>
      <c r="B11" s="6" t="str">
        <f aca="false">IFERROR(INDEX('Source 2026'!$C:$C,MATCH($A11,'Source 2026'!$B:$B,0)),IFERROR(INDEX('Source 2025'!$C:$C,MATCH($A11,'Source 2025'!$B:$B,0)),""))</f>
        <v>S מגן קרסול חום</v>
      </c>
      <c r="C11" s="7" t="n">
        <f aca="false">SUMIFS('Source 2025'!$D:$D,'Source 2025'!$B:$B,$A11,'Source 2025'!$A:$A,"Quantity (units)")</f>
        <v>10751</v>
      </c>
      <c r="D11" s="7" t="n">
        <f aca="false">SUMIFS('Source 2026'!$D:$D,'Source 2026'!$B:$B,$A11,'Source 2026'!$A:$A,"Quantity (units)")</f>
        <v>7007</v>
      </c>
      <c r="E11" s="7" t="n">
        <f aca="false">D11-C11</f>
        <v>-3744</v>
      </c>
      <c r="F11" s="8" t="n">
        <f aca="false">IF(AND(C11=0,D11=0),0,IF(C11=0,"New",(D11-C11)/C11))</f>
        <v>-0.348246674727932</v>
      </c>
      <c r="G11" s="9" t="n">
        <f aca="false">SUMIFS('Source 2025'!$D:$D,'Source 2025'!$B:$B,$A11,'Source 2025'!$A:$A,"Amount (NIS)")</f>
        <v>276617</v>
      </c>
      <c r="H11" s="9" t="n">
        <f aca="false">SUMIFS('Source 2026'!$D:$D,'Source 2026'!$B:$B,$A11,'Source 2026'!$A:$A,"Amount (NIS)")</f>
        <v>183180</v>
      </c>
      <c r="I11" s="9" t="n">
        <f aca="false">H11-G11</f>
        <v>-93437</v>
      </c>
      <c r="J11" s="8" t="n">
        <f aca="false">IF(AND(G11=0,H11=0),0,IF(G11=0,"New",(H11-G11)/G11))</f>
        <v>-0.337784734849991</v>
      </c>
    </row>
    <row r="12" customFormat="false" ht="15" hidden="false" customHeight="false" outlineLevel="0" collapsed="false">
      <c r="A12" s="6" t="s">
        <v>19</v>
      </c>
      <c r="B12" s="6" t="str">
        <f aca="false">IFERROR(INDEX('Source 2026'!$C:$C,MATCH($A12,'Source 2026'!$B:$B,0)),IFERROR(INDEX('Source 2025'!$C:$C,MATCH($A12,'Source 2025'!$B:$B,0)),""))</f>
        <v>S  חבק יד ארוך</v>
      </c>
      <c r="C12" s="7" t="n">
        <f aca="false">SUMIFS('Source 2025'!$D:$D,'Source 2025'!$B:$B,$A12,'Source 2025'!$A:$A,"Quantity (units)")</f>
        <v>8258</v>
      </c>
      <c r="D12" s="7" t="n">
        <f aca="false">SUMIFS('Source 2026'!$D:$D,'Source 2026'!$B:$B,$A12,'Source 2026'!$A:$A,"Quantity (units)")</f>
        <v>5458</v>
      </c>
      <c r="E12" s="7" t="n">
        <f aca="false">D12-C12</f>
        <v>-2800</v>
      </c>
      <c r="F12" s="8" t="n">
        <f aca="false">IF(AND(C12=0,D12=0),0,IF(C12=0,"New",(D12-C12)/C12))</f>
        <v>-0.339065148946476</v>
      </c>
      <c r="G12" s="9" t="n">
        <f aca="false">SUMIFS('Source 2025'!$D:$D,'Source 2025'!$B:$B,$A12,'Source 2025'!$A:$A,"Amount (NIS)")</f>
        <v>269862.5</v>
      </c>
      <c r="H12" s="9" t="n">
        <f aca="false">SUMIFS('Source 2026'!$D:$D,'Source 2026'!$B:$B,$A12,'Source 2026'!$A:$A,"Amount (NIS)")</f>
        <v>179838.7</v>
      </c>
      <c r="I12" s="9" t="n">
        <f aca="false">H12-G12</f>
        <v>-90023.8</v>
      </c>
      <c r="J12" s="8" t="n">
        <f aca="false">IF(AND(G12=0,H12=0),0,IF(G12=0,"New",(H12-G12)/G12))</f>
        <v>-0.333591365973412</v>
      </c>
    </row>
    <row r="13" customFormat="false" ht="15" hidden="false" customHeight="false" outlineLevel="0" collapsed="false">
      <c r="A13" s="6" t="s">
        <v>20</v>
      </c>
      <c r="B13" s="6" t="str">
        <f aca="false">IFERROR(INDEX('Source 2026'!$C:$C,MATCH($A13,'Source 2026'!$B:$B,0)),IFERROR(INDEX('Source 2025'!$C:$C,MATCH($A13,'Source 2025'!$B:$B,0)),""))</f>
        <v>טיסה אנטי בקטרי35-38</v>
      </c>
      <c r="C13" s="7" t="n">
        <f aca="false">SUMIFS('Source 2025'!$D:$D,'Source 2025'!$B:$B,$A13,'Source 2025'!$A:$A,"Quantity (units)")</f>
        <v>0</v>
      </c>
      <c r="D13" s="7" t="n">
        <f aca="false">SUMIFS('Source 2026'!$D:$D,'Source 2026'!$B:$B,$A13,'Source 2026'!$A:$A,"Quantity (units)")</f>
        <v>1552</v>
      </c>
      <c r="E13" s="7" t="n">
        <f aca="false">D13-C13</f>
        <v>1552</v>
      </c>
      <c r="F13" s="8" t="str">
        <f aca="false">IF(AND(C13=0,D13=0),0,IF(C13=0,"New",(D13-C13)/C13))</f>
        <v>New</v>
      </c>
      <c r="G13" s="9" t="n">
        <f aca="false">SUMIFS('Source 2025'!$D:$D,'Source 2025'!$B:$B,$A13,'Source 2025'!$A:$A,"Amount (NIS)")</f>
        <v>0</v>
      </c>
      <c r="H13" s="9" t="n">
        <f aca="false">SUMIFS('Source 2026'!$D:$D,'Source 2026'!$B:$B,$A13,'Source 2026'!$A:$A,"Amount (NIS)")</f>
        <v>84761</v>
      </c>
      <c r="I13" s="9" t="n">
        <f aca="false">H13-G13</f>
        <v>84761</v>
      </c>
      <c r="J13" s="8" t="str">
        <f aca="false">IF(AND(G13=0,H13=0),0,IF(G13=0,"New",(H13-G13)/G13))</f>
        <v>New</v>
      </c>
    </row>
    <row r="14" customFormat="false" ht="15" hidden="false" customHeight="false" outlineLevel="0" collapsed="false">
      <c r="A14" s="6" t="s">
        <v>21</v>
      </c>
      <c r="B14" s="6" t="str">
        <f aca="false">IFERROR(INDEX('Source 2026'!$C:$C,MATCH($A14,'Source 2026'!$B:$B,0)),IFERROR(INDEX('Source 2025'!$C:$C,MATCH($A14,'Source 2025'!$B:$B,0)),""))</f>
        <v>35-38 גרבי טיסה מידה</v>
      </c>
      <c r="C14" s="7" t="n">
        <f aca="false">SUMIFS('Source 2025'!$D:$D,'Source 2025'!$B:$B,$A14,'Source 2025'!$A:$A,"Quantity (units)")</f>
        <v>1506</v>
      </c>
      <c r="D14" s="7" t="n">
        <f aca="false">SUMIFS('Source 2026'!$D:$D,'Source 2026'!$B:$B,$A14,'Source 2026'!$A:$A,"Quantity (units)")</f>
        <v>-10</v>
      </c>
      <c r="E14" s="7" t="n">
        <f aca="false">D14-C14</f>
        <v>-1516</v>
      </c>
      <c r="F14" s="8" t="n">
        <f aca="false">IF(AND(C14=0,D14=0),0,IF(C14=0,"New",(D14-C14)/C14))</f>
        <v>-1.0066401062417</v>
      </c>
      <c r="G14" s="9" t="n">
        <f aca="false">SUMIFS('Source 2025'!$D:$D,'Source 2025'!$B:$B,$A14,'Source 2025'!$A:$A,"Amount (NIS)")</f>
        <v>79204.9</v>
      </c>
      <c r="H14" s="9" t="n">
        <f aca="false">SUMIFS('Source 2026'!$D:$D,'Source 2026'!$B:$B,$A14,'Source 2026'!$A:$A,"Amount (NIS)")</f>
        <v>-514.5</v>
      </c>
      <c r="I14" s="9" t="n">
        <f aca="false">H14-G14</f>
        <v>-79719.4</v>
      </c>
      <c r="J14" s="8" t="n">
        <f aca="false">IF(AND(G14=0,H14=0),0,IF(G14=0,"New",(H14-G14)/G14))</f>
        <v>-1.00649581023396</v>
      </c>
    </row>
    <row r="15" customFormat="false" ht="15" hidden="false" customHeight="false" outlineLevel="0" collapsed="false">
      <c r="A15" s="6" t="s">
        <v>22</v>
      </c>
      <c r="B15" s="6" t="str">
        <f aca="false">IFERROR(INDEX('Source 2026'!$C:$C,MATCH($A15,'Source 2026'!$B:$B,0)),IFERROR(INDEX('Source 2025'!$C:$C,MATCH($A15,'Source 2025'!$B:$B,0)),""))</f>
        <v>M מגן קרסול עקב סגור</v>
      </c>
      <c r="C15" s="7" t="n">
        <f aca="false">SUMIFS('Source 2025'!$D:$D,'Source 2025'!$B:$B,$A15,'Source 2025'!$A:$A,"Quantity (units)")</f>
        <v>6177</v>
      </c>
      <c r="D15" s="7" t="n">
        <f aca="false">SUMIFS('Source 2026'!$D:$D,'Source 2026'!$B:$B,$A15,'Source 2026'!$A:$A,"Quantity (units)")</f>
        <v>4200</v>
      </c>
      <c r="E15" s="7" t="n">
        <f aca="false">D15-C15</f>
        <v>-1977</v>
      </c>
      <c r="F15" s="8" t="n">
        <f aca="false">IF(AND(C15=0,D15=0),0,IF(C15=0,"New",(D15-C15)/C15))</f>
        <v>-0.320058280718796</v>
      </c>
      <c r="G15" s="9" t="n">
        <f aca="false">SUMIFS('Source 2025'!$D:$D,'Source 2025'!$B:$B,$A15,'Source 2025'!$A:$A,"Amount (NIS)")</f>
        <v>231846.4</v>
      </c>
      <c r="H15" s="9" t="n">
        <f aca="false">SUMIFS('Source 2026'!$D:$D,'Source 2026'!$B:$B,$A15,'Source 2026'!$A:$A,"Amount (NIS)")</f>
        <v>159810.8</v>
      </c>
      <c r="I15" s="9" t="n">
        <f aca="false">H15-G15</f>
        <v>-72035.6</v>
      </c>
      <c r="J15" s="8" t="n">
        <f aca="false">IF(AND(G15=0,H15=0),0,IF(G15=0,"New",(H15-G15)/G15))</f>
        <v>-0.310703983326892</v>
      </c>
    </row>
    <row r="16" customFormat="false" ht="15" hidden="false" customHeight="false" outlineLevel="0" collapsed="false">
      <c r="A16" s="6" t="s">
        <v>23</v>
      </c>
      <c r="B16" s="6" t="str">
        <f aca="false">IFERROR(INDEX('Source 2026'!$C:$C,MATCH($A16,'Source 2026'!$B:$B,0)),IFERROR(INDEX('Source 2025'!$C:$C,MATCH($A16,'Source 2025'!$B:$B,0)),""))</f>
        <v>מישר כתפיים אקטיב</v>
      </c>
      <c r="C16" s="7" t="n">
        <f aca="false">SUMIFS('Source 2025'!$D:$D,'Source 2025'!$B:$B,$A16,'Source 2025'!$A:$A,"Quantity (units)")</f>
        <v>659</v>
      </c>
      <c r="D16" s="7" t="n">
        <f aca="false">SUMIFS('Source 2026'!$D:$D,'Source 2026'!$B:$B,$A16,'Source 2026'!$A:$A,"Quantity (units)")</f>
        <v>1707</v>
      </c>
      <c r="E16" s="7" t="n">
        <f aca="false">D16-C16</f>
        <v>1048</v>
      </c>
      <c r="F16" s="8" t="n">
        <f aca="false">IF(AND(C16=0,D16=0),0,IF(C16=0,"New",(D16-C16)/C16))</f>
        <v>1.59028831562974</v>
      </c>
      <c r="G16" s="9" t="n">
        <f aca="false">SUMIFS('Source 2025'!$D:$D,'Source 2025'!$B:$B,$A16,'Source 2025'!$A:$A,"Amount (NIS)")</f>
        <v>40255.2</v>
      </c>
      <c r="H16" s="9" t="n">
        <f aca="false">SUMIFS('Source 2026'!$D:$D,'Source 2026'!$B:$B,$A16,'Source 2026'!$A:$A,"Amount (NIS)")</f>
        <v>109715.2</v>
      </c>
      <c r="I16" s="9" t="n">
        <f aca="false">H16-G16</f>
        <v>69460</v>
      </c>
      <c r="J16" s="8" t="n">
        <f aca="false">IF(AND(G16=0,H16=0),0,IF(G16=0,"New",(H16-G16)/G16))</f>
        <v>1.72549136509072</v>
      </c>
    </row>
    <row r="17" customFormat="false" ht="15" hidden="false" customHeight="false" outlineLevel="0" collapsed="false">
      <c r="A17" s="6" t="s">
        <v>24</v>
      </c>
      <c r="B17" s="6" t="str">
        <f aca="false">IFERROR(INDEX('Source 2026'!$C:$C,MATCH($A17,'Source 2026'!$B:$B,0)),IFERROR(INDEX('Source 2025'!$C:$C,MATCH($A17,'Source 2025'!$B:$B,0)),""))</f>
        <v>S מגן ברך חום</v>
      </c>
      <c r="C17" s="7" t="n">
        <f aca="false">SUMIFS('Source 2025'!$D:$D,'Source 2025'!$B:$B,$A17,'Source 2025'!$A:$A,"Quantity (units)")</f>
        <v>10069</v>
      </c>
      <c r="D17" s="7" t="n">
        <f aca="false">SUMIFS('Source 2026'!$D:$D,'Source 2026'!$B:$B,$A17,'Source 2026'!$A:$A,"Quantity (units)")</f>
        <v>7331</v>
      </c>
      <c r="E17" s="7" t="n">
        <f aca="false">D17-C17</f>
        <v>-2738</v>
      </c>
      <c r="F17" s="8" t="n">
        <f aca="false">IF(AND(C17=0,D17=0),0,IF(C17=0,"New",(D17-C17)/C17))</f>
        <v>-0.271923726288609</v>
      </c>
      <c r="G17" s="9" t="n">
        <f aca="false">SUMIFS('Source 2025'!$D:$D,'Source 2025'!$B:$B,$A17,'Source 2025'!$A:$A,"Amount (NIS)")</f>
        <v>259116.9</v>
      </c>
      <c r="H17" s="9" t="n">
        <f aca="false">SUMIFS('Source 2026'!$D:$D,'Source 2026'!$B:$B,$A17,'Source 2026'!$A:$A,"Amount (NIS)")</f>
        <v>190767.7</v>
      </c>
      <c r="I17" s="9" t="n">
        <f aca="false">H17-G17</f>
        <v>-68349.2</v>
      </c>
      <c r="J17" s="8" t="n">
        <f aca="false">IF(AND(G17=0,H17=0),0,IF(G17=0,"New",(H17-G17)/G17))</f>
        <v>-0.263777468779535</v>
      </c>
    </row>
    <row r="18" customFormat="false" ht="15" hidden="false" customHeight="false" outlineLevel="0" collapsed="false">
      <c r="A18" s="6" t="s">
        <v>25</v>
      </c>
      <c r="B18" s="6" t="str">
        <f aca="false">IFERROR(INDEX('Source 2026'!$C:$C,MATCH($A18,'Source 2026'!$B:$B,0)),IFERROR(INDEX('Source 2025'!$C:$C,MATCH($A18,'Source 2025'!$B:$B,0)),""))</f>
        <v>S 'מגן ברך ארוך בז</v>
      </c>
      <c r="C18" s="7" t="n">
        <f aca="false">SUMIFS('Source 2025'!$D:$D,'Source 2025'!$B:$B,$A18,'Source 2025'!$A:$A,"Quantity (units)")</f>
        <v>9351</v>
      </c>
      <c r="D18" s="7" t="n">
        <f aca="false">SUMIFS('Source 2026'!$D:$D,'Source 2026'!$B:$B,$A18,'Source 2026'!$A:$A,"Quantity (units)")</f>
        <v>7130</v>
      </c>
      <c r="E18" s="7" t="n">
        <f aca="false">D18-C18</f>
        <v>-2221</v>
      </c>
      <c r="F18" s="8" t="n">
        <f aca="false">IF(AND(C18=0,D18=0),0,IF(C18=0,"New",(D18-C18)/C18))</f>
        <v>-0.2375147043097</v>
      </c>
      <c r="G18" s="9" t="n">
        <f aca="false">SUMIFS('Source 2025'!$D:$D,'Source 2025'!$B:$B,$A18,'Source 2025'!$A:$A,"Amount (NIS)")</f>
        <v>290388.7</v>
      </c>
      <c r="H18" s="9" t="n">
        <f aca="false">SUMIFS('Source 2026'!$D:$D,'Source 2026'!$B:$B,$A18,'Source 2026'!$A:$A,"Amount (NIS)")</f>
        <v>222926.7</v>
      </c>
      <c r="I18" s="9" t="n">
        <f aca="false">H18-G18</f>
        <v>-67462</v>
      </c>
      <c r="J18" s="8" t="n">
        <f aca="false">IF(AND(G18=0,H18=0),0,IF(G18=0,"New",(H18-G18)/G18))</f>
        <v>-0.232316202386663</v>
      </c>
    </row>
    <row r="19" customFormat="false" ht="15" hidden="false" customHeight="false" outlineLevel="0" collapsed="false">
      <c r="A19" s="6" t="s">
        <v>26</v>
      </c>
      <c r="B19" s="6" t="str">
        <f aca="false">IFERROR(INDEX('Source 2026'!$C:$C,MATCH($A19,'Source 2026'!$B:$B,0)),IFERROR(INDEX('Source 2025'!$C:$C,MATCH($A19,'Source 2025'!$B:$B,0)),""))</f>
        <v>Sמגן ברך ארוך לבן</v>
      </c>
      <c r="C19" s="7" t="n">
        <f aca="false">SUMIFS('Source 2025'!$D:$D,'Source 2025'!$B:$B,$A19,'Source 2025'!$A:$A,"Quantity (units)")</f>
        <v>4657</v>
      </c>
      <c r="D19" s="7" t="n">
        <f aca="false">SUMIFS('Source 2026'!$D:$D,'Source 2026'!$B:$B,$A19,'Source 2026'!$A:$A,"Quantity (units)")</f>
        <v>2675</v>
      </c>
      <c r="E19" s="7" t="n">
        <f aca="false">D19-C19</f>
        <v>-1982</v>
      </c>
      <c r="F19" s="8" t="n">
        <f aca="false">IF(AND(C19=0,D19=0),0,IF(C19=0,"New",(D19-C19)/C19))</f>
        <v>-0.425595877174146</v>
      </c>
      <c r="G19" s="9" t="n">
        <f aca="false">SUMIFS('Source 2025'!$D:$D,'Source 2025'!$B:$B,$A19,'Source 2025'!$A:$A,"Amount (NIS)")</f>
        <v>144547.9</v>
      </c>
      <c r="H19" s="9" t="n">
        <f aca="false">SUMIFS('Source 2026'!$D:$D,'Source 2026'!$B:$B,$A19,'Source 2026'!$A:$A,"Amount (NIS)")</f>
        <v>83475.2</v>
      </c>
      <c r="I19" s="9" t="n">
        <f aca="false">H19-G19</f>
        <v>-61072.7</v>
      </c>
      <c r="J19" s="8" t="n">
        <f aca="false">IF(AND(G19=0,H19=0),0,IF(G19=0,"New",(H19-G19)/G19))</f>
        <v>-0.422508386493335</v>
      </c>
    </row>
    <row r="20" customFormat="false" ht="15" hidden="false" customHeight="false" outlineLevel="0" collapsed="false">
      <c r="A20" s="6" t="s">
        <v>27</v>
      </c>
      <c r="B20" s="6" t="str">
        <f aca="false">IFERROR(INDEX('Source 2026'!$C:$C,MATCH($A20,'Source 2026'!$B:$B,0)),IFERROR(INDEX('Source 2025'!$C:$C,MATCH($A20,'Source 2025'!$B:$B,0)),""))</f>
        <v>L סד לאגודל לאחר שבר</v>
      </c>
      <c r="C20" s="7" t="n">
        <f aca="false">SUMIFS('Source 2025'!$D:$D,'Source 2025'!$B:$B,$A20,'Source 2025'!$A:$A,"Quantity (units)")</f>
        <v>1991</v>
      </c>
      <c r="D20" s="7" t="n">
        <f aca="false">SUMIFS('Source 2026'!$D:$D,'Source 2026'!$B:$B,$A20,'Source 2026'!$A:$A,"Quantity (units)")</f>
        <v>1240</v>
      </c>
      <c r="E20" s="7" t="n">
        <f aca="false">D20-C20</f>
        <v>-751</v>
      </c>
      <c r="F20" s="8" t="n">
        <f aca="false">IF(AND(C20=0,D20=0),0,IF(C20=0,"New",(D20-C20)/C20))</f>
        <v>-0.377197388247112</v>
      </c>
      <c r="G20" s="9" t="n">
        <f aca="false">SUMIFS('Source 2025'!$D:$D,'Source 2025'!$B:$B,$A20,'Source 2025'!$A:$A,"Amount (NIS)")</f>
        <v>162880.5</v>
      </c>
      <c r="H20" s="9" t="n">
        <f aca="false">SUMIFS('Source 2026'!$D:$D,'Source 2026'!$B:$B,$A20,'Source 2026'!$A:$A,"Amount (NIS)")</f>
        <v>101877.3</v>
      </c>
      <c r="I20" s="9" t="n">
        <f aca="false">H20-G20</f>
        <v>-61003.2</v>
      </c>
      <c r="J20" s="8" t="n">
        <f aca="false">IF(AND(G20=0,H20=0),0,IF(G20=0,"New",(H20-G20)/G20))</f>
        <v>-0.374527337526592</v>
      </c>
    </row>
    <row r="21" customFormat="false" ht="15" hidden="false" customHeight="false" outlineLevel="0" collapsed="false">
      <c r="A21" s="6" t="s">
        <v>28</v>
      </c>
      <c r="B21" s="6" t="str">
        <f aca="false">IFERROR(INDEX('Source 2026'!$C:$C,MATCH($A21,'Source 2026'!$B:$B,0)),IFERROR(INDEX('Source 2025'!$C:$C,MATCH($A21,'Source 2025'!$B:$B,0)),""))</f>
        <v>סד ליד דו צדדי</v>
      </c>
      <c r="C21" s="7" t="n">
        <f aca="false">SUMIFS('Source 2025'!$D:$D,'Source 2025'!$B:$B,$A21,'Source 2025'!$A:$A,"Quantity (units)")</f>
        <v>4521</v>
      </c>
      <c r="D21" s="7" t="n">
        <f aca="false">SUMIFS('Source 2026'!$D:$D,'Source 2026'!$B:$B,$A21,'Source 2026'!$A:$A,"Quantity (units)")</f>
        <v>3632</v>
      </c>
      <c r="E21" s="7" t="n">
        <f aca="false">D21-C21</f>
        <v>-889</v>
      </c>
      <c r="F21" s="8" t="n">
        <f aca="false">IF(AND(C21=0,D21=0),0,IF(C21=0,"New",(D21-C21)/C21))</f>
        <v>-0.196637911966379</v>
      </c>
      <c r="G21" s="9" t="n">
        <f aca="false">SUMIFS('Source 2025'!$D:$D,'Source 2025'!$B:$B,$A21,'Source 2025'!$A:$A,"Amount (NIS)")</f>
        <v>304743.2</v>
      </c>
      <c r="H21" s="9" t="n">
        <f aca="false">SUMIFS('Source 2026'!$D:$D,'Source 2026'!$B:$B,$A21,'Source 2026'!$A:$A,"Amount (NIS)")</f>
        <v>245794.8</v>
      </c>
      <c r="I21" s="9" t="n">
        <f aca="false">H21-G21</f>
        <v>-58948.4</v>
      </c>
      <c r="J21" s="8" t="n">
        <f aca="false">IF(AND(G21=0,H21=0),0,IF(G21=0,"New",(H21-G21)/G21))</f>
        <v>-0.193436309653505</v>
      </c>
    </row>
    <row r="22" customFormat="false" ht="15" hidden="false" customHeight="false" outlineLevel="0" collapsed="false">
      <c r="A22" s="6" t="s">
        <v>29</v>
      </c>
      <c r="B22" s="6" t="str">
        <f aca="false">IFERROR(INDEX('Source 2026'!$C:$C,MATCH($A22,'Source 2026'!$B:$B,0)),IFERROR(INDEX('Source 2025'!$C:$C,MATCH($A22,'Source 2025'!$B:$B,0)),""))</f>
        <v>גב אפורה</v>
      </c>
      <c r="C22" s="7" t="n">
        <f aca="false">SUMIFS('Source 2025'!$D:$D,'Source 2025'!$B:$B,$A22,'Source 2025'!$A:$A,"Quantity (units)")</f>
        <v>1499</v>
      </c>
      <c r="D22" s="7" t="n">
        <f aca="false">SUMIFS('Source 2026'!$D:$D,'Source 2026'!$B:$B,$A22,'Source 2026'!$A:$A,"Quantity (units)")</f>
        <v>892</v>
      </c>
      <c r="E22" s="7" t="n">
        <f aca="false">D22-C22</f>
        <v>-607</v>
      </c>
      <c r="F22" s="8" t="n">
        <f aca="false">IF(AND(C22=0,D22=0),0,IF(C22=0,"New",(D22-C22)/C22))</f>
        <v>-0.404936624416278</v>
      </c>
      <c r="G22" s="9" t="n">
        <f aca="false">SUMIFS('Source 2025'!$D:$D,'Source 2025'!$B:$B,$A22,'Source 2025'!$A:$A,"Amount (NIS)")</f>
        <v>137916.9</v>
      </c>
      <c r="H22" s="9" t="n">
        <f aca="false">SUMIFS('Source 2026'!$D:$D,'Source 2026'!$B:$B,$A22,'Source 2026'!$A:$A,"Amount (NIS)")</f>
        <v>83552.7</v>
      </c>
      <c r="I22" s="9" t="n">
        <f aca="false">H22-G22</f>
        <v>-54364.2</v>
      </c>
      <c r="J22" s="8" t="n">
        <f aca="false">IF(AND(G22=0,H22=0),0,IF(G22=0,"New",(H22-G22)/G22))</f>
        <v>-0.394180843681956</v>
      </c>
    </row>
    <row r="23" customFormat="false" ht="15" hidden="false" customHeight="false" outlineLevel="0" collapsed="false">
      <c r="A23" s="6" t="s">
        <v>30</v>
      </c>
      <c r="B23" s="6" t="str">
        <f aca="false">IFERROR(INDEX('Source 2026'!$C:$C,MATCH($A23,'Source 2026'!$B:$B,0)),IFERROR(INDEX('Source 2025'!$C:$C,MATCH($A23,'Source 2025'!$B:$B,0)),""))</f>
        <v>חגורת גב אפורה</v>
      </c>
      <c r="C23" s="7" t="n">
        <f aca="false">SUMIFS('Source 2025'!$D:$D,'Source 2025'!$B:$B,$A23,'Source 2025'!$A:$A,"Quantity (units)")</f>
        <v>1760</v>
      </c>
      <c r="D23" s="7" t="n">
        <f aca="false">SUMIFS('Source 2026'!$D:$D,'Source 2026'!$B:$B,$A23,'Source 2026'!$A:$A,"Quantity (units)")</f>
        <v>1180</v>
      </c>
      <c r="E23" s="7" t="n">
        <f aca="false">D23-C23</f>
        <v>-580</v>
      </c>
      <c r="F23" s="8" t="n">
        <f aca="false">IF(AND(C23=0,D23=0),0,IF(C23=0,"New",(D23-C23)/C23))</f>
        <v>-0.329545454545455</v>
      </c>
      <c r="G23" s="9" t="n">
        <f aca="false">SUMIFS('Source 2025'!$D:$D,'Source 2025'!$B:$B,$A23,'Source 2025'!$A:$A,"Amount (NIS)")</f>
        <v>161994.9</v>
      </c>
      <c r="H23" s="9" t="n">
        <f aca="false">SUMIFS('Source 2026'!$D:$D,'Source 2026'!$B:$B,$A23,'Source 2026'!$A:$A,"Amount (NIS)")</f>
        <v>110437.7</v>
      </c>
      <c r="I23" s="9" t="n">
        <f aca="false">H23-G23</f>
        <v>-51557.2</v>
      </c>
      <c r="J23" s="8" t="n">
        <f aca="false">IF(AND(G23=0,H23=0),0,IF(G23=0,"New",(H23-G23)/G23))</f>
        <v>-0.318264340420594</v>
      </c>
    </row>
    <row r="24" customFormat="false" ht="15" hidden="false" customHeight="false" outlineLevel="0" collapsed="false">
      <c r="A24" s="6" t="s">
        <v>31</v>
      </c>
      <c r="B24" s="6" t="str">
        <f aca="false">IFERROR(INDEX('Source 2026'!$C:$C,MATCH($A24,'Source 2026'!$B:$B,0)),IFERROR(INDEX('Source 2025'!$C:$C,MATCH($A24,'Source 2025'!$B:$B,0)),""))</f>
        <v>S מגן קרסול לבן</v>
      </c>
      <c r="C24" s="7" t="n">
        <f aca="false">SUMIFS('Source 2025'!$D:$D,'Source 2025'!$B:$B,$A24,'Source 2025'!$A:$A,"Quantity (units)")</f>
        <v>5910</v>
      </c>
      <c r="D24" s="7" t="n">
        <f aca="false">SUMIFS('Source 2026'!$D:$D,'Source 2026'!$B:$B,$A24,'Source 2026'!$A:$A,"Quantity (units)")</f>
        <v>3889</v>
      </c>
      <c r="E24" s="7" t="n">
        <f aca="false">D24-C24</f>
        <v>-2021</v>
      </c>
      <c r="F24" s="8" t="n">
        <f aca="false">IF(AND(C24=0,D24=0),0,IF(C24=0,"New",(D24-C24)/C24))</f>
        <v>-0.341962774957699</v>
      </c>
      <c r="G24" s="9" t="n">
        <f aca="false">SUMIFS('Source 2025'!$D:$D,'Source 2025'!$B:$B,$A24,'Source 2025'!$A:$A,"Amount (NIS)")</f>
        <v>151929.9</v>
      </c>
      <c r="H24" s="9" t="n">
        <f aca="false">SUMIFS('Source 2026'!$D:$D,'Source 2026'!$B:$B,$A24,'Source 2026'!$A:$A,"Amount (NIS)")</f>
        <v>101337</v>
      </c>
      <c r="I24" s="9" t="n">
        <f aca="false">H24-G24</f>
        <v>-50592.9</v>
      </c>
      <c r="J24" s="8" t="n">
        <f aca="false">IF(AND(G24=0,H24=0),0,IF(G24=0,"New",(H24-G24)/G24))</f>
        <v>-0.333001601396434</v>
      </c>
    </row>
    <row r="25" customFormat="false" ht="15" hidden="false" customHeight="false" outlineLevel="0" collapsed="false">
      <c r="A25" s="6" t="s">
        <v>32</v>
      </c>
      <c r="B25" s="6" t="str">
        <f aca="false">IFERROR(INDEX('Source 2026'!$C:$C,MATCH($A25,'Source 2026'!$B:$B,0)),IFERROR(INDEX('Source 2025'!$C:$C,MATCH($A25,'Source 2025'!$B:$B,0)),""))</f>
        <v>S""חגורת בטן""אורירית</v>
      </c>
      <c r="C25" s="7" t="n">
        <f aca="false">SUMIFS('Source 2025'!$D:$D,'Source 2025'!$B:$B,$A25,'Source 2025'!$A:$A,"Quantity (units)")</f>
        <v>1369</v>
      </c>
      <c r="D25" s="7" t="n">
        <f aca="false">SUMIFS('Source 2026'!$D:$D,'Source 2026'!$B:$B,$A25,'Source 2026'!$A:$A,"Quantity (units)")</f>
        <v>805</v>
      </c>
      <c r="E25" s="7" t="n">
        <f aca="false">D25-C25</f>
        <v>-564</v>
      </c>
      <c r="F25" s="8" t="n">
        <f aca="false">IF(AND(C25=0,D25=0),0,IF(C25=0,"New",(D25-C25)/C25))</f>
        <v>-0.411979547114682</v>
      </c>
      <c r="G25" s="9" t="n">
        <f aca="false">SUMIFS('Source 2025'!$D:$D,'Source 2025'!$B:$B,$A25,'Source 2025'!$A:$A,"Amount (NIS)")</f>
        <v>122995.2</v>
      </c>
      <c r="H25" s="9" t="n">
        <f aca="false">SUMIFS('Source 2026'!$D:$D,'Source 2026'!$B:$B,$A25,'Source 2026'!$A:$A,"Amount (NIS)")</f>
        <v>72957.1</v>
      </c>
      <c r="I25" s="9" t="n">
        <f aca="false">H25-G25</f>
        <v>-50038.1</v>
      </c>
      <c r="J25" s="8" t="n">
        <f aca="false">IF(AND(G25=0,H25=0),0,IF(G25=0,"New",(H25-G25)/G25))</f>
        <v>-0.406829697419086</v>
      </c>
    </row>
    <row r="26" customFormat="false" ht="15" hidden="false" customHeight="false" outlineLevel="0" collapsed="false">
      <c r="A26" s="6" t="s">
        <v>33</v>
      </c>
      <c r="B26" s="6" t="str">
        <f aca="false">IFERROR(INDEX('Source 2026'!$C:$C,MATCH($A26,'Source 2026'!$B:$B,0)),IFERROR(INDEX('Source 2025'!$C:$C,MATCH($A26,'Source 2025'!$B:$B,0)),""))</f>
        <v>L מגן ברך לבן</v>
      </c>
      <c r="C26" s="7" t="n">
        <f aca="false">SUMIFS('Source 2025'!$D:$D,'Source 2025'!$B:$B,$A26,'Source 2025'!$A:$A,"Quantity (units)")</f>
        <v>5449</v>
      </c>
      <c r="D26" s="7" t="n">
        <f aca="false">SUMIFS('Source 2026'!$D:$D,'Source 2026'!$B:$B,$A26,'Source 2026'!$A:$A,"Quantity (units)")</f>
        <v>3475</v>
      </c>
      <c r="E26" s="7" t="n">
        <f aca="false">D26-C26</f>
        <v>-1974</v>
      </c>
      <c r="F26" s="8" t="n">
        <f aca="false">IF(AND(C26=0,D26=0),0,IF(C26=0,"New",(D26-C26)/C26))</f>
        <v>-0.362268306111213</v>
      </c>
      <c r="G26" s="9" t="n">
        <f aca="false">SUMIFS('Source 2025'!$D:$D,'Source 2025'!$B:$B,$A26,'Source 2025'!$A:$A,"Amount (NIS)")</f>
        <v>140113</v>
      </c>
      <c r="H26" s="9" t="n">
        <f aca="false">SUMIFS('Source 2026'!$D:$D,'Source 2026'!$B:$B,$A26,'Source 2026'!$A:$A,"Amount (NIS)")</f>
        <v>90544.3</v>
      </c>
      <c r="I26" s="9" t="n">
        <f aca="false">H26-G26</f>
        <v>-49568.7</v>
      </c>
      <c r="J26" s="8" t="n">
        <f aca="false">IF(AND(G26=0,H26=0),0,IF(G26=0,"New",(H26-G26)/G26))</f>
        <v>-0.353776594605783</v>
      </c>
    </row>
    <row r="27" customFormat="false" ht="15" hidden="false" customHeight="false" outlineLevel="0" collapsed="false">
      <c r="A27" s="6" t="s">
        <v>34</v>
      </c>
      <c r="B27" s="6" t="str">
        <f aca="false">IFERROR(INDEX('Source 2026'!$C:$C,MATCH($A27,'Source 2026'!$B:$B,0)),IFERROR(INDEX('Source 2025'!$C:$C,MATCH($A27,'Source 2025'!$B:$B,0)),""))</f>
        <v>יד אגודלי</v>
      </c>
      <c r="C27" s="7" t="n">
        <f aca="false">SUMIFS('Source 2025'!$D:$D,'Source 2025'!$B:$B,$A27,'Source 2025'!$A:$A,"Quantity (units)")</f>
        <v>5414</v>
      </c>
      <c r="D27" s="7" t="n">
        <f aca="false">SUMIFS('Source 2026'!$D:$D,'Source 2026'!$B:$B,$A27,'Source 2026'!$A:$A,"Quantity (units)")</f>
        <v>4087</v>
      </c>
      <c r="E27" s="7" t="n">
        <f aca="false">D27-C27</f>
        <v>-1327</v>
      </c>
      <c r="F27" s="8" t="n">
        <f aca="false">IF(AND(C27=0,D27=0),0,IF(C27=0,"New",(D27-C27)/C27))</f>
        <v>-0.245105282600665</v>
      </c>
      <c r="G27" s="9" t="n">
        <f aca="false">SUMIFS('Source 2025'!$D:$D,'Source 2025'!$B:$B,$A27,'Source 2025'!$A:$A,"Amount (NIS)")</f>
        <v>199054.3</v>
      </c>
      <c r="H27" s="9" t="n">
        <f aca="false">SUMIFS('Source 2026'!$D:$D,'Source 2026'!$B:$B,$A27,'Source 2026'!$A:$A,"Amount (NIS)")</f>
        <v>152480.8</v>
      </c>
      <c r="I27" s="9" t="n">
        <f aca="false">H27-G27</f>
        <v>-46573.5</v>
      </c>
      <c r="J27" s="8" t="n">
        <f aca="false">IF(AND(G27=0,H27=0),0,IF(G27=0,"New",(H27-G27)/G27))</f>
        <v>-0.233973845327632</v>
      </c>
    </row>
    <row r="28" customFormat="false" ht="15" hidden="false" customHeight="false" outlineLevel="0" collapsed="false">
      <c r="A28" s="6" t="s">
        <v>35</v>
      </c>
      <c r="B28" s="6" t="str">
        <f aca="false">IFERROR(INDEX('Source 2026'!$C:$C,MATCH($A28,'Source 2026'!$B:$B,0)),IFERROR(INDEX('Source 2025'!$C:$C,MATCH($A28,'Source 2025'!$B:$B,0)),""))</f>
        <v>יד אגודלי</v>
      </c>
      <c r="C28" s="7" t="n">
        <f aca="false">SUMIFS('Source 2025'!$D:$D,'Source 2025'!$B:$B,$A28,'Source 2025'!$A:$A,"Quantity (units)")</f>
        <v>4392</v>
      </c>
      <c r="D28" s="7" t="n">
        <f aca="false">SUMIFS('Source 2026'!$D:$D,'Source 2026'!$B:$B,$A28,'Source 2026'!$A:$A,"Quantity (units)")</f>
        <v>3316</v>
      </c>
      <c r="E28" s="7" t="n">
        <f aca="false">D28-C28</f>
        <v>-1076</v>
      </c>
      <c r="F28" s="8" t="n">
        <f aca="false">IF(AND(C28=0,D28=0),0,IF(C28=0,"New",(D28-C28)/C28))</f>
        <v>-0.244990892531876</v>
      </c>
      <c r="G28" s="9" t="n">
        <f aca="false">SUMIFS('Source 2025'!$D:$D,'Source 2025'!$B:$B,$A28,'Source 2025'!$A:$A,"Amount (NIS)")</f>
        <v>161481.4</v>
      </c>
      <c r="H28" s="9" t="n">
        <f aca="false">SUMIFS('Source 2026'!$D:$D,'Source 2026'!$B:$B,$A28,'Source 2026'!$A:$A,"Amount (NIS)")</f>
        <v>123767.5</v>
      </c>
      <c r="I28" s="9" t="n">
        <f aca="false">H28-G28</f>
        <v>-37713.9</v>
      </c>
      <c r="J28" s="8" t="n">
        <f aca="false">IF(AND(G28=0,H28=0),0,IF(G28=0,"New",(H28-G28)/G28))</f>
        <v>-0.233549498580022</v>
      </c>
    </row>
    <row r="29" customFormat="false" ht="15" hidden="false" customHeight="false" outlineLevel="0" collapsed="false">
      <c r="A29" s="6" t="s">
        <v>36</v>
      </c>
      <c r="B29" s="6" t="str">
        <f aca="false">IFERROR(INDEX('Source 2026'!$C:$C,MATCH($A29,'Source 2026'!$B:$B,0)),IFERROR(INDEX('Source 2025'!$C:$C,MATCH($A29,'Source 2025'!$B:$B,0)),""))</f>
        <v>חגורת גב אפורה</v>
      </c>
      <c r="C29" s="7" t="n">
        <f aca="false">SUMIFS('Source 2025'!$D:$D,'Source 2025'!$B:$B,$A29,'Source 2025'!$A:$A,"Quantity (units)")</f>
        <v>1204</v>
      </c>
      <c r="D29" s="7" t="n">
        <f aca="false">SUMIFS('Source 2026'!$D:$D,'Source 2026'!$B:$B,$A29,'Source 2026'!$A:$A,"Quantity (units)")</f>
        <v>807</v>
      </c>
      <c r="E29" s="7" t="n">
        <f aca="false">D29-C29</f>
        <v>-397</v>
      </c>
      <c r="F29" s="8" t="n">
        <f aca="false">IF(AND(C29=0,D29=0),0,IF(C29=0,"New",(D29-C29)/C29))</f>
        <v>-0.329734219269103</v>
      </c>
      <c r="G29" s="9" t="n">
        <f aca="false">SUMIFS('Source 2025'!$D:$D,'Source 2025'!$B:$B,$A29,'Source 2025'!$A:$A,"Amount (NIS)")</f>
        <v>110749.4</v>
      </c>
      <c r="H29" s="9" t="n">
        <f aca="false">SUMIFS('Source 2026'!$D:$D,'Source 2026'!$B:$B,$A29,'Source 2026'!$A:$A,"Amount (NIS)")</f>
        <v>75572.3</v>
      </c>
      <c r="I29" s="9" t="n">
        <f aca="false">H29-G29</f>
        <v>-35177.1</v>
      </c>
      <c r="J29" s="8" t="n">
        <f aca="false">IF(AND(G29=0,H29=0),0,IF(G29=0,"New",(H29-G29)/G29))</f>
        <v>-0.317627905884817</v>
      </c>
    </row>
    <row r="30" customFormat="false" ht="15" hidden="false" customHeight="false" outlineLevel="0" collapsed="false">
      <c r="A30" s="6" t="s">
        <v>37</v>
      </c>
      <c r="B30" s="6" t="str">
        <f aca="false">IFERROR(INDEX('Source 2026'!$C:$C,MATCH($A30,'Source 2026'!$B:$B,0)),IFERROR(INDEX('Source 2025'!$C:$C,MATCH($A30,'Source 2025'!$B:$B,0)),""))</f>
        <v>L (מתלה ליד )כיס</v>
      </c>
      <c r="C30" s="7" t="n">
        <f aca="false">SUMIFS('Source 2025'!$D:$D,'Source 2025'!$B:$B,$A30,'Source 2025'!$A:$A,"Quantity (units)")</f>
        <v>2070</v>
      </c>
      <c r="D30" s="7" t="n">
        <f aca="false">SUMIFS('Source 2026'!$D:$D,'Source 2026'!$B:$B,$A30,'Source 2026'!$A:$A,"Quantity (units)")</f>
        <v>1381</v>
      </c>
      <c r="E30" s="7" t="n">
        <f aca="false">D30-C30</f>
        <v>-689</v>
      </c>
      <c r="F30" s="8" t="n">
        <f aca="false">IF(AND(C30=0,D30=0),0,IF(C30=0,"New",(D30-C30)/C30))</f>
        <v>-0.332850241545894</v>
      </c>
      <c r="G30" s="9" t="n">
        <f aca="false">SUMIFS('Source 2025'!$D:$D,'Source 2025'!$B:$B,$A30,'Source 2025'!$A:$A,"Amount (NIS)")</f>
        <v>100585.5</v>
      </c>
      <c r="H30" s="9" t="n">
        <f aca="false">SUMIFS('Source 2026'!$D:$D,'Source 2026'!$B:$B,$A30,'Source 2026'!$A:$A,"Amount (NIS)")</f>
        <v>67122.1</v>
      </c>
      <c r="I30" s="9" t="n">
        <f aca="false">H30-G30</f>
        <v>-33463.4</v>
      </c>
      <c r="J30" s="8" t="n">
        <f aca="false">IF(AND(G30=0,H30=0),0,IF(G30=0,"New",(H30-G30)/G30))</f>
        <v>-0.332686122751291</v>
      </c>
    </row>
    <row r="31" customFormat="false" ht="15" hidden="false" customHeight="false" outlineLevel="0" collapsed="false">
      <c r="A31" s="6" t="s">
        <v>38</v>
      </c>
      <c r="B31" s="6" t="str">
        <f aca="false">IFERROR(INDEX('Source 2026'!$C:$C,MATCH($A31,'Source 2026'!$B:$B,0)),IFERROR(INDEX('Source 2025'!$C:$C,MATCH($A31,'Source 2025'!$B:$B,0)),""))</f>
        <v>L עקבים לדורבן-זוג כריות</v>
      </c>
      <c r="C31" s="7" t="n">
        <f aca="false">SUMIFS('Source 2025'!$D:$D,'Source 2025'!$B:$B,$A31,'Source 2025'!$A:$A,"Quantity (units)")</f>
        <v>1284</v>
      </c>
      <c r="D31" s="7" t="n">
        <f aca="false">SUMIFS('Source 2026'!$D:$D,'Source 2026'!$B:$B,$A31,'Source 2026'!$A:$A,"Quantity (units)")</f>
        <v>924</v>
      </c>
      <c r="E31" s="7" t="n">
        <f aca="false">D31-C31</f>
        <v>-360</v>
      </c>
      <c r="F31" s="8" t="n">
        <f aca="false">IF(AND(C31=0,D31=0),0,IF(C31=0,"New",(D31-C31)/C31))</f>
        <v>-0.280373831775701</v>
      </c>
      <c r="G31" s="9" t="n">
        <f aca="false">SUMIFS('Source 2025'!$D:$D,'Source 2025'!$B:$B,$A31,'Source 2025'!$A:$A,"Amount (NIS)")</f>
        <v>104119.4</v>
      </c>
      <c r="H31" s="9" t="n">
        <f aca="false">SUMIFS('Source 2026'!$D:$D,'Source 2026'!$B:$B,$A31,'Source 2026'!$A:$A,"Amount (NIS)")</f>
        <v>74448.4</v>
      </c>
      <c r="I31" s="9" t="n">
        <f aca="false">H31-G31</f>
        <v>-29671</v>
      </c>
      <c r="J31" s="8" t="n">
        <f aca="false">IF(AND(G31=0,H31=0),0,IF(G31=0,"New",(H31-G31)/G31))</f>
        <v>-0.284970908399395</v>
      </c>
    </row>
    <row r="32" customFormat="false" ht="15" hidden="false" customHeight="false" outlineLevel="0" collapsed="false">
      <c r="A32" s="6" t="s">
        <v>39</v>
      </c>
      <c r="B32" s="6" t="str">
        <f aca="false">IFERROR(INDEX('Source 2026'!$C:$C,MATCH($A32,'Source 2026'!$B:$B,0)),IFERROR(INDEX('Source 2025'!$C:$C,MATCH($A32,'Source 2025'!$B:$B,0)),""))</f>
        <v>1 תומך ברך גנושילד</v>
      </c>
      <c r="C32" s="7" t="n">
        <f aca="false">SUMIFS('Source 2025'!$D:$D,'Source 2025'!$B:$B,$A32,'Source 2025'!$A:$A,"Quantity (units)")</f>
        <v>0</v>
      </c>
      <c r="D32" s="7" t="n">
        <f aca="false">SUMIFS('Source 2026'!$D:$D,'Source 2026'!$B:$B,$A32,'Source 2026'!$A:$A,"Quantity (units)")</f>
        <v>149</v>
      </c>
      <c r="E32" s="7" t="n">
        <f aca="false">D32-C32</f>
        <v>149</v>
      </c>
      <c r="F32" s="8" t="str">
        <f aca="false">IF(AND(C32=0,D32=0),0,IF(C32=0,"New",(D32-C32)/C32))</f>
        <v>New</v>
      </c>
      <c r="G32" s="9" t="n">
        <f aca="false">SUMIFS('Source 2025'!$D:$D,'Source 2025'!$B:$B,$A32,'Source 2025'!$A:$A,"Amount (NIS)")</f>
        <v>0</v>
      </c>
      <c r="H32" s="9" t="n">
        <f aca="false">SUMIFS('Source 2026'!$D:$D,'Source 2026'!$B:$B,$A32,'Source 2026'!$A:$A,"Amount (NIS)")</f>
        <v>26893.1</v>
      </c>
      <c r="I32" s="9" t="n">
        <f aca="false">H32-G32</f>
        <v>26893.1</v>
      </c>
      <c r="J32" s="8" t="str">
        <f aca="false">IF(AND(G32=0,H32=0),0,IF(G32=0,"New",(H32-G32)/G32))</f>
        <v>New</v>
      </c>
    </row>
    <row r="33" customFormat="false" ht="15" hidden="false" customHeight="false" outlineLevel="0" collapsed="false">
      <c r="A33" s="6" t="s">
        <v>40</v>
      </c>
      <c r="B33" s="6" t="str">
        <f aca="false">IFERROR(INDEX('Source 2026'!$C:$C,MATCH($A33,'Source 2026'!$B:$B,0)),IFERROR(INDEX('Source 2025'!$C:$C,MATCH($A33,'Source 2025'!$B:$B,0)),""))</f>
        <v>M 'מגן מרפק בז</v>
      </c>
      <c r="C33" s="7" t="n">
        <f aca="false">SUMIFS('Source 2025'!$D:$D,'Source 2025'!$B:$B,$A33,'Source 2025'!$A:$A,"Quantity (units)")</f>
        <v>3002</v>
      </c>
      <c r="D33" s="7" t="n">
        <f aca="false">SUMIFS('Source 2026'!$D:$D,'Source 2026'!$B:$B,$A33,'Source 2026'!$A:$A,"Quantity (units)")</f>
        <v>1943</v>
      </c>
      <c r="E33" s="7" t="n">
        <f aca="false">D33-C33</f>
        <v>-1059</v>
      </c>
      <c r="F33" s="8" t="n">
        <f aca="false">IF(AND(C33=0,D33=0),0,IF(C33=0,"New",(D33-C33)/C33))</f>
        <v>-0.352764823451033</v>
      </c>
      <c r="G33" s="9" t="n">
        <f aca="false">SUMIFS('Source 2025'!$D:$D,'Source 2025'!$B:$B,$A33,'Source 2025'!$A:$A,"Amount (NIS)")</f>
        <v>77209.1</v>
      </c>
      <c r="H33" s="9" t="n">
        <f aca="false">SUMIFS('Source 2026'!$D:$D,'Source 2026'!$B:$B,$A33,'Source 2026'!$A:$A,"Amount (NIS)")</f>
        <v>50700.2</v>
      </c>
      <c r="I33" s="9" t="n">
        <f aca="false">H33-G33</f>
        <v>-26508.9</v>
      </c>
      <c r="J33" s="8" t="n">
        <f aca="false">IF(AND(G33=0,H33=0),0,IF(G33=0,"New",(H33-G33)/G33))</f>
        <v>-0.343339062364411</v>
      </c>
    </row>
    <row r="34" customFormat="false" ht="15" hidden="false" customHeight="false" outlineLevel="0" collapsed="false">
      <c r="A34" s="6" t="s">
        <v>41</v>
      </c>
      <c r="B34" s="6" t="str">
        <f aca="false">IFERROR(INDEX('Source 2026'!$C:$C,MATCH($A34,'Source 2026'!$B:$B,0)),IFERROR(INDEX('Source 2025'!$C:$C,MATCH($A34,'Source 2025'!$B:$B,0)),""))</f>
        <v>מגן ברך עם תמיכות</v>
      </c>
      <c r="C34" s="7" t="n">
        <f aca="false">SUMIFS('Source 2025'!$D:$D,'Source 2025'!$B:$B,$A34,'Source 2025'!$A:$A,"Quantity (units)")</f>
        <v>87</v>
      </c>
      <c r="D34" s="7" t="n">
        <f aca="false">SUMIFS('Source 2026'!$D:$D,'Source 2026'!$B:$B,$A34,'Source 2026'!$A:$A,"Quantity (units)")</f>
        <v>480</v>
      </c>
      <c r="E34" s="7" t="n">
        <f aca="false">D34-C34</f>
        <v>393</v>
      </c>
      <c r="F34" s="8" t="n">
        <f aca="false">IF(AND(C34=0,D34=0),0,IF(C34=0,"New",(D34-C34)/C34))</f>
        <v>4.51724137931035</v>
      </c>
      <c r="G34" s="9" t="n">
        <f aca="false">SUMIFS('Source 2025'!$D:$D,'Source 2025'!$B:$B,$A34,'Source 2025'!$A:$A,"Amount (NIS)")</f>
        <v>5062.6</v>
      </c>
      <c r="H34" s="9" t="n">
        <f aca="false">SUMIFS('Source 2026'!$D:$D,'Source 2026'!$B:$B,$A34,'Source 2026'!$A:$A,"Amount (NIS)")</f>
        <v>30593.7</v>
      </c>
      <c r="I34" s="9" t="n">
        <f aca="false">H34-G34</f>
        <v>25531.1</v>
      </c>
      <c r="J34" s="8" t="n">
        <f aca="false">IF(AND(G34=0,H34=0),0,IF(G34=0,"New",(H34-G34)/G34))</f>
        <v>5.04308063050606</v>
      </c>
    </row>
    <row r="35" customFormat="false" ht="15" hidden="false" customHeight="false" outlineLevel="0" collapsed="false">
      <c r="A35" s="6" t="s">
        <v>42</v>
      </c>
      <c r="B35" s="6" t="str">
        <f aca="false">IFERROR(INDEX('Source 2026'!$C:$C,MATCH($A35,'Source 2026'!$B:$B,0)),IFERROR(INDEX('Source 2025'!$C:$C,MATCH($A35,'Source 2025'!$B:$B,0)),""))</f>
        <v>שרוול מטטרזלי מסיליקון</v>
      </c>
      <c r="C35" s="7" t="n">
        <f aca="false">SUMIFS('Source 2025'!$D:$D,'Source 2025'!$B:$B,$A35,'Source 2025'!$A:$A,"Quantity (units)")</f>
        <v>1179</v>
      </c>
      <c r="D35" s="7" t="n">
        <f aca="false">SUMIFS('Source 2026'!$D:$D,'Source 2026'!$B:$B,$A35,'Source 2026'!$A:$A,"Quantity (units)")</f>
        <v>724</v>
      </c>
      <c r="E35" s="7" t="n">
        <f aca="false">D35-C35</f>
        <v>-455</v>
      </c>
      <c r="F35" s="8" t="n">
        <f aca="false">IF(AND(C35=0,D35=0),0,IF(C35=0,"New",(D35-C35)/C35))</f>
        <v>-0.385920271416455</v>
      </c>
      <c r="G35" s="9" t="n">
        <f aca="false">SUMIFS('Source 2025'!$D:$D,'Source 2025'!$B:$B,$A35,'Source 2025'!$A:$A,"Amount (NIS)")</f>
        <v>61190.5</v>
      </c>
      <c r="H35" s="9" t="n">
        <f aca="false">SUMIFS('Source 2026'!$D:$D,'Source 2026'!$B:$B,$A35,'Source 2026'!$A:$A,"Amount (NIS)")</f>
        <v>37711.2</v>
      </c>
      <c r="I35" s="9" t="n">
        <f aca="false">H35-G35</f>
        <v>-23479.3</v>
      </c>
      <c r="J35" s="8" t="n">
        <f aca="false">IF(AND(G35=0,H35=0),0,IF(G35=0,"New",(H35-G35)/G35))</f>
        <v>-0.383708255366438</v>
      </c>
    </row>
    <row r="36" customFormat="false" ht="15" hidden="false" customHeight="false" outlineLevel="0" collapsed="false">
      <c r="A36" s="6" t="s">
        <v>43</v>
      </c>
      <c r="B36" s="6" t="str">
        <f aca="false">IFERROR(INDEX('Source 2026'!$C:$C,MATCH($A36,'Source 2026'!$B:$B,0)),IFERROR(INDEX('Source 2025'!$C:$C,MATCH($A36,'Source 2025'!$B:$B,0)),""))</f>
        <v>פיקה לברך</v>
      </c>
      <c r="C36" s="7" t="n">
        <f aca="false">SUMIFS('Source 2025'!$D:$D,'Source 2025'!$B:$B,$A36,'Source 2025'!$A:$A,"Quantity (units)")</f>
        <v>965</v>
      </c>
      <c r="D36" s="7" t="n">
        <f aca="false">SUMIFS('Source 2026'!$D:$D,'Source 2026'!$B:$B,$A36,'Source 2026'!$A:$A,"Quantity (units)")</f>
        <v>461</v>
      </c>
      <c r="E36" s="7" t="n">
        <f aca="false">D36-C36</f>
        <v>-504</v>
      </c>
      <c r="F36" s="8" t="n">
        <f aca="false">IF(AND(C36=0,D36=0),0,IF(C36=0,"New",(D36-C36)/C36))</f>
        <v>-0.522279792746114</v>
      </c>
      <c r="G36" s="9" t="n">
        <f aca="false">SUMIFS('Source 2025'!$D:$D,'Source 2025'!$B:$B,$A36,'Source 2025'!$A:$A,"Amount (NIS)")</f>
        <v>43385.1</v>
      </c>
      <c r="H36" s="9" t="n">
        <f aca="false">SUMIFS('Source 2026'!$D:$D,'Source 2026'!$B:$B,$A36,'Source 2026'!$A:$A,"Amount (NIS)")</f>
        <v>20707.1</v>
      </c>
      <c r="I36" s="9" t="n">
        <f aca="false">H36-G36</f>
        <v>-22678</v>
      </c>
      <c r="J36" s="8" t="n">
        <f aca="false">IF(AND(G36=0,H36=0),0,IF(G36=0,"New",(H36-G36)/G36))</f>
        <v>-0.522714019329217</v>
      </c>
    </row>
    <row r="37" customFormat="false" ht="15" hidden="false" customHeight="false" outlineLevel="0" collapsed="false">
      <c r="A37" s="6" t="s">
        <v>44</v>
      </c>
      <c r="B37" s="6" t="str">
        <f aca="false">IFERROR(INDEX('Source 2026'!$C:$C,MATCH($A37,'Source 2026'!$B:$B,0)),IFERROR(INDEX('Source 2025'!$C:$C,MATCH($A37,'Source 2025'!$B:$B,0)),""))</f>
        <v>לציפורן חודרנית</v>
      </c>
      <c r="C37" s="7" t="n">
        <f aca="false">SUMIFS('Source 2025'!$D:$D,'Source 2025'!$B:$B,$A37,'Source 2025'!$A:$A,"Quantity (units)")</f>
        <v>2132</v>
      </c>
      <c r="D37" s="7" t="n">
        <f aca="false">SUMIFS('Source 2026'!$D:$D,'Source 2026'!$B:$B,$A37,'Source 2026'!$A:$A,"Quantity (units)")</f>
        <v>1430</v>
      </c>
      <c r="E37" s="7" t="n">
        <f aca="false">D37-C37</f>
        <v>-702</v>
      </c>
      <c r="F37" s="8" t="n">
        <f aca="false">IF(AND(C37=0,D37=0),0,IF(C37=0,"New",(D37-C37)/C37))</f>
        <v>-0.329268292682927</v>
      </c>
      <c r="G37" s="9" t="n">
        <f aca="false">SUMIFS('Source 2025'!$D:$D,'Source 2025'!$B:$B,$A37,'Source 2025'!$A:$A,"Amount (NIS)")</f>
        <v>66609.4</v>
      </c>
      <c r="H37" s="9" t="n">
        <f aca="false">SUMIFS('Source 2026'!$D:$D,'Source 2026'!$B:$B,$A37,'Source 2026'!$A:$A,"Amount (NIS)")</f>
        <v>44688.8</v>
      </c>
      <c r="I37" s="9" t="n">
        <f aca="false">H37-G37</f>
        <v>-21920.6</v>
      </c>
      <c r="J37" s="8" t="n">
        <f aca="false">IF(AND(G37=0,H37=0),0,IF(G37=0,"New",(H37-G37)/G37))</f>
        <v>-0.329091689761505</v>
      </c>
    </row>
    <row r="38" customFormat="false" ht="15" hidden="false" customHeight="false" outlineLevel="0" collapsed="false">
      <c r="A38" s="6" t="s">
        <v>45</v>
      </c>
      <c r="B38" s="6" t="str">
        <f aca="false">IFERROR(INDEX('Source 2026'!$C:$C,MATCH($A38,'Source 2026'!$B:$B,0)),IFERROR(INDEX('Source 2025'!$C:$C,MATCH($A38,'Source 2025'!$B:$B,0)),""))</f>
        <v>תחבושת א.נצמ</v>
      </c>
      <c r="C38" s="7" t="n">
        <f aca="false">SUMIFS('Source 2025'!$D:$D,'Source 2025'!$B:$B,$A38,'Source 2025'!$A:$A,"Quantity (units)")</f>
        <v>3203</v>
      </c>
      <c r="D38" s="7" t="n">
        <f aca="false">SUMIFS('Source 2026'!$D:$D,'Source 2026'!$B:$B,$A38,'Source 2026'!$A:$A,"Quantity (units)")</f>
        <v>1177</v>
      </c>
      <c r="E38" s="7" t="n">
        <f aca="false">D38-C38</f>
        <v>-2026</v>
      </c>
      <c r="F38" s="8" t="n">
        <f aca="false">IF(AND(C38=0,D38=0),0,IF(C38=0,"New",(D38-C38)/C38))</f>
        <v>-0.632532001248829</v>
      </c>
      <c r="G38" s="9" t="n">
        <f aca="false">SUMIFS('Source 2025'!$D:$D,'Source 2025'!$B:$B,$A38,'Source 2025'!$A:$A,"Amount (NIS)")</f>
        <v>32526.4</v>
      </c>
      <c r="H38" s="9" t="n">
        <f aca="false">SUMIFS('Source 2026'!$D:$D,'Source 2026'!$B:$B,$A38,'Source 2026'!$A:$A,"Amount (NIS)")</f>
        <v>12016.1</v>
      </c>
      <c r="I38" s="9" t="n">
        <f aca="false">H38-G38</f>
        <v>-20510.3</v>
      </c>
      <c r="J38" s="8" t="n">
        <f aca="false">IF(AND(G38=0,H38=0),0,IF(G38=0,"New",(H38-G38)/G38))</f>
        <v>-0.630573933789168</v>
      </c>
    </row>
    <row r="39" customFormat="false" ht="15" hidden="false" customHeight="false" outlineLevel="0" collapsed="false">
      <c r="A39" s="6" t="s">
        <v>46</v>
      </c>
      <c r="B39" s="6" t="str">
        <f aca="false">IFERROR(INDEX('Source 2026'!$C:$C,MATCH($A39,'Source 2026'!$B:$B,0)),IFERROR(INDEX('Source 2025'!$C:$C,MATCH($A39,'Source 2025'!$B:$B,0)),""))</f>
        <v>טייפ קינזיולוגי</v>
      </c>
      <c r="C39" s="7" t="n">
        <f aca="false">SUMIFS('Source 2025'!$D:$D,'Source 2025'!$B:$B,$A39,'Source 2025'!$A:$A,"Quantity (units)")</f>
        <v>1200</v>
      </c>
      <c r="D39" s="7" t="n">
        <f aca="false">SUMIFS('Source 2026'!$D:$D,'Source 2026'!$B:$B,$A39,'Source 2026'!$A:$A,"Quantity (units)")</f>
        <v>711</v>
      </c>
      <c r="E39" s="7" t="n">
        <f aca="false">D39-C39</f>
        <v>-489</v>
      </c>
      <c r="F39" s="8" t="n">
        <f aca="false">IF(AND(C39=0,D39=0),0,IF(C39=0,"New",(D39-C39)/C39))</f>
        <v>-0.4075</v>
      </c>
      <c r="G39" s="9" t="n">
        <f aca="false">SUMIFS('Source 2025'!$D:$D,'Source 2025'!$B:$B,$A39,'Source 2025'!$A:$A,"Amount (NIS)")</f>
        <v>48495.6</v>
      </c>
      <c r="H39" s="9" t="n">
        <f aca="false">SUMIFS('Source 2026'!$D:$D,'Source 2026'!$B:$B,$A39,'Source 2026'!$A:$A,"Amount (NIS)")</f>
        <v>28682.6</v>
      </c>
      <c r="I39" s="9" t="n">
        <f aca="false">H39-G39</f>
        <v>-19813</v>
      </c>
      <c r="J39" s="8" t="n">
        <f aca="false">IF(AND(G39=0,H39=0),0,IF(G39=0,"New",(H39-G39)/G39))</f>
        <v>-0.40855252847681</v>
      </c>
    </row>
    <row r="40" customFormat="false" ht="15" hidden="false" customHeight="false" outlineLevel="0" collapsed="false">
      <c r="A40" s="6" t="s">
        <v>47</v>
      </c>
      <c r="B40" s="6" t="str">
        <f aca="false">IFERROR(INDEX('Source 2026'!$C:$C,MATCH($A40,'Source 2026'!$B:$B,0)),IFERROR(INDEX('Source 2025'!$C:$C,MATCH($A40,'Source 2025'!$B:$B,0)),""))</f>
        <v>טייפ קינזיולוגי</v>
      </c>
      <c r="C40" s="7" t="n">
        <f aca="false">SUMIFS('Source 2025'!$D:$D,'Source 2025'!$B:$B,$A40,'Source 2025'!$A:$A,"Quantity (units)")</f>
        <v>1251</v>
      </c>
      <c r="D40" s="7" t="n">
        <f aca="false">SUMIFS('Source 2026'!$D:$D,'Source 2026'!$B:$B,$A40,'Source 2026'!$A:$A,"Quantity (units)")</f>
        <v>779</v>
      </c>
      <c r="E40" s="7" t="n">
        <f aca="false">D40-C40</f>
        <v>-472</v>
      </c>
      <c r="F40" s="8" t="n">
        <f aca="false">IF(AND(C40=0,D40=0),0,IF(C40=0,"New",(D40-C40)/C40))</f>
        <v>-0.377298161470823</v>
      </c>
      <c r="G40" s="9" t="n">
        <f aca="false">SUMIFS('Source 2025'!$D:$D,'Source 2025'!$B:$B,$A40,'Source 2025'!$A:$A,"Amount (NIS)")</f>
        <v>49688.4</v>
      </c>
      <c r="H40" s="9" t="n">
        <f aca="false">SUMIFS('Source 2026'!$D:$D,'Source 2026'!$B:$B,$A40,'Source 2026'!$A:$A,"Amount (NIS)")</f>
        <v>31161.7</v>
      </c>
      <c r="I40" s="9" t="n">
        <f aca="false">H40-G40</f>
        <v>-18526.7</v>
      </c>
      <c r="J40" s="8" t="n">
        <f aca="false">IF(AND(G40=0,H40=0),0,IF(G40=0,"New",(H40-G40)/G40))</f>
        <v>-0.372857648867744</v>
      </c>
    </row>
    <row r="41" customFormat="false" ht="15" hidden="false" customHeight="false" outlineLevel="0" collapsed="false">
      <c r="A41" s="6" t="s">
        <v>48</v>
      </c>
      <c r="B41" s="6" t="str">
        <f aca="false">IFERROR(INDEX('Source 2026'!$C:$C,MATCH($A41,'Source 2026'!$B:$B,0)),IFERROR(INDEX('Source 2025'!$C:$C,MATCH($A41,'Source 2025'!$B:$B,0)),""))</f>
        <v>L צוארון ספוגי</v>
      </c>
      <c r="C41" s="7" t="n">
        <f aca="false">SUMIFS('Source 2025'!$D:$D,'Source 2025'!$B:$B,$A41,'Source 2025'!$A:$A,"Quantity (units)")</f>
        <v>2106</v>
      </c>
      <c r="D41" s="7" t="n">
        <f aca="false">SUMIFS('Source 2026'!$D:$D,'Source 2026'!$B:$B,$A41,'Source 2026'!$A:$A,"Quantity (units)")</f>
        <v>1412</v>
      </c>
      <c r="E41" s="7" t="n">
        <f aca="false">D41-C41</f>
        <v>-694</v>
      </c>
      <c r="F41" s="8" t="n">
        <f aca="false">IF(AND(C41=0,D41=0),0,IF(C41=0,"New",(D41-C41)/C41))</f>
        <v>-0.329534662867996</v>
      </c>
      <c r="G41" s="9" t="n">
        <f aca="false">SUMIFS('Source 2025'!$D:$D,'Source 2025'!$B:$B,$A41,'Source 2025'!$A:$A,"Amount (NIS)")</f>
        <v>63047.1</v>
      </c>
      <c r="H41" s="9" t="n">
        <f aca="false">SUMIFS('Source 2026'!$D:$D,'Source 2026'!$B:$B,$A41,'Source 2026'!$A:$A,"Amount (NIS)")</f>
        <v>44553.7</v>
      </c>
      <c r="I41" s="9" t="n">
        <f aca="false">H41-G41</f>
        <v>-18493.4</v>
      </c>
      <c r="J41" s="8" t="n">
        <f aca="false">IF(AND(G41=0,H41=0),0,IF(G41=0,"New",(H41-G41)/G41))</f>
        <v>-0.293326735091701</v>
      </c>
    </row>
    <row r="42" customFormat="false" ht="15" hidden="false" customHeight="false" outlineLevel="0" collapsed="false">
      <c r="A42" s="6" t="s">
        <v>49</v>
      </c>
      <c r="B42" s="6" t="str">
        <f aca="false">IFERROR(INDEX('Source 2026'!$C:$C,MATCH($A42,'Source 2026'!$B:$B,0)),IFERROR(INDEX('Source 2025'!$C:$C,MATCH($A42,'Source 2025'!$B:$B,0)),""))</f>
        <v>L מגן מרפק רגיל לבן</v>
      </c>
      <c r="C42" s="7" t="n">
        <f aca="false">SUMIFS('Source 2025'!$D:$D,'Source 2025'!$B:$B,$A42,'Source 2025'!$A:$A,"Quantity (units)")</f>
        <v>1603</v>
      </c>
      <c r="D42" s="7" t="n">
        <f aca="false">SUMIFS('Source 2026'!$D:$D,'Source 2026'!$B:$B,$A42,'Source 2026'!$A:$A,"Quantity (units)")</f>
        <v>911</v>
      </c>
      <c r="E42" s="7" t="n">
        <f aca="false">D42-C42</f>
        <v>-692</v>
      </c>
      <c r="F42" s="8" t="n">
        <f aca="false">IF(AND(C42=0,D42=0),0,IF(C42=0,"New",(D42-C42)/C42))</f>
        <v>-0.431690580162196</v>
      </c>
      <c r="G42" s="9" t="n">
        <f aca="false">SUMIFS('Source 2025'!$D:$D,'Source 2025'!$B:$B,$A42,'Source 2025'!$A:$A,"Amount (NIS)")</f>
        <v>41250</v>
      </c>
      <c r="H42" s="9" t="n">
        <f aca="false">SUMIFS('Source 2026'!$D:$D,'Source 2026'!$B:$B,$A42,'Source 2026'!$A:$A,"Amount (NIS)")</f>
        <v>23677.1</v>
      </c>
      <c r="I42" s="9" t="n">
        <f aca="false">H42-G42</f>
        <v>-17572.9</v>
      </c>
      <c r="J42" s="8" t="n">
        <f aca="false">IF(AND(G42=0,H42=0),0,IF(G42=0,"New",(H42-G42)/G42))</f>
        <v>-0.426009696969697</v>
      </c>
    </row>
    <row r="43" customFormat="false" ht="15" hidden="false" customHeight="false" outlineLevel="0" collapsed="false">
      <c r="A43" s="6" t="s">
        <v>50</v>
      </c>
      <c r="B43" s="6" t="str">
        <f aca="false">IFERROR(INDEX('Source 2026'!$C:$C,MATCH($A43,'Source 2026'!$B:$B,0)),IFERROR(INDEX('Source 2025'!$C:$C,MATCH($A43,'Source 2025'!$B:$B,0)),""))</f>
        <v>חבק ""טניס אלבו רצועה</v>
      </c>
      <c r="C43" s="7" t="n">
        <f aca="false">SUMIFS('Source 2025'!$D:$D,'Source 2025'!$B:$B,$A43,'Source 2025'!$A:$A,"Quantity (units)")</f>
        <v>224</v>
      </c>
      <c r="D43" s="7" t="n">
        <f aca="false">SUMIFS('Source 2026'!$D:$D,'Source 2026'!$B:$B,$A43,'Source 2026'!$A:$A,"Quantity (units)")</f>
        <v>-25</v>
      </c>
      <c r="E43" s="7" t="n">
        <f aca="false">D43-C43</f>
        <v>-249</v>
      </c>
      <c r="F43" s="8" t="n">
        <f aca="false">IF(AND(C43=0,D43=0),0,IF(C43=0,"New",(D43-C43)/C43))</f>
        <v>-1.11160714285714</v>
      </c>
      <c r="G43" s="9" t="n">
        <f aca="false">SUMIFS('Source 2025'!$D:$D,'Source 2025'!$B:$B,$A43,'Source 2025'!$A:$A,"Amount (NIS)")</f>
        <v>15661.5</v>
      </c>
      <c r="H43" s="9" t="n">
        <f aca="false">SUMIFS('Source 2026'!$D:$D,'Source 2026'!$B:$B,$A43,'Source 2026'!$A:$A,"Amount (NIS)")</f>
        <v>-1715.2</v>
      </c>
      <c r="I43" s="9" t="n">
        <f aca="false">H43-G43</f>
        <v>-17376.7</v>
      </c>
      <c r="J43" s="8" t="n">
        <f aca="false">IF(AND(G43=0,H43=0),0,IF(G43=0,"New",(H43-G43)/G43))</f>
        <v>-1.10951696836191</v>
      </c>
    </row>
    <row r="44" customFormat="false" ht="15" hidden="false" customHeight="false" outlineLevel="0" collapsed="false">
      <c r="A44" s="6" t="s">
        <v>51</v>
      </c>
      <c r="B44" s="6" t="str">
        <f aca="false">IFERROR(INDEX('Source 2026'!$C:$C,MATCH($A44,'Source 2026'!$B:$B,0)),IFERROR(INDEX('Source 2025'!$C:$C,MATCH($A44,'Source 2025'!$B:$B,0)),""))</f>
        <v>טייפ קינזיולוגי</v>
      </c>
      <c r="C44" s="7" t="n">
        <f aca="false">SUMIFS('Source 2025'!$D:$D,'Source 2025'!$B:$B,$A44,'Source 2025'!$A:$A,"Quantity (units)")</f>
        <v>1150</v>
      </c>
      <c r="D44" s="7" t="n">
        <f aca="false">SUMIFS('Source 2026'!$D:$D,'Source 2026'!$B:$B,$A44,'Source 2026'!$A:$A,"Quantity (units)")</f>
        <v>705</v>
      </c>
      <c r="E44" s="7" t="n">
        <f aca="false">D44-C44</f>
        <v>-445</v>
      </c>
      <c r="F44" s="8" t="n">
        <f aca="false">IF(AND(C44=0,D44=0),0,IF(C44=0,"New",(D44-C44)/C44))</f>
        <v>-0.38695652173913</v>
      </c>
      <c r="G44" s="9" t="n">
        <f aca="false">SUMIFS('Source 2025'!$D:$D,'Source 2025'!$B:$B,$A44,'Source 2025'!$A:$A,"Amount (NIS)")</f>
        <v>45598.1</v>
      </c>
      <c r="H44" s="9" t="n">
        <f aca="false">SUMIFS('Source 2026'!$D:$D,'Source 2026'!$B:$B,$A44,'Source 2026'!$A:$A,"Amount (NIS)")</f>
        <v>28253.3</v>
      </c>
      <c r="I44" s="9" t="n">
        <f aca="false">H44-G44</f>
        <v>-17344.8</v>
      </c>
      <c r="J44" s="8" t="n">
        <f aca="false">IF(AND(G44=0,H44=0),0,IF(G44=0,"New",(H44-G44)/G44))</f>
        <v>-0.380384270397231</v>
      </c>
    </row>
    <row r="45" customFormat="false" ht="15" hidden="false" customHeight="false" outlineLevel="0" collapsed="false">
      <c r="A45" s="6" t="s">
        <v>52</v>
      </c>
      <c r="B45" s="6" t="str">
        <f aca="false">IFERROR(INDEX('Source 2026'!$C:$C,MATCH($A45,'Source 2026'!$B:$B,0)),IFERROR(INDEX('Source 2025'!$C:$C,MATCH($A45,'Source 2025'!$B:$B,0)),""))</f>
        <v>S מקבע כתף ויד</v>
      </c>
      <c r="C45" s="7" t="n">
        <f aca="false">SUMIFS('Source 2025'!$D:$D,'Source 2025'!$B:$B,$A45,'Source 2025'!$A:$A,"Quantity (units)")</f>
        <v>541</v>
      </c>
      <c r="D45" s="7" t="n">
        <f aca="false">SUMIFS('Source 2026'!$D:$D,'Source 2026'!$B:$B,$A45,'Source 2026'!$A:$A,"Quantity (units)")</f>
        <v>434</v>
      </c>
      <c r="E45" s="7" t="n">
        <f aca="false">D45-C45</f>
        <v>-107</v>
      </c>
      <c r="F45" s="8" t="n">
        <f aca="false">IF(AND(C45=0,D45=0),0,IF(C45=0,"New",(D45-C45)/C45))</f>
        <v>-0.197781885397412</v>
      </c>
      <c r="G45" s="9" t="n">
        <f aca="false">SUMIFS('Source 2025'!$D:$D,'Source 2025'!$B:$B,$A45,'Source 2025'!$A:$A,"Amount (NIS)")</f>
        <v>87145.9</v>
      </c>
      <c r="H45" s="9" t="n">
        <f aca="false">SUMIFS('Source 2026'!$D:$D,'Source 2026'!$B:$B,$A45,'Source 2026'!$A:$A,"Amount (NIS)")</f>
        <v>69975.1</v>
      </c>
      <c r="I45" s="9" t="n">
        <f aca="false">H45-G45</f>
        <v>-17170.8</v>
      </c>
      <c r="J45" s="8" t="n">
        <f aca="false">IF(AND(G45=0,H45=0),0,IF(G45=0,"New",(H45-G45)/G45))</f>
        <v>-0.197035087135482</v>
      </c>
    </row>
    <row r="46" customFormat="false" ht="15" hidden="false" customHeight="false" outlineLevel="0" collapsed="false">
      <c r="A46" s="6" t="s">
        <v>53</v>
      </c>
      <c r="B46" s="6" t="str">
        <f aca="false">IFERROR(INDEX('Source 2026'!$C:$C,MATCH($A46,'Source 2026'!$B:$B,0)),IFERROR(INDEX('Source 2025'!$C:$C,MATCH($A46,'Source 2025'!$B:$B,0)),""))</f>
        <v>טייפ קינזיולוגי</v>
      </c>
      <c r="C46" s="7" t="n">
        <f aca="false">SUMIFS('Source 2025'!$D:$D,'Source 2025'!$B:$B,$A46,'Source 2025'!$A:$A,"Quantity (units)")</f>
        <v>796</v>
      </c>
      <c r="D46" s="7" t="n">
        <f aca="false">SUMIFS('Source 2026'!$D:$D,'Source 2026'!$B:$B,$A46,'Source 2026'!$A:$A,"Quantity (units)")</f>
        <v>387</v>
      </c>
      <c r="E46" s="7" t="n">
        <f aca="false">D46-C46</f>
        <v>-409</v>
      </c>
      <c r="F46" s="8" t="n">
        <f aca="false">IF(AND(C46=0,D46=0),0,IF(C46=0,"New",(D46-C46)/C46))</f>
        <v>-0.513819095477387</v>
      </c>
      <c r="G46" s="9" t="n">
        <f aca="false">SUMIFS('Source 2025'!$D:$D,'Source 2025'!$B:$B,$A46,'Source 2025'!$A:$A,"Amount (NIS)")</f>
        <v>32148.2</v>
      </c>
      <c r="H46" s="9" t="n">
        <f aca="false">SUMIFS('Source 2026'!$D:$D,'Source 2026'!$B:$B,$A46,'Source 2026'!$A:$A,"Amount (NIS)")</f>
        <v>15624.9</v>
      </c>
      <c r="I46" s="9" t="n">
        <f aca="false">H46-G46</f>
        <v>-16523.3</v>
      </c>
      <c r="J46" s="8" t="n">
        <f aca="false">IF(AND(G46=0,H46=0),0,IF(G46=0,"New",(H46-G46)/G46))</f>
        <v>-0.513972788523152</v>
      </c>
    </row>
    <row r="47" customFormat="false" ht="15" hidden="false" customHeight="false" outlineLevel="0" collapsed="false">
      <c r="A47" s="6" t="s">
        <v>54</v>
      </c>
      <c r="B47" s="6" t="str">
        <f aca="false">IFERROR(INDEX('Source 2026'!$C:$C,MATCH($A47,'Source 2026'!$B:$B,0)),IFERROR(INDEX('Source 2025'!$C:$C,MATCH($A47,'Source 2025'!$B:$B,0)),""))</f>
        <v>S ""חגורת גב ""לומבו</v>
      </c>
      <c r="C47" s="7" t="n">
        <f aca="false">SUMIFS('Source 2025'!$D:$D,'Source 2025'!$B:$B,$A47,'Source 2025'!$A:$A,"Quantity (units)")</f>
        <v>170</v>
      </c>
      <c r="D47" s="7" t="n">
        <f aca="false">SUMIFS('Source 2026'!$D:$D,'Source 2026'!$B:$B,$A47,'Source 2026'!$A:$A,"Quantity (units)")</f>
        <v>45</v>
      </c>
      <c r="E47" s="7" t="n">
        <f aca="false">D47-C47</f>
        <v>-125</v>
      </c>
      <c r="F47" s="8" t="n">
        <f aca="false">IF(AND(C47=0,D47=0),0,IF(C47=0,"New",(D47-C47)/C47))</f>
        <v>-0.735294117647059</v>
      </c>
      <c r="G47" s="9" t="n">
        <f aca="false">SUMIFS('Source 2025'!$D:$D,'Source 2025'!$B:$B,$A47,'Source 2025'!$A:$A,"Amount (NIS)")</f>
        <v>22281.9</v>
      </c>
      <c r="H47" s="9" t="n">
        <f aca="false">SUMIFS('Source 2026'!$D:$D,'Source 2026'!$B:$B,$A47,'Source 2026'!$A:$A,"Amount (NIS)")</f>
        <v>6031.7</v>
      </c>
      <c r="I47" s="9" t="n">
        <f aca="false">H47-G47</f>
        <v>-16250.2</v>
      </c>
      <c r="J47" s="8" t="n">
        <f aca="false">IF(AND(G47=0,H47=0),0,IF(G47=0,"New",(H47-G47)/G47))</f>
        <v>-0.729300463604989</v>
      </c>
    </row>
    <row r="48" customFormat="false" ht="15" hidden="false" customHeight="false" outlineLevel="0" collapsed="false">
      <c r="A48" s="6" t="s">
        <v>55</v>
      </c>
      <c r="B48" s="6" t="str">
        <f aca="false">IFERROR(INDEX('Source 2026'!$C:$C,MATCH($A48,'Source 2026'!$B:$B,0)),IFERROR(INDEX('Source 2025'!$C:$C,MATCH($A48,'Source 2025'!$B:$B,0)),""))</f>
        <v>45 M מגן ברך רגיל</v>
      </c>
      <c r="C48" s="7" t="n">
        <f aca="false">SUMIFS('Source 2025'!$D:$D,'Source 2025'!$B:$B,$A48,'Source 2025'!$A:$A,"Quantity (units)")</f>
        <v>260</v>
      </c>
      <c r="D48" s="7" t="n">
        <f aca="false">SUMIFS('Source 2026'!$D:$D,'Source 2026'!$B:$B,$A48,'Source 2026'!$A:$A,"Quantity (units)")</f>
        <v>102</v>
      </c>
      <c r="E48" s="7" t="n">
        <f aca="false">D48-C48</f>
        <v>-158</v>
      </c>
      <c r="F48" s="8" t="n">
        <f aca="false">IF(AND(C48=0,D48=0),0,IF(C48=0,"New",(D48-C48)/C48))</f>
        <v>-0.607692307692308</v>
      </c>
      <c r="G48" s="9" t="n">
        <f aca="false">SUMIFS('Source 2025'!$D:$D,'Source 2025'!$B:$B,$A48,'Source 2025'!$A:$A,"Amount (NIS)")</f>
        <v>23410.8</v>
      </c>
      <c r="H48" s="9" t="n">
        <f aca="false">SUMIFS('Source 2026'!$D:$D,'Source 2026'!$B:$B,$A48,'Source 2026'!$A:$A,"Amount (NIS)")</f>
        <v>9335.7</v>
      </c>
      <c r="I48" s="9" t="n">
        <f aca="false">H48-G48</f>
        <v>-14075.1</v>
      </c>
      <c r="J48" s="8" t="n">
        <f aca="false">IF(AND(G48=0,H48=0),0,IF(G48=0,"New",(H48-G48)/G48))</f>
        <v>-0.601222512686452</v>
      </c>
    </row>
    <row r="49" customFormat="false" ht="15" hidden="false" customHeight="false" outlineLevel="0" collapsed="false">
      <c r="A49" s="6" t="s">
        <v>56</v>
      </c>
      <c r="B49" s="6" t="str">
        <f aca="false">IFERROR(INDEX('Source 2026'!$C:$C,MATCH($A49,'Source 2026'!$B:$B,0)),IFERROR(INDEX('Source 2025'!$C:$C,MATCH($A49,'Source 2025'!$B:$B,0)),""))</f>
        <v>0 מ.בוניון+מפריד אצבע</v>
      </c>
      <c r="C49" s="7" t="n">
        <f aca="false">SUMIFS('Source 2025'!$D:$D,'Source 2025'!$B:$B,$A49,'Source 2025'!$A:$A,"Quantity (units)")</f>
        <v>1818</v>
      </c>
      <c r="D49" s="7" t="n">
        <f aca="false">SUMIFS('Source 2026'!$D:$D,'Source 2026'!$B:$B,$A49,'Source 2026'!$A:$A,"Quantity (units)")</f>
        <v>1418</v>
      </c>
      <c r="E49" s="7" t="n">
        <f aca="false">D49-C49</f>
        <v>-400</v>
      </c>
      <c r="F49" s="8" t="n">
        <f aca="false">IF(AND(C49=0,D49=0),0,IF(C49=0,"New",(D49-C49)/C49))</f>
        <v>-0.22002200220022</v>
      </c>
      <c r="G49" s="9" t="n">
        <f aca="false">SUMIFS('Source 2025'!$D:$D,'Source 2025'!$B:$B,$A49,'Source 2025'!$A:$A,"Amount (NIS)")</f>
        <v>63005.9</v>
      </c>
      <c r="H49" s="9" t="n">
        <f aca="false">SUMIFS('Source 2026'!$D:$D,'Source 2026'!$B:$B,$A49,'Source 2026'!$A:$A,"Amount (NIS)")</f>
        <v>49012.5</v>
      </c>
      <c r="I49" s="9" t="n">
        <f aca="false">H49-G49</f>
        <v>-13993.4</v>
      </c>
      <c r="J49" s="8" t="n">
        <f aca="false">IF(AND(G49=0,H49=0),0,IF(G49=0,"New",(H49-G49)/G49))</f>
        <v>-0.22209666078891</v>
      </c>
    </row>
    <row r="50" customFormat="false" ht="15" hidden="false" customHeight="false" outlineLevel="0" collapsed="false">
      <c r="A50" s="6" t="s">
        <v>57</v>
      </c>
      <c r="B50" s="6" t="str">
        <f aca="false">IFERROR(INDEX('Source 2026'!$C:$C,MATCH($A50,'Source 2026'!$B:$B,0)),IFERROR(INDEX('Source 2025'!$C:$C,MATCH($A50,'Source 2025'!$B:$B,0)),""))</f>
        <v>S-L אצבעון מסיליקון יחידה</v>
      </c>
      <c r="C50" s="7" t="n">
        <f aca="false">SUMIFS('Source 2025'!$D:$D,'Source 2025'!$B:$B,$A50,'Source 2025'!$A:$A,"Quantity (units)")</f>
        <v>2172</v>
      </c>
      <c r="D50" s="7" t="n">
        <f aca="false">SUMIFS('Source 2026'!$D:$D,'Source 2026'!$B:$B,$A50,'Source 2026'!$A:$A,"Quantity (units)")</f>
        <v>1549</v>
      </c>
      <c r="E50" s="7" t="n">
        <f aca="false">D50-C50</f>
        <v>-623</v>
      </c>
      <c r="F50" s="8" t="n">
        <f aca="false">IF(AND(C50=0,D50=0),0,IF(C50=0,"New",(D50-C50)/C50))</f>
        <v>-0.28683241252302</v>
      </c>
      <c r="G50" s="9" t="n">
        <f aca="false">SUMIFS('Source 2025'!$D:$D,'Source 2025'!$B:$B,$A50,'Source 2025'!$A:$A,"Amount (NIS)")</f>
        <v>48349.5</v>
      </c>
      <c r="H50" s="9" t="n">
        <f aca="false">SUMIFS('Source 2026'!$D:$D,'Source 2026'!$B:$B,$A50,'Source 2026'!$A:$A,"Amount (NIS)")</f>
        <v>34693.3</v>
      </c>
      <c r="I50" s="9" t="n">
        <f aca="false">H50-G50</f>
        <v>-13656.2</v>
      </c>
      <c r="J50" s="8" t="n">
        <f aca="false">IF(AND(G50=0,H50=0),0,IF(G50=0,"New",(H50-G50)/G50))</f>
        <v>-0.282447595114737</v>
      </c>
    </row>
    <row r="51" customFormat="false" ht="15" hidden="false" customHeight="false" outlineLevel="0" collapsed="false">
      <c r="A51" s="6" t="s">
        <v>58</v>
      </c>
      <c r="B51" s="6" t="str">
        <f aca="false">IFERROR(INDEX('Source 2026'!$C:$C,MATCH($A51,'Source 2026'!$B:$B,0)),IFERROR(INDEX('Source 2025'!$C:$C,MATCH($A51,'Source 2025'!$B:$B,0)),""))</f>
        <v>XS חגורת פאבליק</v>
      </c>
      <c r="C51" s="7" t="n">
        <f aca="false">SUMIFS('Source 2025'!$D:$D,'Source 2025'!$B:$B,$A51,'Source 2025'!$A:$A,"Quantity (units)")</f>
        <v>0</v>
      </c>
      <c r="D51" s="7" t="n">
        <f aca="false">SUMIFS('Source 2026'!$D:$D,'Source 2026'!$B:$B,$A51,'Source 2026'!$A:$A,"Quantity (units)")</f>
        <v>47</v>
      </c>
      <c r="E51" s="7" t="n">
        <f aca="false">D51-C51</f>
        <v>47</v>
      </c>
      <c r="F51" s="8" t="str">
        <f aca="false">IF(AND(C51=0,D51=0),0,IF(C51=0,"New",(D51-C51)/C51))</f>
        <v>New</v>
      </c>
      <c r="G51" s="9" t="n">
        <f aca="false">SUMIFS('Source 2025'!$D:$D,'Source 2025'!$B:$B,$A51,'Source 2025'!$A:$A,"Amount (NIS)")</f>
        <v>0</v>
      </c>
      <c r="H51" s="9" t="n">
        <f aca="false">SUMIFS('Source 2026'!$D:$D,'Source 2026'!$B:$B,$A51,'Source 2026'!$A:$A,"Amount (NIS)")</f>
        <v>13130.3</v>
      </c>
      <c r="I51" s="9" t="n">
        <f aca="false">H51-G51</f>
        <v>13130.3</v>
      </c>
      <c r="J51" s="8" t="str">
        <f aca="false">IF(AND(G51=0,H51=0),0,IF(G51=0,"New",(H51-G51)/G51))</f>
        <v>New</v>
      </c>
    </row>
    <row r="52" customFormat="false" ht="15" hidden="false" customHeight="false" outlineLevel="0" collapsed="false">
      <c r="A52" s="6" t="s">
        <v>59</v>
      </c>
      <c r="B52" s="6" t="str">
        <f aca="false">IFERROR(INDEX('Source 2026'!$C:$C,MATCH($A52,'Source 2026'!$B:$B,0)),IFERROR(INDEX('Source 2025'!$C:$C,MATCH($A52,'Source 2025'!$B:$B,0)),""))</f>
        <v>Sמיישר כתף יציב יישור גב צר</v>
      </c>
      <c r="C52" s="7" t="n">
        <f aca="false">SUMIFS('Source 2025'!$D:$D,'Source 2025'!$B:$B,$A52,'Source 2025'!$A:$A,"Quantity (units)")</f>
        <v>155</v>
      </c>
      <c r="D52" s="7" t="n">
        <f aca="false">SUMIFS('Source 2026'!$D:$D,'Source 2026'!$B:$B,$A52,'Source 2026'!$A:$A,"Quantity (units)")</f>
        <v>52</v>
      </c>
      <c r="E52" s="7" t="n">
        <f aca="false">D52-C52</f>
        <v>-103</v>
      </c>
      <c r="F52" s="8" t="n">
        <f aca="false">IF(AND(C52=0,D52=0),0,IF(C52=0,"New",(D52-C52)/C52))</f>
        <v>-0.664516129032258</v>
      </c>
      <c r="G52" s="9" t="n">
        <f aca="false">SUMIFS('Source 2025'!$D:$D,'Source 2025'!$B:$B,$A52,'Source 2025'!$A:$A,"Amount (NIS)")</f>
        <v>20571.3</v>
      </c>
      <c r="H52" s="9" t="n">
        <f aca="false">SUMIFS('Source 2026'!$D:$D,'Source 2026'!$B:$B,$A52,'Source 2026'!$A:$A,"Amount (NIS)")</f>
        <v>7911.2</v>
      </c>
      <c r="I52" s="9" t="n">
        <f aca="false">H52-G52</f>
        <v>-12660.1</v>
      </c>
      <c r="J52" s="8" t="n">
        <f aca="false">IF(AND(G52=0,H52=0),0,IF(G52=0,"New",(H52-G52)/G52))</f>
        <v>-0.615425374186366</v>
      </c>
    </row>
    <row r="53" customFormat="false" ht="15" hidden="false" customHeight="false" outlineLevel="0" collapsed="false">
      <c r="A53" s="6" t="s">
        <v>60</v>
      </c>
      <c r="B53" s="6" t="str">
        <f aca="false">IFERROR(INDEX('Source 2026'!$C:$C,MATCH($A53,'Source 2026'!$B:$B,0)),IFERROR(INDEX('Source 2025'!$C:$C,MATCH($A53,'Source 2025'!$B:$B,0)),""))</f>
        <v>נצמדת שחור 20 מ""מ</v>
      </c>
      <c r="C53" s="7" t="n">
        <f aca="false">SUMIFS('Source 2025'!$D:$D,'Source 2025'!$B:$B,$A53,'Source 2025'!$A:$A,"Quantity (units)")</f>
        <v>1790</v>
      </c>
      <c r="D53" s="7" t="n">
        <f aca="false">SUMIFS('Source 2026'!$D:$D,'Source 2026'!$B:$B,$A53,'Source 2026'!$A:$A,"Quantity (units)")</f>
        <v>580</v>
      </c>
      <c r="E53" s="7" t="n">
        <f aca="false">D53-C53</f>
        <v>-1210</v>
      </c>
      <c r="F53" s="8" t="n">
        <f aca="false">IF(AND(C53=0,D53=0),0,IF(C53=0,"New",(D53-C53)/C53))</f>
        <v>-0.675977653631285</v>
      </c>
      <c r="G53" s="9" t="n">
        <f aca="false">SUMIFS('Source 2025'!$D:$D,'Source 2025'!$B:$B,$A53,'Source 2025'!$A:$A,"Amount (NIS)")</f>
        <v>18164.7</v>
      </c>
      <c r="H53" s="9" t="n">
        <f aca="false">SUMIFS('Source 2026'!$D:$D,'Source 2026'!$B:$B,$A53,'Source 2026'!$A:$A,"Amount (NIS)")</f>
        <v>5942.1</v>
      </c>
      <c r="I53" s="9" t="n">
        <f aca="false">H53-G53</f>
        <v>-12222.6</v>
      </c>
      <c r="J53" s="8" t="n">
        <f aca="false">IF(AND(G53=0,H53=0),0,IF(G53=0,"New",(H53-G53)/G53))</f>
        <v>-0.672876513237213</v>
      </c>
    </row>
    <row r="54" customFormat="false" ht="15" hidden="false" customHeight="false" outlineLevel="0" collapsed="false">
      <c r="A54" s="6" t="s">
        <v>61</v>
      </c>
      <c r="B54" s="6" t="str">
        <f aca="false">IFERROR(INDEX('Source 2026'!$C:$C,MATCH($A54,'Source 2026'!$B:$B,0)),IFERROR(INDEX('Source 2025'!$C:$C,MATCH($A54,'Source 2025'!$B:$B,0)),""))</f>
        <v>נצמדת כחול20מ""מ</v>
      </c>
      <c r="C54" s="7" t="n">
        <f aca="false">SUMIFS('Source 2025'!$D:$D,'Source 2025'!$B:$B,$A54,'Source 2025'!$A:$A,"Quantity (units)")</f>
        <v>1556</v>
      </c>
      <c r="D54" s="7" t="n">
        <f aca="false">SUMIFS('Source 2026'!$D:$D,'Source 2026'!$B:$B,$A54,'Source 2026'!$A:$A,"Quantity (units)")</f>
        <v>358</v>
      </c>
      <c r="E54" s="7" t="n">
        <f aca="false">D54-C54</f>
        <v>-1198</v>
      </c>
      <c r="F54" s="8" t="n">
        <f aca="false">IF(AND(C54=0,D54=0),0,IF(C54=0,"New",(D54-C54)/C54))</f>
        <v>-0.769922879177378</v>
      </c>
      <c r="G54" s="9" t="n">
        <f aca="false">SUMIFS('Source 2025'!$D:$D,'Source 2025'!$B:$B,$A54,'Source 2025'!$A:$A,"Amount (NIS)")</f>
        <v>15795.7</v>
      </c>
      <c r="H54" s="9" t="n">
        <f aca="false">SUMIFS('Source 2026'!$D:$D,'Source 2026'!$B:$B,$A54,'Source 2026'!$A:$A,"Amount (NIS)")</f>
        <v>3674.8</v>
      </c>
      <c r="I54" s="9" t="n">
        <f aca="false">H54-G54</f>
        <v>-12120.9</v>
      </c>
      <c r="J54" s="8" t="n">
        <f aca="false">IF(AND(G54=0,H54=0),0,IF(G54=0,"New",(H54-G54)/G54))</f>
        <v>-0.767354406579006</v>
      </c>
    </row>
    <row r="55" customFormat="false" ht="15" hidden="false" customHeight="false" outlineLevel="0" collapsed="false">
      <c r="A55" s="6" t="s">
        <v>62</v>
      </c>
      <c r="B55" s="6" t="str">
        <f aca="false">IFERROR(INDEX('Source 2026'!$C:$C,MATCH($A55,'Source 2026'!$B:$B,0)),IFERROR(INDEX('Source 2025'!$C:$C,MATCH($A55,'Source 2025'!$B:$B,0)),""))</f>
        <v>טלק מעושר באלוורה</v>
      </c>
      <c r="C55" s="7" t="n">
        <f aca="false">SUMIFS('Source 2025'!$D:$D,'Source 2025'!$B:$B,$A55,'Source 2025'!$A:$A,"Quantity (units)")</f>
        <v>1282</v>
      </c>
      <c r="D55" s="7" t="n">
        <f aca="false">SUMIFS('Source 2026'!$D:$D,'Source 2026'!$B:$B,$A55,'Source 2026'!$A:$A,"Quantity (units)")</f>
        <v>562</v>
      </c>
      <c r="E55" s="7" t="n">
        <f aca="false">D55-C55</f>
        <v>-720</v>
      </c>
      <c r="F55" s="8" t="n">
        <f aca="false">IF(AND(C55=0,D55=0),0,IF(C55=0,"New",(D55-C55)/C55))</f>
        <v>-0.561622464898596</v>
      </c>
      <c r="G55" s="9" t="n">
        <f aca="false">SUMIFS('Source 2025'!$D:$D,'Source 2025'!$B:$B,$A55,'Source 2025'!$A:$A,"Amount (NIS)")</f>
        <v>20668.1</v>
      </c>
      <c r="H55" s="9" t="n">
        <f aca="false">SUMIFS('Source 2026'!$D:$D,'Source 2026'!$B:$B,$A55,'Source 2026'!$A:$A,"Amount (NIS)")</f>
        <v>9322</v>
      </c>
      <c r="I55" s="9" t="n">
        <f aca="false">H55-G55</f>
        <v>-11346.1</v>
      </c>
      <c r="J55" s="8" t="n">
        <f aca="false">IF(AND(G55=0,H55=0),0,IF(G55=0,"New",(H55-G55)/G55))</f>
        <v>-0.548966765208219</v>
      </c>
    </row>
    <row r="56" customFormat="false" ht="15" hidden="false" customHeight="false" outlineLevel="0" collapsed="false">
      <c r="A56" s="6" t="s">
        <v>63</v>
      </c>
      <c r="B56" s="6" t="str">
        <f aca="false">IFERROR(INDEX('Source 2026'!$C:$C,MATCH($A56,'Source 2026'!$B:$B,0)),IFERROR(INDEX('Source 2025'!$C:$C,MATCH($A56,'Source 2025'!$B:$B,0)),""))</f>
        <v>למניעת שפשוף 5 יח</v>
      </c>
      <c r="C56" s="7" t="n">
        <f aca="false">SUMIFS('Source 2025'!$D:$D,'Source 2025'!$B:$B,$A56,'Source 2025'!$A:$A,"Quantity (units)")</f>
        <v>4057</v>
      </c>
      <c r="D56" s="7" t="n">
        <f aca="false">SUMIFS('Source 2026'!$D:$D,'Source 2026'!$B:$B,$A56,'Source 2026'!$A:$A,"Quantity (units)")</f>
        <v>2898</v>
      </c>
      <c r="E56" s="7" t="n">
        <f aca="false">D56-C56</f>
        <v>-1159</v>
      </c>
      <c r="F56" s="8" t="n">
        <f aca="false">IF(AND(C56=0,D56=0),0,IF(C56=0,"New",(D56-C56)/C56))</f>
        <v>-0.285679073206803</v>
      </c>
      <c r="G56" s="9" t="n">
        <f aca="false">SUMIFS('Source 2025'!$D:$D,'Source 2025'!$B:$B,$A56,'Source 2025'!$A:$A,"Amount (NIS)")</f>
        <v>50190</v>
      </c>
      <c r="H56" s="9" t="n">
        <f aca="false">SUMIFS('Source 2026'!$D:$D,'Source 2026'!$B:$B,$A56,'Source 2026'!$A:$A,"Amount (NIS)")</f>
        <v>39121.1</v>
      </c>
      <c r="I56" s="9" t="n">
        <f aca="false">H56-G56</f>
        <v>-11068.9</v>
      </c>
      <c r="J56" s="8" t="n">
        <f aca="false">IF(AND(G56=0,H56=0),0,IF(G56=0,"New",(H56-G56)/G56))</f>
        <v>-0.220539948196852</v>
      </c>
    </row>
    <row r="57" customFormat="false" ht="15" hidden="false" customHeight="false" outlineLevel="0" collapsed="false">
      <c r="A57" s="6" t="s">
        <v>64</v>
      </c>
      <c r="B57" s="6" t="str">
        <f aca="false">IFERROR(INDEX('Source 2026'!$C:$C,MATCH($A57,'Source 2026'!$B:$B,0)),IFERROR(INDEX('Source 2025'!$C:$C,MATCH($A57,'Source 2025'!$B:$B,0)),""))</f>
        <v>מדרס אורטופ.מתכוון35-36</v>
      </c>
      <c r="C57" s="7" t="n">
        <f aca="false">SUMIFS('Source 2025'!$D:$D,'Source 2025'!$B:$B,$A57,'Source 2025'!$A:$A,"Quantity (units)")</f>
        <v>492</v>
      </c>
      <c r="D57" s="7" t="n">
        <f aca="false">SUMIFS('Source 2026'!$D:$D,'Source 2026'!$B:$B,$A57,'Source 2026'!$A:$A,"Quantity (units)")</f>
        <v>347</v>
      </c>
      <c r="E57" s="7" t="n">
        <f aca="false">D57-C57</f>
        <v>-145</v>
      </c>
      <c r="F57" s="8" t="n">
        <f aca="false">IF(AND(C57=0,D57=0),0,IF(C57=0,"New",(D57-C57)/C57))</f>
        <v>-0.294715447154472</v>
      </c>
      <c r="G57" s="9" t="n">
        <f aca="false">SUMIFS('Source 2025'!$D:$D,'Source 2025'!$B:$B,$A57,'Source 2025'!$A:$A,"Amount (NIS)")</f>
        <v>32730.3</v>
      </c>
      <c r="H57" s="9" t="n">
        <f aca="false">SUMIFS('Source 2026'!$D:$D,'Source 2026'!$B:$B,$A57,'Source 2026'!$A:$A,"Amount (NIS)")</f>
        <v>22593.7</v>
      </c>
      <c r="I57" s="9" t="n">
        <f aca="false">H57-G57</f>
        <v>-10136.6</v>
      </c>
      <c r="J57" s="8" t="n">
        <f aca="false">IF(AND(G57=0,H57=0),0,IF(G57=0,"New",(H57-G57)/G57))</f>
        <v>-0.309700797120711</v>
      </c>
    </row>
    <row r="58" customFormat="false" ht="15" hidden="false" customHeight="false" outlineLevel="0" collapsed="false">
      <c r="A58" s="6" t="s">
        <v>65</v>
      </c>
      <c r="B58" s="6" t="str">
        <f aca="false">IFERROR(INDEX('Source 2026'!$C:$C,MATCH($A58,'Source 2026'!$B:$B,0)),IFERROR(INDEX('Source 2025'!$C:$C,MATCH($A58,'Source 2025'!$B:$B,0)),""))</f>
        <v>מטטרזלי סיליקון362</v>
      </c>
      <c r="C58" s="7" t="n">
        <f aca="false">SUMIFS('Source 2025'!$D:$D,'Source 2025'!$B:$B,$A58,'Source 2025'!$A:$A,"Quantity (units)")</f>
        <v>2204</v>
      </c>
      <c r="D58" s="7" t="n">
        <f aca="false">SUMIFS('Source 2026'!$D:$D,'Source 2026'!$B:$B,$A58,'Source 2026'!$A:$A,"Quantity (units)")</f>
        <v>1727</v>
      </c>
      <c r="E58" s="7" t="n">
        <f aca="false">D58-C58</f>
        <v>-477</v>
      </c>
      <c r="F58" s="8" t="n">
        <f aca="false">IF(AND(C58=0,D58=0),0,IF(C58=0,"New",(D58-C58)/C58))</f>
        <v>-0.216424682395644</v>
      </c>
      <c r="G58" s="9" t="n">
        <f aca="false">SUMIFS('Source 2025'!$D:$D,'Source 2025'!$B:$B,$A58,'Source 2025'!$A:$A,"Amount (NIS)")</f>
        <v>51118.9</v>
      </c>
      <c r="H58" s="9" t="n">
        <f aca="false">SUMIFS('Source 2026'!$D:$D,'Source 2026'!$B:$B,$A58,'Source 2026'!$A:$A,"Amount (NIS)")</f>
        <v>41072.9</v>
      </c>
      <c r="I58" s="9" t="n">
        <f aca="false">H58-G58</f>
        <v>-10046</v>
      </c>
      <c r="J58" s="8" t="n">
        <f aca="false">IF(AND(G58=0,H58=0),0,IF(G58=0,"New",(H58-G58)/G58))</f>
        <v>-0.196522225634746</v>
      </c>
    </row>
    <row r="59" customFormat="false" ht="15" hidden="false" customHeight="false" outlineLevel="0" collapsed="false">
      <c r="A59" s="6" t="s">
        <v>66</v>
      </c>
      <c r="B59" s="6" t="str">
        <f aca="false">IFERROR(INDEX('Source 2026'!$C:$C,MATCH($A59,'Source 2026'!$B:$B,0)),IFERROR(INDEX('Source 2025'!$C:$C,MATCH($A59,'Source 2025'!$B:$B,0)),""))</f>
        <v>בליסטר פלסטר</v>
      </c>
      <c r="C59" s="7" t="n">
        <f aca="false">SUMIFS('Source 2025'!$D:$D,'Source 2025'!$B:$B,$A59,'Source 2025'!$A:$A,"Quantity (units)")</f>
        <v>1909</v>
      </c>
      <c r="D59" s="7" t="n">
        <f aca="false">SUMIFS('Source 2026'!$D:$D,'Source 2026'!$B:$B,$A59,'Source 2026'!$A:$A,"Quantity (units)")</f>
        <v>1332</v>
      </c>
      <c r="E59" s="7" t="n">
        <f aca="false">D59-C59</f>
        <v>-577</v>
      </c>
      <c r="F59" s="8" t="n">
        <f aca="false">IF(AND(C59=0,D59=0),0,IF(C59=0,"New",(D59-C59)/C59))</f>
        <v>-0.302252488213724</v>
      </c>
      <c r="G59" s="9" t="n">
        <f aca="false">SUMIFS('Source 2025'!$D:$D,'Source 2025'!$B:$B,$A59,'Source 2025'!$A:$A,"Amount (NIS)")</f>
        <v>33927.9</v>
      </c>
      <c r="H59" s="9" t="n">
        <f aca="false">SUMIFS('Source 2026'!$D:$D,'Source 2026'!$B:$B,$A59,'Source 2026'!$A:$A,"Amount (NIS)")</f>
        <v>23901.8</v>
      </c>
      <c r="I59" s="9" t="n">
        <f aca="false">H59-G59</f>
        <v>-10026.1</v>
      </c>
      <c r="J59" s="8" t="n">
        <f aca="false">IF(AND(G59=0,H59=0),0,IF(G59=0,"New",(H59-G59)/G59))</f>
        <v>-0.295511953289181</v>
      </c>
    </row>
    <row r="60" customFormat="false" ht="15" hidden="false" customHeight="false" outlineLevel="0" collapsed="false">
      <c r="A60" s="6" t="s">
        <v>67</v>
      </c>
      <c r="B60" s="6" t="str">
        <f aca="false">IFERROR(INDEX('Source 2026'!$C:$C,MATCH($A60,'Source 2026'!$B:$B,0)),IFERROR(INDEX('Source 2025'!$C:$C,MATCH($A60,'Source 2025'!$B:$B,0)),""))</f>
        <v>תחבושת א.נצמ</v>
      </c>
      <c r="C60" s="7" t="n">
        <f aca="false">SUMIFS('Source 2025'!$D:$D,'Source 2025'!$B:$B,$A60,'Source 2025'!$A:$A,"Quantity (units)")</f>
        <v>1749</v>
      </c>
      <c r="D60" s="7" t="n">
        <f aca="false">SUMIFS('Source 2026'!$D:$D,'Source 2026'!$B:$B,$A60,'Source 2026'!$A:$A,"Quantity (units)")</f>
        <v>820</v>
      </c>
      <c r="E60" s="7" t="n">
        <f aca="false">D60-C60</f>
        <v>-929</v>
      </c>
      <c r="F60" s="8" t="n">
        <f aca="false">IF(AND(C60=0,D60=0),0,IF(C60=0,"New",(D60-C60)/C60))</f>
        <v>-0.531160663236135</v>
      </c>
      <c r="G60" s="9" t="n">
        <f aca="false">SUMIFS('Source 2025'!$D:$D,'Source 2025'!$B:$B,$A60,'Source 2025'!$A:$A,"Amount (NIS)")</f>
        <v>17832.6</v>
      </c>
      <c r="H60" s="9" t="n">
        <f aca="false">SUMIFS('Source 2026'!$D:$D,'Source 2026'!$B:$B,$A60,'Source 2026'!$A:$A,"Amount (NIS)")</f>
        <v>8468.2</v>
      </c>
      <c r="I60" s="9" t="n">
        <f aca="false">H60-G60</f>
        <v>-9364.4</v>
      </c>
      <c r="J60" s="8" t="n">
        <f aca="false">IF(AND(G60=0,H60=0),0,IF(G60=0,"New",(H60-G60)/G60))</f>
        <v>-0.52512813611027</v>
      </c>
    </row>
    <row r="61" customFormat="false" ht="15" hidden="false" customHeight="false" outlineLevel="0" collapsed="false">
      <c r="A61" s="6" t="s">
        <v>68</v>
      </c>
      <c r="B61" s="6" t="str">
        <f aca="false">IFERROR(INDEX('Source 2026'!$C:$C,MATCH($A61,'Source 2026'!$B:$B,0)),IFERROR(INDEX('Source 2025'!$C:$C,MATCH($A61,'Source 2025'!$B:$B,0)),""))</f>
        <v>תחבושת א.נצמ</v>
      </c>
      <c r="C61" s="7" t="n">
        <f aca="false">SUMIFS('Source 2025'!$D:$D,'Source 2025'!$B:$B,$A61,'Source 2025'!$A:$A,"Quantity (units)")</f>
        <v>2756</v>
      </c>
      <c r="D61" s="7" t="n">
        <f aca="false">SUMIFS('Source 2026'!$D:$D,'Source 2026'!$B:$B,$A61,'Source 2026'!$A:$A,"Quantity (units)")</f>
        <v>1822</v>
      </c>
      <c r="E61" s="7" t="n">
        <f aca="false">D61-C61</f>
        <v>-934</v>
      </c>
      <c r="F61" s="8" t="n">
        <f aca="false">IF(AND(C61=0,D61=0),0,IF(C61=0,"New",(D61-C61)/C61))</f>
        <v>-0.338896952104499</v>
      </c>
      <c r="G61" s="9" t="n">
        <f aca="false">SUMIFS('Source 2025'!$D:$D,'Source 2025'!$B:$B,$A61,'Source 2025'!$A:$A,"Amount (NIS)")</f>
        <v>28005.4</v>
      </c>
      <c r="H61" s="9" t="n">
        <f aca="false">SUMIFS('Source 2026'!$D:$D,'Source 2026'!$B:$B,$A61,'Source 2026'!$A:$A,"Amount (NIS)")</f>
        <v>18650.2</v>
      </c>
      <c r="I61" s="9" t="n">
        <f aca="false">H61-G61</f>
        <v>-9355.2</v>
      </c>
      <c r="J61" s="8" t="n">
        <f aca="false">IF(AND(G61=0,H61=0),0,IF(G61=0,"New",(H61-G61)/G61))</f>
        <v>-0.334049861812365</v>
      </c>
    </row>
    <row r="62" customFormat="false" ht="15" hidden="false" customHeight="false" outlineLevel="0" collapsed="false">
      <c r="A62" s="6" t="s">
        <v>69</v>
      </c>
      <c r="B62" s="6" t="str">
        <f aca="false">IFERROR(INDEX('Source 2026'!$C:$C,MATCH($A62,'Source 2026'!$B:$B,0)),IFERROR(INDEX('Source 2025'!$C:$C,MATCH($A62,'Source 2025'!$B:$B,0)),""))</f>
        <v>L שמאל CTS כפפות</v>
      </c>
      <c r="C62" s="7" t="n">
        <f aca="false">SUMIFS('Source 2025'!$D:$D,'Source 2025'!$B:$B,$A62,'Source 2025'!$A:$A,"Quantity (units)")</f>
        <v>0</v>
      </c>
      <c r="D62" s="7" t="n">
        <f aca="false">SUMIFS('Source 2026'!$D:$D,'Source 2026'!$B:$B,$A62,'Source 2026'!$A:$A,"Quantity (units)")</f>
        <v>93</v>
      </c>
      <c r="E62" s="7" t="n">
        <f aca="false">D62-C62</f>
        <v>93</v>
      </c>
      <c r="F62" s="8" t="str">
        <f aca="false">IF(AND(C62=0,D62=0),0,IF(C62=0,"New",(D62-C62)/C62))</f>
        <v>New</v>
      </c>
      <c r="G62" s="9" t="n">
        <f aca="false">SUMIFS('Source 2025'!$D:$D,'Source 2025'!$B:$B,$A62,'Source 2025'!$A:$A,"Amount (NIS)")</f>
        <v>0</v>
      </c>
      <c r="H62" s="9" t="n">
        <f aca="false">SUMIFS('Source 2026'!$D:$D,'Source 2026'!$B:$B,$A62,'Source 2026'!$A:$A,"Amount (NIS)")</f>
        <v>9344.9</v>
      </c>
      <c r="I62" s="9" t="n">
        <f aca="false">H62-G62</f>
        <v>9344.9</v>
      </c>
      <c r="J62" s="8" t="str">
        <f aca="false">IF(AND(G62=0,H62=0),0,IF(G62=0,"New",(H62-G62)/G62))</f>
        <v>New</v>
      </c>
    </row>
    <row r="63" customFormat="false" ht="15" hidden="false" customHeight="false" outlineLevel="0" collapsed="false">
      <c r="A63" s="6" t="s">
        <v>70</v>
      </c>
      <c r="B63" s="6" t="str">
        <f aca="false">IFERROR(INDEX('Source 2026'!$C:$C,MATCH($A63,'Source 2026'!$B:$B,0)),IFERROR(INDEX('Source 2025'!$C:$C,MATCH($A63,'Source 2025'!$B:$B,0)),""))</f>
        <v>תחבושת נצמדת ורוד 20ממ</v>
      </c>
      <c r="C63" s="7" t="n">
        <f aca="false">SUMIFS('Source 2025'!$D:$D,'Source 2025'!$B:$B,$A63,'Source 2025'!$A:$A,"Quantity (units)")</f>
        <v>1134</v>
      </c>
      <c r="D63" s="7" t="n">
        <f aca="false">SUMIFS('Source 2026'!$D:$D,'Source 2026'!$B:$B,$A63,'Source 2026'!$A:$A,"Quantity (units)")</f>
        <v>283</v>
      </c>
      <c r="E63" s="7" t="n">
        <f aca="false">D63-C63</f>
        <v>-851</v>
      </c>
      <c r="F63" s="8" t="n">
        <f aca="false">IF(AND(C63=0,D63=0),0,IF(C63=0,"New",(D63-C63)/C63))</f>
        <v>-0.750440917107584</v>
      </c>
      <c r="G63" s="9" t="n">
        <f aca="false">SUMIFS('Source 2025'!$D:$D,'Source 2025'!$B:$B,$A63,'Source 2025'!$A:$A,"Amount (NIS)")</f>
        <v>11512.2</v>
      </c>
      <c r="H63" s="9" t="n">
        <f aca="false">SUMIFS('Source 2026'!$D:$D,'Source 2026'!$B:$B,$A63,'Source 2026'!$A:$A,"Amount (NIS)")</f>
        <v>2916</v>
      </c>
      <c r="I63" s="9" t="n">
        <f aca="false">H63-G63</f>
        <v>-8596.2</v>
      </c>
      <c r="J63" s="8" t="n">
        <f aca="false">IF(AND(G63=0,H63=0),0,IF(G63=0,"New",(H63-G63)/G63))</f>
        <v>-0.746703497159535</v>
      </c>
    </row>
    <row r="64" customFormat="false" ht="15" hidden="false" customHeight="false" outlineLevel="0" collapsed="false">
      <c r="A64" s="6" t="s">
        <v>71</v>
      </c>
      <c r="B64" s="6" t="str">
        <f aca="false">IFERROR(INDEX('Source 2026'!$C:$C,MATCH($A64,'Source 2026'!$B:$B,0)),IFERROR(INDEX('Source 2025'!$C:$C,MATCH($A64,'Source 2025'!$B:$B,0)),""))</f>
        <v>שרוול מגן לבוניון</v>
      </c>
      <c r="C64" s="7" t="n">
        <f aca="false">SUMIFS('Source 2025'!$D:$D,'Source 2025'!$B:$B,$A64,'Source 2025'!$A:$A,"Quantity (units)")</f>
        <v>968</v>
      </c>
      <c r="D64" s="7" t="n">
        <f aca="false">SUMIFS('Source 2026'!$D:$D,'Source 2026'!$B:$B,$A64,'Source 2026'!$A:$A,"Quantity (units)")</f>
        <v>650</v>
      </c>
      <c r="E64" s="7" t="n">
        <f aca="false">D64-C64</f>
        <v>-318</v>
      </c>
      <c r="F64" s="8" t="n">
        <f aca="false">IF(AND(C64=0,D64=0),0,IF(C64=0,"New",(D64-C64)/C64))</f>
        <v>-0.328512396694215</v>
      </c>
      <c r="G64" s="9" t="n">
        <f aca="false">SUMIFS('Source 2025'!$D:$D,'Source 2025'!$B:$B,$A64,'Source 2025'!$A:$A,"Amount (NIS)")</f>
        <v>27666.3</v>
      </c>
      <c r="H64" s="9" t="n">
        <f aca="false">SUMIFS('Source 2026'!$D:$D,'Source 2026'!$B:$B,$A64,'Source 2026'!$A:$A,"Amount (NIS)")</f>
        <v>19108.9</v>
      </c>
      <c r="I64" s="9" t="n">
        <f aca="false">H64-G64</f>
        <v>-8557.4</v>
      </c>
      <c r="J64" s="8" t="n">
        <f aca="false">IF(AND(G64=0,H64=0),0,IF(G64=0,"New",(H64-G64)/G64))</f>
        <v>-0.309307713716688</v>
      </c>
    </row>
    <row r="65" customFormat="false" ht="15" hidden="false" customHeight="false" outlineLevel="0" collapsed="false">
      <c r="A65" s="6" t="s">
        <v>72</v>
      </c>
      <c r="B65" s="6" t="str">
        <f aca="false">IFERROR(INDEX('Source 2026'!$C:$C,MATCH($A65,'Source 2026'!$B:$B,0)),IFERROR(INDEX('Source 2025'!$C:$C,MATCH($A65,'Source 2025'!$B:$B,0)),""))</f>
        <v>חגורת גב אפורה</v>
      </c>
      <c r="C65" s="7" t="n">
        <f aca="false">SUMIFS('Source 2025'!$D:$D,'Source 2025'!$B:$B,$A65,'Source 2025'!$A:$A,"Quantity (units)")</f>
        <v>359</v>
      </c>
      <c r="D65" s="7" t="n">
        <f aca="false">SUMIFS('Source 2026'!$D:$D,'Source 2026'!$B:$B,$A65,'Source 2026'!$A:$A,"Quantity (units)")</f>
        <v>263</v>
      </c>
      <c r="E65" s="7" t="n">
        <f aca="false">D65-C65</f>
        <v>-96</v>
      </c>
      <c r="F65" s="8" t="n">
        <f aca="false">IF(AND(C65=0,D65=0),0,IF(C65=0,"New",(D65-C65)/C65))</f>
        <v>-0.267409470752089</v>
      </c>
      <c r="G65" s="9" t="n">
        <f aca="false">SUMIFS('Source 2025'!$D:$D,'Source 2025'!$B:$B,$A65,'Source 2025'!$A:$A,"Amount (NIS)")</f>
        <v>33059.8</v>
      </c>
      <c r="H65" s="9" t="n">
        <f aca="false">SUMIFS('Source 2026'!$D:$D,'Source 2026'!$B:$B,$A65,'Source 2026'!$A:$A,"Amount (NIS)")</f>
        <v>24607.7</v>
      </c>
      <c r="I65" s="9" t="n">
        <f aca="false">H65-G65</f>
        <v>-8452.1</v>
      </c>
      <c r="J65" s="8" t="n">
        <f aca="false">IF(AND(G65=0,H65=0),0,IF(G65=0,"New",(H65-G65)/G65))</f>
        <v>-0.255660953786774</v>
      </c>
    </row>
    <row r="66" customFormat="false" ht="15" hidden="false" customHeight="false" outlineLevel="0" collapsed="false">
      <c r="A66" s="6" t="s">
        <v>73</v>
      </c>
      <c r="B66" s="6" t="str">
        <f aca="false">IFERROR(INDEX('Source 2026'!$C:$C,MATCH($A66,'Source 2026'!$B:$B,0)),IFERROR(INDEX('Source 2025'!$C:$C,MATCH($A66,'Source 2025'!$B:$B,0)),""))</f>
        <v>דאודורנט אנטיבק.נעל333</v>
      </c>
      <c r="C66" s="7" t="n">
        <f aca="false">SUMIFS('Source 2025'!$D:$D,'Source 2025'!$B:$B,$A66,'Source 2025'!$A:$A,"Quantity (units)")</f>
        <v>1663</v>
      </c>
      <c r="D66" s="7" t="n">
        <f aca="false">SUMIFS('Source 2026'!$D:$D,'Source 2026'!$B:$B,$A66,'Source 2026'!$A:$A,"Quantity (units)")</f>
        <v>1283</v>
      </c>
      <c r="E66" s="7" t="n">
        <f aca="false">D66-C66</f>
        <v>-380</v>
      </c>
      <c r="F66" s="8" t="n">
        <f aca="false">IF(AND(C66=0,D66=0),0,IF(C66=0,"New",(D66-C66)/C66))</f>
        <v>-0.228502705953097</v>
      </c>
      <c r="G66" s="9" t="n">
        <f aca="false">SUMIFS('Source 2025'!$D:$D,'Source 2025'!$B:$B,$A66,'Source 2025'!$A:$A,"Amount (NIS)")</f>
        <v>30574.4</v>
      </c>
      <c r="H66" s="9" t="n">
        <f aca="false">SUMIFS('Source 2026'!$D:$D,'Source 2026'!$B:$B,$A66,'Source 2026'!$A:$A,"Amount (NIS)")</f>
        <v>22225.7</v>
      </c>
      <c r="I66" s="9" t="n">
        <f aca="false">H66-G66</f>
        <v>-8348.7</v>
      </c>
      <c r="J66" s="8" t="n">
        <f aca="false">IF(AND(G66=0,H66=0),0,IF(G66=0,"New",(H66-G66)/G66))</f>
        <v>-0.27306177717306</v>
      </c>
    </row>
    <row r="67" customFormat="false" ht="15" hidden="false" customHeight="false" outlineLevel="0" collapsed="false">
      <c r="A67" s="6" t="s">
        <v>74</v>
      </c>
      <c r="B67" s="6" t="str">
        <f aca="false">IFERROR(INDEX('Source 2026'!$C:$C,MATCH($A67,'Source 2026'!$B:$B,0)),IFERROR(INDEX('Source 2025'!$C:$C,MATCH($A67,'Source 2025'!$B:$B,0)),""))</f>
        <v>חגורת גב +סגירה כפולה</v>
      </c>
      <c r="C67" s="7" t="n">
        <f aca="false">SUMIFS('Source 2025'!$D:$D,'Source 2025'!$B:$B,$A67,'Source 2025'!$A:$A,"Quantity (units)")</f>
        <v>132</v>
      </c>
      <c r="D67" s="7" t="n">
        <f aca="false">SUMIFS('Source 2026'!$D:$D,'Source 2026'!$B:$B,$A67,'Source 2026'!$A:$A,"Quantity (units)")</f>
        <v>42</v>
      </c>
      <c r="E67" s="7" t="n">
        <f aca="false">D67-C67</f>
        <v>-90</v>
      </c>
      <c r="F67" s="8" t="n">
        <f aca="false">IF(AND(C67=0,D67=0),0,IF(C67=0,"New",(D67-C67)/C67))</f>
        <v>-0.681818181818182</v>
      </c>
      <c r="G67" s="9" t="n">
        <f aca="false">SUMIFS('Source 2025'!$D:$D,'Source 2025'!$B:$B,$A67,'Source 2025'!$A:$A,"Amount (NIS)")</f>
        <v>12600.2</v>
      </c>
      <c r="H67" s="9" t="n">
        <f aca="false">SUMIFS('Source 2026'!$D:$D,'Source 2026'!$B:$B,$A67,'Source 2026'!$A:$A,"Amount (NIS)")</f>
        <v>4263.8</v>
      </c>
      <c r="I67" s="9" t="n">
        <f aca="false">H67-G67</f>
        <v>-8336.4</v>
      </c>
      <c r="J67" s="8" t="n">
        <f aca="false">IF(AND(G67=0,H67=0),0,IF(G67=0,"New",(H67-G67)/G67))</f>
        <v>-0.661608545896097</v>
      </c>
    </row>
    <row r="68" customFormat="false" ht="15" hidden="false" customHeight="false" outlineLevel="0" collapsed="false">
      <c r="A68" s="6" t="s">
        <v>75</v>
      </c>
      <c r="B68" s="6" t="str">
        <f aca="false">IFERROR(INDEX('Source 2026'!$C:$C,MATCH($A68,'Source 2026'!$B:$B,0)),IFERROR(INDEX('Source 2025'!$C:$C,MATCH($A68,'Source 2025'!$B:$B,0)),""))</f>
        <v>L חבק יד מתכוון עם צמדן</v>
      </c>
      <c r="C68" s="7" t="n">
        <f aca="false">SUMIFS('Source 2025'!$D:$D,'Source 2025'!$B:$B,$A68,'Source 2025'!$A:$A,"Quantity (units)")</f>
        <v>739</v>
      </c>
      <c r="D68" s="7" t="n">
        <f aca="false">SUMIFS('Source 2026'!$D:$D,'Source 2026'!$B:$B,$A68,'Source 2026'!$A:$A,"Quantity (units)")</f>
        <v>398</v>
      </c>
      <c r="E68" s="7" t="n">
        <f aca="false">D68-C68</f>
        <v>-341</v>
      </c>
      <c r="F68" s="8" t="n">
        <f aca="false">IF(AND(C68=0,D68=0),0,IF(C68=0,"New",(D68-C68)/C68))</f>
        <v>-0.461434370771313</v>
      </c>
      <c r="G68" s="9" t="n">
        <f aca="false">SUMIFS('Source 2025'!$D:$D,'Source 2025'!$B:$B,$A68,'Source 2025'!$A:$A,"Amount (NIS)")</f>
        <v>18552.4</v>
      </c>
      <c r="H68" s="9" t="n">
        <f aca="false">SUMIFS('Source 2026'!$D:$D,'Source 2026'!$B:$B,$A68,'Source 2026'!$A:$A,"Amount (NIS)")</f>
        <v>10262</v>
      </c>
      <c r="I68" s="9" t="n">
        <f aca="false">H68-G68</f>
        <v>-8290.4</v>
      </c>
      <c r="J68" s="8" t="n">
        <f aca="false">IF(AND(G68=0,H68=0),0,IF(G68=0,"New",(H68-G68)/G68))</f>
        <v>-0.446864017593411</v>
      </c>
    </row>
    <row r="69" customFormat="false" ht="15" hidden="false" customHeight="false" outlineLevel="0" collapsed="false">
      <c r="A69" s="6" t="s">
        <v>76</v>
      </c>
      <c r="B69" s="6" t="str">
        <f aca="false">IFERROR(INDEX('Source 2026'!$C:$C,MATCH($A69,'Source 2026'!$B:$B,0)),IFERROR(INDEX('Source 2025'!$C:$C,MATCH($A69,'Source 2025'!$B:$B,0)),""))</f>
        <v>S מגן קרסול מתכוון עם סקוטש</v>
      </c>
      <c r="C69" s="7" t="n">
        <f aca="false">SUMIFS('Source 2025'!$D:$D,'Source 2025'!$B:$B,$A69,'Source 2025'!$A:$A,"Quantity (units)")</f>
        <v>97</v>
      </c>
      <c r="D69" s="7" t="n">
        <f aca="false">SUMIFS('Source 2026'!$D:$D,'Source 2026'!$B:$B,$A69,'Source 2026'!$A:$A,"Quantity (units)")</f>
        <v>-36</v>
      </c>
      <c r="E69" s="7" t="n">
        <f aca="false">D69-C69</f>
        <v>-133</v>
      </c>
      <c r="F69" s="8" t="n">
        <f aca="false">IF(AND(C69=0,D69=0),0,IF(C69=0,"New",(D69-C69)/C69))</f>
        <v>-1.37113402061856</v>
      </c>
      <c r="G69" s="9" t="n">
        <f aca="false">SUMIFS('Source 2025'!$D:$D,'Source 2025'!$B:$B,$A69,'Source 2025'!$A:$A,"Amount (NIS)")</f>
        <v>5669.5</v>
      </c>
      <c r="H69" s="9" t="n">
        <f aca="false">SUMIFS('Source 2026'!$D:$D,'Source 2026'!$B:$B,$A69,'Source 2026'!$A:$A,"Amount (NIS)")</f>
        <v>-1982.7</v>
      </c>
      <c r="I69" s="9" t="n">
        <f aca="false">H69-G69</f>
        <v>-7652.2</v>
      </c>
      <c r="J69" s="8" t="n">
        <f aca="false">IF(AND(G69=0,H69=0),0,IF(G69=0,"New",(H69-G69)/G69))</f>
        <v>-1.34971337860482</v>
      </c>
    </row>
    <row r="70" customFormat="false" ht="15" hidden="false" customHeight="false" outlineLevel="0" collapsed="false">
      <c r="A70" s="6" t="s">
        <v>77</v>
      </c>
      <c r="B70" s="6" t="str">
        <f aca="false">IFERROR(INDEX('Source 2026'!$C:$C,MATCH($A70,'Source 2026'!$B:$B,0)),IFERROR(INDEX('Source 2025'!$C:$C,MATCH($A70,'Source 2025'!$B:$B,0)),""))</f>
        <v>3667 מגן בוניון</v>
      </c>
      <c r="C70" s="7" t="n">
        <f aca="false">SUMIFS('Source 2025'!$D:$D,'Source 2025'!$B:$B,$A70,'Source 2025'!$A:$A,"Quantity (units)")</f>
        <v>962</v>
      </c>
      <c r="D70" s="7" t="n">
        <f aca="false">SUMIFS('Source 2026'!$D:$D,'Source 2026'!$B:$B,$A70,'Source 2026'!$A:$A,"Quantity (units)")</f>
        <v>673</v>
      </c>
      <c r="E70" s="7" t="n">
        <f aca="false">D70-C70</f>
        <v>-289</v>
      </c>
      <c r="F70" s="8" t="n">
        <f aca="false">IF(AND(C70=0,D70=0),0,IF(C70=0,"New",(D70-C70)/C70))</f>
        <v>-0.3004158004158</v>
      </c>
      <c r="G70" s="9" t="n">
        <f aca="false">SUMIFS('Source 2025'!$D:$D,'Source 2025'!$B:$B,$A70,'Source 2025'!$A:$A,"Amount (NIS)")</f>
        <v>25707.7</v>
      </c>
      <c r="H70" s="9" t="n">
        <f aca="false">SUMIFS('Source 2026'!$D:$D,'Source 2026'!$B:$B,$A70,'Source 2026'!$A:$A,"Amount (NIS)")</f>
        <v>18182.5</v>
      </c>
      <c r="I70" s="9" t="n">
        <f aca="false">H70-G70</f>
        <v>-7525.2</v>
      </c>
      <c r="J70" s="8" t="n">
        <f aca="false">IF(AND(G70=0,H70=0),0,IF(G70=0,"New",(H70-G70)/G70))</f>
        <v>-0.292721635930091</v>
      </c>
    </row>
    <row r="71" customFormat="false" ht="15" hidden="false" customHeight="false" outlineLevel="0" collapsed="false">
      <c r="A71" s="6" t="s">
        <v>78</v>
      </c>
      <c r="B71" s="6" t="str">
        <f aca="false">IFERROR(INDEX('Source 2026'!$C:$C,MATCH($A71,'Source 2026'!$B:$B,0)),IFERROR(INDEX('Source 2025'!$C:$C,MATCH($A71,'Source 2025'!$B:$B,0)),""))</f>
        <v>L חגורת גב +סגירה</v>
      </c>
      <c r="C71" s="7" t="n">
        <f aca="false">SUMIFS('Source 2025'!$D:$D,'Source 2025'!$B:$B,$A71,'Source 2025'!$A:$A,"Quantity (units)")</f>
        <v>164</v>
      </c>
      <c r="D71" s="7" t="n">
        <f aca="false">SUMIFS('Source 2026'!$D:$D,'Source 2026'!$B:$B,$A71,'Source 2026'!$A:$A,"Quantity (units)")</f>
        <v>82</v>
      </c>
      <c r="E71" s="7" t="n">
        <f aca="false">D71-C71</f>
        <v>-82</v>
      </c>
      <c r="F71" s="8" t="n">
        <f aca="false">IF(AND(C71=0,D71=0),0,IF(C71=0,"New",(D71-C71)/C71))</f>
        <v>-0.5</v>
      </c>
      <c r="G71" s="9" t="n">
        <f aca="false">SUMIFS('Source 2025'!$D:$D,'Source 2025'!$B:$B,$A71,'Source 2025'!$A:$A,"Amount (NIS)")</f>
        <v>15702.7</v>
      </c>
      <c r="H71" s="9" t="n">
        <f aca="false">SUMIFS('Source 2026'!$D:$D,'Source 2026'!$B:$B,$A71,'Source 2026'!$A:$A,"Amount (NIS)")</f>
        <v>8230.7</v>
      </c>
      <c r="I71" s="9" t="n">
        <f aca="false">H71-G71</f>
        <v>-7472</v>
      </c>
      <c r="J71" s="8" t="n">
        <f aca="false">IF(AND(G71=0,H71=0),0,IF(G71=0,"New",(H71-G71)/G71))</f>
        <v>-0.475841734224051</v>
      </c>
    </row>
    <row r="72" customFormat="false" ht="15" hidden="false" customHeight="false" outlineLevel="0" collapsed="false">
      <c r="A72" s="6" t="s">
        <v>79</v>
      </c>
      <c r="B72" s="6" t="str">
        <f aca="false">IFERROR(INDEX('Source 2026'!$C:$C,MATCH($A72,'Source 2026'!$B:$B,0)),IFERROR(INDEX('Source 2025'!$C:$C,MATCH($A72,'Source 2025'!$B:$B,0)),""))</f>
        <v>מיישר בוניון-האלוקס ולגוס</v>
      </c>
      <c r="C72" s="7" t="n">
        <f aca="false">SUMIFS('Source 2025'!$D:$D,'Source 2025'!$B:$B,$A72,'Source 2025'!$A:$A,"Quantity (units)")</f>
        <v>830</v>
      </c>
      <c r="D72" s="7" t="n">
        <f aca="false">SUMIFS('Source 2026'!$D:$D,'Source 2026'!$B:$B,$A72,'Source 2026'!$A:$A,"Quantity (units)")</f>
        <v>654</v>
      </c>
      <c r="E72" s="7" t="n">
        <f aca="false">D72-C72</f>
        <v>-176</v>
      </c>
      <c r="F72" s="8" t="n">
        <f aca="false">IF(AND(C72=0,D72=0),0,IF(C72=0,"New",(D72-C72)/C72))</f>
        <v>-0.212048192771084</v>
      </c>
      <c r="G72" s="9" t="n">
        <f aca="false">SUMIFS('Source 2025'!$D:$D,'Source 2025'!$B:$B,$A72,'Source 2025'!$A:$A,"Amount (NIS)")</f>
        <v>33989.9</v>
      </c>
      <c r="H72" s="9" t="n">
        <f aca="false">SUMIFS('Source 2026'!$D:$D,'Source 2026'!$B:$B,$A72,'Source 2026'!$A:$A,"Amount (NIS)")</f>
        <v>26677.6</v>
      </c>
      <c r="I72" s="9" t="n">
        <f aca="false">H72-G72</f>
        <v>-7312.3</v>
      </c>
      <c r="J72" s="8" t="n">
        <f aca="false">IF(AND(G72=0,H72=0),0,IF(G72=0,"New",(H72-G72)/G72))</f>
        <v>-0.215131553785095</v>
      </c>
    </row>
    <row r="73" customFormat="false" ht="15" hidden="false" customHeight="false" outlineLevel="0" collapsed="false">
      <c r="A73" s="6" t="s">
        <v>80</v>
      </c>
      <c r="B73" s="6" t="str">
        <f aca="false">IFERROR(INDEX('Source 2026'!$C:$C,MATCH($A73,'Source 2026'!$B:$B,0)),IFERROR(INDEX('Source 2025'!$C:$C,MATCH($A73,'Source 2025'!$B:$B,0)),""))</f>
        <v>S-M סד לאגודל</v>
      </c>
      <c r="C73" s="7" t="n">
        <f aca="false">SUMIFS('Source 2025'!$D:$D,'Source 2025'!$B:$B,$A73,'Source 2025'!$A:$A,"Quantity (units)")</f>
        <v>484</v>
      </c>
      <c r="D73" s="7" t="n">
        <f aca="false">SUMIFS('Source 2026'!$D:$D,'Source 2026'!$B:$B,$A73,'Source 2026'!$A:$A,"Quantity (units)")</f>
        <v>360</v>
      </c>
      <c r="E73" s="7" t="n">
        <f aca="false">D73-C73</f>
        <v>-124</v>
      </c>
      <c r="F73" s="8" t="n">
        <f aca="false">IF(AND(C73=0,D73=0),0,IF(C73=0,"New",(D73-C73)/C73))</f>
        <v>-0.256198347107438</v>
      </c>
      <c r="G73" s="9" t="n">
        <f aca="false">SUMIFS('Source 2025'!$D:$D,'Source 2025'!$B:$B,$A73,'Source 2025'!$A:$A,"Amount (NIS)")</f>
        <v>28166.5</v>
      </c>
      <c r="H73" s="9" t="n">
        <f aca="false">SUMIFS('Source 2026'!$D:$D,'Source 2026'!$B:$B,$A73,'Source 2026'!$A:$A,"Amount (NIS)")</f>
        <v>21127.7</v>
      </c>
      <c r="I73" s="9" t="n">
        <f aca="false">H73-G73</f>
        <v>-7038.8</v>
      </c>
      <c r="J73" s="8" t="n">
        <f aca="false">IF(AND(G73=0,H73=0),0,IF(G73=0,"New",(H73-G73)/G73))</f>
        <v>-0.249899703548542</v>
      </c>
    </row>
    <row r="74" customFormat="false" ht="15" hidden="false" customHeight="false" outlineLevel="0" collapsed="false">
      <c r="A74" s="6" t="s">
        <v>81</v>
      </c>
      <c r="B74" s="6" t="str">
        <f aca="false">IFERROR(INDEX('Source 2026'!$C:$C,MATCH($A74,'Source 2026'!$B:$B,0)),IFERROR(INDEX('Source 2025'!$C:$C,MATCH($A74,'Source 2025'!$B:$B,0)),""))</f>
        <v>S-M STRAP4U</v>
      </c>
      <c r="C74" s="7" t="n">
        <f aca="false">SUMIFS('Source 2025'!$D:$D,'Source 2025'!$B:$B,$A74,'Source 2025'!$A:$A,"Quantity (units)")</f>
        <v>496</v>
      </c>
      <c r="D74" s="7" t="n">
        <f aca="false">SUMIFS('Source 2026'!$D:$D,'Source 2026'!$B:$B,$A74,'Source 2026'!$A:$A,"Quantity (units)")</f>
        <v>89</v>
      </c>
      <c r="E74" s="7" t="n">
        <f aca="false">D74-C74</f>
        <v>-407</v>
      </c>
      <c r="F74" s="8" t="n">
        <f aca="false">IF(AND(C74=0,D74=0),0,IF(C74=0,"New",(D74-C74)/C74))</f>
        <v>-0.820564516129032</v>
      </c>
      <c r="G74" s="9" t="n">
        <f aca="false">SUMIFS('Source 2025'!$D:$D,'Source 2025'!$B:$B,$A74,'Source 2025'!$A:$A,"Amount (NIS)")</f>
        <v>8292.2</v>
      </c>
      <c r="H74" s="9" t="n">
        <f aca="false">SUMIFS('Source 2026'!$D:$D,'Source 2026'!$B:$B,$A74,'Source 2026'!$A:$A,"Amount (NIS)")</f>
        <v>1612.2</v>
      </c>
      <c r="I74" s="9" t="n">
        <f aca="false">H74-G74</f>
        <v>-6680</v>
      </c>
      <c r="J74" s="8" t="n">
        <f aca="false">IF(AND(G74=0,H74=0),0,IF(G74=0,"New",(H74-G74)/G74))</f>
        <v>-0.805576324738911</v>
      </c>
    </row>
    <row r="75" customFormat="false" ht="15" hidden="false" customHeight="false" outlineLevel="0" collapsed="false">
      <c r="A75" s="6" t="s">
        <v>82</v>
      </c>
      <c r="B75" s="6" t="str">
        <f aca="false">IFERROR(INDEX('Source 2026'!$C:$C,MATCH($A75,'Source 2026'!$B:$B,0)),IFERROR(INDEX('Source 2025'!$C:$C,MATCH($A75,'Source 2025'!$B:$B,0)),""))</f>
        <v>L ימין CTS כפפות</v>
      </c>
      <c r="C75" s="7" t="n">
        <f aca="false">SUMIFS('Source 2025'!$D:$D,'Source 2025'!$B:$B,$A75,'Source 2025'!$A:$A,"Quantity (units)")</f>
        <v>0</v>
      </c>
      <c r="D75" s="7" t="n">
        <f aca="false">SUMIFS('Source 2026'!$D:$D,'Source 2026'!$B:$B,$A75,'Source 2026'!$A:$A,"Quantity (units)")</f>
        <v>64</v>
      </c>
      <c r="E75" s="7" t="n">
        <f aca="false">D75-C75</f>
        <v>64</v>
      </c>
      <c r="F75" s="8" t="str">
        <f aca="false">IF(AND(C75=0,D75=0),0,IF(C75=0,"New",(D75-C75)/C75))</f>
        <v>New</v>
      </c>
      <c r="G75" s="9" t="n">
        <f aca="false">SUMIFS('Source 2025'!$D:$D,'Source 2025'!$B:$B,$A75,'Source 2025'!$A:$A,"Amount (NIS)")</f>
        <v>0</v>
      </c>
      <c r="H75" s="9" t="n">
        <f aca="false">SUMIFS('Source 2026'!$D:$D,'Source 2026'!$B:$B,$A75,'Source 2026'!$A:$A,"Amount (NIS)")</f>
        <v>6431.2</v>
      </c>
      <c r="I75" s="9" t="n">
        <f aca="false">H75-G75</f>
        <v>6431.2</v>
      </c>
      <c r="J75" s="8" t="str">
        <f aca="false">IF(AND(G75=0,H75=0),0,IF(G75=0,"New",(H75-G75)/G75))</f>
        <v>New</v>
      </c>
    </row>
    <row r="76" customFormat="false" ht="15" hidden="false" customHeight="false" outlineLevel="0" collapsed="false">
      <c r="A76" s="6" t="s">
        <v>83</v>
      </c>
      <c r="B76" s="6" t="str">
        <f aca="false">IFERROR(INDEX('Source 2026'!$C:$C,MATCH($A76,'Source 2026'!$B:$B,0)),IFERROR(INDEX('Source 2025'!$C:$C,MATCH($A76,'Source 2025'!$B:$B,0)),""))</f>
        <v>גב אפורה</v>
      </c>
      <c r="C76" s="7" t="n">
        <f aca="false">SUMIFS('Source 2025'!$D:$D,'Source 2025'!$B:$B,$A76,'Source 2025'!$A:$A,"Quantity (units)")</f>
        <v>161</v>
      </c>
      <c r="D76" s="7" t="n">
        <f aca="false">SUMIFS('Source 2026'!$D:$D,'Source 2026'!$B:$B,$A76,'Source 2026'!$A:$A,"Quantity (units)")</f>
        <v>95</v>
      </c>
      <c r="E76" s="7" t="n">
        <f aca="false">D76-C76</f>
        <v>-66</v>
      </c>
      <c r="F76" s="8" t="n">
        <f aca="false">IF(AND(C76=0,D76=0),0,IF(C76=0,"New",(D76-C76)/C76))</f>
        <v>-0.409937888198758</v>
      </c>
      <c r="G76" s="9" t="n">
        <f aca="false">SUMIFS('Source 2025'!$D:$D,'Source 2025'!$B:$B,$A76,'Source 2025'!$A:$A,"Amount (NIS)")</f>
        <v>14776.5</v>
      </c>
      <c r="H76" s="9" t="n">
        <f aca="false">SUMIFS('Source 2026'!$D:$D,'Source 2026'!$B:$B,$A76,'Source 2026'!$A:$A,"Amount (NIS)")</f>
        <v>8894.8</v>
      </c>
      <c r="I76" s="9" t="n">
        <f aca="false">H76-G76</f>
        <v>-5881.7</v>
      </c>
      <c r="J76" s="8" t="n">
        <f aca="false">IF(AND(G76=0,H76=0),0,IF(G76=0,"New",(H76-G76)/G76))</f>
        <v>-0.39804419179102</v>
      </c>
    </row>
    <row r="77" customFormat="false" ht="15" hidden="false" customHeight="false" outlineLevel="0" collapsed="false">
      <c r="A77" s="6" t="s">
        <v>84</v>
      </c>
      <c r="B77" s="6" t="str">
        <f aca="false">IFERROR(INDEX('Source 2026'!$C:$C,MATCH($A77,'Source 2026'!$B:$B,0)),IFERROR(INDEX('Source 2025'!$C:$C,MATCH($A77,'Source 2025'!$B:$B,0)),""))</f>
        <v>גרב.כסף לסכרתים שחור35-38</v>
      </c>
      <c r="C77" s="7" t="n">
        <f aca="false">SUMIFS('Source 2025'!$D:$D,'Source 2025'!$B:$B,$A77,'Source 2025'!$A:$A,"Quantity (units)")</f>
        <v>438</v>
      </c>
      <c r="D77" s="7" t="n">
        <f aca="false">SUMIFS('Source 2026'!$D:$D,'Source 2026'!$B:$B,$A77,'Source 2026'!$A:$A,"Quantity (units)")</f>
        <v>176</v>
      </c>
      <c r="E77" s="7" t="n">
        <f aca="false">D77-C77</f>
        <v>-262</v>
      </c>
      <c r="F77" s="8" t="n">
        <f aca="false">IF(AND(C77=0,D77=0),0,IF(C77=0,"New",(D77-C77)/C77))</f>
        <v>-0.598173515981735</v>
      </c>
      <c r="G77" s="9" t="n">
        <f aca="false">SUMIFS('Source 2025'!$D:$D,'Source 2025'!$B:$B,$A77,'Source 2025'!$A:$A,"Amount (NIS)")</f>
        <v>9732.4</v>
      </c>
      <c r="H77" s="9" t="n">
        <f aca="false">SUMIFS('Source 2026'!$D:$D,'Source 2026'!$B:$B,$A77,'Source 2026'!$A:$A,"Amount (NIS)")</f>
        <v>3919.7</v>
      </c>
      <c r="I77" s="9" t="n">
        <f aca="false">H77-G77</f>
        <v>-5812.7</v>
      </c>
      <c r="J77" s="8" t="n">
        <f aca="false">IF(AND(G77=0,H77=0),0,IF(G77=0,"New",(H77-G77)/G77))</f>
        <v>-0.597252476264847</v>
      </c>
    </row>
    <row r="78" customFormat="false" ht="15" hidden="false" customHeight="false" outlineLevel="0" collapsed="false">
      <c r="A78" s="6" t="s">
        <v>85</v>
      </c>
      <c r="B78" s="6" t="str">
        <f aca="false">IFERROR(INDEX('Source 2026'!$C:$C,MATCH($A78,'Source 2026'!$B:$B,0)),IFERROR(INDEX('Source 2025'!$C:$C,MATCH($A78,'Source 2025'!$B:$B,0)),""))</f>
        <v>חבק טניס</v>
      </c>
      <c r="C78" s="7" t="n">
        <f aca="false">SUMIFS('Source 2025'!$D:$D,'Source 2025'!$B:$B,$A78,'Source 2025'!$A:$A,"Quantity (units)")</f>
        <v>803</v>
      </c>
      <c r="D78" s="7" t="n">
        <f aca="false">SUMIFS('Source 2026'!$D:$D,'Source 2026'!$B:$B,$A78,'Source 2026'!$A:$A,"Quantity (units)")</f>
        <v>571</v>
      </c>
      <c r="E78" s="7" t="n">
        <f aca="false">D78-C78</f>
        <v>-232</v>
      </c>
      <c r="F78" s="8" t="n">
        <f aca="false">IF(AND(C78=0,D78=0),0,IF(C78=0,"New",(D78-C78)/C78))</f>
        <v>-0.288916562889166</v>
      </c>
      <c r="G78" s="9" t="n">
        <f aca="false">SUMIFS('Source 2025'!$D:$D,'Source 2025'!$B:$B,$A78,'Source 2025'!$A:$A,"Amount (NIS)")</f>
        <v>21410.6</v>
      </c>
      <c r="H78" s="9" t="n">
        <f aca="false">SUMIFS('Source 2026'!$D:$D,'Source 2026'!$B:$B,$A78,'Source 2026'!$A:$A,"Amount (NIS)")</f>
        <v>15737.5</v>
      </c>
      <c r="I78" s="9" t="n">
        <f aca="false">H78-G78</f>
        <v>-5673.1</v>
      </c>
      <c r="J78" s="8" t="n">
        <f aca="false">IF(AND(G78=0,H78=0),0,IF(G78=0,"New",(H78-G78)/G78))</f>
        <v>-0.264966885561357</v>
      </c>
    </row>
    <row r="79" customFormat="false" ht="15" hidden="false" customHeight="false" outlineLevel="0" collapsed="false">
      <c r="A79" s="6" t="s">
        <v>86</v>
      </c>
      <c r="B79" s="6" t="str">
        <f aca="false">IFERROR(INDEX('Source 2026'!$C:$C,MATCH($A79,'Source 2026'!$B:$B,0)),IFERROR(INDEX('Source 2025'!$C:$C,MATCH($A79,'Source 2025'!$B:$B,0)),""))</f>
        <v>מקבע קרסול</v>
      </c>
      <c r="C79" s="7" t="n">
        <f aca="false">SUMIFS('Source 2025'!$D:$D,'Source 2025'!$B:$B,$A79,'Source 2025'!$A:$A,"Quantity (units)")</f>
        <v>0</v>
      </c>
      <c r="D79" s="7" t="n">
        <f aca="false">SUMIFS('Source 2026'!$D:$D,'Source 2026'!$B:$B,$A79,'Source 2026'!$A:$A,"Quantity (units)")</f>
        <v>40</v>
      </c>
      <c r="E79" s="7" t="n">
        <f aca="false">D79-C79</f>
        <v>40</v>
      </c>
      <c r="F79" s="8" t="str">
        <f aca="false">IF(AND(C79=0,D79=0),0,IF(C79=0,"New",(D79-C79)/C79))</f>
        <v>New</v>
      </c>
      <c r="G79" s="9" t="n">
        <f aca="false">SUMIFS('Source 2025'!$D:$D,'Source 2025'!$B:$B,$A79,'Source 2025'!$A:$A,"Amount (NIS)")</f>
        <v>0</v>
      </c>
      <c r="H79" s="9" t="n">
        <f aca="false">SUMIFS('Source 2026'!$D:$D,'Source 2026'!$B:$B,$A79,'Source 2026'!$A:$A,"Amount (NIS)")</f>
        <v>5635.8</v>
      </c>
      <c r="I79" s="9" t="n">
        <f aca="false">H79-G79</f>
        <v>5635.8</v>
      </c>
      <c r="J79" s="8" t="str">
        <f aca="false">IF(AND(G79=0,H79=0),0,IF(G79=0,"New",(H79-G79)/G79))</f>
        <v>New</v>
      </c>
    </row>
    <row r="80" customFormat="false" ht="15" hidden="false" customHeight="false" outlineLevel="0" collapsed="false">
      <c r="A80" s="6" t="s">
        <v>87</v>
      </c>
      <c r="B80" s="6" t="str">
        <f aca="false">IFERROR(INDEX('Source 2026'!$C:$C,MATCH($A80,'Source 2026'!$B:$B,0)),IFERROR(INDEX('Source 2025'!$C:$C,MATCH($A80,'Source 2025'!$B:$B,0)),""))</f>
        <v>אמבט לכף הרגל</v>
      </c>
      <c r="C80" s="7" t="n">
        <f aca="false">SUMIFS('Source 2025'!$D:$D,'Source 2025'!$B:$B,$A80,'Source 2025'!$A:$A,"Quantity (units)")</f>
        <v>871</v>
      </c>
      <c r="D80" s="7" t="n">
        <f aca="false">SUMIFS('Source 2026'!$D:$D,'Source 2026'!$B:$B,$A80,'Source 2026'!$A:$A,"Quantity (units)")</f>
        <v>320</v>
      </c>
      <c r="E80" s="7" t="n">
        <f aca="false">D80-C80</f>
        <v>-551</v>
      </c>
      <c r="F80" s="8" t="n">
        <f aca="false">IF(AND(C80=0,D80=0),0,IF(C80=0,"New",(D80-C80)/C80))</f>
        <v>-0.632606199770379</v>
      </c>
      <c r="G80" s="9" t="n">
        <f aca="false">SUMIFS('Source 2025'!$D:$D,'Source 2025'!$B:$B,$A80,'Source 2025'!$A:$A,"Amount (NIS)")</f>
        <v>8834.2</v>
      </c>
      <c r="H80" s="9" t="n">
        <f aca="false">SUMIFS('Source 2026'!$D:$D,'Source 2026'!$B:$B,$A80,'Source 2026'!$A:$A,"Amount (NIS)")</f>
        <v>3240.5</v>
      </c>
      <c r="I80" s="9" t="n">
        <f aca="false">H80-G80</f>
        <v>-5593.7</v>
      </c>
      <c r="J80" s="8" t="n">
        <f aca="false">IF(AND(G80=0,H80=0),0,IF(G80=0,"New",(H80-G80)/G80))</f>
        <v>-0.633186932602839</v>
      </c>
    </row>
    <row r="81" customFormat="false" ht="15" hidden="false" customHeight="false" outlineLevel="0" collapsed="false">
      <c r="A81" s="6" t="s">
        <v>88</v>
      </c>
      <c r="B81" s="6" t="str">
        <f aca="false">IFERROR(INDEX('Source 2026'!$C:$C,MATCH($A81,'Source 2026'!$B:$B,0)),IFERROR(INDEX('Source 2025'!$C:$C,MATCH($A81,'Source 2025'!$B:$B,0)),""))</f>
        <v>S מגן קרסול עקב סגור+רצוע</v>
      </c>
      <c r="C81" s="7" t="n">
        <f aca="false">SUMIFS('Source 2025'!$D:$D,'Source 2025'!$B:$B,$A81,'Source 2025'!$A:$A,"Quantity (units)")</f>
        <v>288</v>
      </c>
      <c r="D81" s="7" t="n">
        <f aca="false">SUMIFS('Source 2026'!$D:$D,'Source 2026'!$B:$B,$A81,'Source 2026'!$A:$A,"Quantity (units)")</f>
        <v>191</v>
      </c>
      <c r="E81" s="7" t="n">
        <f aca="false">D81-C81</f>
        <v>-97</v>
      </c>
      <c r="F81" s="8" t="n">
        <f aca="false">IF(AND(C81=0,D81=0),0,IF(C81=0,"New",(D81-C81)/C81))</f>
        <v>-0.336805555555556</v>
      </c>
      <c r="G81" s="9" t="n">
        <f aca="false">SUMIFS('Source 2025'!$D:$D,'Source 2025'!$B:$B,$A81,'Source 2025'!$A:$A,"Amount (NIS)")</f>
        <v>15220.9</v>
      </c>
      <c r="H81" s="9" t="n">
        <f aca="false">SUMIFS('Source 2026'!$D:$D,'Source 2026'!$B:$B,$A81,'Source 2026'!$A:$A,"Amount (NIS)")</f>
        <v>10242</v>
      </c>
      <c r="I81" s="9" t="n">
        <f aca="false">H81-G81</f>
        <v>-4978.9</v>
      </c>
      <c r="J81" s="8" t="n">
        <f aca="false">IF(AND(G81=0,H81=0),0,IF(G81=0,"New",(H81-G81)/G81))</f>
        <v>-0.327109435053118</v>
      </c>
    </row>
    <row r="82" customFormat="false" ht="15" hidden="false" customHeight="false" outlineLevel="0" collapsed="false">
      <c r="A82" s="6" t="s">
        <v>89</v>
      </c>
      <c r="B82" s="6" t="str">
        <f aca="false">IFERROR(INDEX('Source 2026'!$C:$C,MATCH($A82,'Source 2026'!$B:$B,0)),IFERROR(INDEX('Source 2025'!$C:$C,MATCH($A82,'Source 2025'!$B:$B,0)),""))</f>
        <v>מדבקה לשחרור לחץ 2 יח</v>
      </c>
      <c r="C82" s="7" t="n">
        <f aca="false">SUMIFS('Source 2025'!$D:$D,'Source 2025'!$B:$B,$A82,'Source 2025'!$A:$A,"Quantity (units)")</f>
        <v>571</v>
      </c>
      <c r="D82" s="7" t="n">
        <f aca="false">SUMIFS('Source 2026'!$D:$D,'Source 2026'!$B:$B,$A82,'Source 2026'!$A:$A,"Quantity (units)")</f>
        <v>409</v>
      </c>
      <c r="E82" s="7" t="n">
        <f aca="false">D82-C82</f>
        <v>-162</v>
      </c>
      <c r="F82" s="8" t="n">
        <f aca="false">IF(AND(C82=0,D82=0),0,IF(C82=0,"New",(D82-C82)/C82))</f>
        <v>-0.283712784588441</v>
      </c>
      <c r="G82" s="9" t="n">
        <f aca="false">SUMIFS('Source 2025'!$D:$D,'Source 2025'!$B:$B,$A82,'Source 2025'!$A:$A,"Amount (NIS)")</f>
        <v>15313.6</v>
      </c>
      <c r="H82" s="9" t="n">
        <f aca="false">SUMIFS('Source 2026'!$D:$D,'Source 2026'!$B:$B,$A82,'Source 2026'!$A:$A,"Amount (NIS)")</f>
        <v>11036.9</v>
      </c>
      <c r="I82" s="9" t="n">
        <f aca="false">H82-G82</f>
        <v>-4276.7</v>
      </c>
      <c r="J82" s="8" t="n">
        <f aca="false">IF(AND(G82=0,H82=0),0,IF(G82=0,"New",(H82-G82)/G82))</f>
        <v>-0.279274631699927</v>
      </c>
    </row>
    <row r="83" customFormat="false" ht="15" hidden="false" customHeight="false" outlineLevel="0" collapsed="false">
      <c r="A83" s="6" t="s">
        <v>90</v>
      </c>
      <c r="B83" s="6" t="str">
        <f aca="false">IFERROR(INDEX('Source 2026'!$C:$C,MATCH($A83,'Source 2026'!$B:$B,0)),IFERROR(INDEX('Source 2025'!$C:$C,MATCH($A83,'Source 2025'!$B:$B,0)),""))</f>
        <v>סד ליישור אצבע</v>
      </c>
      <c r="C83" s="7" t="n">
        <f aca="false">SUMIFS('Source 2025'!$D:$D,'Source 2025'!$B:$B,$A83,'Source 2025'!$A:$A,"Quantity (units)")</f>
        <v>1303</v>
      </c>
      <c r="D83" s="7" t="n">
        <f aca="false">SUMIFS('Source 2026'!$D:$D,'Source 2026'!$B:$B,$A83,'Source 2026'!$A:$A,"Quantity (units)")</f>
        <v>1525</v>
      </c>
      <c r="E83" s="7" t="n">
        <f aca="false">D83-C83</f>
        <v>222</v>
      </c>
      <c r="F83" s="8" t="n">
        <f aca="false">IF(AND(C83=0,D83=0),0,IF(C83=0,"New",(D83-C83)/C83))</f>
        <v>0.170376055257099</v>
      </c>
      <c r="G83" s="9" t="n">
        <f aca="false">SUMIFS('Source 2025'!$D:$D,'Source 2025'!$B:$B,$A83,'Source 2025'!$A:$A,"Amount (NIS)")</f>
        <v>18579.7</v>
      </c>
      <c r="H83" s="9" t="n">
        <f aca="false">SUMIFS('Source 2026'!$D:$D,'Source 2026'!$B:$B,$A83,'Source 2026'!$A:$A,"Amount (NIS)")</f>
        <v>22856</v>
      </c>
      <c r="I83" s="9" t="n">
        <f aca="false">H83-G83</f>
        <v>4276.3</v>
      </c>
      <c r="J83" s="8" t="n">
        <f aca="false">IF(AND(G83=0,H83=0),0,IF(G83=0,"New",(H83-G83)/G83))</f>
        <v>0.230159798059172</v>
      </c>
    </row>
    <row r="84" customFormat="false" ht="15" hidden="false" customHeight="false" outlineLevel="0" collapsed="false">
      <c r="A84" s="6" t="s">
        <v>91</v>
      </c>
      <c r="B84" s="6" t="str">
        <f aca="false">IFERROR(INDEX('Source 2026'!$C:$C,MATCH($A84,'Source 2026'!$B:$B,0)),IFERROR(INDEX('Source 2025'!$C:$C,MATCH($A84,'Source 2025'!$B:$B,0)),""))</f>
        <v>S חגורה למנותחי בית החזה</v>
      </c>
      <c r="C84" s="7" t="n">
        <f aca="false">SUMIFS('Source 2025'!$D:$D,'Source 2025'!$B:$B,$A84,'Source 2025'!$A:$A,"Quantity (units)")</f>
        <v>63</v>
      </c>
      <c r="D84" s="7" t="n">
        <f aca="false">SUMIFS('Source 2026'!$D:$D,'Source 2026'!$B:$B,$A84,'Source 2026'!$A:$A,"Quantity (units)")</f>
        <v>94</v>
      </c>
      <c r="E84" s="7" t="n">
        <f aca="false">D84-C84</f>
        <v>31</v>
      </c>
      <c r="F84" s="8" t="n">
        <f aca="false">IF(AND(C84=0,D84=0),0,IF(C84=0,"New",(D84-C84)/C84))</f>
        <v>0.492063492063492</v>
      </c>
      <c r="G84" s="9" t="n">
        <f aca="false">SUMIFS('Source 2025'!$D:$D,'Source 2025'!$B:$B,$A84,'Source 2025'!$A:$A,"Amount (NIS)")</f>
        <v>8325.8</v>
      </c>
      <c r="H84" s="9" t="n">
        <f aca="false">SUMIFS('Source 2026'!$D:$D,'Source 2026'!$B:$B,$A84,'Source 2026'!$A:$A,"Amount (NIS)")</f>
        <v>12508.9</v>
      </c>
      <c r="I84" s="9" t="n">
        <f aca="false">H84-G84</f>
        <v>4183.1</v>
      </c>
      <c r="J84" s="8" t="n">
        <f aca="false">IF(AND(G84=0,H84=0),0,IF(G84=0,"New",(H84-G84)/G84))</f>
        <v>0.502426193278724</v>
      </c>
    </row>
    <row r="85" customFormat="false" ht="15" hidden="false" customHeight="false" outlineLevel="0" collapsed="false">
      <c r="A85" s="6" t="s">
        <v>92</v>
      </c>
      <c r="B85" s="6" t="str">
        <f aca="false">IFERROR(INDEX('Source 2026'!$C:$C,MATCH($A85,'Source 2026'!$B:$B,0)),IFERROR(INDEX('Source 2025'!$C:$C,MATCH($A85,'Source 2025'!$B:$B,0)),""))</f>
        <v>כפפות אגודל לחץ</v>
      </c>
      <c r="C85" s="7" t="n">
        <f aca="false">SUMIFS('Source 2025'!$D:$D,'Source 2025'!$B:$B,$A85,'Source 2025'!$A:$A,"Quantity (units)")</f>
        <v>395</v>
      </c>
      <c r="D85" s="7" t="n">
        <f aca="false">SUMIFS('Source 2026'!$D:$D,'Source 2026'!$B:$B,$A85,'Source 2026'!$A:$A,"Quantity (units)")</f>
        <v>247</v>
      </c>
      <c r="E85" s="7" t="n">
        <f aca="false">D85-C85</f>
        <v>-148</v>
      </c>
      <c r="F85" s="8" t="n">
        <f aca="false">IF(AND(C85=0,D85=0),0,IF(C85=0,"New",(D85-C85)/C85))</f>
        <v>-0.374683544303797</v>
      </c>
      <c r="G85" s="9" t="n">
        <f aca="false">SUMIFS('Source 2025'!$D:$D,'Source 2025'!$B:$B,$A85,'Source 2025'!$A:$A,"Amount (NIS)")</f>
        <v>11254.2</v>
      </c>
      <c r="H85" s="9" t="n">
        <f aca="false">SUMIFS('Source 2026'!$D:$D,'Source 2026'!$B:$B,$A85,'Source 2026'!$A:$A,"Amount (NIS)")</f>
        <v>7189.1</v>
      </c>
      <c r="I85" s="9" t="n">
        <f aca="false">H85-G85</f>
        <v>-4065.1</v>
      </c>
      <c r="J85" s="8" t="n">
        <f aca="false">IF(AND(G85=0,H85=0),0,IF(G85=0,"New",(H85-G85)/G85))</f>
        <v>-0.361207371470207</v>
      </c>
    </row>
    <row r="86" customFormat="false" ht="15" hidden="false" customHeight="false" outlineLevel="0" collapsed="false">
      <c r="A86" s="6" t="s">
        <v>93</v>
      </c>
      <c r="B86" s="6" t="str">
        <f aca="false">IFERROR(INDEX('Source 2026'!$C:$C,MATCH($A86,'Source 2026'!$B:$B,0)),IFERROR(INDEX('Source 2025'!$C:$C,MATCH($A86,'Source 2025'!$B:$B,0)),""))</f>
        <v>S-M חבק יד עם צמדן</v>
      </c>
      <c r="C86" s="7" t="n">
        <f aca="false">SUMIFS('Source 2025'!$D:$D,'Source 2025'!$B:$B,$A86,'Source 2025'!$A:$A,"Quantity (units)")</f>
        <v>308</v>
      </c>
      <c r="D86" s="7" t="n">
        <f aca="false">SUMIFS('Source 2026'!$D:$D,'Source 2026'!$B:$B,$A86,'Source 2026'!$A:$A,"Quantity (units)")</f>
        <v>185</v>
      </c>
      <c r="E86" s="7" t="n">
        <f aca="false">D86-C86</f>
        <v>-123</v>
      </c>
      <c r="F86" s="8" t="n">
        <f aca="false">IF(AND(C86=0,D86=0),0,IF(C86=0,"New",(D86-C86)/C86))</f>
        <v>-0.399350649350649</v>
      </c>
      <c r="G86" s="9" t="n">
        <f aca="false">SUMIFS('Source 2025'!$D:$D,'Source 2025'!$B:$B,$A86,'Source 2025'!$A:$A,"Amount (NIS)")</f>
        <v>9804.1</v>
      </c>
      <c r="H86" s="9" t="n">
        <f aca="false">SUMIFS('Source 2026'!$D:$D,'Source 2026'!$B:$B,$A86,'Source 2026'!$A:$A,"Amount (NIS)")</f>
        <v>5808.7</v>
      </c>
      <c r="I86" s="9" t="n">
        <f aca="false">H86-G86</f>
        <v>-3995.4</v>
      </c>
      <c r="J86" s="8" t="n">
        <f aca="false">IF(AND(G86=0,H86=0),0,IF(G86=0,"New",(H86-G86)/G86))</f>
        <v>-0.407523383074428</v>
      </c>
    </row>
    <row r="87" customFormat="false" ht="15" hidden="false" customHeight="false" outlineLevel="0" collapsed="false">
      <c r="A87" s="6" t="s">
        <v>94</v>
      </c>
      <c r="B87" s="6" t="str">
        <f aca="false">IFERROR(INDEX('Source 2026'!$C:$C,MATCH($A87,'Source 2026'!$B:$B,0)),IFERROR(INDEX('Source 2025'!$C:$C,MATCH($A87,'Source 2025'!$B:$B,0)),""))</f>
        <v>גרב.כסף לסכרתים שחור35-38</v>
      </c>
      <c r="C87" s="7" t="n">
        <f aca="false">SUMIFS('Source 2025'!$D:$D,'Source 2025'!$B:$B,$A87,'Source 2025'!$A:$A,"Quantity (units)")</f>
        <v>201</v>
      </c>
      <c r="D87" s="7" t="n">
        <f aca="false">SUMIFS('Source 2026'!$D:$D,'Source 2026'!$B:$B,$A87,'Source 2026'!$A:$A,"Quantity (units)")</f>
        <v>65</v>
      </c>
      <c r="E87" s="7" t="n">
        <f aca="false">D87-C87</f>
        <v>-136</v>
      </c>
      <c r="F87" s="8" t="n">
        <f aca="false">IF(AND(C87=0,D87=0),0,IF(C87=0,"New",(D87-C87)/C87))</f>
        <v>-0.676616915422886</v>
      </c>
      <c r="G87" s="9" t="n">
        <f aca="false">SUMIFS('Source 2025'!$D:$D,'Source 2025'!$B:$B,$A87,'Source 2025'!$A:$A,"Amount (NIS)")</f>
        <v>5852.8</v>
      </c>
      <c r="H87" s="9" t="n">
        <f aca="false">SUMIFS('Source 2026'!$D:$D,'Source 2026'!$B:$B,$A87,'Source 2026'!$A:$A,"Amount (NIS)")</f>
        <v>1918.6</v>
      </c>
      <c r="I87" s="9" t="n">
        <f aca="false">H87-G87</f>
        <v>-3934.2</v>
      </c>
      <c r="J87" s="8" t="n">
        <f aca="false">IF(AND(G87=0,H87=0),0,IF(G87=0,"New",(H87-G87)/G87))</f>
        <v>-0.672191088026244</v>
      </c>
    </row>
    <row r="88" customFormat="false" ht="15" hidden="false" customHeight="false" outlineLevel="0" collapsed="false">
      <c r="A88" s="6" t="s">
        <v>95</v>
      </c>
      <c r="B88" s="6" t="str">
        <f aca="false">IFERROR(INDEX('Source 2026'!$C:$C,MATCH($A88,'Source 2026'!$B:$B,0)),IFERROR(INDEX('Source 2025'!$C:$C,MATCH($A88,'Source 2025'!$B:$B,0)),""))</f>
        <v>גרב.כסף לסכרתים אפור35-38</v>
      </c>
      <c r="C88" s="7" t="n">
        <f aca="false">SUMIFS('Source 2025'!$D:$D,'Source 2025'!$B:$B,$A88,'Source 2025'!$A:$A,"Quantity (units)")</f>
        <v>157</v>
      </c>
      <c r="D88" s="7" t="n">
        <f aca="false">SUMIFS('Source 2026'!$D:$D,'Source 2026'!$B:$B,$A88,'Source 2026'!$A:$A,"Quantity (units)")</f>
        <v>-9</v>
      </c>
      <c r="E88" s="7" t="n">
        <f aca="false">D88-C88</f>
        <v>-166</v>
      </c>
      <c r="F88" s="8" t="n">
        <f aca="false">IF(AND(C88=0,D88=0),0,IF(C88=0,"New",(D88-C88)/C88))</f>
        <v>-1.05732484076433</v>
      </c>
      <c r="G88" s="9" t="n">
        <f aca="false">SUMIFS('Source 2025'!$D:$D,'Source 2025'!$B:$B,$A88,'Source 2025'!$A:$A,"Amount (NIS)")</f>
        <v>3499.7</v>
      </c>
      <c r="H88" s="9" t="n">
        <f aca="false">SUMIFS('Source 2026'!$D:$D,'Source 2026'!$B:$B,$A88,'Source 2026'!$A:$A,"Amount (NIS)")</f>
        <v>-191.9</v>
      </c>
      <c r="I88" s="9" t="n">
        <f aca="false">H88-G88</f>
        <v>-3691.6</v>
      </c>
      <c r="J88" s="8" t="n">
        <f aca="false">IF(AND(G88=0,H88=0),0,IF(G88=0,"New",(H88-G88)/G88))</f>
        <v>-1.05483327142326</v>
      </c>
    </row>
    <row r="89" customFormat="false" ht="15" hidden="false" customHeight="false" outlineLevel="0" collapsed="false">
      <c r="A89" s="6" t="s">
        <v>96</v>
      </c>
      <c r="B89" s="6" t="str">
        <f aca="false">IFERROR(INDEX('Source 2026'!$C:$C,MATCH($A89,'Source 2026'!$B:$B,0)),IFERROR(INDEX('Source 2025'!$C:$C,MATCH($A89,'Source 2025'!$B:$B,0)),""))</f>
        <v>L-XL STRAP4U</v>
      </c>
      <c r="C89" s="7" t="n">
        <f aca="false">SUMIFS('Source 2025'!$D:$D,'Source 2025'!$B:$B,$A89,'Source 2025'!$A:$A,"Quantity (units)")</f>
        <v>328</v>
      </c>
      <c r="D89" s="7" t="n">
        <f aca="false">SUMIFS('Source 2026'!$D:$D,'Source 2026'!$B:$B,$A89,'Source 2026'!$A:$A,"Quantity (units)")</f>
        <v>118</v>
      </c>
      <c r="E89" s="7" t="n">
        <f aca="false">D89-C89</f>
        <v>-210</v>
      </c>
      <c r="F89" s="8" t="n">
        <f aca="false">IF(AND(C89=0,D89=0),0,IF(C89=0,"New",(D89-C89)/C89))</f>
        <v>-0.640243902439024</v>
      </c>
      <c r="G89" s="9" t="n">
        <f aca="false">SUMIFS('Source 2025'!$D:$D,'Source 2025'!$B:$B,$A89,'Source 2025'!$A:$A,"Amount (NIS)")</f>
        <v>5450</v>
      </c>
      <c r="H89" s="9" t="n">
        <f aca="false">SUMIFS('Source 2026'!$D:$D,'Source 2026'!$B:$B,$A89,'Source 2026'!$A:$A,"Amount (NIS)")</f>
        <v>1978.2</v>
      </c>
      <c r="I89" s="9" t="n">
        <f aca="false">H89-G89</f>
        <v>-3471.8</v>
      </c>
      <c r="J89" s="8" t="n">
        <f aca="false">IF(AND(G89=0,H89=0),0,IF(G89=0,"New",(H89-G89)/G89))</f>
        <v>-0.63702752293578</v>
      </c>
    </row>
    <row r="90" customFormat="false" ht="15" hidden="false" customHeight="false" outlineLevel="0" collapsed="false">
      <c r="A90" s="6" t="s">
        <v>97</v>
      </c>
      <c r="B90" s="6" t="str">
        <f aca="false">IFERROR(INDEX('Source 2026'!$C:$C,MATCH($A90,'Source 2026'!$B:$B,0)),IFERROR(INDEX('Source 2025'!$C:$C,MATCH($A90,'Source 2025'!$B:$B,0)),""))</f>
        <v>חבק טניס אלבו</v>
      </c>
      <c r="C90" s="7" t="n">
        <f aca="false">SUMIFS('Source 2025'!$D:$D,'Source 2025'!$B:$B,$A90,'Source 2025'!$A:$A,"Quantity (units)")</f>
        <v>922</v>
      </c>
      <c r="D90" s="7" t="n">
        <f aca="false">SUMIFS('Source 2026'!$D:$D,'Source 2026'!$B:$B,$A90,'Source 2026'!$A:$A,"Quantity (units)")</f>
        <v>909</v>
      </c>
      <c r="E90" s="7" t="n">
        <f aca="false">D90-C90</f>
        <v>-13</v>
      </c>
      <c r="F90" s="8" t="n">
        <f aca="false">IF(AND(C90=0,D90=0),0,IF(C90=0,"New",(D90-C90)/C90))</f>
        <v>-0.0140997830802603</v>
      </c>
      <c r="G90" s="9" t="n">
        <f aca="false">SUMIFS('Source 2025'!$D:$D,'Source 2025'!$B:$B,$A90,'Source 2025'!$A:$A,"Amount (NIS)")</f>
        <v>62831.2</v>
      </c>
      <c r="H90" s="9" t="n">
        <f aca="false">SUMIFS('Source 2026'!$D:$D,'Source 2026'!$B:$B,$A90,'Source 2026'!$A:$A,"Amount (NIS)")</f>
        <v>66257.5</v>
      </c>
      <c r="I90" s="9" t="n">
        <f aca="false">H90-G90</f>
        <v>3426.3</v>
      </c>
      <c r="J90" s="8" t="n">
        <f aca="false">IF(AND(G90=0,H90=0),0,IF(G90=0,"New",(H90-G90)/G90))</f>
        <v>0.054531824953208</v>
      </c>
    </row>
    <row r="91" customFormat="false" ht="15" hidden="false" customHeight="false" outlineLevel="0" collapsed="false">
      <c r="A91" s="6" t="s">
        <v>98</v>
      </c>
      <c r="B91" s="6" t="str">
        <f aca="false">IFERROR(INDEX('Source 2026'!$C:$C,MATCH($A91,'Source 2026'!$B:$B,0)),IFERROR(INDEX('Source 2025'!$C:$C,MATCH($A91,'Source 2025'!$B:$B,0)),""))</f>
        <v>11 אפורUG חגורת בטן</v>
      </c>
      <c r="C91" s="7" t="n">
        <f aca="false">SUMIFS('Source 2025'!$D:$D,'Source 2025'!$B:$B,$A91,'Source 2025'!$A:$A,"Quantity (units)")</f>
        <v>45</v>
      </c>
      <c r="D91" s="7" t="n">
        <f aca="false">SUMIFS('Source 2026'!$D:$D,'Source 2026'!$B:$B,$A91,'Source 2026'!$A:$A,"Quantity (units)")</f>
        <v>2</v>
      </c>
      <c r="E91" s="7" t="n">
        <f aca="false">D91-C91</f>
        <v>-43</v>
      </c>
      <c r="F91" s="8" t="n">
        <f aca="false">IF(AND(C91=0,D91=0),0,IF(C91=0,"New",(D91-C91)/C91))</f>
        <v>-0.955555555555556</v>
      </c>
      <c r="G91" s="9" t="n">
        <f aca="false">SUMIFS('Source 2025'!$D:$D,'Source 2025'!$B:$B,$A91,'Source 2025'!$A:$A,"Amount (NIS)")</f>
        <v>3611.3</v>
      </c>
      <c r="H91" s="9" t="n">
        <f aca="false">SUMIFS('Source 2026'!$D:$D,'Source 2026'!$B:$B,$A91,'Source 2026'!$A:$A,"Amount (NIS)")</f>
        <v>203.1</v>
      </c>
      <c r="I91" s="9" t="n">
        <f aca="false">H91-G91</f>
        <v>-3408.2</v>
      </c>
      <c r="J91" s="8" t="n">
        <f aca="false">IF(AND(G91=0,H91=0),0,IF(G91=0,"New",(H91-G91)/G91))</f>
        <v>-0.943759864868607</v>
      </c>
    </row>
    <row r="92" customFormat="false" ht="15" hidden="false" customHeight="false" outlineLevel="0" collapsed="false">
      <c r="A92" s="6" t="s">
        <v>99</v>
      </c>
      <c r="B92" s="6" t="str">
        <f aca="false">IFERROR(INDEX('Source 2026'!$C:$C,MATCH($A92,'Source 2026'!$B:$B,0)),IFERROR(INDEX('Source 2025'!$C:$C,MATCH($A92,'Source 2025'!$B:$B,0)),""))</f>
        <v>S-M חבק יד עם צמדןחום</v>
      </c>
      <c r="C92" s="7" t="n">
        <f aca="false">SUMIFS('Source 2025'!$D:$D,'Source 2025'!$B:$B,$A92,'Source 2025'!$A:$A,"Quantity (units)")</f>
        <v>218</v>
      </c>
      <c r="D92" s="7" t="n">
        <f aca="false">SUMIFS('Source 2026'!$D:$D,'Source 2026'!$B:$B,$A92,'Source 2026'!$A:$A,"Quantity (units)")</f>
        <v>118</v>
      </c>
      <c r="E92" s="7" t="n">
        <f aca="false">D92-C92</f>
        <v>-100</v>
      </c>
      <c r="F92" s="8" t="n">
        <f aca="false">IF(AND(C92=0,D92=0),0,IF(C92=0,"New",(D92-C92)/C92))</f>
        <v>-0.458715596330275</v>
      </c>
      <c r="G92" s="9" t="n">
        <f aca="false">SUMIFS('Source 2025'!$D:$D,'Source 2025'!$B:$B,$A92,'Source 2025'!$A:$A,"Amount (NIS)")</f>
        <v>6935.2</v>
      </c>
      <c r="H92" s="9" t="n">
        <f aca="false">SUMIFS('Source 2026'!$D:$D,'Source 2026'!$B:$B,$A92,'Source 2026'!$A:$A,"Amount (NIS)")</f>
        <v>3707.3</v>
      </c>
      <c r="I92" s="9" t="n">
        <f aca="false">H92-G92</f>
        <v>-3227.9</v>
      </c>
      <c r="J92" s="8" t="n">
        <f aca="false">IF(AND(G92=0,H92=0),0,IF(G92=0,"New",(H92-G92)/G92))</f>
        <v>-0.465437189987311</v>
      </c>
    </row>
    <row r="93" customFormat="false" ht="15" hidden="false" customHeight="false" outlineLevel="0" collapsed="false">
      <c r="A93" s="6" t="s">
        <v>100</v>
      </c>
      <c r="B93" s="6" t="str">
        <f aca="false">IFERROR(INDEX('Source 2026'!$C:$C,MATCH($A93,'Source 2026'!$B:$B,0)),IFERROR(INDEX('Source 2025'!$C:$C,MATCH($A93,'Source 2025'!$B:$B,0)),""))</f>
        <v>S מגן ירך</v>
      </c>
      <c r="C93" s="7" t="n">
        <f aca="false">SUMIFS('Source 2025'!$D:$D,'Source 2025'!$B:$B,$A93,'Source 2025'!$A:$A,"Quantity (units)")</f>
        <v>218</v>
      </c>
      <c r="D93" s="7" t="n">
        <f aca="false">SUMIFS('Source 2026'!$D:$D,'Source 2026'!$B:$B,$A93,'Source 2026'!$A:$A,"Quantity (units)")</f>
        <v>103</v>
      </c>
      <c r="E93" s="7" t="n">
        <f aca="false">D93-C93</f>
        <v>-115</v>
      </c>
      <c r="F93" s="8" t="n">
        <f aca="false">IF(AND(C93=0,D93=0),0,IF(C93=0,"New",(D93-C93)/C93))</f>
        <v>-0.527522935779817</v>
      </c>
      <c r="G93" s="9" t="n">
        <f aca="false">SUMIFS('Source 2025'!$D:$D,'Source 2025'!$B:$B,$A93,'Source 2025'!$A:$A,"Amount (NIS)")</f>
        <v>6229.2</v>
      </c>
      <c r="H93" s="9" t="n">
        <f aca="false">SUMIFS('Source 2026'!$D:$D,'Source 2026'!$B:$B,$A93,'Source 2026'!$A:$A,"Amount (NIS)")</f>
        <v>3003.9</v>
      </c>
      <c r="I93" s="9" t="n">
        <f aca="false">H93-G93</f>
        <v>-3225.3</v>
      </c>
      <c r="J93" s="8" t="n">
        <f aca="false">IF(AND(G93=0,H93=0),0,IF(G93=0,"New",(H93-G93)/G93))</f>
        <v>-0.51777114236178</v>
      </c>
    </row>
    <row r="94" customFormat="false" ht="15" hidden="false" customHeight="false" outlineLevel="0" collapsed="false">
      <c r="A94" s="6" t="s">
        <v>101</v>
      </c>
      <c r="B94" s="6" t="str">
        <f aca="false">IFERROR(INDEX('Source 2026'!$C:$C,MATCH($A94,'Source 2026'!$B:$B,0)),IFERROR(INDEX('Source 2025'!$C:$C,MATCH($A94,'Source 2025'!$B:$B,0)),""))</f>
        <v>S ימין CTS כפפות</v>
      </c>
      <c r="C94" s="7" t="n">
        <f aca="false">SUMIFS('Source 2025'!$D:$D,'Source 2025'!$B:$B,$A94,'Source 2025'!$A:$A,"Quantity (units)")</f>
        <v>0</v>
      </c>
      <c r="D94" s="7" t="n">
        <f aca="false">SUMIFS('Source 2026'!$D:$D,'Source 2026'!$B:$B,$A94,'Source 2026'!$A:$A,"Quantity (units)")</f>
        <v>31</v>
      </c>
      <c r="E94" s="7" t="n">
        <f aca="false">D94-C94</f>
        <v>31</v>
      </c>
      <c r="F94" s="8" t="str">
        <f aca="false">IF(AND(C94=0,D94=0),0,IF(C94=0,"New",(D94-C94)/C94))</f>
        <v>New</v>
      </c>
      <c r="G94" s="9" t="n">
        <f aca="false">SUMIFS('Source 2025'!$D:$D,'Source 2025'!$B:$B,$A94,'Source 2025'!$A:$A,"Amount (NIS)")</f>
        <v>0</v>
      </c>
      <c r="H94" s="9" t="n">
        <f aca="false">SUMIFS('Source 2026'!$D:$D,'Source 2026'!$B:$B,$A94,'Source 2026'!$A:$A,"Amount (NIS)")</f>
        <v>3111.6</v>
      </c>
      <c r="I94" s="9" t="n">
        <f aca="false">H94-G94</f>
        <v>3111.6</v>
      </c>
      <c r="J94" s="8" t="str">
        <f aca="false">IF(AND(G94=0,H94=0),0,IF(G94=0,"New",(H94-G94)/G94))</f>
        <v>New</v>
      </c>
    </row>
    <row r="95" customFormat="false" ht="15" hidden="false" customHeight="false" outlineLevel="0" collapsed="false">
      <c r="A95" s="6" t="s">
        <v>102</v>
      </c>
      <c r="B95" s="6" t="str">
        <f aca="false">IFERROR(INDEX('Source 2026'!$C:$C,MATCH($A95,'Source 2026'!$B:$B,0)),IFERROR(INDEX('Source 2025'!$C:$C,MATCH($A95,'Source 2025'!$B:$B,0)),""))</f>
        <v>מתלה ליד לילדים</v>
      </c>
      <c r="C95" s="7" t="n">
        <f aca="false">SUMIFS('Source 2025'!$D:$D,'Source 2025'!$B:$B,$A95,'Source 2025'!$A:$A,"Quantity (units)")</f>
        <v>299</v>
      </c>
      <c r="D95" s="7" t="n">
        <f aca="false">SUMIFS('Source 2026'!$D:$D,'Source 2026'!$B:$B,$A95,'Source 2026'!$A:$A,"Quantity (units)")</f>
        <v>236</v>
      </c>
      <c r="E95" s="7" t="n">
        <f aca="false">D95-C95</f>
        <v>-63</v>
      </c>
      <c r="F95" s="8" t="n">
        <f aca="false">IF(AND(C95=0,D95=0),0,IF(C95=0,"New",(D95-C95)/C95))</f>
        <v>-0.210702341137124</v>
      </c>
      <c r="G95" s="9" t="n">
        <f aca="false">SUMIFS('Source 2025'!$D:$D,'Source 2025'!$B:$B,$A95,'Source 2025'!$A:$A,"Amount (NIS)")</f>
        <v>13367.2</v>
      </c>
      <c r="H95" s="9" t="n">
        <f aca="false">SUMIFS('Source 2026'!$D:$D,'Source 2026'!$B:$B,$A95,'Source 2026'!$A:$A,"Amount (NIS)")</f>
        <v>10544.6</v>
      </c>
      <c r="I95" s="9" t="n">
        <f aca="false">H95-G95</f>
        <v>-2822.6</v>
      </c>
      <c r="J95" s="8" t="n">
        <f aca="false">IF(AND(G95=0,H95=0),0,IF(G95=0,"New",(H95-G95)/G95))</f>
        <v>-0.211158657011192</v>
      </c>
    </row>
    <row r="96" customFormat="false" ht="15" hidden="false" customHeight="false" outlineLevel="0" collapsed="false">
      <c r="A96" s="6" t="s">
        <v>103</v>
      </c>
      <c r="B96" s="6" t="str">
        <f aca="false">IFERROR(INDEX('Source 2026'!$C:$C,MATCH($A96,'Source 2026'!$B:$B,0)),IFERROR(INDEX('Source 2025'!$C:$C,MATCH($A96,'Source 2025'!$B:$B,0)),""))</f>
        <v>L מתלה רשת לזרוע שחור</v>
      </c>
      <c r="C96" s="7" t="n">
        <f aca="false">SUMIFS('Source 2025'!$D:$D,'Source 2025'!$B:$B,$A96,'Source 2025'!$A:$A,"Quantity (units)")</f>
        <v>2789</v>
      </c>
      <c r="D96" s="7" t="n">
        <f aca="false">SUMIFS('Source 2026'!$D:$D,'Source 2026'!$B:$B,$A96,'Source 2026'!$A:$A,"Quantity (units)")</f>
        <v>2847</v>
      </c>
      <c r="E96" s="7" t="n">
        <f aca="false">D96-C96</f>
        <v>58</v>
      </c>
      <c r="F96" s="8" t="n">
        <f aca="false">IF(AND(C96=0,D96=0),0,IF(C96=0,"New",(D96-C96)/C96))</f>
        <v>0.0207959842237361</v>
      </c>
      <c r="G96" s="9" t="n">
        <f aca="false">SUMIFS('Source 2025'!$D:$D,'Source 2025'!$B:$B,$A96,'Source 2025'!$A:$A,"Amount (NIS)")</f>
        <v>136637.6</v>
      </c>
      <c r="H96" s="9" t="n">
        <f aca="false">SUMIFS('Source 2026'!$D:$D,'Source 2026'!$B:$B,$A96,'Source 2026'!$A:$A,"Amount (NIS)")</f>
        <v>139434.1</v>
      </c>
      <c r="I96" s="9" t="n">
        <f aca="false">H96-G96</f>
        <v>2796.5</v>
      </c>
      <c r="J96" s="8" t="n">
        <f aca="false">IF(AND(G96=0,H96=0),0,IF(G96=0,"New",(H96-G96)/G96))</f>
        <v>0.0204665480072835</v>
      </c>
    </row>
    <row r="97" customFormat="false" ht="15" hidden="false" customHeight="false" outlineLevel="0" collapsed="false">
      <c r="A97" s="6" t="s">
        <v>104</v>
      </c>
      <c r="B97" s="6" t="str">
        <f aca="false">IFERROR(INDEX('Source 2026'!$C:$C,MATCH($A97,'Source 2026'!$B:$B,0)),IFERROR(INDEX('Source 2025'!$C:$C,MATCH($A97,'Source 2025'!$B:$B,0)),""))</f>
        <v>תחבושת א.נצמ</v>
      </c>
      <c r="C97" s="7" t="n">
        <f aca="false">SUMIFS('Source 2025'!$D:$D,'Source 2025'!$B:$B,$A97,'Source 2025'!$A:$A,"Quantity (units)")</f>
        <v>980</v>
      </c>
      <c r="D97" s="7" t="n">
        <f aca="false">SUMIFS('Source 2026'!$D:$D,'Source 2026'!$B:$B,$A97,'Source 2026'!$A:$A,"Quantity (units)")</f>
        <v>697</v>
      </c>
      <c r="E97" s="7" t="n">
        <f aca="false">D97-C97</f>
        <v>-283</v>
      </c>
      <c r="F97" s="8" t="n">
        <f aca="false">IF(AND(C97=0,D97=0),0,IF(C97=0,"New",(D97-C97)/C97))</f>
        <v>-0.288775510204082</v>
      </c>
      <c r="G97" s="9" t="n">
        <f aca="false">SUMIFS('Source 2025'!$D:$D,'Source 2025'!$B:$B,$A97,'Source 2025'!$A:$A,"Amount (NIS)")</f>
        <v>9936.3</v>
      </c>
      <c r="H97" s="9" t="n">
        <f aca="false">SUMIFS('Source 2026'!$D:$D,'Source 2026'!$B:$B,$A97,'Source 2026'!$A:$A,"Amount (NIS)")</f>
        <v>7156.9</v>
      </c>
      <c r="I97" s="9" t="n">
        <f aca="false">H97-G97</f>
        <v>-2779.4</v>
      </c>
      <c r="J97" s="8" t="n">
        <f aca="false">IF(AND(G97=0,H97=0),0,IF(G97=0,"New",(H97-G97)/G97))</f>
        <v>-0.279721828044644</v>
      </c>
    </row>
    <row r="98" customFormat="false" ht="15" hidden="false" customHeight="false" outlineLevel="0" collapsed="false">
      <c r="A98" s="6" t="s">
        <v>105</v>
      </c>
      <c r="B98" s="6" t="str">
        <f aca="false">IFERROR(INDEX('Source 2026'!$C:$C,MATCH($A98,'Source 2026'!$B:$B,0)),IFERROR(INDEX('Source 2025'!$C:$C,MATCH($A98,'Source 2025'!$B:$B,0)),""))</f>
        <v>11 אפורUG חגורת בטן</v>
      </c>
      <c r="C98" s="7" t="n">
        <f aca="false">SUMIFS('Source 2025'!$D:$D,'Source 2025'!$B:$B,$A98,'Source 2025'!$A:$A,"Quantity (units)")</f>
        <v>34</v>
      </c>
      <c r="D98" s="7" t="n">
        <f aca="false">SUMIFS('Source 2026'!$D:$D,'Source 2026'!$B:$B,$A98,'Source 2026'!$A:$A,"Quantity (units)")</f>
        <v>0</v>
      </c>
      <c r="E98" s="7" t="n">
        <f aca="false">D98-C98</f>
        <v>-34</v>
      </c>
      <c r="F98" s="8" t="n">
        <f aca="false">IF(AND(C98=0,D98=0),0,IF(C98=0,"New",(D98-C98)/C98))</f>
        <v>-1</v>
      </c>
      <c r="G98" s="9" t="n">
        <f aca="false">SUMIFS('Source 2025'!$D:$D,'Source 2025'!$B:$B,$A98,'Source 2025'!$A:$A,"Amount (NIS)")</f>
        <v>2730.6</v>
      </c>
      <c r="H98" s="9" t="n">
        <f aca="false">SUMIFS('Source 2026'!$D:$D,'Source 2026'!$B:$B,$A98,'Source 2026'!$A:$A,"Amount (NIS)")</f>
        <v>68.2</v>
      </c>
      <c r="I98" s="9" t="n">
        <f aca="false">H98-G98</f>
        <v>-2662.4</v>
      </c>
      <c r="J98" s="8" t="n">
        <f aca="false">IF(AND(G98=0,H98=0),0,IF(G98=0,"New",(H98-G98)/G98))</f>
        <v>-0.975023804292097</v>
      </c>
    </row>
    <row r="99" customFormat="false" ht="15" hidden="false" customHeight="false" outlineLevel="0" collapsed="false">
      <c r="A99" s="6" t="s">
        <v>106</v>
      </c>
      <c r="B99" s="6" t="str">
        <f aca="false">IFERROR(INDEX('Source 2026'!$C:$C,MATCH($A99,'Source 2026'!$B:$B,0)),IFERROR(INDEX('Source 2025'!$C:$C,MATCH($A99,'Source 2025'!$B:$B,0)),""))</f>
        <v>כפפות לחץ</v>
      </c>
      <c r="C99" s="7" t="n">
        <f aca="false">SUMIFS('Source 2025'!$D:$D,'Source 2025'!$B:$B,$A99,'Source 2025'!$A:$A,"Quantity (units)")</f>
        <v>258</v>
      </c>
      <c r="D99" s="7" t="n">
        <f aca="false">SUMIFS('Source 2026'!$D:$D,'Source 2026'!$B:$B,$A99,'Source 2026'!$A:$A,"Quantity (units)")</f>
        <v>162</v>
      </c>
      <c r="E99" s="7" t="n">
        <f aca="false">D99-C99</f>
        <v>-96</v>
      </c>
      <c r="F99" s="8" t="n">
        <f aca="false">IF(AND(C99=0,D99=0),0,IF(C99=0,"New",(D99-C99)/C99))</f>
        <v>-0.372093023255814</v>
      </c>
      <c r="G99" s="9" t="n">
        <f aca="false">SUMIFS('Source 2025'!$D:$D,'Source 2025'!$B:$B,$A99,'Source 2025'!$A:$A,"Amount (NIS)")</f>
        <v>7344.8</v>
      </c>
      <c r="H99" s="9" t="n">
        <f aca="false">SUMIFS('Source 2026'!$D:$D,'Source 2026'!$B:$B,$A99,'Source 2026'!$A:$A,"Amount (NIS)")</f>
        <v>4690.8</v>
      </c>
      <c r="I99" s="9" t="n">
        <f aca="false">H99-G99</f>
        <v>-2654</v>
      </c>
      <c r="J99" s="8" t="n">
        <f aca="false">IF(AND(G99=0,H99=0),0,IF(G99=0,"New",(H99-G99)/G99))</f>
        <v>-0.361344080165559</v>
      </c>
    </row>
    <row r="100" customFormat="false" ht="15" hidden="false" customHeight="false" outlineLevel="0" collapsed="false">
      <c r="A100" s="6" t="s">
        <v>107</v>
      </c>
      <c r="B100" s="6" t="str">
        <f aca="false">IFERROR(INDEX('Source 2026'!$C:$C,MATCH($A100,'Source 2026'!$B:$B,0)),IFERROR(INDEX('Source 2025'!$C:$C,MATCH($A100,'Source 2025'!$B:$B,0)),""))</f>
        <v>L סד לילה שחור לבוהן שמאל</v>
      </c>
      <c r="C100" s="7" t="n">
        <f aca="false">SUMIFS('Source 2025'!$D:$D,'Source 2025'!$B:$B,$A100,'Source 2025'!$A:$A,"Quantity (units)")</f>
        <v>87</v>
      </c>
      <c r="D100" s="7" t="n">
        <f aca="false">SUMIFS('Source 2026'!$D:$D,'Source 2026'!$B:$B,$A100,'Source 2026'!$A:$A,"Quantity (units)")</f>
        <v>40</v>
      </c>
      <c r="E100" s="7" t="n">
        <f aca="false">D100-C100</f>
        <v>-47</v>
      </c>
      <c r="F100" s="8" t="n">
        <f aca="false">IF(AND(C100=0,D100=0),0,IF(C100=0,"New",(D100-C100)/C100))</f>
        <v>-0.540229885057471</v>
      </c>
      <c r="G100" s="9" t="n">
        <f aca="false">SUMIFS('Source 2025'!$D:$D,'Source 2025'!$B:$B,$A100,'Source 2025'!$A:$A,"Amount (NIS)")</f>
        <v>5148.8</v>
      </c>
      <c r="H100" s="9" t="n">
        <f aca="false">SUMIFS('Source 2026'!$D:$D,'Source 2026'!$B:$B,$A100,'Source 2026'!$A:$A,"Amount (NIS)")</f>
        <v>2571.3</v>
      </c>
      <c r="I100" s="9" t="n">
        <f aca="false">H100-G100</f>
        <v>-2577.5</v>
      </c>
      <c r="J100" s="8" t="n">
        <f aca="false">IF(AND(G100=0,H100=0),0,IF(G100=0,"New",(H100-G100)/G100))</f>
        <v>-0.500602082038533</v>
      </c>
    </row>
    <row r="101" customFormat="false" ht="15" hidden="false" customHeight="false" outlineLevel="0" collapsed="false">
      <c r="A101" s="6" t="s">
        <v>108</v>
      </c>
      <c r="B101" s="6" t="str">
        <f aca="false">IFERROR(INDEX('Source 2026'!$C:$C,MATCH($A101,'Source 2026'!$B:$B,0)),IFERROR(INDEX('Source 2025'!$C:$C,MATCH($A101,'Source 2025'!$B:$B,0)),""))</f>
        <v>חגורת גב +סגירה כפולה</v>
      </c>
      <c r="C101" s="7" t="n">
        <f aca="false">SUMIFS('Source 2025'!$D:$D,'Source 2025'!$B:$B,$A101,'Source 2025'!$A:$A,"Quantity (units)")</f>
        <v>65</v>
      </c>
      <c r="D101" s="7" t="n">
        <f aca="false">SUMIFS('Source 2026'!$D:$D,'Source 2026'!$B:$B,$A101,'Source 2026'!$A:$A,"Quantity (units)")</f>
        <v>36</v>
      </c>
      <c r="E101" s="7" t="n">
        <f aca="false">D101-C101</f>
        <v>-29</v>
      </c>
      <c r="F101" s="8" t="n">
        <f aca="false">IF(AND(C101=0,D101=0),0,IF(C101=0,"New",(D101-C101)/C101))</f>
        <v>-0.446153846153846</v>
      </c>
      <c r="G101" s="9" t="n">
        <f aca="false">SUMIFS('Source 2025'!$D:$D,'Source 2025'!$B:$B,$A101,'Source 2025'!$A:$A,"Amount (NIS)")</f>
        <v>6213.6</v>
      </c>
      <c r="H101" s="9" t="n">
        <f aca="false">SUMIFS('Source 2026'!$D:$D,'Source 2026'!$B:$B,$A101,'Source 2026'!$A:$A,"Amount (NIS)")</f>
        <v>3644.6</v>
      </c>
      <c r="I101" s="9" t="n">
        <f aca="false">H101-G101</f>
        <v>-2569</v>
      </c>
      <c r="J101" s="8" t="n">
        <f aca="false">IF(AND(G101=0,H101=0),0,IF(G101=0,"New",(H101-G101)/G101))</f>
        <v>-0.413447920690099</v>
      </c>
    </row>
    <row r="102" customFormat="false" ht="15" hidden="false" customHeight="false" outlineLevel="0" collapsed="false">
      <c r="A102" s="6" t="s">
        <v>109</v>
      </c>
      <c r="B102" s="6" t="str">
        <f aca="false">IFERROR(INDEX('Source 2026'!$C:$C,MATCH($A102,'Source 2026'!$B:$B,0)),IFERROR(INDEX('Source 2025'!$C:$C,MATCH($A102,'Source 2025'!$B:$B,0)),""))</f>
        <v>רצועת ""פיקה""+כרית</v>
      </c>
      <c r="C102" s="7" t="n">
        <f aca="false">SUMIFS('Source 2025'!$D:$D,'Source 2025'!$B:$B,$A102,'Source 2025'!$A:$A,"Quantity (units)")</f>
        <v>40</v>
      </c>
      <c r="D102" s="7" t="n">
        <f aca="false">SUMIFS('Source 2026'!$D:$D,'Source 2026'!$B:$B,$A102,'Source 2026'!$A:$A,"Quantity (units)")</f>
        <v>12</v>
      </c>
      <c r="E102" s="7" t="n">
        <f aca="false">D102-C102</f>
        <v>-28</v>
      </c>
      <c r="F102" s="8" t="n">
        <f aca="false">IF(AND(C102=0,D102=0),0,IF(C102=0,"New",(D102-C102)/C102))</f>
        <v>-0.7</v>
      </c>
      <c r="G102" s="9" t="n">
        <f aca="false">SUMIFS('Source 2025'!$D:$D,'Source 2025'!$B:$B,$A102,'Source 2025'!$A:$A,"Amount (NIS)")</f>
        <v>3726.4</v>
      </c>
      <c r="H102" s="9" t="n">
        <f aca="false">SUMIFS('Source 2026'!$D:$D,'Source 2026'!$B:$B,$A102,'Source 2026'!$A:$A,"Amount (NIS)")</f>
        <v>1185.3</v>
      </c>
      <c r="I102" s="9" t="n">
        <f aca="false">H102-G102</f>
        <v>-2541.1</v>
      </c>
      <c r="J102" s="8" t="n">
        <f aca="false">IF(AND(G102=0,H102=0),0,IF(G102=0,"New",(H102-G102)/G102))</f>
        <v>-0.6819182052383</v>
      </c>
    </row>
    <row r="103" customFormat="false" ht="15" hidden="false" customHeight="false" outlineLevel="0" collapsed="false">
      <c r="A103" s="6" t="s">
        <v>110</v>
      </c>
      <c r="B103" s="6" t="str">
        <f aca="false">IFERROR(INDEX('Source 2026'!$C:$C,MATCH($A103,'Source 2026'!$B:$B,0)),IFERROR(INDEX('Source 2025'!$C:$C,MATCH($A103,'Source 2025'!$B:$B,0)),""))</f>
        <v>כפפות לחץ</v>
      </c>
      <c r="C103" s="7" t="n">
        <f aca="false">SUMIFS('Source 2025'!$D:$D,'Source 2025'!$B:$B,$A103,'Source 2025'!$A:$A,"Quantity (units)")</f>
        <v>246</v>
      </c>
      <c r="D103" s="7" t="n">
        <f aca="false">SUMIFS('Source 2026'!$D:$D,'Source 2026'!$B:$B,$A103,'Source 2026'!$A:$A,"Quantity (units)")</f>
        <v>155</v>
      </c>
      <c r="E103" s="7" t="n">
        <f aca="false">D103-C103</f>
        <v>-91</v>
      </c>
      <c r="F103" s="8" t="n">
        <f aca="false">IF(AND(C103=0,D103=0),0,IF(C103=0,"New",(D103-C103)/C103))</f>
        <v>-0.369918699186992</v>
      </c>
      <c r="G103" s="9" t="n">
        <f aca="false">SUMIFS('Source 2025'!$D:$D,'Source 2025'!$B:$B,$A103,'Source 2025'!$A:$A,"Amount (NIS)")</f>
        <v>6998.3</v>
      </c>
      <c r="H103" s="9" t="n">
        <f aca="false">SUMIFS('Source 2026'!$D:$D,'Source 2026'!$B:$B,$A103,'Source 2026'!$A:$A,"Amount (NIS)")</f>
        <v>4476.9</v>
      </c>
      <c r="I103" s="9" t="n">
        <f aca="false">H103-G103</f>
        <v>-2521.4</v>
      </c>
      <c r="J103" s="8" t="n">
        <f aca="false">IF(AND(G103=0,H103=0),0,IF(G103=0,"New",(H103-G103)/G103))</f>
        <v>-0.360287498392467</v>
      </c>
    </row>
    <row r="104" customFormat="false" ht="15" hidden="false" customHeight="false" outlineLevel="0" collapsed="false">
      <c r="A104" s="6" t="s">
        <v>111</v>
      </c>
      <c r="B104" s="6" t="str">
        <f aca="false">IFERROR(INDEX('Source 2026'!$C:$C,MATCH($A104,'Source 2026'!$B:$B,0)),IFERROR(INDEX('Source 2025'!$C:$C,MATCH($A104,'Source 2025'!$B:$B,0)),""))</f>
        <v>תחבושת אלסטית מקררת</v>
      </c>
      <c r="C104" s="7" t="n">
        <f aca="false">SUMIFS('Source 2025'!$D:$D,'Source 2025'!$B:$B,$A104,'Source 2025'!$A:$A,"Quantity (units)")</f>
        <v>283</v>
      </c>
      <c r="D104" s="7" t="n">
        <f aca="false">SUMIFS('Source 2026'!$D:$D,'Source 2026'!$B:$B,$A104,'Source 2026'!$A:$A,"Quantity (units)")</f>
        <v>428</v>
      </c>
      <c r="E104" s="7" t="n">
        <f aca="false">D104-C104</f>
        <v>145</v>
      </c>
      <c r="F104" s="8" t="n">
        <f aca="false">IF(AND(C104=0,D104=0),0,IF(C104=0,"New",(D104-C104)/C104))</f>
        <v>0.512367491166078</v>
      </c>
      <c r="G104" s="9" t="n">
        <f aca="false">SUMIFS('Source 2025'!$D:$D,'Source 2025'!$B:$B,$A104,'Source 2025'!$A:$A,"Amount (NIS)")</f>
        <v>4566.7</v>
      </c>
      <c r="H104" s="9" t="n">
        <f aca="false">SUMIFS('Source 2026'!$D:$D,'Source 2026'!$B:$B,$A104,'Source 2026'!$A:$A,"Amount (NIS)")</f>
        <v>7064.7</v>
      </c>
      <c r="I104" s="9" t="n">
        <f aca="false">H104-G104</f>
        <v>2498</v>
      </c>
      <c r="J104" s="8" t="n">
        <f aca="false">IF(AND(G104=0,H104=0),0,IF(G104=0,"New",(H104-G104)/G104))</f>
        <v>0.547003306545208</v>
      </c>
    </row>
    <row r="105" customFormat="false" ht="15" hidden="false" customHeight="false" outlineLevel="0" collapsed="false">
      <c r="A105" s="6" t="s">
        <v>112</v>
      </c>
      <c r="B105" s="6" t="str">
        <f aca="false">IFERROR(INDEX('Source 2026'!$C:$C,MATCH($A105,'Source 2026'!$B:$B,0)),IFERROR(INDEX('Source 2025'!$C:$C,MATCH($A105,'Source 2025'!$B:$B,0)),""))</f>
        <v>נצמדת בז' 20 מ""מ</v>
      </c>
      <c r="C105" s="7" t="n">
        <f aca="false">SUMIFS('Source 2025'!$D:$D,'Source 2025'!$B:$B,$A105,'Source 2025'!$A:$A,"Quantity (units)")</f>
        <v>1235</v>
      </c>
      <c r="D105" s="7" t="n">
        <f aca="false">SUMIFS('Source 2026'!$D:$D,'Source 2026'!$B:$B,$A105,'Source 2026'!$A:$A,"Quantity (units)")</f>
        <v>988</v>
      </c>
      <c r="E105" s="7" t="n">
        <f aca="false">D105-C105</f>
        <v>-247</v>
      </c>
      <c r="F105" s="8" t="n">
        <f aca="false">IF(AND(C105=0,D105=0),0,IF(C105=0,"New",(D105-C105)/C105))</f>
        <v>-0.2</v>
      </c>
      <c r="G105" s="9" t="n">
        <f aca="false">SUMIFS('Source 2025'!$D:$D,'Source 2025'!$B:$B,$A105,'Source 2025'!$A:$A,"Amount (NIS)")</f>
        <v>12532.2</v>
      </c>
      <c r="H105" s="9" t="n">
        <f aca="false">SUMIFS('Source 2026'!$D:$D,'Source 2026'!$B:$B,$A105,'Source 2026'!$A:$A,"Amount (NIS)")</f>
        <v>10070.6</v>
      </c>
      <c r="I105" s="9" t="n">
        <f aca="false">H105-G105</f>
        <v>-2461.6</v>
      </c>
      <c r="J105" s="8" t="n">
        <f aca="false">IF(AND(G105=0,H105=0),0,IF(G105=0,"New",(H105-G105)/G105))</f>
        <v>-0.196422016884506</v>
      </c>
    </row>
    <row r="106" customFormat="false" ht="15" hidden="false" customHeight="false" outlineLevel="0" collapsed="false">
      <c r="A106" s="6" t="s">
        <v>113</v>
      </c>
      <c r="B106" s="6" t="str">
        <f aca="false">IFERROR(INDEX('Source 2026'!$C:$C,MATCH($A106,'Source 2026'!$B:$B,0)),IFERROR(INDEX('Source 2025'!$C:$C,MATCH($A106,'Source 2025'!$B:$B,0)),""))</f>
        <v>11 אפורUG חגורת בטן</v>
      </c>
      <c r="C106" s="7" t="n">
        <f aca="false">SUMIFS('Source 2025'!$D:$D,'Source 2025'!$B:$B,$A106,'Source 2025'!$A:$A,"Quantity (units)")</f>
        <v>32</v>
      </c>
      <c r="D106" s="7" t="n">
        <f aca="false">SUMIFS('Source 2026'!$D:$D,'Source 2026'!$B:$B,$A106,'Source 2026'!$A:$A,"Quantity (units)")</f>
        <v>1</v>
      </c>
      <c r="E106" s="7" t="n">
        <f aca="false">D106-C106</f>
        <v>-31</v>
      </c>
      <c r="F106" s="8" t="n">
        <f aca="false">IF(AND(C106=0,D106=0),0,IF(C106=0,"New",(D106-C106)/C106))</f>
        <v>-0.96875</v>
      </c>
      <c r="G106" s="9" t="n">
        <f aca="false">SUMIFS('Source 2025'!$D:$D,'Source 2025'!$B:$B,$A106,'Source 2025'!$A:$A,"Amount (NIS)")</f>
        <v>2549.6</v>
      </c>
      <c r="H106" s="9" t="n">
        <f aca="false">SUMIFS('Source 2026'!$D:$D,'Source 2026'!$B:$B,$A106,'Source 2026'!$A:$A,"Amount (NIS)")</f>
        <v>132.3</v>
      </c>
      <c r="I106" s="9" t="n">
        <f aca="false">H106-G106</f>
        <v>-2417.3</v>
      </c>
      <c r="J106" s="8" t="n">
        <f aca="false">IF(AND(G106=0,H106=0),0,IF(G106=0,"New",(H106-G106)/G106))</f>
        <v>-0.948109507373706</v>
      </c>
    </row>
    <row r="107" customFormat="false" ht="15" hidden="false" customHeight="false" outlineLevel="0" collapsed="false">
      <c r="A107" s="6" t="s">
        <v>114</v>
      </c>
      <c r="B107" s="6" t="str">
        <f aca="false">IFERROR(INDEX('Source 2026'!$C:$C,MATCH($A107,'Source 2026'!$B:$B,0)),IFERROR(INDEX('Source 2025'!$C:$C,MATCH($A107,'Source 2025'!$B:$B,0)),""))</f>
        <v>כפפות אגודל לחץ</v>
      </c>
      <c r="C107" s="7" t="n">
        <f aca="false">SUMIFS('Source 2025'!$D:$D,'Source 2025'!$B:$B,$A107,'Source 2025'!$A:$A,"Quantity (units)")</f>
        <v>419</v>
      </c>
      <c r="D107" s="7" t="n">
        <f aca="false">SUMIFS('Source 2026'!$D:$D,'Source 2026'!$B:$B,$A107,'Source 2026'!$A:$A,"Quantity (units)")</f>
        <v>324</v>
      </c>
      <c r="E107" s="7" t="n">
        <f aca="false">D107-C107</f>
        <v>-95</v>
      </c>
      <c r="F107" s="8" t="n">
        <f aca="false">IF(AND(C107=0,D107=0),0,IF(C107=0,"New",(D107-C107)/C107))</f>
        <v>-0.22673031026253</v>
      </c>
      <c r="G107" s="9" t="n">
        <f aca="false">SUMIFS('Source 2025'!$D:$D,'Source 2025'!$B:$B,$A107,'Source 2025'!$A:$A,"Amount (NIS)")</f>
        <v>11927.2</v>
      </c>
      <c r="H107" s="9" t="n">
        <f aca="false">SUMIFS('Source 2026'!$D:$D,'Source 2026'!$B:$B,$A107,'Source 2026'!$A:$A,"Amount (NIS)")</f>
        <v>9579</v>
      </c>
      <c r="I107" s="9" t="n">
        <f aca="false">H107-G107</f>
        <v>-2348.2</v>
      </c>
      <c r="J107" s="8" t="n">
        <f aca="false">IF(AND(G107=0,H107=0),0,IF(G107=0,"New",(H107-G107)/G107))</f>
        <v>-0.196877724864176</v>
      </c>
    </row>
    <row r="108" customFormat="false" ht="15" hidden="false" customHeight="false" outlineLevel="0" collapsed="false">
      <c r="A108" s="6" t="s">
        <v>115</v>
      </c>
      <c r="B108" s="6" t="str">
        <f aca="false">IFERROR(INDEX('Source 2026'!$C:$C,MATCH($A108,'Source 2026'!$B:$B,0)),IFERROR(INDEX('Source 2025'!$C:$C,MATCH($A108,'Source 2025'!$B:$B,0)),""))</f>
        <v>S-M STRAP4U</v>
      </c>
      <c r="C108" s="7" t="n">
        <f aca="false">SUMIFS('Source 2025'!$D:$D,'Source 2025'!$B:$B,$A108,'Source 2025'!$A:$A,"Quantity (units)")</f>
        <v>95</v>
      </c>
      <c r="D108" s="7" t="n">
        <f aca="false">SUMIFS('Source 2026'!$D:$D,'Source 2026'!$B:$B,$A108,'Source 2026'!$A:$A,"Quantity (units)")</f>
        <v>-57</v>
      </c>
      <c r="E108" s="7" t="n">
        <f aca="false">D108-C108</f>
        <v>-152</v>
      </c>
      <c r="F108" s="8" t="n">
        <f aca="false">IF(AND(C108=0,D108=0),0,IF(C108=0,"New",(D108-C108)/C108))</f>
        <v>-1.6</v>
      </c>
      <c r="G108" s="9" t="n">
        <f aca="false">SUMIFS('Source 2025'!$D:$D,'Source 2025'!$B:$B,$A108,'Source 2025'!$A:$A,"Amount (NIS)")</f>
        <v>1673</v>
      </c>
      <c r="H108" s="9" t="n">
        <f aca="false">SUMIFS('Source 2026'!$D:$D,'Source 2026'!$B:$B,$A108,'Source 2026'!$A:$A,"Amount (NIS)")</f>
        <v>-564.6</v>
      </c>
      <c r="I108" s="9" t="n">
        <f aca="false">H108-G108</f>
        <v>-2237.6</v>
      </c>
      <c r="J108" s="8" t="n">
        <f aca="false">IF(AND(G108=0,H108=0),0,IF(G108=0,"New",(H108-G108)/G108))</f>
        <v>-1.33747758517633</v>
      </c>
    </row>
    <row r="109" customFormat="false" ht="15" hidden="false" customHeight="false" outlineLevel="0" collapsed="false">
      <c r="A109" s="6" t="s">
        <v>116</v>
      </c>
      <c r="B109" s="6" t="str">
        <f aca="false">IFERROR(INDEX('Source 2026'!$C:$C,MATCH($A109,'Source 2026'!$B:$B,0)),IFERROR(INDEX('Source 2025'!$C:$C,MATCH($A109,'Source 2025'!$B:$B,0)),""))</f>
        <v>ג.כסף לסכרתיים אפור35-38</v>
      </c>
      <c r="C109" s="7" t="n">
        <f aca="false">SUMIFS('Source 2025'!$D:$D,'Source 2025'!$B:$B,$A109,'Source 2025'!$A:$A,"Quantity (units)")</f>
        <v>74</v>
      </c>
      <c r="D109" s="7" t="n">
        <f aca="false">SUMIFS('Source 2026'!$D:$D,'Source 2026'!$B:$B,$A109,'Source 2026'!$A:$A,"Quantity (units)")</f>
        <v>1</v>
      </c>
      <c r="E109" s="7" t="n">
        <f aca="false">D109-C109</f>
        <v>-73</v>
      </c>
      <c r="F109" s="8" t="n">
        <f aca="false">IF(AND(C109=0,D109=0),0,IF(C109=0,"New",(D109-C109)/C109))</f>
        <v>-0.986486486486487</v>
      </c>
      <c r="G109" s="9" t="n">
        <f aca="false">SUMIFS('Source 2025'!$D:$D,'Source 2025'!$B:$B,$A109,'Source 2025'!$A:$A,"Amount (NIS)")</f>
        <v>2161.6</v>
      </c>
      <c r="H109" s="9" t="n">
        <f aca="false">SUMIFS('Source 2026'!$D:$D,'Source 2026'!$B:$B,$A109,'Source 2026'!$A:$A,"Amount (NIS)")</f>
        <v>35</v>
      </c>
      <c r="I109" s="9" t="n">
        <f aca="false">H109-G109</f>
        <v>-2126.6</v>
      </c>
      <c r="J109" s="8" t="n">
        <f aca="false">IF(AND(G109=0,H109=0),0,IF(G109=0,"New",(H109-G109)/G109))</f>
        <v>-0.983808290155441</v>
      </c>
    </row>
    <row r="110" customFormat="false" ht="15" hidden="false" customHeight="false" outlineLevel="0" collapsed="false">
      <c r="A110" s="6" t="s">
        <v>117</v>
      </c>
      <c r="B110" s="6" t="str">
        <f aca="false">IFERROR(INDEX('Source 2026'!$C:$C,MATCH($A110,'Source 2026'!$B:$B,0)),IFERROR(INDEX('Source 2025'!$C:$C,MATCH($A110,'Source 2025'!$B:$B,0)),""))</f>
        <v>9 מ""ס להתאמהX5 מדבקה גדולה</v>
      </c>
      <c r="C110" s="7" t="n">
        <f aca="false">SUMIFS('Source 2025'!$D:$D,'Source 2025'!$B:$B,$A110,'Source 2025'!$A:$A,"Quantity (units)")</f>
        <v>208</v>
      </c>
      <c r="D110" s="7" t="n">
        <f aca="false">SUMIFS('Source 2026'!$D:$D,'Source 2026'!$B:$B,$A110,'Source 2026'!$A:$A,"Quantity (units)")</f>
        <v>102</v>
      </c>
      <c r="E110" s="7" t="n">
        <f aca="false">D110-C110</f>
        <v>-106</v>
      </c>
      <c r="F110" s="8" t="n">
        <f aca="false">IF(AND(C110=0,D110=0),0,IF(C110=0,"New",(D110-C110)/C110))</f>
        <v>-0.509615384615385</v>
      </c>
      <c r="G110" s="9" t="n">
        <f aca="false">SUMIFS('Source 2025'!$D:$D,'Source 2025'!$B:$B,$A110,'Source 2025'!$A:$A,"Amount (NIS)")</f>
        <v>4120.4</v>
      </c>
      <c r="H110" s="9" t="n">
        <f aca="false">SUMIFS('Source 2026'!$D:$D,'Source 2026'!$B:$B,$A110,'Source 2026'!$A:$A,"Amount (NIS)")</f>
        <v>2001.2</v>
      </c>
      <c r="I110" s="9" t="n">
        <f aca="false">H110-G110</f>
        <v>-2119.2</v>
      </c>
      <c r="J110" s="8" t="n">
        <f aca="false">IF(AND(G110=0,H110=0),0,IF(G110=0,"New",(H110-G110)/G110))</f>
        <v>-0.514318998155519</v>
      </c>
    </row>
    <row r="111" customFormat="false" ht="15" hidden="false" customHeight="false" outlineLevel="0" collapsed="false">
      <c r="A111" s="6" t="s">
        <v>118</v>
      </c>
      <c r="B111" s="6" t="str">
        <f aca="false">IFERROR(INDEX('Source 2026'!$C:$C,MATCH($A111,'Source 2026'!$B:$B,0)),IFERROR(INDEX('Source 2025'!$C:$C,MATCH($A111,'Source 2025'!$B:$B,0)),""))</f>
        <v>בננה לתמיכת אצבעות ז.כרית</v>
      </c>
      <c r="C111" s="7" t="n">
        <f aca="false">SUMIFS('Source 2025'!$D:$D,'Source 2025'!$B:$B,$A111,'Source 2025'!$A:$A,"Quantity (units)")</f>
        <v>199</v>
      </c>
      <c r="D111" s="7" t="n">
        <f aca="false">SUMIFS('Source 2026'!$D:$D,'Source 2026'!$B:$B,$A111,'Source 2026'!$A:$A,"Quantity (units)")</f>
        <v>101</v>
      </c>
      <c r="E111" s="7" t="n">
        <f aca="false">D111-C111</f>
        <v>-98</v>
      </c>
      <c r="F111" s="8" t="n">
        <f aca="false">IF(AND(C111=0,D111=0),0,IF(C111=0,"New",(D111-C111)/C111))</f>
        <v>-0.492462311557789</v>
      </c>
      <c r="G111" s="9" t="n">
        <f aca="false">SUMIFS('Source 2025'!$D:$D,'Source 2025'!$B:$B,$A111,'Source 2025'!$A:$A,"Amount (NIS)")</f>
        <v>4320.4</v>
      </c>
      <c r="H111" s="9" t="n">
        <f aca="false">SUMIFS('Source 2026'!$D:$D,'Source 2026'!$B:$B,$A111,'Source 2026'!$A:$A,"Amount (NIS)")</f>
        <v>2224.3</v>
      </c>
      <c r="I111" s="9" t="n">
        <f aca="false">H111-G111</f>
        <v>-2096.1</v>
      </c>
      <c r="J111" s="8" t="n">
        <f aca="false">IF(AND(G111=0,H111=0),0,IF(G111=0,"New",(H111-G111)/G111))</f>
        <v>-0.485163410795297</v>
      </c>
    </row>
    <row r="112" customFormat="false" ht="15" hidden="false" customHeight="false" outlineLevel="0" collapsed="false">
      <c r="A112" s="6" t="s">
        <v>119</v>
      </c>
      <c r="B112" s="6" t="str">
        <f aca="false">IFERROR(INDEX('Source 2026'!$C:$C,MATCH($A112,'Source 2026'!$B:$B,0)),IFERROR(INDEX('Source 2025'!$C:$C,MATCH($A112,'Source 2025'!$B:$B,0)),""))</f>
        <v>תרסיס דאודורנט לכף הרגל</v>
      </c>
      <c r="C112" s="7" t="n">
        <f aca="false">SUMIFS('Source 2025'!$D:$D,'Source 2025'!$B:$B,$A112,'Source 2025'!$A:$A,"Quantity (units)")</f>
        <v>583</v>
      </c>
      <c r="D112" s="7" t="n">
        <f aca="false">SUMIFS('Source 2026'!$D:$D,'Source 2026'!$B:$B,$A112,'Source 2026'!$A:$A,"Quantity (units)")</f>
        <v>536</v>
      </c>
      <c r="E112" s="7" t="n">
        <f aca="false">D112-C112</f>
        <v>-47</v>
      </c>
      <c r="F112" s="8" t="n">
        <f aca="false">IF(AND(C112=0,D112=0),0,IF(C112=0,"New",(D112-C112)/C112))</f>
        <v>-0.0806174957118353</v>
      </c>
      <c r="G112" s="9" t="n">
        <f aca="false">SUMIFS('Source 2025'!$D:$D,'Source 2025'!$B:$B,$A112,'Source 2025'!$A:$A,"Amount (NIS)")</f>
        <v>12662</v>
      </c>
      <c r="H112" s="9" t="n">
        <f aca="false">SUMIFS('Source 2026'!$D:$D,'Source 2026'!$B:$B,$A112,'Source 2026'!$A:$A,"Amount (NIS)")</f>
        <v>10680.7</v>
      </c>
      <c r="I112" s="9" t="n">
        <f aca="false">H112-G112</f>
        <v>-1981.3</v>
      </c>
      <c r="J112" s="8" t="n">
        <f aca="false">IF(AND(G112=0,H112=0),0,IF(G112=0,"New",(H112-G112)/G112))</f>
        <v>-0.156476070131101</v>
      </c>
    </row>
    <row r="113" customFormat="false" ht="15" hidden="false" customHeight="false" outlineLevel="0" collapsed="false">
      <c r="A113" s="6" t="s">
        <v>120</v>
      </c>
      <c r="B113" s="6" t="str">
        <f aca="false">IFERROR(INDEX('Source 2026'!$C:$C,MATCH($A113,'Source 2026'!$B:$B,0)),IFERROR(INDEX('Source 2025'!$C:$C,MATCH($A113,'Source 2025'!$B:$B,0)),""))</f>
        <v>לגבס קצר יד</v>
      </c>
      <c r="C113" s="7" t="n">
        <f aca="false">SUMIFS('Source 2025'!$D:$D,'Source 2025'!$B:$B,$A113,'Source 2025'!$A:$A,"Quantity (units)")</f>
        <v>1526</v>
      </c>
      <c r="D113" s="7" t="n">
        <f aca="false">SUMIFS('Source 2026'!$D:$D,'Source 2026'!$B:$B,$A113,'Source 2026'!$A:$A,"Quantity (units)")</f>
        <v>1595</v>
      </c>
      <c r="E113" s="7" t="n">
        <f aca="false">D113-C113</f>
        <v>69</v>
      </c>
      <c r="F113" s="8" t="n">
        <f aca="false">IF(AND(C113=0,D113=0),0,IF(C113=0,"New",(D113-C113)/C113))</f>
        <v>0.04521625163827</v>
      </c>
      <c r="G113" s="9" t="n">
        <f aca="false">SUMIFS('Source 2025'!$D:$D,'Source 2025'!$B:$B,$A113,'Source 2025'!$A:$A,"Amount (NIS)")</f>
        <v>50607.4</v>
      </c>
      <c r="H113" s="9" t="n">
        <f aca="false">SUMIFS('Source 2026'!$D:$D,'Source 2026'!$B:$B,$A113,'Source 2026'!$A:$A,"Amount (NIS)")</f>
        <v>52502.9</v>
      </c>
      <c r="I113" s="9" t="n">
        <f aca="false">H113-G113</f>
        <v>1895.50000000001</v>
      </c>
      <c r="J113" s="8" t="n">
        <f aca="false">IF(AND(G113=0,H113=0),0,IF(G113=0,"New",(H113-G113)/G113))</f>
        <v>0.0374549967000875</v>
      </c>
    </row>
    <row r="114" customFormat="false" ht="15" hidden="false" customHeight="false" outlineLevel="0" collapsed="false">
      <c r="A114" s="6" t="s">
        <v>121</v>
      </c>
      <c r="B114" s="6" t="str">
        <f aca="false">IFERROR(INDEX('Source 2026'!$C:$C,MATCH($A114,'Source 2026'!$B:$B,0)),IFERROR(INDEX('Source 2025'!$C:$C,MATCH($A114,'Source 2025'!$B:$B,0)),""))</f>
        <v>מפריד הלוקס</v>
      </c>
      <c r="C114" s="7" t="n">
        <f aca="false">SUMIFS('Source 2025'!$D:$D,'Source 2025'!$B:$B,$A114,'Source 2025'!$A:$A,"Quantity (units)")</f>
        <v>106</v>
      </c>
      <c r="D114" s="7" t="n">
        <f aca="false">SUMIFS('Source 2026'!$D:$D,'Source 2026'!$B:$B,$A114,'Source 2026'!$A:$A,"Quantity (units)")</f>
        <v>57</v>
      </c>
      <c r="E114" s="7" t="n">
        <f aca="false">D114-C114</f>
        <v>-49</v>
      </c>
      <c r="F114" s="8" t="n">
        <f aca="false">IF(AND(C114=0,D114=0),0,IF(C114=0,"New",(D114-C114)/C114))</f>
        <v>-0.462264150943396</v>
      </c>
      <c r="G114" s="9" t="n">
        <f aca="false">SUMIFS('Source 2025'!$D:$D,'Source 2025'!$B:$B,$A114,'Source 2025'!$A:$A,"Amount (NIS)")</f>
        <v>4298.2</v>
      </c>
      <c r="H114" s="9" t="n">
        <f aca="false">SUMIFS('Source 2026'!$D:$D,'Source 2026'!$B:$B,$A114,'Source 2026'!$A:$A,"Amount (NIS)")</f>
        <v>2453.1</v>
      </c>
      <c r="I114" s="9" t="n">
        <f aca="false">H114-G114</f>
        <v>-1845.1</v>
      </c>
      <c r="J114" s="8" t="n">
        <f aca="false">IF(AND(G114=0,H114=0),0,IF(G114=0,"New",(H114-G114)/G114))</f>
        <v>-0.429272718812526</v>
      </c>
    </row>
    <row r="115" customFormat="false" ht="15" hidden="false" customHeight="false" outlineLevel="0" collapsed="false">
      <c r="A115" s="6" t="s">
        <v>122</v>
      </c>
      <c r="B115" s="6" t="str">
        <f aca="false">IFERROR(INDEX('Source 2026'!$C:$C,MATCH($A115,'Source 2026'!$B:$B,0)),IFERROR(INDEX('Source 2025'!$C:$C,MATCH($A115,'Source 2025'!$B:$B,0)),""))</f>
        <v>כפפות לחץ</v>
      </c>
      <c r="C115" s="7" t="n">
        <f aca="false">SUMIFS('Source 2025'!$D:$D,'Source 2025'!$B:$B,$A115,'Source 2025'!$A:$A,"Quantity (units)")</f>
        <v>180</v>
      </c>
      <c r="D115" s="7" t="n">
        <f aca="false">SUMIFS('Source 2026'!$D:$D,'Source 2026'!$B:$B,$A115,'Source 2026'!$A:$A,"Quantity (units)")</f>
        <v>113</v>
      </c>
      <c r="E115" s="7" t="n">
        <f aca="false">D115-C115</f>
        <v>-67</v>
      </c>
      <c r="F115" s="8" t="n">
        <f aca="false">IF(AND(C115=0,D115=0),0,IF(C115=0,"New",(D115-C115)/C115))</f>
        <v>-0.372222222222222</v>
      </c>
      <c r="G115" s="9" t="n">
        <f aca="false">SUMIFS('Source 2025'!$D:$D,'Source 2025'!$B:$B,$A115,'Source 2025'!$A:$A,"Amount (NIS)")</f>
        <v>5113.7</v>
      </c>
      <c r="H115" s="9" t="n">
        <f aca="false">SUMIFS('Source 2026'!$D:$D,'Source 2026'!$B:$B,$A115,'Source 2026'!$A:$A,"Amount (NIS)")</f>
        <v>3300.4</v>
      </c>
      <c r="I115" s="9" t="n">
        <f aca="false">H115-G115</f>
        <v>-1813.3</v>
      </c>
      <c r="J115" s="8" t="n">
        <f aca="false">IF(AND(G115=0,H115=0),0,IF(G115=0,"New",(H115-G115)/G115))</f>
        <v>-0.354596476132741</v>
      </c>
    </row>
    <row r="116" customFormat="false" ht="15" hidden="false" customHeight="false" outlineLevel="0" collapsed="false">
      <c r="A116" s="6" t="s">
        <v>123</v>
      </c>
      <c r="B116" s="6" t="str">
        <f aca="false">IFERROR(INDEX('Source 2026'!$C:$C,MATCH($A116,'Source 2026'!$B:$B,0)),IFERROR(INDEX('Source 2025'!$C:$C,MATCH($A116,'Source 2025'!$B:$B,0)),""))</f>
        <v>0 כרית חום וקור</v>
      </c>
      <c r="C116" s="7" t="n">
        <f aca="false">SUMIFS('Source 2025'!$D:$D,'Source 2025'!$B:$B,$A116,'Source 2025'!$A:$A,"Quantity (units)")</f>
        <v>21</v>
      </c>
      <c r="D116" s="7" t="n">
        <f aca="false">SUMIFS('Source 2026'!$D:$D,'Source 2026'!$B:$B,$A116,'Source 2026'!$A:$A,"Quantity (units)")</f>
        <v>67</v>
      </c>
      <c r="E116" s="7" t="n">
        <f aca="false">D116-C116</f>
        <v>46</v>
      </c>
      <c r="F116" s="8" t="n">
        <f aca="false">IF(AND(C116=0,D116=0),0,IF(C116=0,"New",(D116-C116)/C116))</f>
        <v>2.19047619047619</v>
      </c>
      <c r="G116" s="9" t="n">
        <f aca="false">SUMIFS('Source 2025'!$D:$D,'Source 2025'!$B:$B,$A116,'Source 2025'!$A:$A,"Amount (NIS)")</f>
        <v>826.4</v>
      </c>
      <c r="H116" s="9" t="n">
        <f aca="false">SUMIFS('Source 2026'!$D:$D,'Source 2026'!$B:$B,$A116,'Source 2026'!$A:$A,"Amount (NIS)")</f>
        <v>2616.2</v>
      </c>
      <c r="I116" s="9" t="n">
        <f aca="false">H116-G116</f>
        <v>1789.8</v>
      </c>
      <c r="J116" s="8" t="n">
        <f aca="false">IF(AND(G116=0,H116=0),0,IF(G116=0,"New",(H116-G116)/G116))</f>
        <v>2.16577928363988</v>
      </c>
    </row>
    <row r="117" customFormat="false" ht="15" hidden="false" customHeight="false" outlineLevel="0" collapsed="false">
      <c r="A117" s="6" t="s">
        <v>124</v>
      </c>
      <c r="B117" s="6" t="str">
        <f aca="false">IFERROR(INDEX('Source 2026'!$C:$C,MATCH($A117,'Source 2026'!$B:$B,0)),IFERROR(INDEX('Source 2025'!$C:$C,MATCH($A117,'Source 2025'!$B:$B,0)),""))</f>
        <v>סד לאגודל</v>
      </c>
      <c r="C117" s="7" t="n">
        <f aca="false">SUMIFS('Source 2025'!$D:$D,'Source 2025'!$B:$B,$A117,'Source 2025'!$A:$A,"Quantity (units)")</f>
        <v>145</v>
      </c>
      <c r="D117" s="7" t="n">
        <f aca="false">SUMIFS('Source 2026'!$D:$D,'Source 2026'!$B:$B,$A117,'Source 2026'!$A:$A,"Quantity (units)")</f>
        <v>128</v>
      </c>
      <c r="E117" s="7" t="n">
        <f aca="false">D117-C117</f>
        <v>-17</v>
      </c>
      <c r="F117" s="8" t="n">
        <f aca="false">IF(AND(C117=0,D117=0),0,IF(C117=0,"New",(D117-C117)/C117))</f>
        <v>-0.117241379310345</v>
      </c>
      <c r="G117" s="9" t="n">
        <f aca="false">SUMIFS('Source 2025'!$D:$D,'Source 2025'!$B:$B,$A117,'Source 2025'!$A:$A,"Amount (NIS)")</f>
        <v>14778.5</v>
      </c>
      <c r="H117" s="9" t="n">
        <f aca="false">SUMIFS('Source 2026'!$D:$D,'Source 2026'!$B:$B,$A117,'Source 2026'!$A:$A,"Amount (NIS)")</f>
        <v>13023.1</v>
      </c>
      <c r="I117" s="9" t="n">
        <f aca="false">H117-G117</f>
        <v>-1755.4</v>
      </c>
      <c r="J117" s="8" t="n">
        <f aca="false">IF(AND(G117=0,H117=0),0,IF(G117=0,"New",(H117-G117)/G117))</f>
        <v>-0.11878066109551</v>
      </c>
    </row>
    <row r="118" customFormat="false" ht="15" hidden="false" customHeight="false" outlineLevel="0" collapsed="false">
      <c r="A118" s="6" t="s">
        <v>125</v>
      </c>
      <c r="B118" s="6" t="str">
        <f aca="false">IFERROR(INDEX('Source 2026'!$C:$C,MATCH($A118,'Source 2026'!$B:$B,0)),IFERROR(INDEX('Source 2025'!$C:$C,MATCH($A118,'Source 2025'!$B:$B,0)),""))</f>
        <v>S מגן קרסול שמאל</v>
      </c>
      <c r="C118" s="7" t="n">
        <f aca="false">SUMIFS('Source 2025'!$D:$D,'Source 2025'!$B:$B,$A118,'Source 2025'!$A:$A,"Quantity (units)")</f>
        <v>48</v>
      </c>
      <c r="D118" s="7" t="n">
        <f aca="false">SUMIFS('Source 2026'!$D:$D,'Source 2026'!$B:$B,$A118,'Source 2026'!$A:$A,"Quantity (units)")</f>
        <v>24</v>
      </c>
      <c r="E118" s="7" t="n">
        <f aca="false">D118-C118</f>
        <v>-24</v>
      </c>
      <c r="F118" s="8" t="n">
        <f aca="false">IF(AND(C118=0,D118=0),0,IF(C118=0,"New",(D118-C118)/C118))</f>
        <v>-0.5</v>
      </c>
      <c r="G118" s="9" t="n">
        <f aca="false">SUMIFS('Source 2025'!$D:$D,'Source 2025'!$B:$B,$A118,'Source 2025'!$A:$A,"Amount (NIS)")</f>
        <v>3556.9</v>
      </c>
      <c r="H118" s="9" t="n">
        <f aca="false">SUMIFS('Source 2026'!$D:$D,'Source 2026'!$B:$B,$A118,'Source 2026'!$A:$A,"Amount (NIS)")</f>
        <v>1803.2</v>
      </c>
      <c r="I118" s="9" t="n">
        <f aca="false">H118-G118</f>
        <v>-1753.7</v>
      </c>
      <c r="J118" s="8" t="n">
        <f aca="false">IF(AND(G118=0,H118=0),0,IF(G118=0,"New",(H118-G118)/G118))</f>
        <v>-0.493041693609604</v>
      </c>
    </row>
    <row r="119" customFormat="false" ht="15" hidden="false" customHeight="false" outlineLevel="0" collapsed="false">
      <c r="A119" s="6" t="s">
        <v>126</v>
      </c>
      <c r="B119" s="6" t="str">
        <f aca="false">IFERROR(INDEX('Source 2026'!$C:$C,MATCH($A119,'Source 2026'!$B:$B,0)),IFERROR(INDEX('Source 2025'!$C:$C,MATCH($A119,'Source 2025'!$B:$B,0)),""))</f>
        <v>L-XL חגורת הריון</v>
      </c>
      <c r="C119" s="7" t="n">
        <f aca="false">SUMIFS('Source 2025'!$D:$D,'Source 2025'!$B:$B,$A119,'Source 2025'!$A:$A,"Quantity (units)")</f>
        <v>62</v>
      </c>
      <c r="D119" s="7" t="n">
        <f aca="false">SUMIFS('Source 2026'!$D:$D,'Source 2026'!$B:$B,$A119,'Source 2026'!$A:$A,"Quantity (units)")</f>
        <v>44</v>
      </c>
      <c r="E119" s="7" t="n">
        <f aca="false">D119-C119</f>
        <v>-18</v>
      </c>
      <c r="F119" s="8" t="n">
        <f aca="false">IF(AND(C119=0,D119=0),0,IF(C119=0,"New",(D119-C119)/C119))</f>
        <v>-0.290322580645161</v>
      </c>
      <c r="G119" s="9" t="n">
        <f aca="false">SUMIFS('Source 2025'!$D:$D,'Source 2025'!$B:$B,$A119,'Source 2025'!$A:$A,"Amount (NIS)")</f>
        <v>6256.2</v>
      </c>
      <c r="H119" s="9" t="n">
        <f aca="false">SUMIFS('Source 2026'!$D:$D,'Source 2026'!$B:$B,$A119,'Source 2026'!$A:$A,"Amount (NIS)")</f>
        <v>4505</v>
      </c>
      <c r="I119" s="9" t="n">
        <f aca="false">H119-G119</f>
        <v>-1751.2</v>
      </c>
      <c r="J119" s="8" t="n">
        <f aca="false">IF(AND(G119=0,H119=0),0,IF(G119=0,"New",(H119-G119)/G119))</f>
        <v>-0.27991432498961</v>
      </c>
    </row>
    <row r="120" customFormat="false" ht="15" hidden="false" customHeight="false" outlineLevel="0" collapsed="false">
      <c r="A120" s="6" t="s">
        <v>127</v>
      </c>
      <c r="B120" s="6" t="str">
        <f aca="false">IFERROR(INDEX('Source 2026'!$C:$C,MATCH($A120,'Source 2026'!$B:$B,0)),IFERROR(INDEX('Source 2025'!$C:$C,MATCH($A120,'Source 2025'!$B:$B,0)),""))</f>
        <v>S  חגורת גב פוג'יאמה</v>
      </c>
      <c r="C120" s="7" t="n">
        <f aca="false">SUMIFS('Source 2025'!$D:$D,'Source 2025'!$B:$B,$A120,'Source 2025'!$A:$A,"Quantity (units)")</f>
        <v>28</v>
      </c>
      <c r="D120" s="7" t="n">
        <f aca="false">SUMIFS('Source 2026'!$D:$D,'Source 2026'!$B:$B,$A120,'Source 2026'!$A:$A,"Quantity (units)")</f>
        <v>8</v>
      </c>
      <c r="E120" s="7" t="n">
        <f aca="false">D120-C120</f>
        <v>-20</v>
      </c>
      <c r="F120" s="8" t="n">
        <f aca="false">IF(AND(C120=0,D120=0),0,IF(C120=0,"New",(D120-C120)/C120))</f>
        <v>-0.714285714285714</v>
      </c>
      <c r="G120" s="9" t="n">
        <f aca="false">SUMIFS('Source 2025'!$D:$D,'Source 2025'!$B:$B,$A120,'Source 2025'!$A:$A,"Amount (NIS)")</f>
        <v>2272.7</v>
      </c>
      <c r="H120" s="9" t="n">
        <f aca="false">SUMIFS('Source 2026'!$D:$D,'Source 2026'!$B:$B,$A120,'Source 2026'!$A:$A,"Amount (NIS)")</f>
        <v>647.1</v>
      </c>
      <c r="I120" s="9" t="n">
        <f aca="false">H120-G120</f>
        <v>-1625.6</v>
      </c>
      <c r="J120" s="8" t="n">
        <f aca="false">IF(AND(G120=0,H120=0),0,IF(G120=0,"New",(H120-G120)/G120))</f>
        <v>-0.715272583270999</v>
      </c>
    </row>
    <row r="121" customFormat="false" ht="15" hidden="false" customHeight="false" outlineLevel="0" collapsed="false">
      <c r="A121" s="6" t="s">
        <v>128</v>
      </c>
      <c r="B121" s="6" t="str">
        <f aca="false">IFERROR(INDEX('Source 2026'!$C:$C,MATCH($A121,'Source 2026'!$B:$B,0)),IFERROR(INDEX('Source 2025'!$C:$C,MATCH($A121,'Source 2025'!$B:$B,0)),""))</f>
        <v>S-M סד לאגודל</v>
      </c>
      <c r="C121" s="7" t="n">
        <f aca="false">SUMIFS('Source 2025'!$D:$D,'Source 2025'!$B:$B,$A121,'Source 2025'!$A:$A,"Quantity (units)")</f>
        <v>2213</v>
      </c>
      <c r="D121" s="7" t="n">
        <f aca="false">SUMIFS('Source 2026'!$D:$D,'Source 2026'!$B:$B,$A121,'Source 2026'!$A:$A,"Quantity (units)")</f>
        <v>2170</v>
      </c>
      <c r="E121" s="7" t="n">
        <f aca="false">D121-C121</f>
        <v>-43</v>
      </c>
      <c r="F121" s="8" t="n">
        <f aca="false">IF(AND(C121=0,D121=0),0,IF(C121=0,"New",(D121-C121)/C121))</f>
        <v>-0.0194306371441482</v>
      </c>
      <c r="G121" s="9" t="n">
        <f aca="false">SUMIFS('Source 2025'!$D:$D,'Source 2025'!$B:$B,$A121,'Source 2025'!$A:$A,"Amount (NIS)")</f>
        <v>129432.9</v>
      </c>
      <c r="H121" s="9" t="n">
        <f aca="false">SUMIFS('Source 2026'!$D:$D,'Source 2026'!$B:$B,$A121,'Source 2026'!$A:$A,"Amount (NIS)")</f>
        <v>127810.9</v>
      </c>
      <c r="I121" s="9" t="n">
        <f aca="false">H121-G121</f>
        <v>-1622</v>
      </c>
      <c r="J121" s="8" t="n">
        <f aca="false">IF(AND(G121=0,H121=0),0,IF(G121=0,"New",(H121-G121)/G121))</f>
        <v>-0.0125315897271868</v>
      </c>
    </row>
    <row r="122" customFormat="false" ht="15" hidden="false" customHeight="false" outlineLevel="0" collapsed="false">
      <c r="A122" s="6" t="s">
        <v>129</v>
      </c>
      <c r="B122" s="6" t="str">
        <f aca="false">IFERROR(INDEX('Source 2026'!$C:$C,MATCH($A122,'Source 2026'!$B:$B,0)),IFERROR(INDEX('Source 2025'!$C:$C,MATCH($A122,'Source 2025'!$B:$B,0)),""))</f>
        <v>כפפות אגודל לחץ</v>
      </c>
      <c r="C122" s="7" t="n">
        <f aca="false">SUMIFS('Source 2025'!$D:$D,'Source 2025'!$B:$B,$A122,'Source 2025'!$A:$A,"Quantity (units)")</f>
        <v>244</v>
      </c>
      <c r="D122" s="7" t="n">
        <f aca="false">SUMIFS('Source 2026'!$D:$D,'Source 2026'!$B:$B,$A122,'Source 2026'!$A:$A,"Quantity (units)")</f>
        <v>183</v>
      </c>
      <c r="E122" s="7" t="n">
        <f aca="false">D122-C122</f>
        <v>-61</v>
      </c>
      <c r="F122" s="8" t="n">
        <f aca="false">IF(AND(C122=0,D122=0),0,IF(C122=0,"New",(D122-C122)/C122))</f>
        <v>-0.25</v>
      </c>
      <c r="G122" s="9" t="n">
        <f aca="false">SUMIFS('Source 2025'!$D:$D,'Source 2025'!$B:$B,$A122,'Source 2025'!$A:$A,"Amount (NIS)")</f>
        <v>6942.4</v>
      </c>
      <c r="H122" s="9" t="n">
        <f aca="false">SUMIFS('Source 2026'!$D:$D,'Source 2026'!$B:$B,$A122,'Source 2026'!$A:$A,"Amount (NIS)")</f>
        <v>5400.6</v>
      </c>
      <c r="I122" s="9" t="n">
        <f aca="false">H122-G122</f>
        <v>-1541.8</v>
      </c>
      <c r="J122" s="8" t="n">
        <f aca="false">IF(AND(G122=0,H122=0),0,IF(G122=0,"New",(H122-G122)/G122))</f>
        <v>-0.222084581700853</v>
      </c>
    </row>
    <row r="123" customFormat="false" ht="15" hidden="false" customHeight="false" outlineLevel="0" collapsed="false">
      <c r="A123" s="6" t="s">
        <v>130</v>
      </c>
      <c r="B123" s="6" t="str">
        <f aca="false">IFERROR(INDEX('Source 2026'!$C:$C,MATCH($A123,'Source 2026'!$B:$B,0)),IFERROR(INDEX('Source 2025'!$C:$C,MATCH($A123,'Source 2025'!$B:$B,0)),""))</f>
        <v>0 חגורה למנותחי בית חזה</v>
      </c>
      <c r="C123" s="7" t="n">
        <f aca="false">SUMIFS('Source 2025'!$D:$D,'Source 2025'!$B:$B,$A123,'Source 2025'!$A:$A,"Quantity (units)")</f>
        <v>2</v>
      </c>
      <c r="D123" s="7" t="n">
        <f aca="false">SUMIFS('Source 2026'!$D:$D,'Source 2026'!$B:$B,$A123,'Source 2026'!$A:$A,"Quantity (units)")</f>
        <v>11</v>
      </c>
      <c r="E123" s="7" t="n">
        <f aca="false">D123-C123</f>
        <v>9</v>
      </c>
      <c r="F123" s="8" t="n">
        <f aca="false">IF(AND(C123=0,D123=0),0,IF(C123=0,"New",(D123-C123)/C123))</f>
        <v>4.5</v>
      </c>
      <c r="G123" s="9" t="n">
        <f aca="false">SUMIFS('Source 2025'!$D:$D,'Source 2025'!$B:$B,$A123,'Source 2025'!$A:$A,"Amount (NIS)")</f>
        <v>442.1</v>
      </c>
      <c r="H123" s="9" t="n">
        <f aca="false">SUMIFS('Source 2026'!$D:$D,'Source 2026'!$B:$B,$A123,'Source 2026'!$A:$A,"Amount (NIS)")</f>
        <v>1896.4</v>
      </c>
      <c r="I123" s="9" t="n">
        <f aca="false">H123-G123</f>
        <v>1454.3</v>
      </c>
      <c r="J123" s="8" t="n">
        <f aca="false">IF(AND(G123=0,H123=0),0,IF(G123=0,"New",(H123-G123)/G123))</f>
        <v>3.28952725627686</v>
      </c>
    </row>
    <row r="124" customFormat="false" ht="15" hidden="false" customHeight="false" outlineLevel="0" collapsed="false">
      <c r="A124" s="6" t="s">
        <v>131</v>
      </c>
      <c r="B124" s="6" t="str">
        <f aca="false">IFERROR(INDEX('Source 2026'!$C:$C,MATCH($A124,'Source 2026'!$B:$B,0)),IFERROR(INDEX('Source 2025'!$C:$C,MATCH($A124,'Source 2025'!$B:$B,0)),""))</f>
        <v>כרית ליישור אצבע פטיש</v>
      </c>
      <c r="C124" s="7" t="n">
        <f aca="false">SUMIFS('Source 2025'!$D:$D,'Source 2025'!$B:$B,$A124,'Source 2025'!$A:$A,"Quantity (units)")</f>
        <v>235</v>
      </c>
      <c r="D124" s="7" t="n">
        <f aca="false">SUMIFS('Source 2026'!$D:$D,'Source 2026'!$B:$B,$A124,'Source 2026'!$A:$A,"Quantity (units)")</f>
        <v>177</v>
      </c>
      <c r="E124" s="7" t="n">
        <f aca="false">D124-C124</f>
        <v>-58</v>
      </c>
      <c r="F124" s="8" t="n">
        <f aca="false">IF(AND(C124=0,D124=0),0,IF(C124=0,"New",(D124-C124)/C124))</f>
        <v>-0.246808510638298</v>
      </c>
      <c r="G124" s="9" t="n">
        <f aca="false">SUMIFS('Source 2025'!$D:$D,'Source 2025'!$B:$B,$A124,'Source 2025'!$A:$A,"Amount (NIS)")</f>
        <v>5701.6</v>
      </c>
      <c r="H124" s="9" t="n">
        <f aca="false">SUMIFS('Source 2026'!$D:$D,'Source 2026'!$B:$B,$A124,'Source 2026'!$A:$A,"Amount (NIS)")</f>
        <v>4296.7</v>
      </c>
      <c r="I124" s="9" t="n">
        <f aca="false">H124-G124</f>
        <v>-1404.9</v>
      </c>
      <c r="J124" s="8" t="n">
        <f aca="false">IF(AND(G124=0,H124=0),0,IF(G124=0,"New",(H124-G124)/G124))</f>
        <v>-0.246404518030027</v>
      </c>
    </row>
    <row r="125" customFormat="false" ht="15" hidden="false" customHeight="false" outlineLevel="0" collapsed="false">
      <c r="A125" s="6" t="s">
        <v>132</v>
      </c>
      <c r="B125" s="6" t="str">
        <f aca="false">IFERROR(INDEX('Source 2026'!$C:$C,MATCH($A125,'Source 2026'!$B:$B,0)),IFERROR(INDEX('Source 2025'!$C:$C,MATCH($A125,'Source 2025'!$B:$B,0)),""))</f>
        <v>גרבי ג'ל לריכוך עור העקב</v>
      </c>
      <c r="C125" s="7" t="n">
        <f aca="false">SUMIFS('Source 2025'!$D:$D,'Source 2025'!$B:$B,$A125,'Source 2025'!$A:$A,"Quantity (units)")</f>
        <v>111</v>
      </c>
      <c r="D125" s="7" t="n">
        <f aca="false">SUMIFS('Source 2026'!$D:$D,'Source 2026'!$B:$B,$A125,'Source 2026'!$A:$A,"Quantity (units)")</f>
        <v>62</v>
      </c>
      <c r="E125" s="7" t="n">
        <f aca="false">D125-C125</f>
        <v>-49</v>
      </c>
      <c r="F125" s="8" t="n">
        <f aca="false">IF(AND(C125=0,D125=0),0,IF(C125=0,"New",(D125-C125)/C125))</f>
        <v>-0.441441441441441</v>
      </c>
      <c r="G125" s="9" t="n">
        <f aca="false">SUMIFS('Source 2025'!$D:$D,'Source 2025'!$B:$B,$A125,'Source 2025'!$A:$A,"Amount (NIS)")</f>
        <v>3384.7</v>
      </c>
      <c r="H125" s="9" t="n">
        <f aca="false">SUMIFS('Source 2026'!$D:$D,'Source 2026'!$B:$B,$A125,'Source 2026'!$A:$A,"Amount (NIS)")</f>
        <v>1987</v>
      </c>
      <c r="I125" s="9" t="n">
        <f aca="false">H125-G125</f>
        <v>-1397.7</v>
      </c>
      <c r="J125" s="8" t="n">
        <f aca="false">IF(AND(G125=0,H125=0),0,IF(G125=0,"New",(H125-G125)/G125))</f>
        <v>-0.412946494519455</v>
      </c>
    </row>
    <row r="126" customFormat="false" ht="15" hidden="false" customHeight="false" outlineLevel="0" collapsed="false">
      <c r="A126" s="6" t="s">
        <v>133</v>
      </c>
      <c r="B126" s="6" t="str">
        <f aca="false">IFERROR(INDEX('Source 2026'!$C:$C,MATCH($A126,'Source 2026'!$B:$B,0)),IFERROR(INDEX('Source 2025'!$C:$C,MATCH($A126,'Source 2025'!$B:$B,0)),""))</f>
        <v>קיבוע לאצבע הדק</v>
      </c>
      <c r="C126" s="7" t="n">
        <f aca="false">SUMIFS('Source 2025'!$D:$D,'Source 2025'!$B:$B,$A126,'Source 2025'!$A:$A,"Quantity (units)")</f>
        <v>217</v>
      </c>
      <c r="D126" s="7" t="n">
        <f aca="false">SUMIFS('Source 2026'!$D:$D,'Source 2026'!$B:$B,$A126,'Source 2026'!$A:$A,"Quantity (units)")</f>
        <v>158</v>
      </c>
      <c r="E126" s="7" t="n">
        <f aca="false">D126-C126</f>
        <v>-59</v>
      </c>
      <c r="F126" s="8" t="n">
        <f aca="false">IF(AND(C126=0,D126=0),0,IF(C126=0,"New",(D126-C126)/C126))</f>
        <v>-0.271889400921659</v>
      </c>
      <c r="G126" s="9" t="n">
        <f aca="false">SUMIFS('Source 2025'!$D:$D,'Source 2025'!$B:$B,$A126,'Source 2025'!$A:$A,"Amount (NIS)")</f>
        <v>5300.6</v>
      </c>
      <c r="H126" s="9" t="n">
        <f aca="false">SUMIFS('Source 2026'!$D:$D,'Source 2026'!$B:$B,$A126,'Source 2026'!$A:$A,"Amount (NIS)")</f>
        <v>3912.8</v>
      </c>
      <c r="I126" s="9" t="n">
        <f aca="false">H126-G126</f>
        <v>-1387.8</v>
      </c>
      <c r="J126" s="8" t="n">
        <f aca="false">IF(AND(G126=0,H126=0),0,IF(G126=0,"New",(H126-G126)/G126))</f>
        <v>-0.261819416669811</v>
      </c>
    </row>
    <row r="127" customFormat="false" ht="15" hidden="false" customHeight="false" outlineLevel="0" collapsed="false">
      <c r="A127" s="6" t="s">
        <v>134</v>
      </c>
      <c r="B127" s="6" t="str">
        <f aca="false">IFERROR(INDEX('Source 2026'!$C:$C,MATCH($A127,'Source 2026'!$B:$B,0)),IFERROR(INDEX('Source 2025'!$C:$C,MATCH($A127,'Source 2025'!$B:$B,0)),""))</f>
        <v>S מגן שוק</v>
      </c>
      <c r="C127" s="7" t="n">
        <f aca="false">SUMIFS('Source 2025'!$D:$D,'Source 2025'!$B:$B,$A127,'Source 2025'!$A:$A,"Quantity (units)")</f>
        <v>16</v>
      </c>
      <c r="D127" s="7" t="n">
        <f aca="false">SUMIFS('Source 2026'!$D:$D,'Source 2026'!$B:$B,$A127,'Source 2026'!$A:$A,"Quantity (units)")</f>
        <v>26</v>
      </c>
      <c r="E127" s="7" t="n">
        <f aca="false">D127-C127</f>
        <v>10</v>
      </c>
      <c r="F127" s="8" t="n">
        <f aca="false">IF(AND(C127=0,D127=0),0,IF(C127=0,"New",(D127-C127)/C127))</f>
        <v>0.625</v>
      </c>
      <c r="G127" s="9" t="n">
        <f aca="false">SUMIFS('Source 2025'!$D:$D,'Source 2025'!$B:$B,$A127,'Source 2025'!$A:$A,"Amount (NIS)")</f>
        <v>2172.2</v>
      </c>
      <c r="H127" s="9" t="n">
        <f aca="false">SUMIFS('Source 2026'!$D:$D,'Source 2026'!$B:$B,$A127,'Source 2026'!$A:$A,"Amount (NIS)")</f>
        <v>3489.8</v>
      </c>
      <c r="I127" s="9" t="n">
        <f aca="false">H127-G127</f>
        <v>1317.6</v>
      </c>
      <c r="J127" s="8" t="n">
        <f aca="false">IF(AND(G127=0,H127=0),0,IF(G127=0,"New",(H127-G127)/G127))</f>
        <v>0.606573980296474</v>
      </c>
    </row>
    <row r="128" customFormat="false" ht="15" hidden="false" customHeight="false" outlineLevel="0" collapsed="false">
      <c r="A128" s="6" t="s">
        <v>135</v>
      </c>
      <c r="B128" s="6" t="str">
        <f aca="false">IFERROR(INDEX('Source 2026'!$C:$C,MATCH($A128,'Source 2026'!$B:$B,0)),IFERROR(INDEX('Source 2025'!$C:$C,MATCH($A128,'Source 2025'!$B:$B,0)),""))</f>
        <v>סד ליישור אצבע</v>
      </c>
      <c r="C128" s="7" t="n">
        <f aca="false">SUMIFS('Source 2025'!$D:$D,'Source 2025'!$B:$B,$A128,'Source 2025'!$A:$A,"Quantity (units)")</f>
        <v>2021</v>
      </c>
      <c r="D128" s="7" t="n">
        <f aca="false">SUMIFS('Source 2026'!$D:$D,'Source 2026'!$B:$B,$A128,'Source 2026'!$A:$A,"Quantity (units)")</f>
        <v>1845</v>
      </c>
      <c r="E128" s="7" t="n">
        <f aca="false">D128-C128</f>
        <v>-176</v>
      </c>
      <c r="F128" s="8" t="n">
        <f aca="false">IF(AND(C128=0,D128=0),0,IF(C128=0,"New",(D128-C128)/C128))</f>
        <v>-0.0870856011875309</v>
      </c>
      <c r="G128" s="9" t="n">
        <f aca="false">SUMIFS('Source 2025'!$D:$D,'Source 2025'!$B:$B,$A128,'Source 2025'!$A:$A,"Amount (NIS)")</f>
        <v>28832.9</v>
      </c>
      <c r="H128" s="9" t="n">
        <f aca="false">SUMIFS('Source 2026'!$D:$D,'Source 2026'!$B:$B,$A128,'Source 2026'!$A:$A,"Amount (NIS)")</f>
        <v>27547.4</v>
      </c>
      <c r="I128" s="9" t="n">
        <f aca="false">H128-G128</f>
        <v>-1285.5</v>
      </c>
      <c r="J128" s="8" t="n">
        <f aca="false">IF(AND(G128=0,H128=0),0,IF(G128=0,"New",(H128-G128)/G128))</f>
        <v>-0.0445844850847469</v>
      </c>
    </row>
    <row r="129" customFormat="false" ht="15" hidden="false" customHeight="false" outlineLevel="0" collapsed="false">
      <c r="A129" s="6" t="s">
        <v>136</v>
      </c>
      <c r="B129" s="6" t="str">
        <f aca="false">IFERROR(INDEX('Source 2026'!$C:$C,MATCH($A129,'Source 2026'!$B:$B,0)),IFERROR(INDEX('Source 2025'!$C:$C,MATCH($A129,'Source 2025'!$B:$B,0)),""))</f>
        <v>11 אפורUGחגורת בטן</v>
      </c>
      <c r="C129" s="7" t="n">
        <f aca="false">SUMIFS('Source 2025'!$D:$D,'Source 2025'!$B:$B,$A129,'Source 2025'!$A:$A,"Quantity (units)")</f>
        <v>15</v>
      </c>
      <c r="D129" s="7" t="n">
        <f aca="false">SUMIFS('Source 2026'!$D:$D,'Source 2026'!$B:$B,$A129,'Source 2026'!$A:$A,"Quantity (units)")</f>
        <v>0</v>
      </c>
      <c r="E129" s="7" t="n">
        <f aca="false">D129-C129</f>
        <v>-15</v>
      </c>
      <c r="F129" s="8" t="n">
        <f aca="false">IF(AND(C129=0,D129=0),0,IF(C129=0,"New",(D129-C129)/C129))</f>
        <v>-1</v>
      </c>
      <c r="G129" s="9" t="n">
        <f aca="false">SUMIFS('Source 2025'!$D:$D,'Source 2025'!$B:$B,$A129,'Source 2025'!$A:$A,"Amount (NIS)")</f>
        <v>1210.5</v>
      </c>
      <c r="H129" s="9" t="n">
        <f aca="false">SUMIFS('Source 2026'!$D:$D,'Source 2026'!$B:$B,$A129,'Source 2026'!$A:$A,"Amount (NIS)")</f>
        <v>25.9</v>
      </c>
      <c r="I129" s="9" t="n">
        <f aca="false">H129-G129</f>
        <v>-1184.6</v>
      </c>
      <c r="J129" s="8" t="n">
        <f aca="false">IF(AND(G129=0,H129=0),0,IF(G129=0,"New",(H129-G129)/G129))</f>
        <v>-0.978603882693102</v>
      </c>
    </row>
    <row r="130" customFormat="false" ht="15" hidden="false" customHeight="false" outlineLevel="0" collapsed="false">
      <c r="A130" s="6" t="s">
        <v>137</v>
      </c>
      <c r="B130" s="6" t="str">
        <f aca="false">IFERROR(INDEX('Source 2026'!$C:$C,MATCH($A130,'Source 2026'!$B:$B,0)),IFERROR(INDEX('Source 2025'!$C:$C,MATCH($A130,'Source 2025'!$B:$B,0)),""))</f>
        <v>מגן קרסול עקב סגור+רצוע</v>
      </c>
      <c r="C130" s="7" t="n">
        <f aca="false">SUMIFS('Source 2025'!$D:$D,'Source 2025'!$B:$B,$A130,'Source 2025'!$A:$A,"Quantity (units)")</f>
        <v>83</v>
      </c>
      <c r="D130" s="7" t="n">
        <f aca="false">SUMIFS('Source 2026'!$D:$D,'Source 2026'!$B:$B,$A130,'Source 2026'!$A:$A,"Quantity (units)")</f>
        <v>59</v>
      </c>
      <c r="E130" s="7" t="n">
        <f aca="false">D130-C130</f>
        <v>-24</v>
      </c>
      <c r="F130" s="8" t="n">
        <f aca="false">IF(AND(C130=0,D130=0),0,IF(C130=0,"New",(D130-C130)/C130))</f>
        <v>-0.289156626506024</v>
      </c>
      <c r="G130" s="9" t="n">
        <f aca="false">SUMIFS('Source 2025'!$D:$D,'Source 2025'!$B:$B,$A130,'Source 2025'!$A:$A,"Amount (NIS)")</f>
        <v>4401.3</v>
      </c>
      <c r="H130" s="9" t="n">
        <f aca="false">SUMIFS('Source 2026'!$D:$D,'Source 2026'!$B:$B,$A130,'Source 2026'!$A:$A,"Amount (NIS)")</f>
        <v>3227.7</v>
      </c>
      <c r="I130" s="9" t="n">
        <f aca="false">H130-G130</f>
        <v>-1173.6</v>
      </c>
      <c r="J130" s="8" t="n">
        <f aca="false">IF(AND(G130=0,H130=0),0,IF(G130=0,"New",(H130-G130)/G130))</f>
        <v>-0.266648490218799</v>
      </c>
    </row>
    <row r="131" customFormat="false" ht="15" hidden="false" customHeight="false" outlineLevel="0" collapsed="false">
      <c r="A131" s="6" t="s">
        <v>138</v>
      </c>
      <c r="B131" s="6" t="str">
        <f aca="false">IFERROR(INDEX('Source 2026'!$C:$C,MATCH($A131,'Source 2026'!$B:$B,0)),IFERROR(INDEX('Source 2025'!$C:$C,MATCH($A131,'Source 2025'!$B:$B,0)),""))</f>
        <v>כפפות לחץ</v>
      </c>
      <c r="C131" s="7" t="n">
        <f aca="false">SUMIFS('Source 2025'!$D:$D,'Source 2025'!$B:$B,$A131,'Source 2025'!$A:$A,"Quantity (units)")</f>
        <v>76</v>
      </c>
      <c r="D131" s="7" t="n">
        <f aca="false">SUMIFS('Source 2026'!$D:$D,'Source 2026'!$B:$B,$A131,'Source 2026'!$A:$A,"Quantity (units)")</f>
        <v>34</v>
      </c>
      <c r="E131" s="7" t="n">
        <f aca="false">D131-C131</f>
        <v>-42</v>
      </c>
      <c r="F131" s="8" t="n">
        <f aca="false">IF(AND(C131=0,D131=0),0,IF(C131=0,"New",(D131-C131)/C131))</f>
        <v>-0.552631578947369</v>
      </c>
      <c r="G131" s="9" t="n">
        <f aca="false">SUMIFS('Source 2025'!$D:$D,'Source 2025'!$B:$B,$A131,'Source 2025'!$A:$A,"Amount (NIS)")</f>
        <v>2156.6</v>
      </c>
      <c r="H131" s="9" t="n">
        <f aca="false">SUMIFS('Source 2026'!$D:$D,'Source 2026'!$B:$B,$A131,'Source 2026'!$A:$A,"Amount (NIS)")</f>
        <v>993.8</v>
      </c>
      <c r="I131" s="9" t="n">
        <f aca="false">H131-G131</f>
        <v>-1162.8</v>
      </c>
      <c r="J131" s="8" t="n">
        <f aca="false">IF(AND(G131=0,H131=0),0,IF(G131=0,"New",(H131-G131)/G131))</f>
        <v>-0.539182045812854</v>
      </c>
    </row>
    <row r="132" customFormat="false" ht="15" hidden="false" customHeight="false" outlineLevel="0" collapsed="false">
      <c r="A132" s="6" t="s">
        <v>139</v>
      </c>
      <c r="B132" s="6" t="str">
        <f aca="false">IFERROR(INDEX('Source 2026'!$C:$C,MATCH($A132,'Source 2026'!$B:$B,0)),IFERROR(INDEX('Source 2025'!$C:$C,MATCH($A132,'Source 2025'!$B:$B,0)),""))</f>
        <v>Sמיישר כתף יציב יישור ג.רחב</v>
      </c>
      <c r="C132" s="7" t="n">
        <f aca="false">SUMIFS('Source 2025'!$D:$D,'Source 2025'!$B:$B,$A132,'Source 2025'!$A:$A,"Quantity (units)")</f>
        <v>22</v>
      </c>
      <c r="D132" s="7" t="n">
        <f aca="false">SUMIFS('Source 2026'!$D:$D,'Source 2026'!$B:$B,$A132,'Source 2026'!$A:$A,"Quantity (units)")</f>
        <v>27</v>
      </c>
      <c r="E132" s="7" t="n">
        <f aca="false">D132-C132</f>
        <v>5</v>
      </c>
      <c r="F132" s="8" t="n">
        <f aca="false">IF(AND(C132=0,D132=0),0,IF(C132=0,"New",(D132-C132)/C132))</f>
        <v>0.227272727272727</v>
      </c>
      <c r="G132" s="9" t="n">
        <f aca="false">SUMIFS('Source 2025'!$D:$D,'Source 2025'!$B:$B,$A132,'Source 2025'!$A:$A,"Amount (NIS)")</f>
        <v>3604.4</v>
      </c>
      <c r="H132" s="9" t="n">
        <f aca="false">SUMIFS('Source 2026'!$D:$D,'Source 2026'!$B:$B,$A132,'Source 2026'!$A:$A,"Amount (NIS)")</f>
        <v>4676.4</v>
      </c>
      <c r="I132" s="9" t="n">
        <f aca="false">H132-G132</f>
        <v>1072</v>
      </c>
      <c r="J132" s="8" t="n">
        <f aca="false">IF(AND(G132=0,H132=0),0,IF(G132=0,"New",(H132-G132)/G132))</f>
        <v>0.29741427144601</v>
      </c>
    </row>
    <row r="133" customFormat="false" ht="15" hidden="false" customHeight="false" outlineLevel="0" collapsed="false">
      <c r="A133" s="6" t="s">
        <v>140</v>
      </c>
      <c r="B133" s="6" t="str">
        <f aca="false">IFERROR(INDEX('Source 2026'!$C:$C,MATCH($A133,'Source 2026'!$B:$B,0)),IFERROR(INDEX('Source 2025'!$C:$C,MATCH($A133,'Source 2025'!$B:$B,0)),""))</f>
        <v>S מגן קרסול ימין</v>
      </c>
      <c r="C133" s="7" t="n">
        <f aca="false">SUMIFS('Source 2025'!$D:$D,'Source 2025'!$B:$B,$A133,'Source 2025'!$A:$A,"Quantity (units)")</f>
        <v>56</v>
      </c>
      <c r="D133" s="7" t="n">
        <f aca="false">SUMIFS('Source 2026'!$D:$D,'Source 2026'!$B:$B,$A133,'Source 2026'!$A:$A,"Quantity (units)")</f>
        <v>41</v>
      </c>
      <c r="E133" s="7" t="n">
        <f aca="false">D133-C133</f>
        <v>-15</v>
      </c>
      <c r="F133" s="8" t="n">
        <f aca="false">IF(AND(C133=0,D133=0),0,IF(C133=0,"New",(D133-C133)/C133))</f>
        <v>-0.267857142857143</v>
      </c>
      <c r="G133" s="9" t="n">
        <f aca="false">SUMIFS('Source 2025'!$D:$D,'Source 2025'!$B:$B,$A133,'Source 2025'!$A:$A,"Amount (NIS)")</f>
        <v>4138</v>
      </c>
      <c r="H133" s="9" t="n">
        <f aca="false">SUMIFS('Source 2026'!$D:$D,'Source 2026'!$B:$B,$A133,'Source 2026'!$A:$A,"Amount (NIS)")</f>
        <v>3071.2</v>
      </c>
      <c r="I133" s="9" t="n">
        <f aca="false">H133-G133</f>
        <v>-1066.8</v>
      </c>
      <c r="J133" s="8" t="n">
        <f aca="false">IF(AND(G133=0,H133=0),0,IF(G133=0,"New",(H133-G133)/G133))</f>
        <v>-0.257805703238279</v>
      </c>
    </row>
    <row r="134" customFormat="false" ht="15" hidden="false" customHeight="false" outlineLevel="0" collapsed="false">
      <c r="A134" s="6" t="s">
        <v>141</v>
      </c>
      <c r="B134" s="6" t="str">
        <f aca="false">IFERROR(INDEX('Source 2026'!$C:$C,MATCH($A134,'Source 2026'!$B:$B,0)),IFERROR(INDEX('Source 2025'!$C:$C,MATCH($A134,'Source 2025'!$B:$B,0)),""))</f>
        <v>S מגן מרפק</v>
      </c>
      <c r="C134" s="7" t="n">
        <f aca="false">SUMIFS('Source 2025'!$D:$D,'Source 2025'!$B:$B,$A134,'Source 2025'!$A:$A,"Quantity (units)")</f>
        <v>54</v>
      </c>
      <c r="D134" s="7" t="n">
        <f aca="false">SUMIFS('Source 2026'!$D:$D,'Source 2026'!$B:$B,$A134,'Source 2026'!$A:$A,"Quantity (units)")</f>
        <v>39</v>
      </c>
      <c r="E134" s="7" t="n">
        <f aca="false">D134-C134</f>
        <v>-15</v>
      </c>
      <c r="F134" s="8" t="n">
        <f aca="false">IF(AND(C134=0,D134=0),0,IF(C134=0,"New",(D134-C134)/C134))</f>
        <v>-0.277777777777778</v>
      </c>
      <c r="G134" s="9" t="n">
        <f aca="false">SUMIFS('Source 2025'!$D:$D,'Source 2025'!$B:$B,$A134,'Source 2025'!$A:$A,"Amount (NIS)")</f>
        <v>4015.1</v>
      </c>
      <c r="H134" s="9" t="n">
        <f aca="false">SUMIFS('Source 2026'!$D:$D,'Source 2026'!$B:$B,$A134,'Source 2026'!$A:$A,"Amount (NIS)")</f>
        <v>2951.2</v>
      </c>
      <c r="I134" s="9" t="n">
        <f aca="false">H134-G134</f>
        <v>-1063.9</v>
      </c>
      <c r="J134" s="8" t="n">
        <f aca="false">IF(AND(G134=0,H134=0),0,IF(G134=0,"New",(H134-G134)/G134))</f>
        <v>-0.264974720430375</v>
      </c>
    </row>
    <row r="135" customFormat="false" ht="15" hidden="false" customHeight="false" outlineLevel="0" collapsed="false">
      <c r="A135" s="6" t="s">
        <v>142</v>
      </c>
      <c r="B135" s="6" t="str">
        <f aca="false">IFERROR(INDEX('Source 2026'!$C:$C,MATCH($A135,'Source 2026'!$B:$B,0)),IFERROR(INDEX('Source 2025'!$C:$C,MATCH($A135,'Source 2025'!$B:$B,0)),""))</f>
        <v>S מגן ברך מחמם</v>
      </c>
      <c r="C135" s="7" t="n">
        <f aca="false">SUMIFS('Source 2025'!$D:$D,'Source 2025'!$B:$B,$A135,'Source 2025'!$A:$A,"Quantity (units)")</f>
        <v>30</v>
      </c>
      <c r="D135" s="7" t="n">
        <f aca="false">SUMIFS('Source 2026'!$D:$D,'Source 2026'!$B:$B,$A135,'Source 2026'!$A:$A,"Quantity (units)")</f>
        <v>8</v>
      </c>
      <c r="E135" s="7" t="n">
        <f aca="false">D135-C135</f>
        <v>-22</v>
      </c>
      <c r="F135" s="8" t="n">
        <f aca="false">IF(AND(C135=0,D135=0),0,IF(C135=0,"New",(D135-C135)/C135))</f>
        <v>-0.733333333333333</v>
      </c>
      <c r="G135" s="9" t="n">
        <f aca="false">SUMIFS('Source 2025'!$D:$D,'Source 2025'!$B:$B,$A135,'Source 2025'!$A:$A,"Amount (NIS)")</f>
        <v>1458.6</v>
      </c>
      <c r="H135" s="9" t="n">
        <f aca="false">SUMIFS('Source 2026'!$D:$D,'Source 2026'!$B:$B,$A135,'Source 2026'!$A:$A,"Amount (NIS)")</f>
        <v>395.8</v>
      </c>
      <c r="I135" s="9" t="n">
        <f aca="false">H135-G135</f>
        <v>-1062.8</v>
      </c>
      <c r="J135" s="8" t="n">
        <f aca="false">IF(AND(G135=0,H135=0),0,IF(G135=0,"New",(H135-G135)/G135))</f>
        <v>-0.728643905114493</v>
      </c>
    </row>
    <row r="136" customFormat="false" ht="15" hidden="false" customHeight="false" outlineLevel="0" collapsed="false">
      <c r="A136" s="6" t="s">
        <v>143</v>
      </c>
      <c r="B136" s="6" t="str">
        <f aca="false">IFERROR(INDEX('Source 2026'!$C:$C,MATCH($A136,'Source 2026'!$B:$B,0)),IFERROR(INDEX('Source 2025'!$C:$C,MATCH($A136,'Source 2025'!$B:$B,0)),""))</f>
        <v>גרב כסף לסכרתיים לבן35-38</v>
      </c>
      <c r="C136" s="7" t="n">
        <f aca="false">SUMIFS('Source 2025'!$D:$D,'Source 2025'!$B:$B,$A136,'Source 2025'!$A:$A,"Quantity (units)")</f>
        <v>89</v>
      </c>
      <c r="D136" s="7" t="n">
        <f aca="false">SUMIFS('Source 2026'!$D:$D,'Source 2026'!$B:$B,$A136,'Source 2026'!$A:$A,"Quantity (units)")</f>
        <v>54</v>
      </c>
      <c r="E136" s="7" t="n">
        <f aca="false">D136-C136</f>
        <v>-35</v>
      </c>
      <c r="F136" s="8" t="n">
        <f aca="false">IF(AND(C136=0,D136=0),0,IF(C136=0,"New",(D136-C136)/C136))</f>
        <v>-0.393258426966292</v>
      </c>
      <c r="G136" s="9" t="n">
        <f aca="false">SUMIFS('Source 2025'!$D:$D,'Source 2025'!$B:$B,$A136,'Source 2025'!$A:$A,"Amount (NIS)")</f>
        <v>2600.4</v>
      </c>
      <c r="H136" s="9" t="n">
        <f aca="false">SUMIFS('Source 2026'!$D:$D,'Source 2026'!$B:$B,$A136,'Source 2026'!$A:$A,"Amount (NIS)")</f>
        <v>1575.2</v>
      </c>
      <c r="I136" s="9" t="n">
        <f aca="false">H136-G136</f>
        <v>-1025.2</v>
      </c>
      <c r="J136" s="8" t="n">
        <f aca="false">IF(AND(G136=0,H136=0),0,IF(G136=0,"New",(H136-G136)/G136))</f>
        <v>-0.39424703891709</v>
      </c>
    </row>
    <row r="137" customFormat="false" ht="15" hidden="false" customHeight="false" outlineLevel="0" collapsed="false">
      <c r="A137" s="6" t="s">
        <v>144</v>
      </c>
      <c r="B137" s="6" t="str">
        <f aca="false">IFERROR(INDEX('Source 2026'!$C:$C,MATCH($A137,'Source 2026'!$B:$B,0)),IFERROR(INDEX('Source 2025'!$C:$C,MATCH($A137,'Source 2025'!$B:$B,0)),""))</f>
        <v>S-Lטבעת אלסטית מסיליקון</v>
      </c>
      <c r="C137" s="7" t="n">
        <f aca="false">SUMIFS('Source 2025'!$D:$D,'Source 2025'!$B:$B,$A137,'Source 2025'!$A:$A,"Quantity (units)")</f>
        <v>223</v>
      </c>
      <c r="D137" s="7" t="n">
        <f aca="false">SUMIFS('Source 2026'!$D:$D,'Source 2026'!$B:$B,$A137,'Source 2026'!$A:$A,"Quantity (units)")</f>
        <v>131</v>
      </c>
      <c r="E137" s="7" t="n">
        <f aca="false">D137-C137</f>
        <v>-92</v>
      </c>
      <c r="F137" s="8" t="n">
        <f aca="false">IF(AND(C137=0,D137=0),0,IF(C137=0,"New",(D137-C137)/C137))</f>
        <v>-0.412556053811659</v>
      </c>
      <c r="G137" s="9" t="n">
        <f aca="false">SUMIFS('Source 2025'!$D:$D,'Source 2025'!$B:$B,$A137,'Source 2025'!$A:$A,"Amount (NIS)")</f>
        <v>2310.4</v>
      </c>
      <c r="H137" s="9" t="n">
        <f aca="false">SUMIFS('Source 2026'!$D:$D,'Source 2026'!$B:$B,$A137,'Source 2026'!$A:$A,"Amount (NIS)")</f>
        <v>1378</v>
      </c>
      <c r="I137" s="9" t="n">
        <f aca="false">H137-G137</f>
        <v>-932.4</v>
      </c>
      <c r="J137" s="8" t="n">
        <f aca="false">IF(AND(G137=0,H137=0),0,IF(G137=0,"New",(H137-G137)/G137))</f>
        <v>-0.40356648199446</v>
      </c>
    </row>
    <row r="138" customFormat="false" ht="15" hidden="false" customHeight="false" outlineLevel="0" collapsed="false">
      <c r="A138" s="6" t="s">
        <v>145</v>
      </c>
      <c r="B138" s="6" t="str">
        <f aca="false">IFERROR(INDEX('Source 2026'!$C:$C,MATCH($A138,'Source 2026'!$B:$B,0)),IFERROR(INDEX('Source 2025'!$C:$C,MATCH($A138,'Source 2025'!$B:$B,0)),""))</f>
        <v>0 רפידת לילדים אנטי ריח</v>
      </c>
      <c r="C138" s="7" t="n">
        <f aca="false">SUMIFS('Source 2025'!$D:$D,'Source 2025'!$B:$B,$A138,'Source 2025'!$A:$A,"Quantity (units)")</f>
        <v>140</v>
      </c>
      <c r="D138" s="7" t="n">
        <f aca="false">SUMIFS('Source 2026'!$D:$D,'Source 2026'!$B:$B,$A138,'Source 2026'!$A:$A,"Quantity (units)")</f>
        <v>56</v>
      </c>
      <c r="E138" s="7" t="n">
        <f aca="false">D138-C138</f>
        <v>-84</v>
      </c>
      <c r="F138" s="8" t="n">
        <f aca="false">IF(AND(C138=0,D138=0),0,IF(C138=0,"New",(D138-C138)/C138))</f>
        <v>-0.6</v>
      </c>
      <c r="G138" s="9" t="n">
        <f aca="false">SUMIFS('Source 2025'!$D:$D,'Source 2025'!$B:$B,$A138,'Source 2025'!$A:$A,"Amount (NIS)")</f>
        <v>1434.1</v>
      </c>
      <c r="H138" s="9" t="n">
        <f aca="false">SUMIFS('Source 2026'!$D:$D,'Source 2026'!$B:$B,$A138,'Source 2026'!$A:$A,"Amount (NIS)")</f>
        <v>574.5</v>
      </c>
      <c r="I138" s="9" t="n">
        <f aca="false">H138-G138</f>
        <v>-859.6</v>
      </c>
      <c r="J138" s="8" t="n">
        <f aca="false">IF(AND(G138=0,H138=0),0,IF(G138=0,"New",(H138-G138)/G138))</f>
        <v>-0.599400320758664</v>
      </c>
    </row>
    <row r="139" customFormat="false" ht="15" hidden="false" customHeight="false" outlineLevel="0" collapsed="false">
      <c r="A139" s="6" t="s">
        <v>146</v>
      </c>
      <c r="B139" s="6" t="str">
        <f aca="false">IFERROR(INDEX('Source 2026'!$C:$C,MATCH($A139,'Source 2026'!$B:$B,0)),IFERROR(INDEX('Source 2025'!$C:$C,MATCH($A139,'Source 2025'!$B:$B,0)),""))</f>
        <v>סד לילה לבוהן</v>
      </c>
      <c r="C139" s="7" t="n">
        <f aca="false">SUMIFS('Source 2025'!$D:$D,'Source 2025'!$B:$B,$A139,'Source 2025'!$A:$A,"Quantity (units)")</f>
        <v>-16</v>
      </c>
      <c r="D139" s="7" t="n">
        <f aca="false">SUMIFS('Source 2026'!$D:$D,'Source 2026'!$B:$B,$A139,'Source 2026'!$A:$A,"Quantity (units)")</f>
        <v>-3</v>
      </c>
      <c r="E139" s="7" t="n">
        <f aca="false">D139-C139</f>
        <v>13</v>
      </c>
      <c r="F139" s="8" t="n">
        <f aca="false">IF(AND(C139=0,D139=0),0,IF(C139=0,"New",(D139-C139)/C139))</f>
        <v>-0.8125</v>
      </c>
      <c r="G139" s="9" t="n">
        <f aca="false">SUMIFS('Source 2025'!$D:$D,'Source 2025'!$B:$B,$A139,'Source 2025'!$A:$A,"Amount (NIS)")</f>
        <v>-1026.6</v>
      </c>
      <c r="H139" s="9" t="n">
        <f aca="false">SUMIFS('Source 2026'!$D:$D,'Source 2026'!$B:$B,$A139,'Source 2026'!$A:$A,"Amount (NIS)")</f>
        <v>-192.5</v>
      </c>
      <c r="I139" s="9" t="n">
        <f aca="false">H139-G139</f>
        <v>834.1</v>
      </c>
      <c r="J139" s="8" t="n">
        <f aca="false">IF(AND(G139=0,H139=0),0,IF(G139=0,"New",(H139-G139)/G139))</f>
        <v>-0.812487823884668</v>
      </c>
    </row>
    <row r="140" customFormat="false" ht="15" hidden="false" customHeight="false" outlineLevel="0" collapsed="false">
      <c r="A140" s="6" t="s">
        <v>147</v>
      </c>
      <c r="B140" s="6" t="str">
        <f aca="false">IFERROR(INDEX('Source 2026'!$C:$C,MATCH($A140,'Source 2026'!$B:$B,0)),IFERROR(INDEX('Source 2025'!$C:$C,MATCH($A140,'Source 2025'!$B:$B,0)),""))</f>
        <v>Lמ.ברך+כרית סיל.סביב לפיקה</v>
      </c>
      <c r="C140" s="7" t="n">
        <f aca="false">SUMIFS('Source 2025'!$D:$D,'Source 2025'!$B:$B,$A140,'Source 2025'!$A:$A,"Quantity (units)")</f>
        <v>-3</v>
      </c>
      <c r="D140" s="7" t="n">
        <f aca="false">SUMIFS('Source 2026'!$D:$D,'Source 2026'!$B:$B,$A140,'Source 2026'!$A:$A,"Quantity (units)")</f>
        <v>-9</v>
      </c>
      <c r="E140" s="7" t="n">
        <f aca="false">D140-C140</f>
        <v>-6</v>
      </c>
      <c r="F140" s="8" t="n">
        <f aca="false">IF(AND(C140=0,D140=0),0,IF(C140=0,"New",(D140-C140)/C140))</f>
        <v>2</v>
      </c>
      <c r="G140" s="9" t="n">
        <f aca="false">SUMIFS('Source 2025'!$D:$D,'Source 2025'!$B:$B,$A140,'Source 2025'!$A:$A,"Amount (NIS)")</f>
        <v>-386.4</v>
      </c>
      <c r="H140" s="9" t="n">
        <f aca="false">SUMIFS('Source 2026'!$D:$D,'Source 2026'!$B:$B,$A140,'Source 2026'!$A:$A,"Amount (NIS)")</f>
        <v>-1207.9</v>
      </c>
      <c r="I140" s="9" t="n">
        <f aca="false">H140-G140</f>
        <v>-821.5</v>
      </c>
      <c r="J140" s="8" t="n">
        <f aca="false">IF(AND(G140=0,H140=0),0,IF(G140=0,"New",(H140-G140)/G140))</f>
        <v>2.12603519668737</v>
      </c>
    </row>
    <row r="141" customFormat="false" ht="15" hidden="false" customHeight="false" outlineLevel="0" collapsed="false">
      <c r="A141" s="6" t="s">
        <v>148</v>
      </c>
      <c r="B141" s="6" t="str">
        <f aca="false">IFERROR(INDEX('Source 2026'!$C:$C,MATCH($A141,'Source 2026'!$B:$B,0)),IFERROR(INDEX('Source 2025'!$C:$C,MATCH($A141,'Source 2025'!$B:$B,0)),""))</f>
        <v>S ח.גב סג. כפולה שחור+אדום</v>
      </c>
      <c r="C141" s="7" t="n">
        <f aca="false">SUMIFS('Source 2025'!$D:$D,'Source 2025'!$B:$B,$A141,'Source 2025'!$A:$A,"Quantity (units)")</f>
        <v>-6</v>
      </c>
      <c r="D141" s="7" t="n">
        <f aca="false">SUMIFS('Source 2026'!$D:$D,'Source 2026'!$B:$B,$A141,'Source 2026'!$A:$A,"Quantity (units)")</f>
        <v>-14</v>
      </c>
      <c r="E141" s="7" t="n">
        <f aca="false">D141-C141</f>
        <v>-8</v>
      </c>
      <c r="F141" s="8" t="n">
        <f aca="false">IF(AND(C141=0,D141=0),0,IF(C141=0,"New",(D141-C141)/C141))</f>
        <v>1.33333333333333</v>
      </c>
      <c r="G141" s="9" t="n">
        <f aca="false">SUMIFS('Source 2025'!$D:$D,'Source 2025'!$B:$B,$A141,'Source 2025'!$A:$A,"Amount (NIS)")</f>
        <v>-445.1</v>
      </c>
      <c r="H141" s="9" t="n">
        <f aca="false">SUMIFS('Source 2026'!$D:$D,'Source 2026'!$B:$B,$A141,'Source 2026'!$A:$A,"Amount (NIS)")</f>
        <v>-1258.6</v>
      </c>
      <c r="I141" s="9" t="n">
        <f aca="false">H141-G141</f>
        <v>-813.5</v>
      </c>
      <c r="J141" s="8" t="n">
        <f aca="false">IF(AND(G141=0,H141=0),0,IF(G141=0,"New",(H141-G141)/G141))</f>
        <v>1.8276791732195</v>
      </c>
    </row>
    <row r="142" customFormat="false" ht="15" hidden="false" customHeight="false" outlineLevel="0" collapsed="false">
      <c r="A142" s="6" t="s">
        <v>149</v>
      </c>
      <c r="B142" s="6" t="str">
        <f aca="false">IFERROR(INDEX('Source 2026'!$C:$C,MATCH($A142,'Source 2026'!$B:$B,0)),IFERROR(INDEX('Source 2025'!$C:$C,MATCH($A142,'Source 2025'!$B:$B,0)),""))</f>
        <v>סד ליישור אצבע</v>
      </c>
      <c r="C142" s="7" t="n">
        <f aca="false">SUMIFS('Source 2025'!$D:$D,'Source 2025'!$B:$B,$A142,'Source 2025'!$A:$A,"Quantity (units)")</f>
        <v>1840</v>
      </c>
      <c r="D142" s="7" t="n">
        <f aca="false">SUMIFS('Source 2026'!$D:$D,'Source 2026'!$B:$B,$A142,'Source 2026'!$A:$A,"Quantity (units)")</f>
        <v>1704</v>
      </c>
      <c r="E142" s="7" t="n">
        <f aca="false">D142-C142</f>
        <v>-136</v>
      </c>
      <c r="F142" s="8" t="n">
        <f aca="false">IF(AND(C142=0,D142=0),0,IF(C142=0,"New",(D142-C142)/C142))</f>
        <v>-0.0739130434782609</v>
      </c>
      <c r="G142" s="9" t="n">
        <f aca="false">SUMIFS('Source 2025'!$D:$D,'Source 2025'!$B:$B,$A142,'Source 2025'!$A:$A,"Amount (NIS)")</f>
        <v>26241.7</v>
      </c>
      <c r="H142" s="9" t="n">
        <f aca="false">SUMIFS('Source 2026'!$D:$D,'Source 2026'!$B:$B,$A142,'Source 2026'!$A:$A,"Amount (NIS)")</f>
        <v>25451.8</v>
      </c>
      <c r="I142" s="9" t="n">
        <f aca="false">H142-G142</f>
        <v>-789.900000000002</v>
      </c>
      <c r="J142" s="8" t="n">
        <f aca="false">IF(AND(G142=0,H142=0),0,IF(G142=0,"New",(H142-G142)/G142))</f>
        <v>-0.0301009462039426</v>
      </c>
    </row>
    <row r="143" customFormat="false" ht="15" hidden="false" customHeight="false" outlineLevel="0" collapsed="false">
      <c r="A143" s="6" t="s">
        <v>150</v>
      </c>
      <c r="B143" s="6" t="str">
        <f aca="false">IFERROR(INDEX('Source 2026'!$C:$C,MATCH($A143,'Source 2026'!$B:$B,0)),IFERROR(INDEX('Source 2025'!$C:$C,MATCH($A143,'Source 2025'!$B:$B,0)),""))</f>
        <v>סד ליישור אצבע</v>
      </c>
      <c r="C143" s="7" t="n">
        <f aca="false">SUMIFS('Source 2025'!$D:$D,'Source 2025'!$B:$B,$A143,'Source 2025'!$A:$A,"Quantity (units)")</f>
        <v>1128</v>
      </c>
      <c r="D143" s="7" t="n">
        <f aca="false">SUMIFS('Source 2026'!$D:$D,'Source 2026'!$B:$B,$A143,'Source 2026'!$A:$A,"Quantity (units)")</f>
        <v>1023</v>
      </c>
      <c r="E143" s="7" t="n">
        <f aca="false">D143-C143</f>
        <v>-105</v>
      </c>
      <c r="F143" s="8" t="n">
        <f aca="false">IF(AND(C143=0,D143=0),0,IF(C143=0,"New",(D143-C143)/C143))</f>
        <v>-0.0930851063829787</v>
      </c>
      <c r="G143" s="9" t="n">
        <f aca="false">SUMIFS('Source 2025'!$D:$D,'Source 2025'!$B:$B,$A143,'Source 2025'!$A:$A,"Amount (NIS)")</f>
        <v>16083.8</v>
      </c>
      <c r="H143" s="9" t="n">
        <f aca="false">SUMIFS('Source 2026'!$D:$D,'Source 2026'!$B:$B,$A143,'Source 2026'!$A:$A,"Amount (NIS)")</f>
        <v>15302.1</v>
      </c>
      <c r="I143" s="9" t="n">
        <f aca="false">H143-G143</f>
        <v>-781.699999999999</v>
      </c>
      <c r="J143" s="8" t="n">
        <f aca="false">IF(AND(G143=0,H143=0),0,IF(G143=0,"New",(H143-G143)/G143))</f>
        <v>-0.0486016986035638</v>
      </c>
    </row>
    <row r="144" customFormat="false" ht="15" hidden="false" customHeight="false" outlineLevel="0" collapsed="false">
      <c r="A144" s="6" t="s">
        <v>151</v>
      </c>
      <c r="B144" s="6" t="str">
        <f aca="false">IFERROR(INDEX('Source 2026'!$C:$C,MATCH($A144,'Source 2026'!$B:$B,0)),IFERROR(INDEX('Source 2025'!$C:$C,MATCH($A144,'Source 2025'!$B:$B,0)),""))</f>
        <v>סד לאגודל</v>
      </c>
      <c r="C144" s="7" t="n">
        <f aca="false">SUMIFS('Source 2025'!$D:$D,'Source 2025'!$B:$B,$A144,'Source 2025'!$A:$A,"Quantity (units)")</f>
        <v>194</v>
      </c>
      <c r="D144" s="7" t="n">
        <f aca="false">SUMIFS('Source 2026'!$D:$D,'Source 2026'!$B:$B,$A144,'Source 2026'!$A:$A,"Quantity (units)")</f>
        <v>141</v>
      </c>
      <c r="E144" s="7" t="n">
        <f aca="false">D144-C144</f>
        <v>-53</v>
      </c>
      <c r="F144" s="8" t="n">
        <f aca="false">IF(AND(C144=0,D144=0),0,IF(C144=0,"New",(D144-C144)/C144))</f>
        <v>-0.27319587628866</v>
      </c>
      <c r="G144" s="9" t="n">
        <f aca="false">SUMIFS('Source 2025'!$D:$D,'Source 2025'!$B:$B,$A144,'Source 2025'!$A:$A,"Amount (NIS)")</f>
        <v>4329.5</v>
      </c>
      <c r="H144" s="9" t="n">
        <f aca="false">SUMIFS('Source 2026'!$D:$D,'Source 2026'!$B:$B,$A144,'Source 2026'!$A:$A,"Amount (NIS)")</f>
        <v>3548.1</v>
      </c>
      <c r="I144" s="9" t="n">
        <f aca="false">H144-G144</f>
        <v>-781.4</v>
      </c>
      <c r="J144" s="8" t="n">
        <f aca="false">IF(AND(G144=0,H144=0),0,IF(G144=0,"New",(H144-G144)/G144))</f>
        <v>-0.180482734726874</v>
      </c>
    </row>
    <row r="145" customFormat="false" ht="15" hidden="false" customHeight="false" outlineLevel="0" collapsed="false">
      <c r="A145" s="6" t="s">
        <v>152</v>
      </c>
      <c r="B145" s="6" t="str">
        <f aca="false">IFERROR(INDEX('Source 2026'!$C:$C,MATCH($A145,'Source 2026'!$B:$B,0)),IFERROR(INDEX('Source 2025'!$C:$C,MATCH($A145,'Source 2025'!$B:$B,0)),""))</f>
        <v>35-38 גרב.כסף לסכרתים לבן</v>
      </c>
      <c r="C145" s="7" t="n">
        <f aca="false">SUMIFS('Source 2025'!$D:$D,'Source 2025'!$B:$B,$A145,'Source 2025'!$A:$A,"Quantity (units)")</f>
        <v>188</v>
      </c>
      <c r="D145" s="7" t="n">
        <f aca="false">SUMIFS('Source 2026'!$D:$D,'Source 2026'!$B:$B,$A145,'Source 2026'!$A:$A,"Quantity (units)")</f>
        <v>152</v>
      </c>
      <c r="E145" s="7" t="n">
        <f aca="false">D145-C145</f>
        <v>-36</v>
      </c>
      <c r="F145" s="8" t="n">
        <f aca="false">IF(AND(C145=0,D145=0),0,IF(C145=0,"New",(D145-C145)/C145))</f>
        <v>-0.191489361702128</v>
      </c>
      <c r="G145" s="9" t="n">
        <f aca="false">SUMIFS('Source 2025'!$D:$D,'Source 2025'!$B:$B,$A145,'Source 2025'!$A:$A,"Amount (NIS)")</f>
        <v>4182</v>
      </c>
      <c r="H145" s="9" t="n">
        <f aca="false">SUMIFS('Source 2026'!$D:$D,'Source 2026'!$B:$B,$A145,'Source 2026'!$A:$A,"Amount (NIS)")</f>
        <v>3446.8</v>
      </c>
      <c r="I145" s="9" t="n">
        <f aca="false">H145-G145</f>
        <v>-735.2</v>
      </c>
      <c r="J145" s="8" t="n">
        <f aca="false">IF(AND(G145=0,H145=0),0,IF(G145=0,"New",(H145-G145)/G145))</f>
        <v>-0.175801052128168</v>
      </c>
    </row>
    <row r="146" customFormat="false" ht="15" hidden="false" customHeight="false" outlineLevel="0" collapsed="false">
      <c r="A146" s="6" t="s">
        <v>153</v>
      </c>
      <c r="B146" s="6" t="str">
        <f aca="false">IFERROR(INDEX('Source 2026'!$C:$C,MATCH($A146,'Source 2026'!$B:$B,0)),IFERROR(INDEX('Source 2025'!$C:$C,MATCH($A146,'Source 2025'!$B:$B,0)),""))</f>
        <v>XXL מגן ברך ארוך עם כרית</v>
      </c>
      <c r="C146" s="7" t="n">
        <f aca="false">SUMIFS('Source 2025'!$D:$D,'Source 2025'!$B:$B,$A146,'Source 2025'!$A:$A,"Quantity (units)")</f>
        <v>-4</v>
      </c>
      <c r="D146" s="7" t="n">
        <f aca="false">SUMIFS('Source 2026'!$D:$D,'Source 2026'!$B:$B,$A146,'Source 2026'!$A:$A,"Quantity (units)")</f>
        <v>0</v>
      </c>
      <c r="E146" s="7" t="n">
        <f aca="false">D146-C146</f>
        <v>4</v>
      </c>
      <c r="F146" s="8" t="n">
        <f aca="false">IF(AND(C146=0,D146=0),0,IF(C146=0,"New",(D146-C146)/C146))</f>
        <v>-1</v>
      </c>
      <c r="G146" s="9" t="n">
        <f aca="false">SUMIFS('Source 2025'!$D:$D,'Source 2025'!$B:$B,$A146,'Source 2025'!$A:$A,"Amount (NIS)")</f>
        <v>-730.8</v>
      </c>
      <c r="H146" s="9" t="n">
        <f aca="false">SUMIFS('Source 2026'!$D:$D,'Source 2026'!$B:$B,$A146,'Source 2026'!$A:$A,"Amount (NIS)")</f>
        <v>0</v>
      </c>
      <c r="I146" s="9" t="n">
        <f aca="false">H146-G146</f>
        <v>730.8</v>
      </c>
      <c r="J146" s="8" t="n">
        <f aca="false">IF(AND(G146=0,H146=0),0,IF(G146=0,"New",(H146-G146)/G146))</f>
        <v>-1</v>
      </c>
    </row>
    <row r="147" customFormat="false" ht="15" hidden="false" customHeight="false" outlineLevel="0" collapsed="false">
      <c r="A147" s="6" t="s">
        <v>154</v>
      </c>
      <c r="B147" s="6" t="str">
        <f aca="false">IFERROR(INDEX('Source 2026'!$C:$C,MATCH($A147,'Source 2026'!$B:$B,0)),IFERROR(INDEX('Source 2025'!$C:$C,MATCH($A147,'Source 2025'!$B:$B,0)),""))</f>
        <v>חגורת גב +סגירה כפולה</v>
      </c>
      <c r="C147" s="7" t="n">
        <f aca="false">SUMIFS('Source 2025'!$D:$D,'Source 2025'!$B:$B,$A147,'Source 2025'!$A:$A,"Quantity (units)")</f>
        <v>11</v>
      </c>
      <c r="D147" s="7" t="n">
        <f aca="false">SUMIFS('Source 2026'!$D:$D,'Source 2026'!$B:$B,$A147,'Source 2026'!$A:$A,"Quantity (units)")</f>
        <v>3</v>
      </c>
      <c r="E147" s="7" t="n">
        <f aca="false">D147-C147</f>
        <v>-8</v>
      </c>
      <c r="F147" s="8" t="n">
        <f aca="false">IF(AND(C147=0,D147=0),0,IF(C147=0,"New",(D147-C147)/C147))</f>
        <v>-0.727272727272727</v>
      </c>
      <c r="G147" s="9" t="n">
        <f aca="false">SUMIFS('Source 2025'!$D:$D,'Source 2025'!$B:$B,$A147,'Source 2025'!$A:$A,"Amount (NIS)")</f>
        <v>1035.5</v>
      </c>
      <c r="H147" s="9" t="n">
        <f aca="false">SUMIFS('Source 2026'!$D:$D,'Source 2026'!$B:$B,$A147,'Source 2026'!$A:$A,"Amount (NIS)")</f>
        <v>314.7</v>
      </c>
      <c r="I147" s="9" t="n">
        <f aca="false">H147-G147</f>
        <v>-720.8</v>
      </c>
      <c r="J147" s="8" t="n">
        <f aca="false">IF(AND(G147=0,H147=0),0,IF(G147=0,"New",(H147-G147)/G147))</f>
        <v>-0.696088845968131</v>
      </c>
    </row>
    <row r="148" customFormat="false" ht="15" hidden="false" customHeight="false" outlineLevel="0" collapsed="false">
      <c r="A148" s="6" t="s">
        <v>155</v>
      </c>
      <c r="B148" s="6" t="str">
        <f aca="false">IFERROR(INDEX('Source 2026'!$C:$C,MATCH($A148,'Source 2026'!$B:$B,0)),IFERROR(INDEX('Source 2025'!$C:$C,MATCH($A148,'Source 2025'!$B:$B,0)),""))</f>
        <v>S מגן ברך</v>
      </c>
      <c r="C148" s="7" t="n">
        <f aca="false">SUMIFS('Source 2025'!$D:$D,'Source 2025'!$B:$B,$A148,'Source 2025'!$A:$A,"Quantity (units)")</f>
        <v>82</v>
      </c>
      <c r="D148" s="7" t="n">
        <f aca="false">SUMIFS('Source 2026'!$D:$D,'Source 2026'!$B:$B,$A148,'Source 2026'!$A:$A,"Quantity (units)")</f>
        <v>78</v>
      </c>
      <c r="E148" s="7" t="n">
        <f aca="false">D148-C148</f>
        <v>-4</v>
      </c>
      <c r="F148" s="8" t="n">
        <f aca="false">IF(AND(C148=0,D148=0),0,IF(C148=0,"New",(D148-C148)/C148))</f>
        <v>-0.0487804878048781</v>
      </c>
      <c r="G148" s="9" t="n">
        <f aca="false">SUMIFS('Source 2025'!$D:$D,'Source 2025'!$B:$B,$A148,'Source 2025'!$A:$A,"Amount (NIS)")</f>
        <v>10943</v>
      </c>
      <c r="H148" s="9" t="n">
        <f aca="false">SUMIFS('Source 2026'!$D:$D,'Source 2026'!$B:$B,$A148,'Source 2026'!$A:$A,"Amount (NIS)")</f>
        <v>10297.7</v>
      </c>
      <c r="I148" s="9" t="n">
        <f aca="false">H148-G148</f>
        <v>-645.299999999999</v>
      </c>
      <c r="J148" s="8" t="n">
        <f aca="false">IF(AND(G148=0,H148=0),0,IF(G148=0,"New",(H148-G148)/G148))</f>
        <v>-0.0589692040573882</v>
      </c>
    </row>
    <row r="149" customFormat="false" ht="15" hidden="false" customHeight="false" outlineLevel="0" collapsed="false">
      <c r="A149" s="6" t="s">
        <v>156</v>
      </c>
      <c r="B149" s="6" t="str">
        <f aca="false">IFERROR(INDEX('Source 2026'!$C:$C,MATCH($A149,'Source 2026'!$B:$B,0)),IFERROR(INDEX('Source 2025'!$C:$C,MATCH($A149,'Source 2025'!$B:$B,0)),""))</f>
        <v>מדרס מטטרזלי לנעלי עקב</v>
      </c>
      <c r="C149" s="7" t="n">
        <f aca="false">SUMIFS('Source 2025'!$D:$D,'Source 2025'!$B:$B,$A149,'Source 2025'!$A:$A,"Quantity (units)")</f>
        <v>44</v>
      </c>
      <c r="D149" s="7" t="n">
        <f aca="false">SUMIFS('Source 2026'!$D:$D,'Source 2026'!$B:$B,$A149,'Source 2026'!$A:$A,"Quantity (units)")</f>
        <v>13</v>
      </c>
      <c r="E149" s="7" t="n">
        <f aca="false">D149-C149</f>
        <v>-31</v>
      </c>
      <c r="F149" s="8" t="n">
        <f aca="false">IF(AND(C149=0,D149=0),0,IF(C149=0,"New",(D149-C149)/C149))</f>
        <v>-0.704545454545455</v>
      </c>
      <c r="G149" s="9" t="n">
        <f aca="false">SUMIFS('Source 2025'!$D:$D,'Source 2025'!$B:$B,$A149,'Source 2025'!$A:$A,"Amount (NIS)")</f>
        <v>891.9</v>
      </c>
      <c r="H149" s="9" t="n">
        <f aca="false">SUMIFS('Source 2026'!$D:$D,'Source 2026'!$B:$B,$A149,'Source 2026'!$A:$A,"Amount (NIS)")</f>
        <v>266.4</v>
      </c>
      <c r="I149" s="9" t="n">
        <f aca="false">H149-G149</f>
        <v>-625.5</v>
      </c>
      <c r="J149" s="8" t="n">
        <f aca="false">IF(AND(G149=0,H149=0),0,IF(G149=0,"New",(H149-G149)/G149))</f>
        <v>-0.701311806256307</v>
      </c>
    </row>
    <row r="150" customFormat="false" ht="15" hidden="false" customHeight="false" outlineLevel="0" collapsed="false">
      <c r="A150" s="6" t="s">
        <v>157</v>
      </c>
      <c r="B150" s="6" t="str">
        <f aca="false">IFERROR(INDEX('Source 2026'!$C:$C,MATCH($A150,'Source 2026'!$B:$B,0)),IFERROR(INDEX('Source 2025'!$C:$C,MATCH($A150,'Source 2025'!$B:$B,0)),""))</f>
        <v>11אפורUGחגורת בטן</v>
      </c>
      <c r="C150" s="7" t="n">
        <f aca="false">SUMIFS('Source 2025'!$D:$D,'Source 2025'!$B:$B,$A150,'Source 2025'!$A:$A,"Quantity (units)")</f>
        <v>8</v>
      </c>
      <c r="D150" s="7" t="n">
        <f aca="false">SUMIFS('Source 2026'!$D:$D,'Source 2026'!$B:$B,$A150,'Source 2026'!$A:$A,"Quantity (units)")</f>
        <v>0</v>
      </c>
      <c r="E150" s="7" t="n">
        <f aca="false">D150-C150</f>
        <v>-8</v>
      </c>
      <c r="F150" s="8" t="n">
        <f aca="false">IF(AND(C150=0,D150=0),0,IF(C150=0,"New",(D150-C150)/C150))</f>
        <v>-1</v>
      </c>
      <c r="G150" s="9" t="n">
        <f aca="false">SUMIFS('Source 2025'!$D:$D,'Source 2025'!$B:$B,$A150,'Source 2025'!$A:$A,"Amount (NIS)")</f>
        <v>635.4</v>
      </c>
      <c r="H150" s="9" t="n">
        <f aca="false">SUMIFS('Source 2026'!$D:$D,'Source 2026'!$B:$B,$A150,'Source 2026'!$A:$A,"Amount (NIS)")</f>
        <v>17</v>
      </c>
      <c r="I150" s="9" t="n">
        <f aca="false">H150-G150</f>
        <v>-618.4</v>
      </c>
      <c r="J150" s="8" t="n">
        <f aca="false">IF(AND(G150=0,H150=0),0,IF(G150=0,"New",(H150-G150)/G150))</f>
        <v>-0.973245199874095</v>
      </c>
    </row>
    <row r="151" customFormat="false" ht="15" hidden="false" customHeight="false" outlineLevel="0" collapsed="false">
      <c r="A151" s="6" t="s">
        <v>158</v>
      </c>
      <c r="B151" s="6" t="str">
        <f aca="false">IFERROR(INDEX('Source 2026'!$C:$C,MATCH($A151,'Source 2026'!$B:$B,0)),IFERROR(INDEX('Source 2025'!$C:$C,MATCH($A151,'Source 2025'!$B:$B,0)),""))</f>
        <v>גרבי כסף לסכרת מידה</v>
      </c>
      <c r="C151" s="7" t="n">
        <f aca="false">SUMIFS('Source 2025'!$D:$D,'Source 2025'!$B:$B,$A151,'Source 2025'!$A:$A,"Quantity (units)")</f>
        <v>39</v>
      </c>
      <c r="D151" s="7" t="n">
        <f aca="false">SUMIFS('Source 2026'!$D:$D,'Source 2026'!$B:$B,$A151,'Source 2026'!$A:$A,"Quantity (units)")</f>
        <v>18</v>
      </c>
      <c r="E151" s="7" t="n">
        <f aca="false">D151-C151</f>
        <v>-21</v>
      </c>
      <c r="F151" s="8" t="n">
        <f aca="false">IF(AND(C151=0,D151=0),0,IF(C151=0,"New",(D151-C151)/C151))</f>
        <v>-0.538461538461538</v>
      </c>
      <c r="G151" s="9" t="n">
        <f aca="false">SUMIFS('Source 2025'!$D:$D,'Source 2025'!$B:$B,$A151,'Source 2025'!$A:$A,"Amount (NIS)")</f>
        <v>1147.9</v>
      </c>
      <c r="H151" s="9" t="n">
        <f aca="false">SUMIFS('Source 2026'!$D:$D,'Source 2026'!$B:$B,$A151,'Source 2026'!$A:$A,"Amount (NIS)")</f>
        <v>530.1</v>
      </c>
      <c r="I151" s="9" t="n">
        <f aca="false">H151-G151</f>
        <v>-617.8</v>
      </c>
      <c r="J151" s="8" t="n">
        <f aca="false">IF(AND(G151=0,H151=0),0,IF(G151=0,"New",(H151-G151)/G151))</f>
        <v>-0.538200191654325</v>
      </c>
    </row>
    <row r="152" customFormat="false" ht="15" hidden="false" customHeight="false" outlineLevel="0" collapsed="false">
      <c r="A152" s="6" t="s">
        <v>159</v>
      </c>
      <c r="B152" s="6" t="str">
        <f aca="false">IFERROR(INDEX('Source 2026'!$C:$C,MATCH($A152,'Source 2026'!$B:$B,0)),IFERROR(INDEX('Source 2025'!$C:$C,MATCH($A152,'Source 2025'!$B:$B,0)),""))</f>
        <v>37-38 מדרסי סיליק.לח.סכרת</v>
      </c>
      <c r="C152" s="7" t="n">
        <f aca="false">SUMIFS('Source 2025'!$D:$D,'Source 2025'!$B:$B,$A152,'Source 2025'!$A:$A,"Quantity (units)")</f>
        <v>-6</v>
      </c>
      <c r="D152" s="7" t="n">
        <f aca="false">SUMIFS('Source 2026'!$D:$D,'Source 2026'!$B:$B,$A152,'Source 2026'!$A:$A,"Quantity (units)")</f>
        <v>0</v>
      </c>
      <c r="E152" s="7" t="n">
        <f aca="false">D152-C152</f>
        <v>6</v>
      </c>
      <c r="F152" s="8" t="n">
        <f aca="false">IF(AND(C152=0,D152=0),0,IF(C152=0,"New",(D152-C152)/C152))</f>
        <v>-1</v>
      </c>
      <c r="G152" s="9" t="n">
        <f aca="false">SUMIFS('Source 2025'!$D:$D,'Source 2025'!$B:$B,$A152,'Source 2025'!$A:$A,"Amount (NIS)")</f>
        <v>-615.6</v>
      </c>
      <c r="H152" s="9" t="n">
        <f aca="false">SUMIFS('Source 2026'!$D:$D,'Source 2026'!$B:$B,$A152,'Source 2026'!$A:$A,"Amount (NIS)")</f>
        <v>0</v>
      </c>
      <c r="I152" s="9" t="n">
        <f aca="false">H152-G152</f>
        <v>615.6</v>
      </c>
      <c r="J152" s="8" t="n">
        <f aca="false">IF(AND(G152=0,H152=0),0,IF(G152=0,"New",(H152-G152)/G152))</f>
        <v>-1</v>
      </c>
    </row>
    <row r="153" customFormat="false" ht="15" hidden="false" customHeight="false" outlineLevel="0" collapsed="false">
      <c r="A153" s="6" t="s">
        <v>160</v>
      </c>
      <c r="B153" s="6" t="str">
        <f aca="false">IFERROR(INDEX('Source 2026'!$C:$C,MATCH($A153,'Source 2026'!$B:$B,0)),IFERROR(INDEX('Source 2025'!$C:$C,MATCH($A153,'Source 2025'!$B:$B,0)),""))</f>
        <v>S תומך זרוע וכתף</v>
      </c>
      <c r="C153" s="7" t="n">
        <f aca="false">SUMIFS('Source 2025'!$D:$D,'Source 2025'!$B:$B,$A153,'Source 2025'!$A:$A,"Quantity (units)")</f>
        <v>13</v>
      </c>
      <c r="D153" s="7" t="n">
        <f aca="false">SUMIFS('Source 2026'!$D:$D,'Source 2026'!$B:$B,$A153,'Source 2026'!$A:$A,"Quantity (units)")</f>
        <v>18</v>
      </c>
      <c r="E153" s="7" t="n">
        <f aca="false">D153-C153</f>
        <v>5</v>
      </c>
      <c r="F153" s="8" t="n">
        <f aca="false">IF(AND(C153=0,D153=0),0,IF(C153=0,"New",(D153-C153)/C153))</f>
        <v>0.384615384615385</v>
      </c>
      <c r="G153" s="9" t="n">
        <f aca="false">SUMIFS('Source 2025'!$D:$D,'Source 2025'!$B:$B,$A153,'Source 2025'!$A:$A,"Amount (NIS)")</f>
        <v>2138.2</v>
      </c>
      <c r="H153" s="9" t="n">
        <f aca="false">SUMIFS('Source 2026'!$D:$D,'Source 2026'!$B:$B,$A153,'Source 2026'!$A:$A,"Amount (NIS)")</f>
        <v>2741</v>
      </c>
      <c r="I153" s="9" t="n">
        <f aca="false">H153-G153</f>
        <v>602.8</v>
      </c>
      <c r="J153" s="8" t="n">
        <f aca="false">IF(AND(G153=0,H153=0),0,IF(G153=0,"New",(H153-G153)/G153))</f>
        <v>0.281919371433917</v>
      </c>
    </row>
    <row r="154" customFormat="false" ht="15" hidden="false" customHeight="false" outlineLevel="0" collapsed="false">
      <c r="A154" s="6" t="s">
        <v>161</v>
      </c>
      <c r="B154" s="6" t="str">
        <f aca="false">IFERROR(INDEX('Source 2026'!$C:$C,MATCH($A154,'Source 2026'!$B:$B,0)),IFERROR(INDEX('Source 2025'!$C:$C,MATCH($A154,'Source 2025'!$B:$B,0)),""))</f>
        <v>S חבק יד</v>
      </c>
      <c r="C154" s="7" t="n">
        <f aca="false">SUMIFS('Source 2025'!$D:$D,'Source 2025'!$B:$B,$A154,'Source 2025'!$A:$A,"Quantity (units)")</f>
        <v>34</v>
      </c>
      <c r="D154" s="7" t="n">
        <f aca="false">SUMIFS('Source 2026'!$D:$D,'Source 2026'!$B:$B,$A154,'Source 2026'!$A:$A,"Quantity (units)")</f>
        <v>26</v>
      </c>
      <c r="E154" s="7" t="n">
        <f aca="false">D154-C154</f>
        <v>-8</v>
      </c>
      <c r="F154" s="8" t="n">
        <f aca="false">IF(AND(C154=0,D154=0),0,IF(C154=0,"New",(D154-C154)/C154))</f>
        <v>-0.235294117647059</v>
      </c>
      <c r="G154" s="9" t="n">
        <f aca="false">SUMIFS('Source 2025'!$D:$D,'Source 2025'!$B:$B,$A154,'Source 2025'!$A:$A,"Amount (NIS)")</f>
        <v>2534.3</v>
      </c>
      <c r="H154" s="9" t="n">
        <f aca="false">SUMIFS('Source 2026'!$D:$D,'Source 2026'!$B:$B,$A154,'Source 2026'!$A:$A,"Amount (NIS)")</f>
        <v>1944.3</v>
      </c>
      <c r="I154" s="9" t="n">
        <f aca="false">H154-G154</f>
        <v>-590</v>
      </c>
      <c r="J154" s="8" t="n">
        <f aca="false">IF(AND(G154=0,H154=0),0,IF(G154=0,"New",(H154-G154)/G154))</f>
        <v>-0.232805903010693</v>
      </c>
    </row>
    <row r="155" customFormat="false" ht="15" hidden="false" customHeight="false" outlineLevel="0" collapsed="false">
      <c r="A155" s="6" t="s">
        <v>162</v>
      </c>
      <c r="B155" s="6" t="str">
        <f aca="false">IFERROR(INDEX('Source 2026'!$C:$C,MATCH($A155,'Source 2026'!$B:$B,0)),IFERROR(INDEX('Source 2025'!$C:$C,MATCH($A155,'Source 2025'!$B:$B,0)),""))</f>
        <v>M חבק יד אגודלי</v>
      </c>
      <c r="C155" s="7" t="n">
        <f aca="false">SUMIFS('Source 2025'!$D:$D,'Source 2025'!$B:$B,$A155,'Source 2025'!$A:$A,"Quantity (units)")</f>
        <v>-11</v>
      </c>
      <c r="D155" s="7" t="n">
        <f aca="false">SUMIFS('Source 2026'!$D:$D,'Source 2026'!$B:$B,$A155,'Source 2026'!$A:$A,"Quantity (units)")</f>
        <v>-2</v>
      </c>
      <c r="E155" s="7" t="n">
        <f aca="false">D155-C155</f>
        <v>9</v>
      </c>
      <c r="F155" s="8" t="n">
        <f aca="false">IF(AND(C155=0,D155=0),0,IF(C155=0,"New",(D155-C155)/C155))</f>
        <v>-0.818181818181818</v>
      </c>
      <c r="G155" s="9" t="n">
        <f aca="false">SUMIFS('Source 2025'!$D:$D,'Source 2025'!$B:$B,$A155,'Source 2025'!$A:$A,"Amount (NIS)")</f>
        <v>-699.8</v>
      </c>
      <c r="H155" s="9" t="n">
        <f aca="false">SUMIFS('Source 2026'!$D:$D,'Source 2026'!$B:$B,$A155,'Source 2026'!$A:$A,"Amount (NIS)")</f>
        <v>-124</v>
      </c>
      <c r="I155" s="9" t="n">
        <f aca="false">H155-G155</f>
        <v>575.8</v>
      </c>
      <c r="J155" s="8" t="n">
        <f aca="false">IF(AND(G155=0,H155=0),0,IF(G155=0,"New",(H155-G155)/G155))</f>
        <v>-0.822806516147471</v>
      </c>
    </row>
    <row r="156" customFormat="false" ht="15" hidden="false" customHeight="false" outlineLevel="0" collapsed="false">
      <c r="A156" s="6" t="s">
        <v>163</v>
      </c>
      <c r="B156" s="6" t="str">
        <f aca="false">IFERROR(INDEX('Source 2026'!$C:$C,MATCH($A156,'Source 2026'!$B:$B,0)),IFERROR(INDEX('Source 2025'!$C:$C,MATCH($A156,'Source 2025'!$B:$B,0)),""))</f>
        <v>Sחגורה למנותחי בטן</v>
      </c>
      <c r="C156" s="7" t="n">
        <f aca="false">SUMIFS('Source 2025'!$D:$D,'Source 2025'!$B:$B,$A156,'Source 2025'!$A:$A,"Quantity (units)")</f>
        <v>6</v>
      </c>
      <c r="D156" s="7" t="n">
        <f aca="false">SUMIFS('Source 2026'!$D:$D,'Source 2026'!$B:$B,$A156,'Source 2026'!$A:$A,"Quantity (units)")</f>
        <v>1</v>
      </c>
      <c r="E156" s="7" t="n">
        <f aca="false">D156-C156</f>
        <v>-5</v>
      </c>
      <c r="F156" s="8" t="n">
        <f aca="false">IF(AND(C156=0,D156=0),0,IF(C156=0,"New",(D156-C156)/C156))</f>
        <v>-0.833333333333333</v>
      </c>
      <c r="G156" s="9" t="n">
        <f aca="false">SUMIFS('Source 2025'!$D:$D,'Source 2025'!$B:$B,$A156,'Source 2025'!$A:$A,"Amount (NIS)")</f>
        <v>630.4</v>
      </c>
      <c r="H156" s="9" t="n">
        <f aca="false">SUMIFS('Source 2026'!$D:$D,'Source 2026'!$B:$B,$A156,'Source 2026'!$A:$A,"Amount (NIS)")</f>
        <v>99.2</v>
      </c>
      <c r="I156" s="9" t="n">
        <f aca="false">H156-G156</f>
        <v>-531.2</v>
      </c>
      <c r="J156" s="8" t="n">
        <f aca="false">IF(AND(G156=0,H156=0),0,IF(G156=0,"New",(H156-G156)/G156))</f>
        <v>-0.842639593908629</v>
      </c>
    </row>
    <row r="157" customFormat="false" ht="15" hidden="false" customHeight="false" outlineLevel="0" collapsed="false">
      <c r="A157" s="6" t="s">
        <v>164</v>
      </c>
      <c r="B157" s="6" t="str">
        <f aca="false">IFERROR(INDEX('Source 2026'!$C:$C,MATCH($A157,'Source 2026'!$B:$B,0)),IFERROR(INDEX('Source 2025'!$C:$C,MATCH($A157,'Source 2025'!$B:$B,0)),""))</f>
        <v>סד לילה לבוהן</v>
      </c>
      <c r="C157" s="7" t="n">
        <f aca="false">SUMIFS('Source 2025'!$D:$D,'Source 2025'!$B:$B,$A157,'Source 2025'!$A:$A,"Quantity (units)")</f>
        <v>-12</v>
      </c>
      <c r="D157" s="7" t="n">
        <f aca="false">SUMIFS('Source 2026'!$D:$D,'Source 2026'!$B:$B,$A157,'Source 2026'!$A:$A,"Quantity (units)")</f>
        <v>-4</v>
      </c>
      <c r="E157" s="7" t="n">
        <f aca="false">D157-C157</f>
        <v>8</v>
      </c>
      <c r="F157" s="8" t="n">
        <f aca="false">IF(AND(C157=0,D157=0),0,IF(C157=0,"New",(D157-C157)/C157))</f>
        <v>-0.666666666666667</v>
      </c>
      <c r="G157" s="9" t="n">
        <f aca="false">SUMIFS('Source 2025'!$D:$D,'Source 2025'!$B:$B,$A157,'Source 2025'!$A:$A,"Amount (NIS)")</f>
        <v>-769.9</v>
      </c>
      <c r="H157" s="9" t="n">
        <f aca="false">SUMIFS('Source 2026'!$D:$D,'Source 2026'!$B:$B,$A157,'Source 2026'!$A:$A,"Amount (NIS)")</f>
        <v>-256.6</v>
      </c>
      <c r="I157" s="9" t="n">
        <f aca="false">H157-G157</f>
        <v>513.3</v>
      </c>
      <c r="J157" s="8" t="n">
        <f aca="false">IF(AND(G157=0,H157=0),0,IF(G157=0,"New",(H157-G157)/G157))</f>
        <v>-0.666709962332771</v>
      </c>
    </row>
    <row r="158" customFormat="false" ht="15" hidden="false" customHeight="false" outlineLevel="0" collapsed="false">
      <c r="A158" s="6" t="s">
        <v>165</v>
      </c>
      <c r="B158" s="6" t="str">
        <f aca="false">IFERROR(INDEX('Source 2026'!$C:$C,MATCH($A158,'Source 2026'!$B:$B,0)),IFERROR(INDEX('Source 2025'!$C:$C,MATCH($A158,'Source 2025'!$B:$B,0)),""))</f>
        <v>M'חגורת גב+סגירה כפו בז</v>
      </c>
      <c r="C158" s="7" t="n">
        <f aca="false">SUMIFS('Source 2025'!$D:$D,'Source 2025'!$B:$B,$A158,'Source 2025'!$A:$A,"Quantity (units)")</f>
        <v>-12</v>
      </c>
      <c r="D158" s="7" t="n">
        <f aca="false">SUMIFS('Source 2026'!$D:$D,'Source 2026'!$B:$B,$A158,'Source 2026'!$A:$A,"Quantity (units)")</f>
        <v>-17</v>
      </c>
      <c r="E158" s="7" t="n">
        <f aca="false">D158-C158</f>
        <v>-5</v>
      </c>
      <c r="F158" s="8" t="n">
        <f aca="false">IF(AND(C158=0,D158=0),0,IF(C158=0,"New",(D158-C158)/C158))</f>
        <v>0.416666666666667</v>
      </c>
      <c r="G158" s="9" t="n">
        <f aca="false">SUMIFS('Source 2025'!$D:$D,'Source 2025'!$B:$B,$A158,'Source 2025'!$A:$A,"Amount (NIS)")</f>
        <v>-1099.2</v>
      </c>
      <c r="H158" s="9" t="n">
        <f aca="false">SUMIFS('Source 2026'!$D:$D,'Source 2026'!$B:$B,$A158,'Source 2026'!$A:$A,"Amount (NIS)")</f>
        <v>-1561.8</v>
      </c>
      <c r="I158" s="9" t="n">
        <f aca="false">H158-G158</f>
        <v>-462.6</v>
      </c>
      <c r="J158" s="8" t="n">
        <f aca="false">IF(AND(G158=0,H158=0),0,IF(G158=0,"New",(H158-G158)/G158))</f>
        <v>0.420851528384279</v>
      </c>
    </row>
    <row r="159" customFormat="false" ht="15" hidden="false" customHeight="false" outlineLevel="0" collapsed="false">
      <c r="A159" s="6" t="s">
        <v>166</v>
      </c>
      <c r="B159" s="6" t="str">
        <f aca="false">IFERROR(INDEX('Source 2026'!$C:$C,MATCH($A159,'Source 2026'!$B:$B,0)),IFERROR(INDEX('Source 2025'!$C:$C,MATCH($A159,'Source 2025'!$B:$B,0)),""))</f>
        <v>S מגן שוק</v>
      </c>
      <c r="C159" s="7" t="n">
        <f aca="false">SUMIFS('Source 2025'!$D:$D,'Source 2025'!$B:$B,$A159,'Source 2025'!$A:$A,"Quantity (units)")</f>
        <v>-5</v>
      </c>
      <c r="D159" s="7" t="n">
        <f aca="false">SUMIFS('Source 2026'!$D:$D,'Source 2026'!$B:$B,$A159,'Source 2026'!$A:$A,"Quantity (units)")</f>
        <v>0</v>
      </c>
      <c r="E159" s="7" t="n">
        <f aca="false">D159-C159</f>
        <v>5</v>
      </c>
      <c r="F159" s="8" t="n">
        <f aca="false">IF(AND(C159=0,D159=0),0,IF(C159=0,"New",(D159-C159)/C159))</f>
        <v>-1</v>
      </c>
      <c r="G159" s="9" t="n">
        <f aca="false">SUMIFS('Source 2025'!$D:$D,'Source 2025'!$B:$B,$A159,'Source 2025'!$A:$A,"Amount (NIS)")</f>
        <v>-450.5</v>
      </c>
      <c r="H159" s="9" t="n">
        <f aca="false">SUMIFS('Source 2026'!$D:$D,'Source 2026'!$B:$B,$A159,'Source 2026'!$A:$A,"Amount (NIS)")</f>
        <v>0</v>
      </c>
      <c r="I159" s="9" t="n">
        <f aca="false">H159-G159</f>
        <v>450.5</v>
      </c>
      <c r="J159" s="8" t="n">
        <f aca="false">IF(AND(G159=0,H159=0),0,IF(G159=0,"New",(H159-G159)/G159))</f>
        <v>-1</v>
      </c>
    </row>
    <row r="160" customFormat="false" ht="15" hidden="false" customHeight="false" outlineLevel="0" collapsed="false">
      <c r="A160" s="6" t="s">
        <v>167</v>
      </c>
      <c r="B160" s="6" t="str">
        <f aca="false">IFERROR(INDEX('Source 2026'!$C:$C,MATCH($A160,'Source 2026'!$B:$B,0)),IFERROR(INDEX('Source 2025'!$C:$C,MATCH($A160,'Source 2025'!$B:$B,0)),""))</f>
        <v>להסרת עור קשה</v>
      </c>
      <c r="C160" s="7" t="n">
        <f aca="false">SUMIFS('Source 2025'!$D:$D,'Source 2025'!$B:$B,$A160,'Source 2025'!$A:$A,"Quantity (units)")</f>
        <v>68</v>
      </c>
      <c r="D160" s="7" t="n">
        <f aca="false">SUMIFS('Source 2026'!$D:$D,'Source 2026'!$B:$B,$A160,'Source 2026'!$A:$A,"Quantity (units)")</f>
        <v>50</v>
      </c>
      <c r="E160" s="7" t="n">
        <f aca="false">D160-C160</f>
        <v>-18</v>
      </c>
      <c r="F160" s="8" t="n">
        <f aca="false">IF(AND(C160=0,D160=0),0,IF(C160=0,"New",(D160-C160)/C160))</f>
        <v>-0.264705882352941</v>
      </c>
      <c r="G160" s="9" t="n">
        <f aca="false">SUMIFS('Source 2025'!$D:$D,'Source 2025'!$B:$B,$A160,'Source 2025'!$A:$A,"Amount (NIS)")</f>
        <v>1686.8</v>
      </c>
      <c r="H160" s="9" t="n">
        <f aca="false">SUMIFS('Source 2026'!$D:$D,'Source 2026'!$B:$B,$A160,'Source 2026'!$A:$A,"Amount (NIS)")</f>
        <v>1237.6</v>
      </c>
      <c r="I160" s="9" t="n">
        <f aca="false">H160-G160</f>
        <v>-449.2</v>
      </c>
      <c r="J160" s="8" t="n">
        <f aca="false">IF(AND(G160=0,H160=0),0,IF(G160=0,"New",(H160-G160)/G160))</f>
        <v>-0.266303059046716</v>
      </c>
    </row>
    <row r="161" customFormat="false" ht="15" hidden="false" customHeight="false" outlineLevel="0" collapsed="false">
      <c r="A161" s="6" t="s">
        <v>168</v>
      </c>
      <c r="B161" s="6" t="str">
        <f aca="false">IFERROR(INDEX('Source 2026'!$C:$C,MATCH($A161,'Source 2026'!$B:$B,0)),IFERROR(INDEX('Source 2025'!$C:$C,MATCH($A161,'Source 2025'!$B:$B,0)),""))</f>
        <v>Sמ.ברך מוצלב+ספירלות בצדדים</v>
      </c>
      <c r="C161" s="7" t="n">
        <f aca="false">SUMIFS('Source 2025'!$D:$D,'Source 2025'!$B:$B,$A161,'Source 2025'!$A:$A,"Quantity (units)")</f>
        <v>7</v>
      </c>
      <c r="D161" s="7" t="n">
        <f aca="false">SUMIFS('Source 2026'!$D:$D,'Source 2026'!$B:$B,$A161,'Source 2026'!$A:$A,"Quantity (units)")</f>
        <v>3</v>
      </c>
      <c r="E161" s="7" t="n">
        <f aca="false">D161-C161</f>
        <v>-4</v>
      </c>
      <c r="F161" s="8" t="n">
        <f aca="false">IF(AND(C161=0,D161=0),0,IF(C161=0,"New",(D161-C161)/C161))</f>
        <v>-0.571428571428571</v>
      </c>
      <c r="G161" s="9" t="n">
        <f aca="false">SUMIFS('Source 2025'!$D:$D,'Source 2025'!$B:$B,$A161,'Source 2025'!$A:$A,"Amount (NIS)")</f>
        <v>745.3</v>
      </c>
      <c r="H161" s="9" t="n">
        <f aca="false">SUMIFS('Source 2026'!$D:$D,'Source 2026'!$B:$B,$A161,'Source 2026'!$A:$A,"Amount (NIS)")</f>
        <v>322.6</v>
      </c>
      <c r="I161" s="9" t="n">
        <f aca="false">H161-G161</f>
        <v>-422.7</v>
      </c>
      <c r="J161" s="8" t="n">
        <f aca="false">IF(AND(G161=0,H161=0),0,IF(G161=0,"New",(H161-G161)/G161))</f>
        <v>-0.567154166107608</v>
      </c>
    </row>
    <row r="162" customFormat="false" ht="15" hidden="false" customHeight="false" outlineLevel="0" collapsed="false">
      <c r="A162" s="6" t="s">
        <v>169</v>
      </c>
      <c r="B162" s="6" t="str">
        <f aca="false">IFERROR(INDEX('Source 2026'!$C:$C,MATCH($A162,'Source 2026'!$B:$B,0)),IFERROR(INDEX('Source 2025'!$C:$C,MATCH($A162,'Source 2025'!$B:$B,0)),""))</f>
        <v>סכינים למקצוע</v>
      </c>
      <c r="C162" s="7" t="n">
        <f aca="false">SUMIFS('Source 2025'!$D:$D,'Source 2025'!$B:$B,$A162,'Source 2025'!$A:$A,"Quantity (units)")</f>
        <v>97</v>
      </c>
      <c r="D162" s="7" t="n">
        <f aca="false">SUMIFS('Source 2026'!$D:$D,'Source 2026'!$B:$B,$A162,'Source 2026'!$A:$A,"Quantity (units)")</f>
        <v>50</v>
      </c>
      <c r="E162" s="7" t="n">
        <f aca="false">D162-C162</f>
        <v>-47</v>
      </c>
      <c r="F162" s="8" t="n">
        <f aca="false">IF(AND(C162=0,D162=0),0,IF(C162=0,"New",(D162-C162)/C162))</f>
        <v>-0.484536082474227</v>
      </c>
      <c r="G162" s="9" t="n">
        <f aca="false">SUMIFS('Source 2025'!$D:$D,'Source 2025'!$B:$B,$A162,'Source 2025'!$A:$A,"Amount (NIS)")</f>
        <v>791.2</v>
      </c>
      <c r="H162" s="9" t="n">
        <f aca="false">SUMIFS('Source 2026'!$D:$D,'Source 2026'!$B:$B,$A162,'Source 2026'!$A:$A,"Amount (NIS)")</f>
        <v>387.7</v>
      </c>
      <c r="I162" s="9" t="n">
        <f aca="false">H162-G162</f>
        <v>-403.5</v>
      </c>
      <c r="J162" s="8" t="n">
        <f aca="false">IF(AND(G162=0,H162=0),0,IF(G162=0,"New",(H162-G162)/G162))</f>
        <v>-0.509984833164813</v>
      </c>
    </row>
    <row r="163" customFormat="false" ht="15" hidden="false" customHeight="false" outlineLevel="0" collapsed="false">
      <c r="A163" s="6" t="s">
        <v>170</v>
      </c>
      <c r="B163" s="6" t="str">
        <f aca="false">IFERROR(INDEX('Source 2026'!$C:$C,MATCH($A163,'Source 2026'!$B:$B,0)),IFERROR(INDEX('Source 2025'!$C:$C,MATCH($A163,'Source 2025'!$B:$B,0)),""))</f>
        <v>כרית שינה חלומי</v>
      </c>
      <c r="C163" s="7" t="n">
        <f aca="false">SUMIFS('Source 2025'!$D:$D,'Source 2025'!$B:$B,$A163,'Source 2025'!$A:$A,"Quantity (units)")</f>
        <v>-3</v>
      </c>
      <c r="D163" s="7" t="n">
        <f aca="false">SUMIFS('Source 2026'!$D:$D,'Source 2026'!$B:$B,$A163,'Source 2026'!$A:$A,"Quantity (units)")</f>
        <v>0</v>
      </c>
      <c r="E163" s="7" t="n">
        <f aca="false">D163-C163</f>
        <v>3</v>
      </c>
      <c r="F163" s="8" t="n">
        <f aca="false">IF(AND(C163=0,D163=0),0,IF(C163=0,"New",(D163-C163)/C163))</f>
        <v>-1</v>
      </c>
      <c r="G163" s="9" t="n">
        <f aca="false">SUMIFS('Source 2025'!$D:$D,'Source 2025'!$B:$B,$A163,'Source 2025'!$A:$A,"Amount (NIS)")</f>
        <v>-393.2</v>
      </c>
      <c r="H163" s="9" t="n">
        <f aca="false">SUMIFS('Source 2026'!$D:$D,'Source 2026'!$B:$B,$A163,'Source 2026'!$A:$A,"Amount (NIS)")</f>
        <v>0</v>
      </c>
      <c r="I163" s="9" t="n">
        <f aca="false">H163-G163</f>
        <v>393.2</v>
      </c>
      <c r="J163" s="8" t="n">
        <f aca="false">IF(AND(G163=0,H163=0),0,IF(G163=0,"New",(H163-G163)/G163))</f>
        <v>-1</v>
      </c>
    </row>
    <row r="164" customFormat="false" ht="15" hidden="false" customHeight="false" outlineLevel="0" collapsed="false">
      <c r="A164" s="6" t="s">
        <v>171</v>
      </c>
      <c r="B164" s="6" t="str">
        <f aca="false">IFERROR(INDEX('Source 2026'!$C:$C,MATCH($A164,'Source 2026'!$B:$B,0)),IFERROR(INDEX('Source 2025'!$C:$C,MATCH($A164,'Source 2025'!$B:$B,0)),""))</f>
        <v>מגן זרת מסיליקון</v>
      </c>
      <c r="C164" s="7" t="n">
        <f aca="false">SUMIFS('Source 2025'!$D:$D,'Source 2025'!$B:$B,$A164,'Source 2025'!$A:$A,"Quantity (units)")</f>
        <v>84</v>
      </c>
      <c r="D164" s="7" t="n">
        <f aca="false">SUMIFS('Source 2026'!$D:$D,'Source 2026'!$B:$B,$A164,'Source 2026'!$A:$A,"Quantity (units)")</f>
        <v>69</v>
      </c>
      <c r="E164" s="7" t="n">
        <f aca="false">D164-C164</f>
        <v>-15</v>
      </c>
      <c r="F164" s="8" t="n">
        <f aca="false">IF(AND(C164=0,D164=0),0,IF(C164=0,"New",(D164-C164)/C164))</f>
        <v>-0.178571428571429</v>
      </c>
      <c r="G164" s="9" t="n">
        <f aca="false">SUMIFS('Source 2025'!$D:$D,'Source 2025'!$B:$B,$A164,'Source 2025'!$A:$A,"Amount (NIS)")</f>
        <v>2147.5</v>
      </c>
      <c r="H164" s="9" t="n">
        <f aca="false">SUMIFS('Source 2026'!$D:$D,'Source 2026'!$B:$B,$A164,'Source 2026'!$A:$A,"Amount (NIS)")</f>
        <v>1774.1</v>
      </c>
      <c r="I164" s="9" t="n">
        <f aca="false">H164-G164</f>
        <v>-373.4</v>
      </c>
      <c r="J164" s="8" t="n">
        <f aca="false">IF(AND(G164=0,H164=0),0,IF(G164=0,"New",(H164-G164)/G164))</f>
        <v>-0.173876600698487</v>
      </c>
    </row>
    <row r="165" customFormat="false" ht="15" hidden="false" customHeight="false" outlineLevel="0" collapsed="false">
      <c r="A165" s="6" t="s">
        <v>172</v>
      </c>
      <c r="B165" s="6" t="str">
        <f aca="false">IFERROR(INDEX('Source 2026'!$C:$C,MATCH($A165,'Source 2026'!$B:$B,0)),IFERROR(INDEX('Source 2025'!$C:$C,MATCH($A165,'Source 2025'!$B:$B,0)),""))</f>
        <v>S ח.בטן לאחר ניתוח</v>
      </c>
      <c r="C165" s="7" t="n">
        <f aca="false">SUMIFS('Source 2025'!$D:$D,'Source 2025'!$B:$B,$A165,'Source 2025'!$A:$A,"Quantity (units)")</f>
        <v>10</v>
      </c>
      <c r="D165" s="7" t="n">
        <f aca="false">SUMIFS('Source 2026'!$D:$D,'Source 2026'!$B:$B,$A165,'Source 2026'!$A:$A,"Quantity (units)")</f>
        <v>14</v>
      </c>
      <c r="E165" s="7" t="n">
        <f aca="false">D165-C165</f>
        <v>4</v>
      </c>
      <c r="F165" s="8" t="n">
        <f aca="false">IF(AND(C165=0,D165=0),0,IF(C165=0,"New",(D165-C165)/C165))</f>
        <v>0.4</v>
      </c>
      <c r="G165" s="9" t="n">
        <f aca="false">SUMIFS('Source 2025'!$D:$D,'Source 2025'!$B:$B,$A165,'Source 2025'!$A:$A,"Amount (NIS)")</f>
        <v>882.9</v>
      </c>
      <c r="H165" s="9" t="n">
        <f aca="false">SUMIFS('Source 2026'!$D:$D,'Source 2026'!$B:$B,$A165,'Source 2026'!$A:$A,"Amount (NIS)")</f>
        <v>1249.8</v>
      </c>
      <c r="I165" s="9" t="n">
        <f aca="false">H165-G165</f>
        <v>366.9</v>
      </c>
      <c r="J165" s="8" t="n">
        <f aca="false">IF(AND(G165=0,H165=0),0,IF(G165=0,"New",(H165-G165)/G165))</f>
        <v>0.415562351342168</v>
      </c>
    </row>
    <row r="166" customFormat="false" ht="15" hidden="false" customHeight="false" outlineLevel="0" collapsed="false">
      <c r="A166" s="6" t="s">
        <v>173</v>
      </c>
      <c r="B166" s="6" t="str">
        <f aca="false">IFERROR(INDEX('Source 2026'!$C:$C,MATCH($A166,'Source 2026'!$B:$B,0)),IFERROR(INDEX('Source 2025'!$C:$C,MATCH($A166,'Source 2025'!$B:$B,0)),""))</f>
        <v>L מגן למפרק כתף</v>
      </c>
      <c r="C166" s="7" t="n">
        <f aca="false">SUMIFS('Source 2025'!$D:$D,'Source 2025'!$B:$B,$A166,'Source 2025'!$A:$A,"Quantity (units)")</f>
        <v>-2</v>
      </c>
      <c r="D166" s="7" t="n">
        <f aca="false">SUMIFS('Source 2026'!$D:$D,'Source 2026'!$B:$B,$A166,'Source 2026'!$A:$A,"Quantity (units)")</f>
        <v>-1</v>
      </c>
      <c r="E166" s="7" t="n">
        <f aca="false">D166-C166</f>
        <v>1</v>
      </c>
      <c r="F166" s="8" t="n">
        <f aca="false">IF(AND(C166=0,D166=0),0,IF(C166=0,"New",(D166-C166)/C166))</f>
        <v>-0.5</v>
      </c>
      <c r="G166" s="9" t="n">
        <f aca="false">SUMIFS('Source 2025'!$D:$D,'Source 2025'!$B:$B,$A166,'Source 2025'!$A:$A,"Amount (NIS)")</f>
        <v>-570.3</v>
      </c>
      <c r="H166" s="9" t="n">
        <f aca="false">SUMIFS('Source 2026'!$D:$D,'Source 2026'!$B:$B,$A166,'Source 2026'!$A:$A,"Amount (NIS)")</f>
        <v>-208.4</v>
      </c>
      <c r="I166" s="9" t="n">
        <f aca="false">H166-G166</f>
        <v>361.9</v>
      </c>
      <c r="J166" s="8" t="n">
        <f aca="false">IF(AND(G166=0,H166=0),0,IF(G166=0,"New",(H166-G166)/G166))</f>
        <v>-0.634578292126951</v>
      </c>
    </row>
    <row r="167" customFormat="false" ht="15" hidden="false" customHeight="false" outlineLevel="0" collapsed="false">
      <c r="A167" s="6" t="s">
        <v>174</v>
      </c>
      <c r="B167" s="6" t="str">
        <f aca="false">IFERROR(INDEX('Source 2026'!$C:$C,MATCH($A167,'Source 2026'!$B:$B,0)),IFERROR(INDEX('Source 2025'!$C:$C,MATCH($A167,'Source 2025'!$B:$B,0)),""))</f>
        <v>רפ.אורטופדית ספורט זוג35</v>
      </c>
      <c r="C167" s="7" t="n">
        <f aca="false">SUMIFS('Source 2025'!$D:$D,'Source 2025'!$B:$B,$A167,'Source 2025'!$A:$A,"Quantity (units)")</f>
        <v>3</v>
      </c>
      <c r="D167" s="7" t="n">
        <f aca="false">SUMIFS('Source 2026'!$D:$D,'Source 2026'!$B:$B,$A167,'Source 2026'!$A:$A,"Quantity (units)")</f>
        <v>-6</v>
      </c>
      <c r="E167" s="7" t="n">
        <f aca="false">D167-C167</f>
        <v>-9</v>
      </c>
      <c r="F167" s="8" t="n">
        <f aca="false">IF(AND(C167=0,D167=0),0,IF(C167=0,"New",(D167-C167)/C167))</f>
        <v>-3</v>
      </c>
      <c r="G167" s="9" t="n">
        <f aca="false">SUMIFS('Source 2025'!$D:$D,'Source 2025'!$B:$B,$A167,'Source 2025'!$A:$A,"Amount (NIS)")</f>
        <v>121</v>
      </c>
      <c r="H167" s="9" t="n">
        <f aca="false">SUMIFS('Source 2026'!$D:$D,'Source 2026'!$B:$B,$A167,'Source 2026'!$A:$A,"Amount (NIS)")</f>
        <v>-215.2</v>
      </c>
      <c r="I167" s="9" t="n">
        <f aca="false">H167-G167</f>
        <v>-336.2</v>
      </c>
      <c r="J167" s="8" t="n">
        <f aca="false">IF(AND(G167=0,H167=0),0,IF(G167=0,"New",(H167-G167)/G167))</f>
        <v>-2.77851239669422</v>
      </c>
    </row>
    <row r="168" customFormat="false" ht="15" hidden="false" customHeight="false" outlineLevel="0" collapsed="false">
      <c r="A168" s="6" t="s">
        <v>175</v>
      </c>
      <c r="B168" s="6" t="str">
        <f aca="false">IFERROR(INDEX('Source 2026'!$C:$C,MATCH($A168,'Source 2026'!$B:$B,0)),IFERROR(INDEX('Source 2025'!$C:$C,MATCH($A168,'Source 2025'!$B:$B,0)),""))</f>
        <v>S חגורת שבר לצד ימין</v>
      </c>
      <c r="C168" s="7" t="n">
        <f aca="false">SUMIFS('Source 2025'!$D:$D,'Source 2025'!$B:$B,$A168,'Source 2025'!$A:$A,"Quantity (units)")</f>
        <v>-2</v>
      </c>
      <c r="D168" s="7" t="n">
        <f aca="false">SUMIFS('Source 2026'!$D:$D,'Source 2026'!$B:$B,$A168,'Source 2026'!$A:$A,"Quantity (units)")</f>
        <v>0</v>
      </c>
      <c r="E168" s="7" t="n">
        <f aca="false">D168-C168</f>
        <v>2</v>
      </c>
      <c r="F168" s="8" t="n">
        <f aca="false">IF(AND(C168=0,D168=0),0,IF(C168=0,"New",(D168-C168)/C168))</f>
        <v>-1</v>
      </c>
      <c r="G168" s="9" t="n">
        <f aca="false">SUMIFS('Source 2025'!$D:$D,'Source 2025'!$B:$B,$A168,'Source 2025'!$A:$A,"Amount (NIS)")</f>
        <v>-332.2</v>
      </c>
      <c r="H168" s="9" t="n">
        <f aca="false">SUMIFS('Source 2026'!$D:$D,'Source 2026'!$B:$B,$A168,'Source 2026'!$A:$A,"Amount (NIS)")</f>
        <v>0</v>
      </c>
      <c r="I168" s="9" t="n">
        <f aca="false">H168-G168</f>
        <v>332.2</v>
      </c>
      <c r="J168" s="8" t="n">
        <f aca="false">IF(AND(G168=0,H168=0),0,IF(G168=0,"New",(H168-G168)/G168))</f>
        <v>-1</v>
      </c>
    </row>
    <row r="169" customFormat="false" ht="15" hidden="false" customHeight="false" outlineLevel="0" collapsed="false">
      <c r="A169" s="6" t="s">
        <v>176</v>
      </c>
      <c r="B169" s="6" t="str">
        <f aca="false">IFERROR(INDEX('Source 2026'!$C:$C,MATCH($A169,'Source 2026'!$B:$B,0)),IFERROR(INDEX('Source 2025'!$C:$C,MATCH($A169,'Source 2025'!$B:$B,0)),""))</f>
        <v>S חגורת שבר לצד שמאל</v>
      </c>
      <c r="C169" s="7" t="n">
        <f aca="false">SUMIFS('Source 2025'!$D:$D,'Source 2025'!$B:$B,$A169,'Source 2025'!$A:$A,"Quantity (units)")</f>
        <v>-1</v>
      </c>
      <c r="D169" s="7" t="n">
        <f aca="false">SUMIFS('Source 2026'!$D:$D,'Source 2026'!$B:$B,$A169,'Source 2026'!$A:$A,"Quantity (units)")</f>
        <v>0</v>
      </c>
      <c r="E169" s="7" t="n">
        <f aca="false">D169-C169</f>
        <v>1</v>
      </c>
      <c r="F169" s="8" t="n">
        <f aca="false">IF(AND(C169=0,D169=0),0,IF(C169=0,"New",(D169-C169)/C169))</f>
        <v>-1</v>
      </c>
      <c r="G169" s="9" t="n">
        <f aca="false">SUMIFS('Source 2025'!$D:$D,'Source 2025'!$B:$B,$A169,'Source 2025'!$A:$A,"Amount (NIS)")</f>
        <v>-166.1</v>
      </c>
      <c r="H169" s="9" t="n">
        <f aca="false">SUMIFS('Source 2026'!$D:$D,'Source 2026'!$B:$B,$A169,'Source 2026'!$A:$A,"Amount (NIS)")</f>
        <v>162.5</v>
      </c>
      <c r="I169" s="9" t="n">
        <f aca="false">H169-G169</f>
        <v>328.6</v>
      </c>
      <c r="J169" s="8" t="n">
        <f aca="false">IF(AND(G169=0,H169=0),0,IF(G169=0,"New",(H169-G169)/G169))</f>
        <v>-1.97832630945214</v>
      </c>
    </row>
    <row r="170" customFormat="false" ht="15" hidden="false" customHeight="false" outlineLevel="0" collapsed="false">
      <c r="A170" s="6" t="s">
        <v>177</v>
      </c>
      <c r="B170" s="6" t="str">
        <f aca="false">IFERROR(INDEX('Source 2026'!$C:$C,MATCH($A170,'Source 2026'!$B:$B,0)),IFERROR(INDEX('Source 2025'!$C:$C,MATCH($A170,'Source 2025'!$B:$B,0)),""))</f>
        <v>S ח.הריון מכנס למניעת כאבים</v>
      </c>
      <c r="C170" s="7" t="n">
        <f aca="false">SUMIFS('Source 2025'!$D:$D,'Source 2025'!$B:$B,$A170,'Source 2025'!$A:$A,"Quantity (units)")</f>
        <v>0</v>
      </c>
      <c r="D170" s="7" t="n">
        <f aca="false">SUMIFS('Source 2026'!$D:$D,'Source 2026'!$B:$B,$A170,'Source 2026'!$A:$A,"Quantity (units)")</f>
        <v>-1</v>
      </c>
      <c r="E170" s="7" t="n">
        <f aca="false">D170-C170</f>
        <v>-1</v>
      </c>
      <c r="F170" s="8" t="str">
        <f aca="false">IF(AND(C170=0,D170=0),0,IF(C170=0,"New",(D170-C170)/C170))</f>
        <v>New</v>
      </c>
      <c r="G170" s="9" t="n">
        <f aca="false">SUMIFS('Source 2025'!$D:$D,'Source 2025'!$B:$B,$A170,'Source 2025'!$A:$A,"Amount (NIS)")</f>
        <v>0</v>
      </c>
      <c r="H170" s="9" t="n">
        <f aca="false">SUMIFS('Source 2026'!$D:$D,'Source 2026'!$B:$B,$A170,'Source 2026'!$A:$A,"Amount (NIS)")</f>
        <v>-266.2</v>
      </c>
      <c r="I170" s="9" t="n">
        <f aca="false">H170-G170</f>
        <v>-266.2</v>
      </c>
      <c r="J170" s="8" t="str">
        <f aca="false">IF(AND(G170=0,H170=0),0,IF(G170=0,"New",(H170-G170)/G170))</f>
        <v>New</v>
      </c>
    </row>
    <row r="171" customFormat="false" ht="15" hidden="false" customHeight="false" outlineLevel="0" collapsed="false">
      <c r="A171" s="6" t="s">
        <v>178</v>
      </c>
      <c r="B171" s="6" t="str">
        <f aca="false">IFERROR(INDEX('Source 2026'!$C:$C,MATCH($A171,'Source 2026'!$B:$B,0)),IFERROR(INDEX('Source 2025'!$C:$C,MATCH($A171,'Source 2025'!$B:$B,0)),""))</f>
        <v>יד לטניס כרית סילי</v>
      </c>
      <c r="C171" s="7" t="n">
        <f aca="false">SUMIFS('Source 2025'!$D:$D,'Source 2025'!$B:$B,$A171,'Source 2025'!$A:$A,"Quantity (units)")</f>
        <v>-2</v>
      </c>
      <c r="D171" s="7" t="n">
        <f aca="false">SUMIFS('Source 2026'!$D:$D,'Source 2026'!$B:$B,$A171,'Source 2026'!$A:$A,"Quantity (units)")</f>
        <v>0</v>
      </c>
      <c r="E171" s="7" t="n">
        <f aca="false">D171-C171</f>
        <v>2</v>
      </c>
      <c r="F171" s="8" t="n">
        <f aca="false">IF(AND(C171=0,D171=0),0,IF(C171=0,"New",(D171-C171)/C171))</f>
        <v>-1</v>
      </c>
      <c r="G171" s="9" t="n">
        <f aca="false">SUMIFS('Source 2025'!$D:$D,'Source 2025'!$B:$B,$A171,'Source 2025'!$A:$A,"Amount (NIS)")</f>
        <v>-262.1</v>
      </c>
      <c r="H171" s="9" t="n">
        <f aca="false">SUMIFS('Source 2026'!$D:$D,'Source 2026'!$B:$B,$A171,'Source 2026'!$A:$A,"Amount (NIS)")</f>
        <v>0</v>
      </c>
      <c r="I171" s="9" t="n">
        <f aca="false">H171-G171</f>
        <v>262.1</v>
      </c>
      <c r="J171" s="8" t="n">
        <f aca="false">IF(AND(G171=0,H171=0),0,IF(G171=0,"New",(H171-G171)/G171))</f>
        <v>-1</v>
      </c>
    </row>
    <row r="172" customFormat="false" ht="15" hidden="false" customHeight="false" outlineLevel="0" collapsed="false">
      <c r="A172" s="6" t="s">
        <v>179</v>
      </c>
      <c r="B172" s="6" t="str">
        <f aca="false">IFERROR(INDEX('Source 2026'!$C:$C,MATCH($A172,'Source 2026'!$B:$B,0)),IFERROR(INDEX('Source 2025'!$C:$C,MATCH($A172,'Source 2025'!$B:$B,0)),""))</f>
        <v>Mמתלה ליד)כיס(+רצועת חיזוק</v>
      </c>
      <c r="C172" s="7" t="n">
        <f aca="false">SUMIFS('Source 2025'!$D:$D,'Source 2025'!$B:$B,$A172,'Source 2025'!$A:$A,"Quantity (units)")</f>
        <v>3</v>
      </c>
      <c r="D172" s="7" t="n">
        <f aca="false">SUMIFS('Source 2026'!$D:$D,'Source 2026'!$B:$B,$A172,'Source 2026'!$A:$A,"Quantity (units)")</f>
        <v>0</v>
      </c>
      <c r="E172" s="7" t="n">
        <f aca="false">D172-C172</f>
        <v>-3</v>
      </c>
      <c r="F172" s="8" t="n">
        <f aca="false">IF(AND(C172=0,D172=0),0,IF(C172=0,"New",(D172-C172)/C172))</f>
        <v>-1</v>
      </c>
      <c r="G172" s="9" t="n">
        <f aca="false">SUMIFS('Source 2025'!$D:$D,'Source 2025'!$B:$B,$A172,'Source 2025'!$A:$A,"Amount (NIS)")</f>
        <v>248.7</v>
      </c>
      <c r="H172" s="9" t="n">
        <f aca="false">SUMIFS('Source 2026'!$D:$D,'Source 2026'!$B:$B,$A172,'Source 2026'!$A:$A,"Amount (NIS)")</f>
        <v>0</v>
      </c>
      <c r="I172" s="9" t="n">
        <f aca="false">H172-G172</f>
        <v>-248.7</v>
      </c>
      <c r="J172" s="8" t="n">
        <f aca="false">IF(AND(G172=0,H172=0),0,IF(G172=0,"New",(H172-G172)/G172))</f>
        <v>-1</v>
      </c>
    </row>
    <row r="173" customFormat="false" ht="15" hidden="false" customHeight="false" outlineLevel="0" collapsed="false">
      <c r="A173" s="6" t="s">
        <v>180</v>
      </c>
      <c r="B173" s="6" t="str">
        <f aca="false">IFERROR(INDEX('Source 2026'!$C:$C,MATCH($A173,'Source 2026'!$B:$B,0)),IFERROR(INDEX('Source 2025'!$C:$C,MATCH($A173,'Source 2025'!$B:$B,0)),""))</f>
        <v>S תתמוקפאעקב סיליקון+ קשת</v>
      </c>
      <c r="C173" s="7" t="n">
        <f aca="false">SUMIFS('Source 2025'!$D:$D,'Source 2025'!$B:$B,$A173,'Source 2025'!$A:$A,"Quantity (units)")</f>
        <v>-3</v>
      </c>
      <c r="D173" s="7" t="n">
        <f aca="false">SUMIFS('Source 2026'!$D:$D,'Source 2026'!$B:$B,$A173,'Source 2026'!$A:$A,"Quantity (units)")</f>
        <v>0</v>
      </c>
      <c r="E173" s="7" t="n">
        <f aca="false">D173-C173</f>
        <v>3</v>
      </c>
      <c r="F173" s="8" t="n">
        <f aca="false">IF(AND(C173=0,D173=0),0,IF(C173=0,"New",(D173-C173)/C173))</f>
        <v>-1</v>
      </c>
      <c r="G173" s="9" t="n">
        <f aca="false">SUMIFS('Source 2025'!$D:$D,'Source 2025'!$B:$B,$A173,'Source 2025'!$A:$A,"Amount (NIS)")</f>
        <v>-241.3</v>
      </c>
      <c r="H173" s="9" t="n">
        <f aca="false">SUMIFS('Source 2026'!$D:$D,'Source 2026'!$B:$B,$A173,'Source 2026'!$A:$A,"Amount (NIS)")</f>
        <v>0</v>
      </c>
      <c r="I173" s="9" t="n">
        <f aca="false">H173-G173</f>
        <v>241.3</v>
      </c>
      <c r="J173" s="8" t="n">
        <f aca="false">IF(AND(G173=0,H173=0),0,IF(G173=0,"New",(H173-G173)/G173))</f>
        <v>-1</v>
      </c>
    </row>
    <row r="174" customFormat="false" ht="15" hidden="false" customHeight="false" outlineLevel="0" collapsed="false">
      <c r="A174" s="6" t="s">
        <v>181</v>
      </c>
      <c r="B174" s="6" t="str">
        <f aca="false">IFERROR(INDEX('Source 2026'!$C:$C,MATCH($A174,'Source 2026'!$B:$B,0)),IFERROR(INDEX('Source 2025'!$C:$C,MATCH($A174,'Source 2025'!$B:$B,0)),""))</f>
        <v>קרסול עם שרוכים בז</v>
      </c>
      <c r="C174" s="7" t="n">
        <f aca="false">SUMIFS('Source 2025'!$D:$D,'Source 2025'!$B:$B,$A174,'Source 2025'!$A:$A,"Quantity (units)")</f>
        <v>-2</v>
      </c>
      <c r="D174" s="7" t="n">
        <f aca="false">SUMIFS('Source 2026'!$D:$D,'Source 2026'!$B:$B,$A174,'Source 2026'!$A:$A,"Quantity (units)")</f>
        <v>0</v>
      </c>
      <c r="E174" s="7" t="n">
        <f aca="false">D174-C174</f>
        <v>2</v>
      </c>
      <c r="F174" s="8" t="n">
        <f aca="false">IF(AND(C174=0,D174=0),0,IF(C174=0,"New",(D174-C174)/C174))</f>
        <v>-1</v>
      </c>
      <c r="G174" s="9" t="n">
        <f aca="false">SUMIFS('Source 2025'!$D:$D,'Source 2025'!$B:$B,$A174,'Source 2025'!$A:$A,"Amount (NIS)")</f>
        <v>-213</v>
      </c>
      <c r="H174" s="9" t="n">
        <f aca="false">SUMIFS('Source 2026'!$D:$D,'Source 2026'!$B:$B,$A174,'Source 2026'!$A:$A,"Amount (NIS)")</f>
        <v>0</v>
      </c>
      <c r="I174" s="9" t="n">
        <f aca="false">H174-G174</f>
        <v>213</v>
      </c>
      <c r="J174" s="8" t="n">
        <f aca="false">IF(AND(G174=0,H174=0),0,IF(G174=0,"New",(H174-G174)/G174))</f>
        <v>-1</v>
      </c>
    </row>
    <row r="175" customFormat="false" ht="15" hidden="false" customHeight="false" outlineLevel="0" collapsed="false">
      <c r="A175" s="6" t="s">
        <v>182</v>
      </c>
      <c r="B175" s="6" t="str">
        <f aca="false">IFERROR(INDEX('Source 2026'!$C:$C,MATCH($A175,'Source 2026'!$B:$B,0)),IFERROR(INDEX('Source 2025'!$C:$C,MATCH($A175,'Source 2025'!$B:$B,0)),""))</f>
        <v>L-XLחגורת הריון בכאב.חזק</v>
      </c>
      <c r="C175" s="7" t="n">
        <f aca="false">SUMIFS('Source 2025'!$D:$D,'Source 2025'!$B:$B,$A175,'Source 2025'!$A:$A,"Quantity (units)")</f>
        <v>0</v>
      </c>
      <c r="D175" s="7" t="n">
        <f aca="false">SUMIFS('Source 2026'!$D:$D,'Source 2026'!$B:$B,$A175,'Source 2026'!$A:$A,"Quantity (units)")</f>
        <v>-1</v>
      </c>
      <c r="E175" s="7" t="n">
        <f aca="false">D175-C175</f>
        <v>-1</v>
      </c>
      <c r="F175" s="8" t="str">
        <f aca="false">IF(AND(C175=0,D175=0),0,IF(C175=0,"New",(D175-C175)/C175))</f>
        <v>New</v>
      </c>
      <c r="G175" s="9" t="n">
        <f aca="false">SUMIFS('Source 2025'!$D:$D,'Source 2025'!$B:$B,$A175,'Source 2025'!$A:$A,"Amount (NIS)")</f>
        <v>0</v>
      </c>
      <c r="H175" s="9" t="n">
        <f aca="false">SUMIFS('Source 2026'!$D:$D,'Source 2026'!$B:$B,$A175,'Source 2026'!$A:$A,"Amount (NIS)")</f>
        <v>-207.2</v>
      </c>
      <c r="I175" s="9" t="n">
        <f aca="false">H175-G175</f>
        <v>-207.2</v>
      </c>
      <c r="J175" s="8" t="str">
        <f aca="false">IF(AND(G175=0,H175=0),0,IF(G175=0,"New",(H175-G175)/G175))</f>
        <v>New</v>
      </c>
    </row>
    <row r="176" customFormat="false" ht="15" hidden="false" customHeight="false" outlineLevel="0" collapsed="false">
      <c r="A176" s="6" t="s">
        <v>183</v>
      </c>
      <c r="B176" s="6" t="str">
        <f aca="false">IFERROR(INDEX('Source 2026'!$C:$C,MATCH($A176,'Source 2026'!$B:$B,0)),IFERROR(INDEX('Source 2025'!$C:$C,MATCH($A176,'Source 2025'!$B:$B,0)),""))</f>
        <v>L מגן ברך לסקי</v>
      </c>
      <c r="C176" s="7" t="n">
        <f aca="false">SUMIFS('Source 2025'!$D:$D,'Source 2025'!$B:$B,$A176,'Source 2025'!$A:$A,"Quantity (units)")</f>
        <v>0</v>
      </c>
      <c r="D176" s="7" t="n">
        <f aca="false">SUMIFS('Source 2026'!$D:$D,'Source 2026'!$B:$B,$A176,'Source 2026'!$A:$A,"Quantity (units)")</f>
        <v>-1</v>
      </c>
      <c r="E176" s="7" t="n">
        <f aca="false">D176-C176</f>
        <v>-1</v>
      </c>
      <c r="F176" s="8" t="str">
        <f aca="false">IF(AND(C176=0,D176=0),0,IF(C176=0,"New",(D176-C176)/C176))</f>
        <v>New</v>
      </c>
      <c r="G176" s="9" t="n">
        <f aca="false">SUMIFS('Source 2025'!$D:$D,'Source 2025'!$B:$B,$A176,'Source 2025'!$A:$A,"Amount (NIS)")</f>
        <v>0</v>
      </c>
      <c r="H176" s="9" t="n">
        <f aca="false">SUMIFS('Source 2026'!$D:$D,'Source 2026'!$B:$B,$A176,'Source 2026'!$A:$A,"Amount (NIS)")</f>
        <v>-204.8</v>
      </c>
      <c r="I176" s="9" t="n">
        <f aca="false">H176-G176</f>
        <v>-204.8</v>
      </c>
      <c r="J176" s="8" t="str">
        <f aca="false">IF(AND(G176=0,H176=0),0,IF(G176=0,"New",(H176-G176)/G176))</f>
        <v>New</v>
      </c>
    </row>
    <row r="177" customFormat="false" ht="15" hidden="false" customHeight="false" outlineLevel="0" collapsed="false">
      <c r="A177" s="6" t="s">
        <v>184</v>
      </c>
      <c r="B177" s="6" t="str">
        <f aca="false">IFERROR(INDEX('Source 2026'!$C:$C,MATCH($A177,'Source 2026'!$B:$B,0)),IFERROR(INDEX('Source 2025'!$C:$C,MATCH($A177,'Source 2025'!$B:$B,0)),""))</f>
        <v>L-מדרס סיליקון לנעלי עקב</v>
      </c>
      <c r="C177" s="7" t="n">
        <f aca="false">SUMIFS('Source 2025'!$D:$D,'Source 2025'!$B:$B,$A177,'Source 2025'!$A:$A,"Quantity (units)")</f>
        <v>-2</v>
      </c>
      <c r="D177" s="7" t="n">
        <f aca="false">SUMIFS('Source 2026'!$D:$D,'Source 2026'!$B:$B,$A177,'Source 2026'!$A:$A,"Quantity (units)")</f>
        <v>3</v>
      </c>
      <c r="E177" s="7" t="n">
        <f aca="false">D177-C177</f>
        <v>5</v>
      </c>
      <c r="F177" s="8" t="n">
        <f aca="false">IF(AND(C177=0,D177=0),0,IF(C177=0,"New",(D177-C177)/C177))</f>
        <v>-2.5</v>
      </c>
      <c r="G177" s="9" t="n">
        <f aca="false">SUMIFS('Source 2025'!$D:$D,'Source 2025'!$B:$B,$A177,'Source 2025'!$A:$A,"Amount (NIS)")</f>
        <v>-79.1</v>
      </c>
      <c r="H177" s="9" t="n">
        <f aca="false">SUMIFS('Source 2026'!$D:$D,'Source 2026'!$B:$B,$A177,'Source 2026'!$A:$A,"Amount (NIS)")</f>
        <v>114.5</v>
      </c>
      <c r="I177" s="9" t="n">
        <f aca="false">H177-G177</f>
        <v>193.6</v>
      </c>
      <c r="J177" s="8" t="n">
        <f aca="false">IF(AND(G177=0,H177=0),0,IF(G177=0,"New",(H177-G177)/G177))</f>
        <v>-2.44753476611884</v>
      </c>
    </row>
    <row r="178" customFormat="false" ht="15" hidden="false" customHeight="false" outlineLevel="0" collapsed="false">
      <c r="A178" s="6" t="s">
        <v>185</v>
      </c>
      <c r="B178" s="6" t="str">
        <f aca="false">IFERROR(INDEX('Source 2026'!$C:$C,MATCH($A178,'Source 2026'!$B:$B,0)),IFERROR(INDEX('Source 2025'!$C:$C,MATCH($A178,'Source 2025'!$B:$B,0)),""))</f>
        <v>S מתלה אשכים לאחר ניתוח</v>
      </c>
      <c r="C178" s="7" t="n">
        <f aca="false">SUMIFS('Source 2025'!$D:$D,'Source 2025'!$B:$B,$A178,'Source 2025'!$A:$A,"Quantity (units)")</f>
        <v>0</v>
      </c>
      <c r="D178" s="7" t="n">
        <f aca="false">SUMIFS('Source 2026'!$D:$D,'Source 2026'!$B:$B,$A178,'Source 2026'!$A:$A,"Quantity (units)")</f>
        <v>-2</v>
      </c>
      <c r="E178" s="7" t="n">
        <f aca="false">D178-C178</f>
        <v>-2</v>
      </c>
      <c r="F178" s="8" t="str">
        <f aca="false">IF(AND(C178=0,D178=0),0,IF(C178=0,"New",(D178-C178)/C178))</f>
        <v>New</v>
      </c>
      <c r="G178" s="9" t="n">
        <f aca="false">SUMIFS('Source 2025'!$D:$D,'Source 2025'!$B:$B,$A178,'Source 2025'!$A:$A,"Amount (NIS)")</f>
        <v>0</v>
      </c>
      <c r="H178" s="9" t="n">
        <f aca="false">SUMIFS('Source 2026'!$D:$D,'Source 2026'!$B:$B,$A178,'Source 2026'!$A:$A,"Amount (NIS)")</f>
        <v>-193.6</v>
      </c>
      <c r="I178" s="9" t="n">
        <f aca="false">H178-G178</f>
        <v>-193.6</v>
      </c>
      <c r="J178" s="8" t="str">
        <f aca="false">IF(AND(G178=0,H178=0),0,IF(G178=0,"New",(H178-G178)/G178))</f>
        <v>New</v>
      </c>
    </row>
    <row r="179" customFormat="false" ht="15" hidden="false" customHeight="false" outlineLevel="0" collapsed="false">
      <c r="A179" s="6" t="s">
        <v>186</v>
      </c>
      <c r="B179" s="6" t="str">
        <f aca="false">IFERROR(INDEX('Source 2026'!$C:$C,MATCH($A179,'Source 2026'!$B:$B,0)),IFERROR(INDEX('Source 2025'!$C:$C,MATCH($A179,'Source 2025'!$B:$B,0)),""))</f>
        <v>נגד פטרת הציפורן</v>
      </c>
      <c r="C179" s="7" t="n">
        <f aca="false">SUMIFS('Source 2025'!$D:$D,'Source 2025'!$B:$B,$A179,'Source 2025'!$A:$A,"Quantity (units)")</f>
        <v>-8</v>
      </c>
      <c r="D179" s="7" t="n">
        <f aca="false">SUMIFS('Source 2026'!$D:$D,'Source 2026'!$B:$B,$A179,'Source 2026'!$A:$A,"Quantity (units)")</f>
        <v>-2</v>
      </c>
      <c r="E179" s="7" t="n">
        <f aca="false">D179-C179</f>
        <v>6</v>
      </c>
      <c r="F179" s="8" t="n">
        <f aca="false">IF(AND(C179=0,D179=0),0,IF(C179=0,"New",(D179-C179)/C179))</f>
        <v>-0.75</v>
      </c>
      <c r="G179" s="9" t="n">
        <f aca="false">SUMIFS('Source 2025'!$D:$D,'Source 2025'!$B:$B,$A179,'Source 2025'!$A:$A,"Amount (NIS)")</f>
        <v>-235.1</v>
      </c>
      <c r="H179" s="9" t="n">
        <f aca="false">SUMIFS('Source 2026'!$D:$D,'Source 2026'!$B:$B,$A179,'Source 2026'!$A:$A,"Amount (NIS)")</f>
        <v>-57.8</v>
      </c>
      <c r="I179" s="9" t="n">
        <f aca="false">H179-G179</f>
        <v>177.3</v>
      </c>
      <c r="J179" s="8" t="n">
        <f aca="false">IF(AND(G179=0,H179=0),0,IF(G179=0,"New",(H179-G179)/G179))</f>
        <v>-0.754147171416419</v>
      </c>
    </row>
    <row r="180" customFormat="false" ht="15" hidden="false" customHeight="false" outlineLevel="0" collapsed="false">
      <c r="A180" s="6" t="s">
        <v>187</v>
      </c>
      <c r="B180" s="6" t="str">
        <f aca="false">IFERROR(INDEX('Source 2026'!$C:$C,MATCH($A180,'Source 2026'!$B:$B,0)),IFERROR(INDEX('Source 2025'!$C:$C,MATCH($A180,'Source 2025'!$B:$B,0)),""))</f>
        <v>כפפות אגודל לחץ</v>
      </c>
      <c r="C180" s="7" t="n">
        <f aca="false">SUMIFS('Source 2025'!$D:$D,'Source 2025'!$B:$B,$A180,'Source 2025'!$A:$A,"Quantity (units)")</f>
        <v>62</v>
      </c>
      <c r="D180" s="7" t="n">
        <f aca="false">SUMIFS('Source 2026'!$D:$D,'Source 2026'!$B:$B,$A180,'Source 2026'!$A:$A,"Quantity (units)")</f>
        <v>54</v>
      </c>
      <c r="E180" s="7" t="n">
        <f aca="false">D180-C180</f>
        <v>-8</v>
      </c>
      <c r="F180" s="8" t="n">
        <f aca="false">IF(AND(C180=0,D180=0),0,IF(C180=0,"New",(D180-C180)/C180))</f>
        <v>-0.129032258064516</v>
      </c>
      <c r="G180" s="9" t="n">
        <f aca="false">SUMIFS('Source 2025'!$D:$D,'Source 2025'!$B:$B,$A180,'Source 2025'!$A:$A,"Amount (NIS)")</f>
        <v>1770</v>
      </c>
      <c r="H180" s="9" t="n">
        <f aca="false">SUMIFS('Source 2026'!$D:$D,'Source 2026'!$B:$B,$A180,'Source 2026'!$A:$A,"Amount (NIS)")</f>
        <v>1600</v>
      </c>
      <c r="I180" s="9" t="n">
        <f aca="false">H180-G180</f>
        <v>-170</v>
      </c>
      <c r="J180" s="8" t="n">
        <f aca="false">IF(AND(G180=0,H180=0),0,IF(G180=0,"New",(H180-G180)/G180))</f>
        <v>-0.096045197740113</v>
      </c>
    </row>
    <row r="181" customFormat="false" ht="15" hidden="false" customHeight="false" outlineLevel="0" collapsed="false">
      <c r="A181" s="6" t="s">
        <v>188</v>
      </c>
      <c r="B181" s="6" t="str">
        <f aca="false">IFERROR(INDEX('Source 2026'!$C:$C,MATCH($A181,'Source 2026'!$B:$B,0)),IFERROR(INDEX('Source 2025'!$C:$C,MATCH($A181,'Source 2025'!$B:$B,0)),""))</f>
        <v>L  ""ח.גב קלה ""מיקדו</v>
      </c>
      <c r="C181" s="7" t="n">
        <f aca="false">SUMIFS('Source 2025'!$D:$D,'Source 2025'!$B:$B,$A181,'Source 2025'!$A:$A,"Quantity (units)")</f>
        <v>-1</v>
      </c>
      <c r="D181" s="7" t="n">
        <f aca="false">SUMIFS('Source 2026'!$D:$D,'Source 2026'!$B:$B,$A181,'Source 2026'!$A:$A,"Quantity (units)")</f>
        <v>0</v>
      </c>
      <c r="E181" s="7" t="n">
        <f aca="false">D181-C181</f>
        <v>1</v>
      </c>
      <c r="F181" s="8" t="n">
        <f aca="false">IF(AND(C181=0,D181=0),0,IF(C181=0,"New",(D181-C181)/C181))</f>
        <v>-1</v>
      </c>
      <c r="G181" s="9" t="n">
        <f aca="false">SUMIFS('Source 2025'!$D:$D,'Source 2025'!$B:$B,$A181,'Source 2025'!$A:$A,"Amount (NIS)")</f>
        <v>-147.4</v>
      </c>
      <c r="H181" s="9" t="n">
        <f aca="false">SUMIFS('Source 2026'!$D:$D,'Source 2026'!$B:$B,$A181,'Source 2026'!$A:$A,"Amount (NIS)")</f>
        <v>0</v>
      </c>
      <c r="I181" s="9" t="n">
        <f aca="false">H181-G181</f>
        <v>147.4</v>
      </c>
      <c r="J181" s="8" t="n">
        <f aca="false">IF(AND(G181=0,H181=0),0,IF(G181=0,"New",(H181-G181)/G181))</f>
        <v>-1</v>
      </c>
    </row>
    <row r="182" customFormat="false" ht="15" hidden="false" customHeight="false" outlineLevel="0" collapsed="false">
      <c r="A182" s="6" t="s">
        <v>189</v>
      </c>
      <c r="B182" s="6" t="str">
        <f aca="false">IFERROR(INDEX('Source 2026'!$C:$C,MATCH($A182,'Source 2026'!$B:$B,0)),IFERROR(INDEX('Source 2025'!$C:$C,MATCH($A182,'Source 2025'!$B:$B,0)),""))</f>
        <v>L-XL רצועת טניס אלבו</v>
      </c>
      <c r="C182" s="7" t="n">
        <f aca="false">SUMIFS('Source 2025'!$D:$D,'Source 2025'!$B:$B,$A182,'Source 2025'!$A:$A,"Quantity (units)")</f>
        <v>2</v>
      </c>
      <c r="D182" s="7" t="n">
        <f aca="false">SUMIFS('Source 2026'!$D:$D,'Source 2026'!$B:$B,$A182,'Source 2026'!$A:$A,"Quantity (units)")</f>
        <v>-1</v>
      </c>
      <c r="E182" s="7" t="n">
        <f aca="false">D182-C182</f>
        <v>-3</v>
      </c>
      <c r="F182" s="8" t="n">
        <f aca="false">IF(AND(C182=0,D182=0),0,IF(C182=0,"New",(D182-C182)/C182))</f>
        <v>-1.5</v>
      </c>
      <c r="G182" s="9" t="n">
        <f aca="false">SUMIFS('Source 2025'!$D:$D,'Source 2025'!$B:$B,$A182,'Source 2025'!$A:$A,"Amount (NIS)")</f>
        <v>98.2</v>
      </c>
      <c r="H182" s="9" t="n">
        <f aca="false">SUMIFS('Source 2026'!$D:$D,'Source 2026'!$B:$B,$A182,'Source 2026'!$A:$A,"Amount (NIS)")</f>
        <v>-49.1</v>
      </c>
      <c r="I182" s="9" t="n">
        <f aca="false">H182-G182</f>
        <v>-147.3</v>
      </c>
      <c r="J182" s="8" t="n">
        <f aca="false">IF(AND(G182=0,H182=0),0,IF(G182=0,"New",(H182-G182)/G182))</f>
        <v>-1.5</v>
      </c>
    </row>
    <row r="183" customFormat="false" ht="15" hidden="false" customHeight="false" outlineLevel="0" collapsed="false">
      <c r="A183" s="6" t="s">
        <v>190</v>
      </c>
      <c r="B183" s="6" t="str">
        <f aca="false">IFERROR(INDEX('Source 2026'!$C:$C,MATCH($A183,'Source 2026'!$B:$B,0)),IFERROR(INDEX('Source 2025'!$C:$C,MATCH($A183,'Source 2025'!$B:$B,0)),""))</f>
        <v>.חבישת""הלוקס ולגוס""לאחר נית</v>
      </c>
      <c r="C183" s="7" t="n">
        <f aca="false">SUMIFS('Source 2025'!$D:$D,'Source 2025'!$B:$B,$A183,'Source 2025'!$A:$A,"Quantity (units)")</f>
        <v>-2</v>
      </c>
      <c r="D183" s="7" t="n">
        <f aca="false">SUMIFS('Source 2026'!$D:$D,'Source 2026'!$B:$B,$A183,'Source 2026'!$A:$A,"Quantity (units)")</f>
        <v>0</v>
      </c>
      <c r="E183" s="7" t="n">
        <f aca="false">D183-C183</f>
        <v>2</v>
      </c>
      <c r="F183" s="8" t="n">
        <f aca="false">IF(AND(C183=0,D183=0),0,IF(C183=0,"New",(D183-C183)/C183))</f>
        <v>-1</v>
      </c>
      <c r="G183" s="9" t="n">
        <f aca="false">SUMIFS('Source 2025'!$D:$D,'Source 2025'!$B:$B,$A183,'Source 2025'!$A:$A,"Amount (NIS)")</f>
        <v>-136.3</v>
      </c>
      <c r="H183" s="9" t="n">
        <f aca="false">SUMIFS('Source 2026'!$D:$D,'Source 2026'!$B:$B,$A183,'Source 2026'!$A:$A,"Amount (NIS)")</f>
        <v>0</v>
      </c>
      <c r="I183" s="9" t="n">
        <f aca="false">H183-G183</f>
        <v>136.3</v>
      </c>
      <c r="J183" s="8" t="n">
        <f aca="false">IF(AND(G183=0,H183=0),0,IF(G183=0,"New",(H183-G183)/G183))</f>
        <v>-1</v>
      </c>
    </row>
    <row r="184" customFormat="false" ht="15" hidden="false" customHeight="false" outlineLevel="0" collapsed="false">
      <c r="A184" s="6" t="s">
        <v>191</v>
      </c>
      <c r="B184" s="6" t="str">
        <f aca="false">IFERROR(INDEX('Source 2026'!$C:$C,MATCH($A184,'Source 2026'!$B:$B,0)),IFERROR(INDEX('Source 2025'!$C:$C,MATCH($A184,'Source 2025'!$B:$B,0)),""))</f>
        <v>מגן קרסול+כרית סילקון</v>
      </c>
      <c r="C184" s="7" t="n">
        <f aca="false">SUMIFS('Source 2025'!$D:$D,'Source 2025'!$B:$B,$A184,'Source 2025'!$A:$A,"Quantity (units)")</f>
        <v>-1</v>
      </c>
      <c r="D184" s="7" t="n">
        <f aca="false">SUMIFS('Source 2026'!$D:$D,'Source 2026'!$B:$B,$A184,'Source 2026'!$A:$A,"Quantity (units)")</f>
        <v>0</v>
      </c>
      <c r="E184" s="7" t="n">
        <f aca="false">D184-C184</f>
        <v>1</v>
      </c>
      <c r="F184" s="8" t="n">
        <f aca="false">IF(AND(C184=0,D184=0),0,IF(C184=0,"New",(D184-C184)/C184))</f>
        <v>-1</v>
      </c>
      <c r="G184" s="9" t="n">
        <f aca="false">SUMIFS('Source 2025'!$D:$D,'Source 2025'!$B:$B,$A184,'Source 2025'!$A:$A,"Amount (NIS)")</f>
        <v>-131.1</v>
      </c>
      <c r="H184" s="9" t="n">
        <f aca="false">SUMIFS('Source 2026'!$D:$D,'Source 2026'!$B:$B,$A184,'Source 2026'!$A:$A,"Amount (NIS)")</f>
        <v>0</v>
      </c>
      <c r="I184" s="9" t="n">
        <f aca="false">H184-G184</f>
        <v>131.1</v>
      </c>
      <c r="J184" s="8" t="n">
        <f aca="false">IF(AND(G184=0,H184=0),0,IF(G184=0,"New",(H184-G184)/G184))</f>
        <v>-1</v>
      </c>
    </row>
    <row r="185" customFormat="false" ht="15" hidden="false" customHeight="false" outlineLevel="0" collapsed="false">
      <c r="A185" s="6" t="s">
        <v>192</v>
      </c>
      <c r="B185" s="6" t="str">
        <f aca="false">IFERROR(INDEX('Source 2026'!$C:$C,MATCH($A185,'Source 2026'!$B:$B,0)),IFERROR(INDEX('Source 2025'!$C:$C,MATCH($A185,'Source 2025'!$B:$B,0)),""))</f>
        <v>מגן קרסול+כרית סילקון</v>
      </c>
      <c r="C185" s="7" t="n">
        <f aca="false">SUMIFS('Source 2025'!$D:$D,'Source 2025'!$B:$B,$A185,'Source 2025'!$A:$A,"Quantity (units)")</f>
        <v>-1</v>
      </c>
      <c r="D185" s="7" t="n">
        <f aca="false">SUMIFS('Source 2026'!$D:$D,'Source 2026'!$B:$B,$A185,'Source 2026'!$A:$A,"Quantity (units)")</f>
        <v>0</v>
      </c>
      <c r="E185" s="7" t="n">
        <f aca="false">D185-C185</f>
        <v>1</v>
      </c>
      <c r="F185" s="8" t="n">
        <f aca="false">IF(AND(C185=0,D185=0),0,IF(C185=0,"New",(D185-C185)/C185))</f>
        <v>-1</v>
      </c>
      <c r="G185" s="9" t="n">
        <f aca="false">SUMIFS('Source 2025'!$D:$D,'Source 2025'!$B:$B,$A185,'Source 2025'!$A:$A,"Amount (NIS)")</f>
        <v>-131.1</v>
      </c>
      <c r="H185" s="9" t="n">
        <f aca="false">SUMIFS('Source 2026'!$D:$D,'Source 2026'!$B:$B,$A185,'Source 2026'!$A:$A,"Amount (NIS)")</f>
        <v>0</v>
      </c>
      <c r="I185" s="9" t="n">
        <f aca="false">H185-G185</f>
        <v>131.1</v>
      </c>
      <c r="J185" s="8" t="n">
        <f aca="false">IF(AND(G185=0,H185=0),0,IF(G185=0,"New",(H185-G185)/G185))</f>
        <v>-1</v>
      </c>
    </row>
    <row r="186" customFormat="false" ht="15" hidden="false" customHeight="false" outlineLevel="0" collapsed="false">
      <c r="A186" s="6" t="s">
        <v>193</v>
      </c>
      <c r="B186" s="6" t="str">
        <f aca="false">IFERROR(INDEX('Source 2026'!$C:$C,MATCH($A186,'Source 2026'!$B:$B,0)),IFERROR(INDEX('Source 2025'!$C:$C,MATCH($A186,'Source 2025'!$B:$B,0)),""))</f>
        <v>קרסול+כרית סילקון</v>
      </c>
      <c r="C186" s="7" t="n">
        <f aca="false">SUMIFS('Source 2025'!$D:$D,'Source 2025'!$B:$B,$A186,'Source 2025'!$A:$A,"Quantity (units)")</f>
        <v>0</v>
      </c>
      <c r="D186" s="7" t="n">
        <f aca="false">SUMIFS('Source 2026'!$D:$D,'Source 2026'!$B:$B,$A186,'Source 2026'!$A:$A,"Quantity (units)")</f>
        <v>-1</v>
      </c>
      <c r="E186" s="7" t="n">
        <f aca="false">D186-C186</f>
        <v>-1</v>
      </c>
      <c r="F186" s="8" t="str">
        <f aca="false">IF(AND(C186=0,D186=0),0,IF(C186=0,"New",(D186-C186)/C186))</f>
        <v>New</v>
      </c>
      <c r="G186" s="9" t="n">
        <f aca="false">SUMIFS('Source 2025'!$D:$D,'Source 2025'!$B:$B,$A186,'Source 2025'!$A:$A,"Amount (NIS)")</f>
        <v>0</v>
      </c>
      <c r="H186" s="9" t="n">
        <f aca="false">SUMIFS('Source 2026'!$D:$D,'Source 2026'!$B:$B,$A186,'Source 2026'!$A:$A,"Amount (NIS)")</f>
        <v>-131.1</v>
      </c>
      <c r="I186" s="9" t="n">
        <f aca="false">H186-G186</f>
        <v>-131.1</v>
      </c>
      <c r="J186" s="8" t="str">
        <f aca="false">IF(AND(G186=0,H186=0),0,IF(G186=0,"New",(H186-G186)/G186))</f>
        <v>New</v>
      </c>
    </row>
    <row r="187" customFormat="false" ht="15" hidden="false" customHeight="false" outlineLevel="0" collapsed="false">
      <c r="A187" s="6" t="s">
        <v>194</v>
      </c>
      <c r="B187" s="6" t="str">
        <f aca="false">IFERROR(INDEX('Source 2026'!$C:$C,MATCH($A187,'Source 2026'!$B:$B,0)),IFERROR(INDEX('Source 2025'!$C:$C,MATCH($A187,'Source 2025'!$B:$B,0)),""))</f>
        <v>חגורת גב +סגירה כפולה</v>
      </c>
      <c r="C187" s="7" t="n">
        <f aca="false">SUMIFS('Source 2025'!$D:$D,'Source 2025'!$B:$B,$A187,'Source 2025'!$A:$A,"Quantity (units)")</f>
        <v>28</v>
      </c>
      <c r="D187" s="7" t="n">
        <f aca="false">SUMIFS('Source 2026'!$D:$D,'Source 2026'!$B:$B,$A187,'Source 2026'!$A:$A,"Quantity (units)")</f>
        <v>26</v>
      </c>
      <c r="E187" s="7" t="n">
        <f aca="false">D187-C187</f>
        <v>-2</v>
      </c>
      <c r="F187" s="8" t="n">
        <f aca="false">IF(AND(C187=0,D187=0),0,IF(C187=0,"New",(D187-C187)/C187))</f>
        <v>-0.0714285714285714</v>
      </c>
      <c r="G187" s="9" t="n">
        <f aca="false">SUMIFS('Source 2025'!$D:$D,'Source 2025'!$B:$B,$A187,'Source 2025'!$A:$A,"Amount (NIS)")</f>
        <v>2640.1</v>
      </c>
      <c r="H187" s="9" t="n">
        <f aca="false">SUMIFS('Source 2026'!$D:$D,'Source 2026'!$B:$B,$A187,'Source 2026'!$A:$A,"Amount (NIS)")</f>
        <v>2509.6</v>
      </c>
      <c r="I187" s="9" t="n">
        <f aca="false">H187-G187</f>
        <v>-130.5</v>
      </c>
      <c r="J187" s="8" t="n">
        <f aca="false">IF(AND(G187=0,H187=0),0,IF(G187=0,"New",(H187-G187)/G187))</f>
        <v>-0.049429945835385</v>
      </c>
    </row>
    <row r="188" customFormat="false" ht="15" hidden="false" customHeight="false" outlineLevel="0" collapsed="false">
      <c r="A188" s="6" t="s">
        <v>195</v>
      </c>
      <c r="B188" s="6" t="str">
        <f aca="false">IFERROR(INDEX('Source 2026'!$C:$C,MATCH($A188,'Source 2026'!$B:$B,0)),IFERROR(INDEX('Source 2025'!$C:$C,MATCH($A188,'Source 2025'!$B:$B,0)),""))</f>
        <v>XL סד לאגודל כפפה</v>
      </c>
      <c r="C188" s="7" t="n">
        <f aca="false">SUMIFS('Source 2025'!$D:$D,'Source 2025'!$B:$B,$A188,'Source 2025'!$A:$A,"Quantity (units)")</f>
        <v>2</v>
      </c>
      <c r="D188" s="7" t="n">
        <f aca="false">SUMIFS('Source 2026'!$D:$D,'Source 2026'!$B:$B,$A188,'Source 2026'!$A:$A,"Quantity (units)")</f>
        <v>0</v>
      </c>
      <c r="E188" s="7" t="n">
        <f aca="false">D188-C188</f>
        <v>-2</v>
      </c>
      <c r="F188" s="8" t="n">
        <f aca="false">IF(AND(C188=0,D188=0),0,IF(C188=0,"New",(D188-C188)/C188))</f>
        <v>-1</v>
      </c>
      <c r="G188" s="9" t="n">
        <f aca="false">SUMIFS('Source 2025'!$D:$D,'Source 2025'!$B:$B,$A188,'Source 2025'!$A:$A,"Amount (NIS)")</f>
        <v>122.8</v>
      </c>
      <c r="H188" s="9" t="n">
        <f aca="false">SUMIFS('Source 2026'!$D:$D,'Source 2026'!$B:$B,$A188,'Source 2026'!$A:$A,"Amount (NIS)")</f>
        <v>0</v>
      </c>
      <c r="I188" s="9" t="n">
        <f aca="false">H188-G188</f>
        <v>-122.8</v>
      </c>
      <c r="J188" s="8" t="n">
        <f aca="false">IF(AND(G188=0,H188=0),0,IF(G188=0,"New",(H188-G188)/G188))</f>
        <v>-1</v>
      </c>
    </row>
    <row r="189" customFormat="false" ht="15" hidden="false" customHeight="false" outlineLevel="0" collapsed="false">
      <c r="A189" s="6" t="s">
        <v>196</v>
      </c>
      <c r="B189" s="6" t="str">
        <f aca="false">IFERROR(INDEX('Source 2026'!$C:$C,MATCH($A189,'Source 2026'!$B:$B,0)),IFERROR(INDEX('Source 2025'!$C:$C,MATCH($A189,'Source 2025'!$B:$B,0)),""))</f>
        <v>099 חגורת גב שרוכים</v>
      </c>
      <c r="C189" s="7" t="n">
        <f aca="false">SUMIFS('Source 2025'!$D:$D,'Source 2025'!$B:$B,$A189,'Source 2025'!$A:$A,"Quantity (units)")</f>
        <v>0</v>
      </c>
      <c r="D189" s="7" t="n">
        <f aca="false">SUMIFS('Source 2026'!$D:$D,'Source 2026'!$B:$B,$A189,'Source 2026'!$A:$A,"Quantity (units)")</f>
        <v>-1</v>
      </c>
      <c r="E189" s="7" t="n">
        <f aca="false">D189-C189</f>
        <v>-1</v>
      </c>
      <c r="F189" s="8" t="str">
        <f aca="false">IF(AND(C189=0,D189=0),0,IF(C189=0,"New",(D189-C189)/C189))</f>
        <v>New</v>
      </c>
      <c r="G189" s="9" t="n">
        <f aca="false">SUMIFS('Source 2025'!$D:$D,'Source 2025'!$B:$B,$A189,'Source 2025'!$A:$A,"Amount (NIS)")</f>
        <v>0</v>
      </c>
      <c r="H189" s="9" t="n">
        <f aca="false">SUMIFS('Source 2026'!$D:$D,'Source 2026'!$B:$B,$A189,'Source 2026'!$A:$A,"Amount (NIS)")</f>
        <v>-118.8</v>
      </c>
      <c r="I189" s="9" t="n">
        <f aca="false">H189-G189</f>
        <v>-118.8</v>
      </c>
      <c r="J189" s="8" t="str">
        <f aca="false">IF(AND(G189=0,H189=0),0,IF(G189=0,"New",(H189-G189)/G189))</f>
        <v>New</v>
      </c>
    </row>
    <row r="190" customFormat="false" ht="15" hidden="false" customHeight="false" outlineLevel="0" collapsed="false">
      <c r="A190" s="6" t="s">
        <v>197</v>
      </c>
      <c r="B190" s="6" t="str">
        <f aca="false">IFERROR(INDEX('Source 2026'!$C:$C,MATCH($A190,'Source 2026'!$B:$B,0)),IFERROR(INDEX('Source 2025'!$C:$C,MATCH($A190,'Source 2025'!$B:$B,0)),""))</f>
        <v>099 חגורת גב שרוכים</v>
      </c>
      <c r="C190" s="7" t="n">
        <f aca="false">SUMIFS('Source 2025'!$D:$D,'Source 2025'!$B:$B,$A190,'Source 2025'!$A:$A,"Quantity (units)")</f>
        <v>0</v>
      </c>
      <c r="D190" s="7" t="n">
        <f aca="false">SUMIFS('Source 2026'!$D:$D,'Source 2026'!$B:$B,$A190,'Source 2026'!$A:$A,"Quantity (units)")</f>
        <v>-1</v>
      </c>
      <c r="E190" s="7" t="n">
        <f aca="false">D190-C190</f>
        <v>-1</v>
      </c>
      <c r="F190" s="8" t="str">
        <f aca="false">IF(AND(C190=0,D190=0),0,IF(C190=0,"New",(D190-C190)/C190))</f>
        <v>New</v>
      </c>
      <c r="G190" s="9" t="n">
        <f aca="false">SUMIFS('Source 2025'!$D:$D,'Source 2025'!$B:$B,$A190,'Source 2025'!$A:$A,"Amount (NIS)")</f>
        <v>0</v>
      </c>
      <c r="H190" s="9" t="n">
        <f aca="false">SUMIFS('Source 2026'!$D:$D,'Source 2026'!$B:$B,$A190,'Source 2026'!$A:$A,"Amount (NIS)")</f>
        <v>-118.8</v>
      </c>
      <c r="I190" s="9" t="n">
        <f aca="false">H190-G190</f>
        <v>-118.8</v>
      </c>
      <c r="J190" s="8" t="str">
        <f aca="false">IF(AND(G190=0,H190=0),0,IF(G190=0,"New",(H190-G190)/G190))</f>
        <v>New</v>
      </c>
    </row>
    <row r="191" customFormat="false" ht="15" hidden="false" customHeight="false" outlineLevel="0" collapsed="false">
      <c r="A191" s="6" t="s">
        <v>198</v>
      </c>
      <c r="B191" s="6" t="str">
        <f aca="false">IFERROR(INDEX('Source 2026'!$C:$C,MATCH($A191,'Source 2026'!$B:$B,0)),IFERROR(INDEX('Source 2025'!$C:$C,MATCH($A191,'Source 2025'!$B:$B,0)),""))</f>
        <v>L מגן ברך מוצלב+מוט</v>
      </c>
      <c r="C191" s="7" t="n">
        <f aca="false">SUMIFS('Source 2025'!$D:$D,'Source 2025'!$B:$B,$A191,'Source 2025'!$A:$A,"Quantity (units)")</f>
        <v>-1</v>
      </c>
      <c r="D191" s="7" t="n">
        <f aca="false">SUMIFS('Source 2026'!$D:$D,'Source 2026'!$B:$B,$A191,'Source 2026'!$A:$A,"Quantity (units)")</f>
        <v>-2</v>
      </c>
      <c r="E191" s="7" t="n">
        <f aca="false">D191-C191</f>
        <v>-1</v>
      </c>
      <c r="F191" s="8" t="n">
        <f aca="false">IF(AND(C191=0,D191=0),0,IF(C191=0,"New",(D191-C191)/C191))</f>
        <v>1</v>
      </c>
      <c r="G191" s="9" t="n">
        <f aca="false">SUMIFS('Source 2025'!$D:$D,'Source 2025'!$B:$B,$A191,'Source 2025'!$A:$A,"Amount (NIS)")</f>
        <v>-116.7</v>
      </c>
      <c r="H191" s="9" t="n">
        <f aca="false">SUMIFS('Source 2026'!$D:$D,'Source 2026'!$B:$B,$A191,'Source 2026'!$A:$A,"Amount (NIS)")</f>
        <v>-233.4</v>
      </c>
      <c r="I191" s="9" t="n">
        <f aca="false">H191-G191</f>
        <v>-116.7</v>
      </c>
      <c r="J191" s="8" t="n">
        <f aca="false">IF(AND(G191=0,H191=0),0,IF(G191=0,"New",(H191-G191)/G191))</f>
        <v>1</v>
      </c>
    </row>
    <row r="192" customFormat="false" ht="15" hidden="false" customHeight="false" outlineLevel="0" collapsed="false">
      <c r="A192" s="6" t="s">
        <v>199</v>
      </c>
      <c r="B192" s="6" t="str">
        <f aca="false">IFERROR(INDEX('Source 2026'!$C:$C,MATCH($A192,'Source 2026'!$B:$B,0)),IFERROR(INDEX('Source 2025'!$C:$C,MATCH($A192,'Source 2025'!$B:$B,0)),""))</f>
        <v>סד לקרסול עם כריות אויר</v>
      </c>
      <c r="C192" s="7" t="n">
        <f aca="false">SUMIFS('Source 2025'!$D:$D,'Source 2025'!$B:$B,$A192,'Source 2025'!$A:$A,"Quantity (units)")</f>
        <v>1</v>
      </c>
      <c r="D192" s="7" t="n">
        <f aca="false">SUMIFS('Source 2026'!$D:$D,'Source 2026'!$B:$B,$A192,'Source 2026'!$A:$A,"Quantity (units)")</f>
        <v>4</v>
      </c>
      <c r="E192" s="7" t="n">
        <f aca="false">D192-C192</f>
        <v>3</v>
      </c>
      <c r="F192" s="8" t="n">
        <f aca="false">IF(AND(C192=0,D192=0),0,IF(C192=0,"New",(D192-C192)/C192))</f>
        <v>3</v>
      </c>
      <c r="G192" s="9" t="n">
        <f aca="false">SUMIFS('Source 2025'!$D:$D,'Source 2025'!$B:$B,$A192,'Source 2025'!$A:$A,"Amount (NIS)")</f>
        <v>143.4</v>
      </c>
      <c r="H192" s="9" t="n">
        <f aca="false">SUMIFS('Source 2026'!$D:$D,'Source 2026'!$B:$B,$A192,'Source 2026'!$A:$A,"Amount (NIS)")</f>
        <v>257.2</v>
      </c>
      <c r="I192" s="9" t="n">
        <f aca="false">H192-G192</f>
        <v>113.8</v>
      </c>
      <c r="J192" s="8" t="n">
        <f aca="false">IF(AND(G192=0,H192=0),0,IF(G192=0,"New",(H192-G192)/G192))</f>
        <v>0.793584379358438</v>
      </c>
    </row>
    <row r="193" customFormat="false" ht="15" hidden="false" customHeight="false" outlineLevel="0" collapsed="false">
      <c r="A193" s="6" t="s">
        <v>200</v>
      </c>
      <c r="B193" s="6" t="str">
        <f aca="false">IFERROR(INDEX('Source 2026'!$C:$C,MATCH($A193,'Source 2026'!$B:$B,0)),IFERROR(INDEX('Source 2025'!$C:$C,MATCH($A193,'Source 2025'!$B:$B,0)),""))</f>
        <v>ריפוד סיליקון לנעלי אצבע</v>
      </c>
      <c r="C193" s="7" t="n">
        <f aca="false">SUMIFS('Source 2025'!$D:$D,'Source 2025'!$B:$B,$A193,'Source 2025'!$A:$A,"Quantity (units)")</f>
        <v>-3</v>
      </c>
      <c r="D193" s="7" t="n">
        <f aca="false">SUMIFS('Source 2026'!$D:$D,'Source 2026'!$B:$B,$A193,'Source 2026'!$A:$A,"Quantity (units)")</f>
        <v>1</v>
      </c>
      <c r="E193" s="7" t="n">
        <f aca="false">D193-C193</f>
        <v>4</v>
      </c>
      <c r="F193" s="8" t="n">
        <f aca="false">IF(AND(C193=0,D193=0),0,IF(C193=0,"New",(D193-C193)/C193))</f>
        <v>-1.33333333333333</v>
      </c>
      <c r="G193" s="9" t="n">
        <f aca="false">SUMIFS('Source 2025'!$D:$D,'Source 2025'!$B:$B,$A193,'Source 2025'!$A:$A,"Amount (NIS)")</f>
        <v>-85.8</v>
      </c>
      <c r="H193" s="9" t="n">
        <f aca="false">SUMIFS('Source 2026'!$D:$D,'Source 2026'!$B:$B,$A193,'Source 2026'!$A:$A,"Amount (NIS)")</f>
        <v>24.3</v>
      </c>
      <c r="I193" s="9" t="n">
        <f aca="false">H193-G193</f>
        <v>110.1</v>
      </c>
      <c r="J193" s="8" t="n">
        <f aca="false">IF(AND(G193=0,H193=0),0,IF(G193=0,"New",(H193-G193)/G193))</f>
        <v>-1.28321678321678</v>
      </c>
    </row>
    <row r="194" customFormat="false" ht="15" hidden="false" customHeight="false" outlineLevel="0" collapsed="false">
      <c r="A194" s="6" t="s">
        <v>201</v>
      </c>
      <c r="B194" s="6" t="str">
        <f aca="false">IFERROR(INDEX('Source 2026'!$C:$C,MATCH($A194,'Source 2026'!$B:$B,0)),IFERROR(INDEX('Source 2025'!$C:$C,MATCH($A194,'Source 2025'!$B:$B,0)),""))</f>
        <v>קרסול עם שרוכים בז</v>
      </c>
      <c r="C194" s="7" t="n">
        <f aca="false">SUMIFS('Source 2025'!$D:$D,'Source 2025'!$B:$B,$A194,'Source 2025'!$A:$A,"Quantity (units)")</f>
        <v>-1</v>
      </c>
      <c r="D194" s="7" t="n">
        <f aca="false">SUMIFS('Source 2026'!$D:$D,'Source 2026'!$B:$B,$A194,'Source 2026'!$A:$A,"Quantity (units)")</f>
        <v>0</v>
      </c>
      <c r="E194" s="7" t="n">
        <f aca="false">D194-C194</f>
        <v>1</v>
      </c>
      <c r="F194" s="8" t="n">
        <f aca="false">IF(AND(C194=0,D194=0),0,IF(C194=0,"New",(D194-C194)/C194))</f>
        <v>-1</v>
      </c>
      <c r="G194" s="9" t="n">
        <f aca="false">SUMIFS('Source 2025'!$D:$D,'Source 2025'!$B:$B,$A194,'Source 2025'!$A:$A,"Amount (NIS)")</f>
        <v>-106.5</v>
      </c>
      <c r="H194" s="9" t="n">
        <f aca="false">SUMIFS('Source 2026'!$D:$D,'Source 2026'!$B:$B,$A194,'Source 2026'!$A:$A,"Amount (NIS)")</f>
        <v>0</v>
      </c>
      <c r="I194" s="9" t="n">
        <f aca="false">H194-G194</f>
        <v>106.5</v>
      </c>
      <c r="J194" s="8" t="n">
        <f aca="false">IF(AND(G194=0,H194=0),0,IF(G194=0,"New",(H194-G194)/G194))</f>
        <v>-1</v>
      </c>
    </row>
    <row r="195" customFormat="false" ht="15" hidden="false" customHeight="false" outlineLevel="0" collapsed="false">
      <c r="A195" s="6" t="s">
        <v>202</v>
      </c>
      <c r="B195" s="6" t="str">
        <f aca="false">IFERROR(INDEX('Source 2026'!$C:$C,MATCH($A195,'Source 2026'!$B:$B,0)),IFERROR(INDEX('Source 2025'!$C:$C,MATCH($A195,'Source 2025'!$B:$B,0)),""))</f>
        <v>קרסול עם שרוכים בז</v>
      </c>
      <c r="C195" s="7" t="n">
        <f aca="false">SUMIFS('Source 2025'!$D:$D,'Source 2025'!$B:$B,$A195,'Source 2025'!$A:$A,"Quantity (units)")</f>
        <v>-1</v>
      </c>
      <c r="D195" s="7" t="n">
        <f aca="false">SUMIFS('Source 2026'!$D:$D,'Source 2026'!$B:$B,$A195,'Source 2026'!$A:$A,"Quantity (units)")</f>
        <v>0</v>
      </c>
      <c r="E195" s="7" t="n">
        <f aca="false">D195-C195</f>
        <v>1</v>
      </c>
      <c r="F195" s="8" t="n">
        <f aca="false">IF(AND(C195=0,D195=0),0,IF(C195=0,"New",(D195-C195)/C195))</f>
        <v>-1</v>
      </c>
      <c r="G195" s="9" t="n">
        <f aca="false">SUMIFS('Source 2025'!$D:$D,'Source 2025'!$B:$B,$A195,'Source 2025'!$A:$A,"Amount (NIS)")</f>
        <v>-106.5</v>
      </c>
      <c r="H195" s="9" t="n">
        <f aca="false">SUMIFS('Source 2026'!$D:$D,'Source 2026'!$B:$B,$A195,'Source 2026'!$A:$A,"Amount (NIS)")</f>
        <v>0</v>
      </c>
      <c r="I195" s="9" t="n">
        <f aca="false">H195-G195</f>
        <v>106.5</v>
      </c>
      <c r="J195" s="8" t="n">
        <f aca="false">IF(AND(G195=0,H195=0),0,IF(G195=0,"New",(H195-G195)/G195))</f>
        <v>-1</v>
      </c>
    </row>
    <row r="196" customFormat="false" ht="15" hidden="false" customHeight="false" outlineLevel="0" collapsed="false">
      <c r="A196" s="6" t="s">
        <v>203</v>
      </c>
      <c r="B196" s="6" t="str">
        <f aca="false">IFERROR(INDEX('Source 2026'!$C:$C,MATCH($A196,'Source 2026'!$B:$B,0)),IFERROR(INDEX('Source 2025'!$C:$C,MATCH($A196,'Source 2025'!$B:$B,0)),""))</f>
        <v>קרסול עם שרוכים בז</v>
      </c>
      <c r="C196" s="7" t="n">
        <f aca="false">SUMIFS('Source 2025'!$D:$D,'Source 2025'!$B:$B,$A196,'Source 2025'!$A:$A,"Quantity (units)")</f>
        <v>-1</v>
      </c>
      <c r="D196" s="7" t="n">
        <f aca="false">SUMIFS('Source 2026'!$D:$D,'Source 2026'!$B:$B,$A196,'Source 2026'!$A:$A,"Quantity (units)")</f>
        <v>0</v>
      </c>
      <c r="E196" s="7" t="n">
        <f aca="false">D196-C196</f>
        <v>1</v>
      </c>
      <c r="F196" s="8" t="n">
        <f aca="false">IF(AND(C196=0,D196=0),0,IF(C196=0,"New",(D196-C196)/C196))</f>
        <v>-1</v>
      </c>
      <c r="G196" s="9" t="n">
        <f aca="false">SUMIFS('Source 2025'!$D:$D,'Source 2025'!$B:$B,$A196,'Source 2025'!$A:$A,"Amount (NIS)")</f>
        <v>-106.5</v>
      </c>
      <c r="H196" s="9" t="n">
        <f aca="false">SUMIFS('Source 2026'!$D:$D,'Source 2026'!$B:$B,$A196,'Source 2026'!$A:$A,"Amount (NIS)")</f>
        <v>0</v>
      </c>
      <c r="I196" s="9" t="n">
        <f aca="false">H196-G196</f>
        <v>106.5</v>
      </c>
      <c r="J196" s="8" t="n">
        <f aca="false">IF(AND(G196=0,H196=0),0,IF(G196=0,"New",(H196-G196)/G196))</f>
        <v>-1</v>
      </c>
    </row>
    <row r="197" customFormat="false" ht="15" hidden="false" customHeight="false" outlineLevel="0" collapsed="false">
      <c r="A197" s="6" t="s">
        <v>204</v>
      </c>
      <c r="B197" s="6" t="str">
        <f aca="false">IFERROR(INDEX('Source 2026'!$C:$C,MATCH($A197,'Source 2026'!$B:$B,0)),IFERROR(INDEX('Source 2025'!$C:$C,MATCH($A197,'Source 2025'!$B:$B,0)),""))</f>
        <v>Lעקבים סיליקון כחול לדורבן</v>
      </c>
      <c r="C197" s="7" t="n">
        <f aca="false">SUMIFS('Source 2025'!$D:$D,'Source 2025'!$B:$B,$A197,'Source 2025'!$A:$A,"Quantity (units)")</f>
        <v>-5</v>
      </c>
      <c r="D197" s="7" t="n">
        <f aca="false">SUMIFS('Source 2026'!$D:$D,'Source 2026'!$B:$B,$A197,'Source 2026'!$A:$A,"Quantity (units)")</f>
        <v>-3</v>
      </c>
      <c r="E197" s="7" t="n">
        <f aca="false">D197-C197</f>
        <v>2</v>
      </c>
      <c r="F197" s="8" t="n">
        <f aca="false">IF(AND(C197=0,D197=0),0,IF(C197=0,"New",(D197-C197)/C197))</f>
        <v>-0.4</v>
      </c>
      <c r="G197" s="9" t="n">
        <f aca="false">SUMIFS('Source 2025'!$D:$D,'Source 2025'!$B:$B,$A197,'Source 2025'!$A:$A,"Amount (NIS)")</f>
        <v>-245.6</v>
      </c>
      <c r="H197" s="9" t="n">
        <f aca="false">SUMIFS('Source 2026'!$D:$D,'Source 2026'!$B:$B,$A197,'Source 2026'!$A:$A,"Amount (NIS)")</f>
        <v>-149.4</v>
      </c>
      <c r="I197" s="9" t="n">
        <f aca="false">H197-G197</f>
        <v>96.2</v>
      </c>
      <c r="J197" s="8" t="n">
        <f aca="false">IF(AND(G197=0,H197=0),0,IF(G197=0,"New",(H197-G197)/G197))</f>
        <v>-0.391693811074919</v>
      </c>
    </row>
    <row r="198" customFormat="false" ht="15" hidden="false" customHeight="false" outlineLevel="0" collapsed="false">
      <c r="A198" s="6" t="s">
        <v>205</v>
      </c>
      <c r="B198" s="6" t="str">
        <f aca="false">IFERROR(INDEX('Source 2026'!$C:$C,MATCH($A198,'Source 2026'!$B:$B,0)),IFERROR(INDEX('Source 2025'!$C:$C,MATCH($A198,'Source 2025'!$B:$B,0)),""))</f>
        <v>S מגן ברך רגיל</v>
      </c>
      <c r="C198" s="7" t="n">
        <f aca="false">SUMIFS('Source 2025'!$D:$D,'Source 2025'!$B:$B,$A198,'Source 2025'!$A:$A,"Quantity (units)")</f>
        <v>25</v>
      </c>
      <c r="D198" s="7" t="n">
        <f aca="false">SUMIFS('Source 2026'!$D:$D,'Source 2026'!$B:$B,$A198,'Source 2026'!$A:$A,"Quantity (units)")</f>
        <v>24</v>
      </c>
      <c r="E198" s="7" t="n">
        <f aca="false">D198-C198</f>
        <v>-1</v>
      </c>
      <c r="F198" s="8" t="n">
        <f aca="false">IF(AND(C198=0,D198=0),0,IF(C198=0,"New",(D198-C198)/C198))</f>
        <v>-0.04</v>
      </c>
      <c r="G198" s="9" t="n">
        <f aca="false">SUMIFS('Source 2025'!$D:$D,'Source 2025'!$B:$B,$A198,'Source 2025'!$A:$A,"Amount (NIS)")</f>
        <v>2254.3</v>
      </c>
      <c r="H198" s="9" t="n">
        <f aca="false">SUMIFS('Source 2026'!$D:$D,'Source 2026'!$B:$B,$A198,'Source 2026'!$A:$A,"Amount (NIS)")</f>
        <v>2159.2</v>
      </c>
      <c r="I198" s="9" t="n">
        <f aca="false">H198-G198</f>
        <v>-95.0999999999999</v>
      </c>
      <c r="J198" s="8" t="n">
        <f aca="false">IF(AND(G198=0,H198=0),0,IF(G198=0,"New",(H198-G198)/G198))</f>
        <v>-0.0421860444483875</v>
      </c>
    </row>
    <row r="199" customFormat="false" ht="15" hidden="false" customHeight="false" outlineLevel="0" collapsed="false">
      <c r="A199" s="6" t="s">
        <v>206</v>
      </c>
      <c r="B199" s="6" t="str">
        <f aca="false">IFERROR(INDEX('Source 2026'!$C:$C,MATCH($A199,'Source 2026'!$B:$B,0)),IFERROR(INDEX('Source 2025'!$C:$C,MATCH($A199,'Source 2025'!$B:$B,0)),""))</f>
        <v>L-XL 'סד יד שמאל בז</v>
      </c>
      <c r="C199" s="7" t="n">
        <f aca="false">SUMIFS('Source 2025'!$D:$D,'Source 2025'!$B:$B,$A199,'Source 2025'!$A:$A,"Quantity (units)")</f>
        <v>-2</v>
      </c>
      <c r="D199" s="7" t="n">
        <f aca="false">SUMIFS('Source 2026'!$D:$D,'Source 2026'!$B:$B,$A199,'Source 2026'!$A:$A,"Quantity (units)")</f>
        <v>-1</v>
      </c>
      <c r="E199" s="7" t="n">
        <f aca="false">D199-C199</f>
        <v>1</v>
      </c>
      <c r="F199" s="8" t="n">
        <f aca="false">IF(AND(C199=0,D199=0),0,IF(C199=0,"New",(D199-C199)/C199))</f>
        <v>-0.5</v>
      </c>
      <c r="G199" s="9" t="n">
        <f aca="false">SUMIFS('Source 2025'!$D:$D,'Source 2025'!$B:$B,$A199,'Source 2025'!$A:$A,"Amount (NIS)")</f>
        <v>-188.4</v>
      </c>
      <c r="H199" s="9" t="n">
        <f aca="false">SUMIFS('Source 2026'!$D:$D,'Source 2026'!$B:$B,$A199,'Source 2026'!$A:$A,"Amount (NIS)")</f>
        <v>-94.2</v>
      </c>
      <c r="I199" s="9" t="n">
        <f aca="false">H199-G199</f>
        <v>94.2</v>
      </c>
      <c r="J199" s="8" t="n">
        <f aca="false">IF(AND(G199=0,H199=0),0,IF(G199=0,"New",(H199-G199)/G199))</f>
        <v>-0.5</v>
      </c>
    </row>
    <row r="200" customFormat="false" ht="15" hidden="false" customHeight="false" outlineLevel="0" collapsed="false">
      <c r="A200" s="6" t="s">
        <v>207</v>
      </c>
      <c r="B200" s="6" t="str">
        <f aca="false">IFERROR(INDEX('Source 2026'!$C:$C,MATCH($A200,'Source 2026'!$B:$B,0)),IFERROR(INDEX('Source 2025'!$C:$C,MATCH($A200,'Source 2025'!$B:$B,0)),""))</f>
        <v>R-M סד ליד ימין</v>
      </c>
      <c r="C200" s="7" t="n">
        <f aca="false">SUMIFS('Source 2025'!$D:$D,'Source 2025'!$B:$B,$A200,'Source 2025'!$A:$A,"Quantity (units)")</f>
        <v>0</v>
      </c>
      <c r="D200" s="7" t="n">
        <f aca="false">SUMIFS('Source 2026'!$D:$D,'Source 2026'!$B:$B,$A200,'Source 2026'!$A:$A,"Quantity (units)")</f>
        <v>-1</v>
      </c>
      <c r="E200" s="7" t="n">
        <f aca="false">D200-C200</f>
        <v>-1</v>
      </c>
      <c r="F200" s="8" t="str">
        <f aca="false">IF(AND(C200=0,D200=0),0,IF(C200=0,"New",(D200-C200)/C200))</f>
        <v>New</v>
      </c>
      <c r="G200" s="9" t="n">
        <f aca="false">SUMIFS('Source 2025'!$D:$D,'Source 2025'!$B:$B,$A200,'Source 2025'!$A:$A,"Amount (NIS)")</f>
        <v>0</v>
      </c>
      <c r="H200" s="9" t="n">
        <f aca="false">SUMIFS('Source 2026'!$D:$D,'Source 2026'!$B:$B,$A200,'Source 2026'!$A:$A,"Amount (NIS)")</f>
        <v>-90.1</v>
      </c>
      <c r="I200" s="9" t="n">
        <f aca="false">H200-G200</f>
        <v>-90.1</v>
      </c>
      <c r="J200" s="8" t="str">
        <f aca="false">IF(AND(G200=0,H200=0),0,IF(G200=0,"New",(H200-G200)/G200))</f>
        <v>New</v>
      </c>
    </row>
    <row r="201" customFormat="false" ht="15" hidden="false" customHeight="false" outlineLevel="0" collapsed="false">
      <c r="A201" s="6" t="s">
        <v>208</v>
      </c>
      <c r="B201" s="6" t="str">
        <f aca="false">IFERROR(INDEX('Source 2026'!$C:$C,MATCH($A201,'Source 2026'!$B:$B,0)),IFERROR(INDEX('Source 2025'!$C:$C,MATCH($A201,'Source 2025'!$B:$B,0)),""))</f>
        <v>צוארון ספוגי</v>
      </c>
      <c r="C201" s="7" t="n">
        <f aca="false">SUMIFS('Source 2025'!$D:$D,'Source 2025'!$B:$B,$A201,'Source 2025'!$A:$A,"Quantity (units)")</f>
        <v>-3</v>
      </c>
      <c r="D201" s="7" t="n">
        <f aca="false">SUMIFS('Source 2026'!$D:$D,'Source 2026'!$B:$B,$A201,'Source 2026'!$A:$A,"Quantity (units)")</f>
        <v>0</v>
      </c>
      <c r="E201" s="7" t="n">
        <f aca="false">D201-C201</f>
        <v>3</v>
      </c>
      <c r="F201" s="8" t="n">
        <f aca="false">IF(AND(C201=0,D201=0),0,IF(C201=0,"New",(D201-C201)/C201))</f>
        <v>-1</v>
      </c>
      <c r="G201" s="9" t="n">
        <f aca="false">SUMIFS('Source 2025'!$D:$D,'Source 2025'!$B:$B,$A201,'Source 2025'!$A:$A,"Amount (NIS)")</f>
        <v>-90</v>
      </c>
      <c r="H201" s="9" t="n">
        <f aca="false">SUMIFS('Source 2026'!$D:$D,'Source 2026'!$B:$B,$A201,'Source 2026'!$A:$A,"Amount (NIS)")</f>
        <v>0</v>
      </c>
      <c r="I201" s="9" t="n">
        <f aca="false">H201-G201</f>
        <v>90</v>
      </c>
      <c r="J201" s="8" t="n">
        <f aca="false">IF(AND(G201=0,H201=0),0,IF(G201=0,"New",(H201-G201)/G201))</f>
        <v>-1</v>
      </c>
    </row>
    <row r="202" customFormat="false" ht="15" hidden="false" customHeight="false" outlineLevel="0" collapsed="false">
      <c r="A202" s="6" t="s">
        <v>209</v>
      </c>
      <c r="B202" s="6" t="str">
        <f aca="false">IFERROR(INDEX('Source 2026'!$C:$C,MATCH($A202,'Source 2026'!$B:$B,0)),IFERROR(INDEX('Source 2025'!$C:$C,MATCH($A202,'Source 2025'!$B:$B,0)),""))</f>
        <v>להסרת עור קשה</v>
      </c>
      <c r="C202" s="7" t="n">
        <f aca="false">SUMIFS('Source 2025'!$D:$D,'Source 2025'!$B:$B,$A202,'Source 2025'!$A:$A,"Quantity (units)")</f>
        <v>0</v>
      </c>
      <c r="D202" s="7" t="n">
        <f aca="false">SUMIFS('Source 2026'!$D:$D,'Source 2026'!$B:$B,$A202,'Source 2026'!$A:$A,"Quantity (units)")</f>
        <v>-4</v>
      </c>
      <c r="E202" s="7" t="n">
        <f aca="false">D202-C202</f>
        <v>-4</v>
      </c>
      <c r="F202" s="8" t="str">
        <f aca="false">IF(AND(C202=0,D202=0),0,IF(C202=0,"New",(D202-C202)/C202))</f>
        <v>New</v>
      </c>
      <c r="G202" s="9" t="n">
        <f aca="false">SUMIFS('Source 2025'!$D:$D,'Source 2025'!$B:$B,$A202,'Source 2025'!$A:$A,"Amount (NIS)")</f>
        <v>0</v>
      </c>
      <c r="H202" s="9" t="n">
        <f aca="false">SUMIFS('Source 2026'!$D:$D,'Source 2026'!$B:$B,$A202,'Source 2026'!$A:$A,"Amount (NIS)")</f>
        <v>-81.2</v>
      </c>
      <c r="I202" s="9" t="n">
        <f aca="false">H202-G202</f>
        <v>-81.2</v>
      </c>
      <c r="J202" s="8" t="str">
        <f aca="false">IF(AND(G202=0,H202=0),0,IF(G202=0,"New",(H202-G202)/G202))</f>
        <v>New</v>
      </c>
    </row>
    <row r="203" customFormat="false" ht="15" hidden="false" customHeight="false" outlineLevel="0" collapsed="false">
      <c r="A203" s="6" t="s">
        <v>210</v>
      </c>
      <c r="B203" s="6" t="str">
        <f aca="false">IFERROR(INDEX('Source 2026'!$C:$C,MATCH($A203,'Source 2026'!$B:$B,0)),IFERROR(INDEX('Source 2025'!$C:$C,MATCH($A203,'Source 2025'!$B:$B,0)),""))</f>
        <v>S'תתחגורת בטן עממית בז</v>
      </c>
      <c r="C203" s="7" t="n">
        <f aca="false">SUMIFS('Source 2025'!$D:$D,'Source 2025'!$B:$B,$A203,'Source 2025'!$A:$A,"Quantity (units)")</f>
        <v>0</v>
      </c>
      <c r="D203" s="7" t="n">
        <f aca="false">SUMIFS('Source 2026'!$D:$D,'Source 2026'!$B:$B,$A203,'Source 2026'!$A:$A,"Quantity (units)")</f>
        <v>-1</v>
      </c>
      <c r="E203" s="7" t="n">
        <f aca="false">D203-C203</f>
        <v>-1</v>
      </c>
      <c r="F203" s="8" t="str">
        <f aca="false">IF(AND(C203=0,D203=0),0,IF(C203=0,"New",(D203-C203)/C203))</f>
        <v>New</v>
      </c>
      <c r="G203" s="9" t="n">
        <f aca="false">SUMIFS('Source 2025'!$D:$D,'Source 2025'!$B:$B,$A203,'Source 2025'!$A:$A,"Amount (NIS)")</f>
        <v>0</v>
      </c>
      <c r="H203" s="9" t="n">
        <f aca="false">SUMIFS('Source 2026'!$D:$D,'Source 2026'!$B:$B,$A203,'Source 2026'!$A:$A,"Amount (NIS)")</f>
        <v>-77.8</v>
      </c>
      <c r="I203" s="9" t="n">
        <f aca="false">H203-G203</f>
        <v>-77.8</v>
      </c>
      <c r="J203" s="8" t="str">
        <f aca="false">IF(AND(G203=0,H203=0),0,IF(G203=0,"New",(H203-G203)/G203))</f>
        <v>New</v>
      </c>
    </row>
    <row r="204" customFormat="false" ht="15" hidden="false" customHeight="false" outlineLevel="0" collapsed="false">
      <c r="A204" s="6" t="s">
        <v>211</v>
      </c>
      <c r="B204" s="6" t="str">
        <f aca="false">IFERROR(INDEX('Source 2026'!$C:$C,MATCH($A204,'Source 2026'!$B:$B,0)),IFERROR(INDEX('Source 2025'!$C:$C,MATCH($A204,'Source 2025'!$B:$B,0)),""))</f>
        <v>רצועת פיקה לברך</v>
      </c>
      <c r="C204" s="7" t="n">
        <f aca="false">SUMIFS('Source 2025'!$D:$D,'Source 2025'!$B:$B,$A204,'Source 2025'!$A:$A,"Quantity (units)")</f>
        <v>-1</v>
      </c>
      <c r="D204" s="7" t="n">
        <f aca="false">SUMIFS('Source 2026'!$D:$D,'Source 2026'!$B:$B,$A204,'Source 2026'!$A:$A,"Quantity (units)")</f>
        <v>-2</v>
      </c>
      <c r="E204" s="7" t="n">
        <f aca="false">D204-C204</f>
        <v>-1</v>
      </c>
      <c r="F204" s="8" t="n">
        <f aca="false">IF(AND(C204=0,D204=0),0,IF(C204=0,"New",(D204-C204)/C204))</f>
        <v>1</v>
      </c>
      <c r="G204" s="9" t="n">
        <f aca="false">SUMIFS('Source 2025'!$D:$D,'Source 2025'!$B:$B,$A204,'Source 2025'!$A:$A,"Amount (NIS)")</f>
        <v>-73.9</v>
      </c>
      <c r="H204" s="9" t="n">
        <f aca="false">SUMIFS('Source 2026'!$D:$D,'Source 2026'!$B:$B,$A204,'Source 2026'!$A:$A,"Amount (NIS)")</f>
        <v>-147.8</v>
      </c>
      <c r="I204" s="9" t="n">
        <f aca="false">H204-G204</f>
        <v>-73.9</v>
      </c>
      <c r="J204" s="8" t="n">
        <f aca="false">IF(AND(G204=0,H204=0),0,IF(G204=0,"New",(H204-G204)/G204))</f>
        <v>1</v>
      </c>
    </row>
    <row r="205" customFormat="false" ht="15" hidden="false" customHeight="false" outlineLevel="0" collapsed="false">
      <c r="A205" s="6" t="s">
        <v>212</v>
      </c>
      <c r="B205" s="6" t="str">
        <f aca="false">IFERROR(INDEX('Source 2026'!$C:$C,MATCH($A205,'Source 2026'!$B:$B,0)),IFERROR(INDEX('Source 2025'!$C:$C,MATCH($A205,'Source 2025'!$B:$B,0)),""))</f>
        <v>L מתלה אשכים לספורטאים</v>
      </c>
      <c r="C205" s="7" t="n">
        <f aca="false">SUMIFS('Source 2025'!$D:$D,'Source 2025'!$B:$B,$A205,'Source 2025'!$A:$A,"Quantity (units)")</f>
        <v>-1</v>
      </c>
      <c r="D205" s="7" t="n">
        <f aca="false">SUMIFS('Source 2026'!$D:$D,'Source 2026'!$B:$B,$A205,'Source 2026'!$A:$A,"Quantity (units)")</f>
        <v>0</v>
      </c>
      <c r="E205" s="7" t="n">
        <f aca="false">D205-C205</f>
        <v>1</v>
      </c>
      <c r="F205" s="8" t="n">
        <f aca="false">IF(AND(C205=0,D205=0),0,IF(C205=0,"New",(D205-C205)/C205))</f>
        <v>-1</v>
      </c>
      <c r="G205" s="9" t="n">
        <f aca="false">SUMIFS('Source 2025'!$D:$D,'Source 2025'!$B:$B,$A205,'Source 2025'!$A:$A,"Amount (NIS)")</f>
        <v>-71.3</v>
      </c>
      <c r="H205" s="9" t="n">
        <f aca="false">SUMIFS('Source 2026'!$D:$D,'Source 2026'!$B:$B,$A205,'Source 2026'!$A:$A,"Amount (NIS)")</f>
        <v>0</v>
      </c>
      <c r="I205" s="9" t="n">
        <f aca="false">H205-G205</f>
        <v>71.3</v>
      </c>
      <c r="J205" s="8" t="n">
        <f aca="false">IF(AND(G205=0,H205=0),0,IF(G205=0,"New",(H205-G205)/G205))</f>
        <v>-1</v>
      </c>
    </row>
    <row r="206" customFormat="false" ht="15" hidden="false" customHeight="false" outlineLevel="0" collapsed="false">
      <c r="A206" s="6" t="s">
        <v>213</v>
      </c>
      <c r="B206" s="6" t="str">
        <f aca="false">IFERROR(INDEX('Source 2026'!$C:$C,MATCH($A206,'Source 2026'!$B:$B,0)),IFERROR(INDEX('Source 2025'!$C:$C,MATCH($A206,'Source 2025'!$B:$B,0)),""))</f>
        <v>120 תתתרסיס מרענן לרגל</v>
      </c>
      <c r="C206" s="7" t="n">
        <f aca="false">SUMIFS('Source 2025'!$D:$D,'Source 2025'!$B:$B,$A206,'Source 2025'!$A:$A,"Quantity (units)")</f>
        <v>-3</v>
      </c>
      <c r="D206" s="7" t="n">
        <f aca="false">SUMIFS('Source 2026'!$D:$D,'Source 2026'!$B:$B,$A206,'Source 2026'!$A:$A,"Quantity (units)")</f>
        <v>0</v>
      </c>
      <c r="E206" s="7" t="n">
        <f aca="false">D206-C206</f>
        <v>3</v>
      </c>
      <c r="F206" s="8" t="n">
        <f aca="false">IF(AND(C206=0,D206=0),0,IF(C206=0,"New",(D206-C206)/C206))</f>
        <v>-1</v>
      </c>
      <c r="G206" s="9" t="n">
        <f aca="false">SUMIFS('Source 2025'!$D:$D,'Source 2025'!$B:$B,$A206,'Source 2025'!$A:$A,"Amount (NIS)")</f>
        <v>-70.7</v>
      </c>
      <c r="H206" s="9" t="n">
        <f aca="false">SUMIFS('Source 2026'!$D:$D,'Source 2026'!$B:$B,$A206,'Source 2026'!$A:$A,"Amount (NIS)")</f>
        <v>0</v>
      </c>
      <c r="I206" s="9" t="n">
        <f aca="false">H206-G206</f>
        <v>70.7</v>
      </c>
      <c r="J206" s="8" t="n">
        <f aca="false">IF(AND(G206=0,H206=0),0,IF(G206=0,"New",(H206-G206)/G206))</f>
        <v>-1</v>
      </c>
    </row>
    <row r="207" customFormat="false" ht="15" hidden="false" customHeight="false" outlineLevel="0" collapsed="false">
      <c r="A207" s="6" t="s">
        <v>214</v>
      </c>
      <c r="B207" s="6" t="str">
        <f aca="false">IFERROR(INDEX('Source 2026'!$C:$C,MATCH($A207,'Source 2026'!$B:$B,0)),IFERROR(INDEX('Source 2025'!$C:$C,MATCH($A207,'Source 2025'!$B:$B,0)),""))</f>
        <v>סט פלסטרים נגד שפשופים</v>
      </c>
      <c r="C207" s="7" t="n">
        <f aca="false">SUMIFS('Source 2025'!$D:$D,'Source 2025'!$B:$B,$A207,'Source 2025'!$A:$A,"Quantity (units)")</f>
        <v>0</v>
      </c>
      <c r="D207" s="7" t="n">
        <f aca="false">SUMIFS('Source 2026'!$D:$D,'Source 2026'!$B:$B,$A207,'Source 2026'!$A:$A,"Quantity (units)")</f>
        <v>-3</v>
      </c>
      <c r="E207" s="7" t="n">
        <f aca="false">D207-C207</f>
        <v>-3</v>
      </c>
      <c r="F207" s="8" t="str">
        <f aca="false">IF(AND(C207=0,D207=0),0,IF(C207=0,"New",(D207-C207)/C207))</f>
        <v>New</v>
      </c>
      <c r="G207" s="9" t="n">
        <f aca="false">SUMIFS('Source 2025'!$D:$D,'Source 2025'!$B:$B,$A207,'Source 2025'!$A:$A,"Amount (NIS)")</f>
        <v>0</v>
      </c>
      <c r="H207" s="9" t="n">
        <f aca="false">SUMIFS('Source 2026'!$D:$D,'Source 2026'!$B:$B,$A207,'Source 2026'!$A:$A,"Amount (NIS)")</f>
        <v>-58.3</v>
      </c>
      <c r="I207" s="9" t="n">
        <f aca="false">H207-G207</f>
        <v>-58.3</v>
      </c>
      <c r="J207" s="8" t="str">
        <f aca="false">IF(AND(G207=0,H207=0),0,IF(G207=0,"New",(H207-G207)/G207))</f>
        <v>New</v>
      </c>
    </row>
    <row r="208" customFormat="false" ht="15" hidden="false" customHeight="false" outlineLevel="0" collapsed="false">
      <c r="A208" s="6" t="s">
        <v>215</v>
      </c>
      <c r="B208" s="6" t="str">
        <f aca="false">IFERROR(INDEX('Source 2026'!$C:$C,MATCH($A208,'Source 2026'!$B:$B,0)),IFERROR(INDEX('Source 2025'!$C:$C,MATCH($A208,'Source 2025'!$B:$B,0)),""))</f>
        <v>L סד לאגודל כפפה</v>
      </c>
      <c r="C208" s="7" t="n">
        <f aca="false">SUMIFS('Source 2025'!$D:$D,'Source 2025'!$B:$B,$A208,'Source 2025'!$A:$A,"Quantity (units)")</f>
        <v>0</v>
      </c>
      <c r="D208" s="7" t="n">
        <f aca="false">SUMIFS('Source 2026'!$D:$D,'Source 2026'!$B:$B,$A208,'Source 2026'!$A:$A,"Quantity (units)")</f>
        <v>-1</v>
      </c>
      <c r="E208" s="7" t="n">
        <f aca="false">D208-C208</f>
        <v>-1</v>
      </c>
      <c r="F208" s="8" t="str">
        <f aca="false">IF(AND(C208=0,D208=0),0,IF(C208=0,"New",(D208-C208)/C208))</f>
        <v>New</v>
      </c>
      <c r="G208" s="9" t="n">
        <f aca="false">SUMIFS('Source 2025'!$D:$D,'Source 2025'!$B:$B,$A208,'Source 2025'!$A:$A,"Amount (NIS)")</f>
        <v>0</v>
      </c>
      <c r="H208" s="9" t="n">
        <f aca="false">SUMIFS('Source 2026'!$D:$D,'Source 2026'!$B:$B,$A208,'Source 2026'!$A:$A,"Amount (NIS)")</f>
        <v>-58.3</v>
      </c>
      <c r="I208" s="9" t="n">
        <f aca="false">H208-G208</f>
        <v>-58.3</v>
      </c>
      <c r="J208" s="8" t="str">
        <f aca="false">IF(AND(G208=0,H208=0),0,IF(G208=0,"New",(H208-G208)/G208))</f>
        <v>New</v>
      </c>
    </row>
    <row r="209" customFormat="false" ht="15" hidden="false" customHeight="false" outlineLevel="0" collapsed="false">
      <c r="A209" s="6" t="s">
        <v>216</v>
      </c>
      <c r="B209" s="6" t="str">
        <f aca="false">IFERROR(INDEX('Source 2026'!$C:$C,MATCH($A209,'Source 2026'!$B:$B,0)),IFERROR(INDEX('Source 2025'!$C:$C,MATCH($A209,'Source 2025'!$B:$B,0)),""))</f>
        <v>רפידת מגבת כותנה-זוג</v>
      </c>
      <c r="C209" s="7" t="n">
        <f aca="false">SUMIFS('Source 2025'!$D:$D,'Source 2025'!$B:$B,$A209,'Source 2025'!$A:$A,"Quantity (units)")</f>
        <v>34</v>
      </c>
      <c r="D209" s="7" t="n">
        <f aca="false">SUMIFS('Source 2026'!$D:$D,'Source 2026'!$B:$B,$A209,'Source 2026'!$A:$A,"Quantity (units)")</f>
        <v>28</v>
      </c>
      <c r="E209" s="7" t="n">
        <f aca="false">D209-C209</f>
        <v>-6</v>
      </c>
      <c r="F209" s="8" t="n">
        <f aca="false">IF(AND(C209=0,D209=0),0,IF(C209=0,"New",(D209-C209)/C209))</f>
        <v>-0.176470588235294</v>
      </c>
      <c r="G209" s="9" t="n">
        <f aca="false">SUMIFS('Source 2025'!$D:$D,'Source 2025'!$B:$B,$A209,'Source 2025'!$A:$A,"Amount (NIS)")</f>
        <v>336.9</v>
      </c>
      <c r="H209" s="9" t="n">
        <f aca="false">SUMIFS('Source 2026'!$D:$D,'Source 2026'!$B:$B,$A209,'Source 2026'!$A:$A,"Amount (NIS)")</f>
        <v>279.9</v>
      </c>
      <c r="I209" s="9" t="n">
        <f aca="false">H209-G209</f>
        <v>-57</v>
      </c>
      <c r="J209" s="8" t="n">
        <f aca="false">IF(AND(G209=0,H209=0),0,IF(G209=0,"New",(H209-G209)/G209))</f>
        <v>-0.169189670525378</v>
      </c>
    </row>
    <row r="210" customFormat="false" ht="15" hidden="false" customHeight="false" outlineLevel="0" collapsed="false">
      <c r="A210" s="6" t="s">
        <v>217</v>
      </c>
      <c r="B210" s="6" t="str">
        <f aca="false">IFERROR(INDEX('Source 2026'!$C:$C,MATCH($A210,'Source 2026'!$B:$B,0)),IFERROR(INDEX('Source 2025'!$C:$C,MATCH($A210,'Source 2025'!$B:$B,0)),""))</f>
        <v>Lמפר.אצבע סיליק. ליבל.זוג</v>
      </c>
      <c r="C210" s="7" t="n">
        <f aca="false">SUMIFS('Source 2025'!$D:$D,'Source 2025'!$B:$B,$A210,'Source 2025'!$A:$A,"Quantity (units)")</f>
        <v>-4</v>
      </c>
      <c r="D210" s="7" t="n">
        <f aca="false">SUMIFS('Source 2026'!$D:$D,'Source 2026'!$B:$B,$A210,'Source 2026'!$A:$A,"Quantity (units)")</f>
        <v>0</v>
      </c>
      <c r="E210" s="7" t="n">
        <f aca="false">D210-C210</f>
        <v>4</v>
      </c>
      <c r="F210" s="8" t="n">
        <f aca="false">IF(AND(C210=0,D210=0),0,IF(C210=0,"New",(D210-C210)/C210))</f>
        <v>-1</v>
      </c>
      <c r="G210" s="9" t="n">
        <f aca="false">SUMIFS('Source 2025'!$D:$D,'Source 2025'!$B:$B,$A210,'Source 2025'!$A:$A,"Amount (NIS)")</f>
        <v>-47.7</v>
      </c>
      <c r="H210" s="9" t="n">
        <f aca="false">SUMIFS('Source 2026'!$D:$D,'Source 2026'!$B:$B,$A210,'Source 2026'!$A:$A,"Amount (NIS)")</f>
        <v>0</v>
      </c>
      <c r="I210" s="9" t="n">
        <f aca="false">H210-G210</f>
        <v>47.7</v>
      </c>
      <c r="J210" s="8" t="n">
        <f aca="false">IF(AND(G210=0,H210=0),0,IF(G210=0,"New",(H210-G210)/G210))</f>
        <v>-1</v>
      </c>
    </row>
    <row r="211" customFormat="false" ht="15" hidden="false" customHeight="false" outlineLevel="0" collapsed="false">
      <c r="A211" s="6" t="s">
        <v>218</v>
      </c>
      <c r="B211" s="6" t="str">
        <f aca="false">IFERROR(INDEX('Source 2026'!$C:$C,MATCH($A211,'Source 2026'!$B:$B,0)),IFERROR(INDEX('Source 2025'!$C:$C,MATCH($A211,'Source 2025'!$B:$B,0)),""))</f>
        <v>בקט.לנעל120</v>
      </c>
      <c r="C211" s="7" t="n">
        <f aca="false">SUMIFS('Source 2025'!$D:$D,'Source 2025'!$B:$B,$A211,'Source 2025'!$A:$A,"Quantity (units)")</f>
        <v>-2</v>
      </c>
      <c r="D211" s="7" t="n">
        <f aca="false">SUMIFS('Source 2026'!$D:$D,'Source 2026'!$B:$B,$A211,'Source 2026'!$A:$A,"Quantity (units)")</f>
        <v>0</v>
      </c>
      <c r="E211" s="7" t="n">
        <f aca="false">D211-C211</f>
        <v>2</v>
      </c>
      <c r="F211" s="8" t="n">
        <f aca="false">IF(AND(C211=0,D211=0),0,IF(C211=0,"New",(D211-C211)/C211))</f>
        <v>-1</v>
      </c>
      <c r="G211" s="9" t="n">
        <f aca="false">SUMIFS('Source 2025'!$D:$D,'Source 2025'!$B:$B,$A211,'Source 2025'!$A:$A,"Amount (NIS)")</f>
        <v>-47.1</v>
      </c>
      <c r="H211" s="9" t="n">
        <f aca="false">SUMIFS('Source 2026'!$D:$D,'Source 2026'!$B:$B,$A211,'Source 2026'!$A:$A,"Amount (NIS)")</f>
        <v>0</v>
      </c>
      <c r="I211" s="9" t="n">
        <f aca="false">H211-G211</f>
        <v>47.1</v>
      </c>
      <c r="J211" s="8" t="n">
        <f aca="false">IF(AND(G211=0,H211=0),0,IF(G211=0,"New",(H211-G211)/G211))</f>
        <v>-1</v>
      </c>
    </row>
    <row r="212" customFormat="false" ht="15" hidden="false" customHeight="false" outlineLevel="0" collapsed="false">
      <c r="A212" s="6" t="s">
        <v>219</v>
      </c>
      <c r="B212" s="6" t="str">
        <f aca="false">IFERROR(INDEX('Source 2026'!$C:$C,MATCH($A212,'Source 2026'!$B:$B,0)),IFERROR(INDEX('Source 2025'!$C:$C,MATCH($A212,'Source 2025'!$B:$B,0)),""))</f>
        <v>S תתמתלה ליד רצועה</v>
      </c>
      <c r="C212" s="7" t="n">
        <f aca="false">SUMIFS('Source 2025'!$D:$D,'Source 2025'!$B:$B,$A212,'Source 2025'!$A:$A,"Quantity (units)")</f>
        <v>-1</v>
      </c>
      <c r="D212" s="7" t="n">
        <f aca="false">SUMIFS('Source 2026'!$D:$D,'Source 2026'!$B:$B,$A212,'Source 2026'!$A:$A,"Quantity (units)")</f>
        <v>0</v>
      </c>
      <c r="E212" s="7" t="n">
        <f aca="false">D212-C212</f>
        <v>1</v>
      </c>
      <c r="F212" s="8" t="n">
        <f aca="false">IF(AND(C212=0,D212=0),0,IF(C212=0,"New",(D212-C212)/C212))</f>
        <v>-1</v>
      </c>
      <c r="G212" s="9" t="n">
        <f aca="false">SUMIFS('Source 2025'!$D:$D,'Source 2025'!$B:$B,$A212,'Source 2025'!$A:$A,"Amount (NIS)")</f>
        <v>-32.3</v>
      </c>
      <c r="H212" s="9" t="n">
        <f aca="false">SUMIFS('Source 2026'!$D:$D,'Source 2026'!$B:$B,$A212,'Source 2026'!$A:$A,"Amount (NIS)")</f>
        <v>0</v>
      </c>
      <c r="I212" s="9" t="n">
        <f aca="false">H212-G212</f>
        <v>32.3</v>
      </c>
      <c r="J212" s="8" t="n">
        <f aca="false">IF(AND(G212=0,H212=0),0,IF(G212=0,"New",(H212-G212)/G212))</f>
        <v>-1</v>
      </c>
    </row>
    <row r="213" customFormat="false" ht="15" hidden="false" customHeight="false" outlineLevel="0" collapsed="false">
      <c r="A213" s="6" t="s">
        <v>220</v>
      </c>
      <c r="B213" s="6" t="str">
        <f aca="false">IFERROR(INDEX('Source 2026'!$C:$C,MATCH($A213,'Source 2026'!$B:$B,0)),IFERROR(INDEX('Source 2025'!$C:$C,MATCH($A213,'Source 2025'!$B:$B,0)),""))</f>
        <v>XLמפריד אצבע סיליקון ליבלת</v>
      </c>
      <c r="C213" s="7" t="n">
        <f aca="false">SUMIFS('Source 2025'!$D:$D,'Source 2025'!$B:$B,$A213,'Source 2025'!$A:$A,"Quantity (units)")</f>
        <v>0</v>
      </c>
      <c r="D213" s="7" t="n">
        <f aca="false">SUMIFS('Source 2026'!$D:$D,'Source 2026'!$B:$B,$A213,'Source 2026'!$A:$A,"Quantity (units)")</f>
        <v>-2</v>
      </c>
      <c r="E213" s="7" t="n">
        <f aca="false">D213-C213</f>
        <v>-2</v>
      </c>
      <c r="F213" s="8" t="str">
        <f aca="false">IF(AND(C213=0,D213=0),0,IF(C213=0,"New",(D213-C213)/C213))</f>
        <v>New</v>
      </c>
      <c r="G213" s="9" t="n">
        <f aca="false">SUMIFS('Source 2025'!$D:$D,'Source 2025'!$B:$B,$A213,'Source 2025'!$A:$A,"Amount (NIS)")</f>
        <v>0</v>
      </c>
      <c r="H213" s="9" t="n">
        <f aca="false">SUMIFS('Source 2026'!$D:$D,'Source 2026'!$B:$B,$A213,'Source 2026'!$A:$A,"Amount (NIS)")</f>
        <v>-25.1</v>
      </c>
      <c r="I213" s="9" t="n">
        <f aca="false">H213-G213</f>
        <v>-25.1</v>
      </c>
      <c r="J213" s="8" t="str">
        <f aca="false">IF(AND(G213=0,H213=0),0,IF(G213=0,"New",(H213-G213)/G213))</f>
        <v>New</v>
      </c>
    </row>
    <row r="214" customFormat="false" ht="15" hidden="false" customHeight="false" outlineLevel="0" collapsed="false">
      <c r="A214" s="6" t="s">
        <v>221</v>
      </c>
      <c r="B214" s="6" t="str">
        <f aca="false">IFERROR(INDEX('Source 2026'!$C:$C,MATCH($A214,'Source 2026'!$B:$B,0)),IFERROR(INDEX('Source 2025'!$C:$C,MATCH($A214,'Source 2025'!$B:$B,0)),""))</f>
        <v>ציפורניים</v>
      </c>
      <c r="C214" s="7" t="n">
        <f aca="false">SUMIFS('Source 2025'!$D:$D,'Source 2025'!$B:$B,$A214,'Source 2025'!$A:$A,"Quantity (units)")</f>
        <v>0</v>
      </c>
      <c r="D214" s="7" t="n">
        <f aca="false">SUMIFS('Source 2026'!$D:$D,'Source 2026'!$B:$B,$A214,'Source 2026'!$A:$A,"Quantity (units)")</f>
        <v>-2</v>
      </c>
      <c r="E214" s="7" t="n">
        <f aca="false">D214-C214</f>
        <v>-2</v>
      </c>
      <c r="F214" s="8" t="str">
        <f aca="false">IF(AND(C214=0,D214=0),0,IF(C214=0,"New",(D214-C214)/C214))</f>
        <v>New</v>
      </c>
      <c r="G214" s="9" t="n">
        <f aca="false">SUMIFS('Source 2025'!$D:$D,'Source 2025'!$B:$B,$A214,'Source 2025'!$A:$A,"Amount (NIS)")</f>
        <v>0</v>
      </c>
      <c r="H214" s="9" t="n">
        <f aca="false">SUMIFS('Source 2026'!$D:$D,'Source 2026'!$B:$B,$A214,'Source 2026'!$A:$A,"Amount (NIS)")</f>
        <v>-24.4</v>
      </c>
      <c r="I214" s="9" t="n">
        <f aca="false">H214-G214</f>
        <v>-24.4</v>
      </c>
      <c r="J214" s="8" t="str">
        <f aca="false">IF(AND(G214=0,H214=0),0,IF(G214=0,"New",(H214-G214)/G214))</f>
        <v>New</v>
      </c>
    </row>
    <row r="215" customFormat="false" ht="15" hidden="false" customHeight="false" outlineLevel="0" collapsed="false">
      <c r="A215" s="6" t="s">
        <v>222</v>
      </c>
      <c r="B215" s="6" t="str">
        <f aca="false">IFERROR(INDEX('Source 2026'!$C:$C,MATCH($A215,'Source 2026'!$B:$B,0)),IFERROR(INDEX('Source 2025'!$C:$C,MATCH($A215,'Source 2025'!$B:$B,0)),""))</f>
        <v>ריפוד סיליק.לעקב תחתון</v>
      </c>
      <c r="C215" s="7" t="n">
        <f aca="false">SUMIFS('Source 2025'!$D:$D,'Source 2025'!$B:$B,$A215,'Source 2025'!$A:$A,"Quantity (units)")</f>
        <v>-2</v>
      </c>
      <c r="D215" s="7" t="n">
        <f aca="false">SUMIFS('Source 2026'!$D:$D,'Source 2026'!$B:$B,$A215,'Source 2026'!$A:$A,"Quantity (units)")</f>
        <v>-3</v>
      </c>
      <c r="E215" s="7" t="n">
        <f aca="false">D215-C215</f>
        <v>-1</v>
      </c>
      <c r="F215" s="8" t="n">
        <f aca="false">IF(AND(C215=0,D215=0),0,IF(C215=0,"New",(D215-C215)/C215))</f>
        <v>0.5</v>
      </c>
      <c r="G215" s="9" t="n">
        <f aca="false">SUMIFS('Source 2025'!$D:$D,'Source 2025'!$B:$B,$A215,'Source 2025'!$A:$A,"Amount (NIS)")</f>
        <v>-40.5</v>
      </c>
      <c r="H215" s="9" t="n">
        <f aca="false">SUMIFS('Source 2026'!$D:$D,'Source 2026'!$B:$B,$A215,'Source 2026'!$A:$A,"Amount (NIS)")</f>
        <v>-60.8</v>
      </c>
      <c r="I215" s="9" t="n">
        <f aca="false">H215-G215</f>
        <v>-20.3</v>
      </c>
      <c r="J215" s="8" t="n">
        <f aca="false">IF(AND(G215=0,H215=0),0,IF(G215=0,"New",(H215-G215)/G215))</f>
        <v>0.501234567901235</v>
      </c>
    </row>
    <row r="216" customFormat="false" ht="15" hidden="false" customHeight="false" outlineLevel="0" collapsed="false">
      <c r="A216" s="6" t="s">
        <v>223</v>
      </c>
      <c r="B216" s="6" t="str">
        <f aca="false">IFERROR(INDEX('Source 2026'!$C:$C,MATCH($A216,'Source 2026'!$B:$B,0)),IFERROR(INDEX('Source 2025'!$C:$C,MATCH($A216,'Source 2025'!$B:$B,0)),""))</f>
        <v>0   גרביים+סיליקון</v>
      </c>
      <c r="C216" s="7" t="n">
        <f aca="false">SUMIFS('Source 2025'!$D:$D,'Source 2025'!$B:$B,$A216,'Source 2025'!$A:$A,"Quantity (units)")</f>
        <v>-1</v>
      </c>
      <c r="D216" s="7" t="n">
        <f aca="false">SUMIFS('Source 2026'!$D:$D,'Source 2026'!$B:$B,$A216,'Source 2026'!$A:$A,"Quantity (units)")</f>
        <v>-1</v>
      </c>
      <c r="E216" s="7" t="n">
        <f aca="false">D216-C216</f>
        <v>0</v>
      </c>
      <c r="F216" s="8" t="n">
        <f aca="false">IF(AND(C216=0,D216=0),0,IF(C216=0,"New",(D216-C216)/C216))</f>
        <v>-0</v>
      </c>
      <c r="G216" s="9" t="n">
        <f aca="false">SUMIFS('Source 2025'!$D:$D,'Source 2025'!$B:$B,$A216,'Source 2025'!$A:$A,"Amount (NIS)")</f>
        <v>-28.4</v>
      </c>
      <c r="H216" s="9" t="n">
        <f aca="false">SUMIFS('Source 2026'!$D:$D,'Source 2026'!$B:$B,$A216,'Source 2026'!$A:$A,"Amount (NIS)")</f>
        <v>-31.9</v>
      </c>
      <c r="I216" s="9" t="n">
        <f aca="false">H216-G216</f>
        <v>-3.5</v>
      </c>
      <c r="J216" s="8" t="n">
        <f aca="false">IF(AND(G216=0,H216=0),0,IF(G216=0,"New",(H216-G216)/G216))</f>
        <v>0.123239436619718</v>
      </c>
    </row>
    <row r="217" customFormat="false" ht="15" hidden="false" customHeight="false" outlineLevel="0" collapsed="false">
      <c r="A217" s="6" t="s">
        <v>224</v>
      </c>
      <c r="B217" s="6" t="str">
        <f aca="false">IFERROR(INDEX('Source 2026'!$C:$C,MATCH($A217,'Source 2026'!$B:$B,0)),IFERROR(INDEX('Source 2025'!$C:$C,MATCH($A217,'Source 2025'!$B:$B,0)),""))</f>
        <v>XL ח.גב מגנטית+מוטות תמיכה</v>
      </c>
      <c r="C217" s="7" t="n">
        <f aca="false">SUMIFS('Source 2025'!$D:$D,'Source 2025'!$B:$B,$A217,'Source 2025'!$A:$A,"Quantity (units)")</f>
        <v>-1</v>
      </c>
      <c r="D217" s="7" t="n">
        <f aca="false">SUMIFS('Source 2026'!$D:$D,'Source 2026'!$B:$B,$A217,'Source 2026'!$A:$A,"Quantity (units)")</f>
        <v>-1</v>
      </c>
      <c r="E217" s="7" t="n">
        <f aca="false">D217-C217</f>
        <v>0</v>
      </c>
      <c r="F217" s="8" t="n">
        <f aca="false">IF(AND(C217=0,D217=0),0,IF(C217=0,"New",(D217-C217)/C217))</f>
        <v>-0</v>
      </c>
      <c r="G217" s="9" t="n">
        <f aca="false">SUMIFS('Source 2025'!$D:$D,'Source 2025'!$B:$B,$A217,'Source 2025'!$A:$A,"Amount (NIS)")</f>
        <v>-178.6</v>
      </c>
      <c r="H217" s="9" t="n">
        <f aca="false">SUMIFS('Source 2026'!$D:$D,'Source 2026'!$B:$B,$A217,'Source 2026'!$A:$A,"Amount (NIS)")</f>
        <v>-178.6</v>
      </c>
      <c r="I217" s="9" t="n">
        <f aca="false">H217-G217</f>
        <v>0</v>
      </c>
      <c r="J217" s="8" t="n">
        <f aca="false">IF(AND(G217=0,H217=0),0,IF(G217=0,"New",(H217-G217)/G217))</f>
        <v>-0</v>
      </c>
    </row>
    <row r="218" customFormat="false" ht="15" hidden="false" customHeight="false" outlineLevel="0" collapsed="false">
      <c r="A218" s="6" t="s">
        <v>225</v>
      </c>
      <c r="B218" s="6" t="str">
        <f aca="false">IFERROR(INDEX('Source 2026'!$C:$C,MATCH($A218,'Source 2026'!$B:$B,0)),IFERROR(INDEX('Source 2025'!$C:$C,MATCH($A218,'Source 2025'!$B:$B,0)),""))</f>
        <v>יד לטניס כרית סיליק</v>
      </c>
      <c r="C218" s="7" t="n">
        <f aca="false">SUMIFS('Source 2025'!$D:$D,'Source 2025'!$B:$B,$A218,'Source 2025'!$A:$A,"Quantity (units)")</f>
        <v>-1</v>
      </c>
      <c r="D218" s="7" t="n">
        <f aca="false">SUMIFS('Source 2026'!$D:$D,'Source 2026'!$B:$B,$A218,'Source 2026'!$A:$A,"Quantity (units)")</f>
        <v>-1</v>
      </c>
      <c r="E218" s="7" t="n">
        <f aca="false">D218-C218</f>
        <v>0</v>
      </c>
      <c r="F218" s="8" t="n">
        <f aca="false">IF(AND(C218=0,D218=0),0,IF(C218=0,"New",(D218-C218)/C218))</f>
        <v>-0</v>
      </c>
      <c r="G218" s="9" t="n">
        <f aca="false">SUMIFS('Source 2025'!$D:$D,'Source 2025'!$B:$B,$A218,'Source 2025'!$A:$A,"Amount (NIS)")</f>
        <v>0</v>
      </c>
      <c r="H218" s="9" t="n">
        <f aca="false">SUMIFS('Source 2026'!$D:$D,'Source 2026'!$B:$B,$A218,'Source 2026'!$A:$A,"Amount (NIS)")</f>
        <v>0</v>
      </c>
      <c r="I218" s="9" t="n">
        <f aca="false">H218-G218</f>
        <v>0</v>
      </c>
      <c r="J218" s="8" t="n">
        <f aca="false">IF(AND(G218=0,H218=0),0,IF(G218=0,"New",(H218-G218)/G218))</f>
        <v>0</v>
      </c>
    </row>
    <row r="219" customFormat="false" ht="15" hidden="false" customHeight="false" outlineLevel="0" collapsed="false">
      <c r="A219" s="6" t="s">
        <v>226</v>
      </c>
      <c r="B219" s="6" t="str">
        <f aca="false">IFERROR(INDEX('Source 2026'!$C:$C,MATCH($A219,'Source 2026'!$B:$B,0)),IFERROR(INDEX('Source 2025'!$C:$C,MATCH($A219,'Source 2025'!$B:$B,0)),""))</f>
        <v>XLסד ליד ימין</v>
      </c>
      <c r="C219" s="7" t="n">
        <f aca="false">SUMIFS('Source 2025'!$D:$D,'Source 2025'!$B:$B,$A219,'Source 2025'!$A:$A,"Quantity (units)")</f>
        <v>0</v>
      </c>
      <c r="D219" s="7" t="n">
        <f aca="false">SUMIFS('Source 2026'!$D:$D,'Source 2026'!$B:$B,$A219,'Source 2026'!$A:$A,"Quantity (units)")</f>
        <v>-1</v>
      </c>
      <c r="E219" s="7" t="n">
        <f aca="false">D219-C219</f>
        <v>-1</v>
      </c>
      <c r="F219" s="8" t="str">
        <f aca="false">IF(AND(C219=0,D219=0),0,IF(C219=0,"New",(D219-C219)/C219))</f>
        <v>New</v>
      </c>
      <c r="G219" s="9" t="n">
        <f aca="false">SUMIFS('Source 2025'!$D:$D,'Source 2025'!$B:$B,$A219,'Source 2025'!$A:$A,"Amount (NIS)")</f>
        <v>0</v>
      </c>
      <c r="H219" s="9" t="n">
        <f aca="false">SUMIFS('Source 2026'!$D:$D,'Source 2026'!$B:$B,$A219,'Source 2026'!$A:$A,"Amount (NIS)")</f>
        <v>0</v>
      </c>
      <c r="I219" s="9" t="n">
        <f aca="false">H219-G219</f>
        <v>0</v>
      </c>
      <c r="J219" s="8" t="n">
        <f aca="false">IF(AND(G219=0,H219=0),0,IF(G219=0,"New",(H219-G219)/G219))</f>
        <v>0</v>
      </c>
    </row>
    <row r="220" customFormat="false" ht="15" hidden="false" customHeight="false" outlineLevel="0" collapsed="false">
      <c r="A220" s="6" t="s">
        <v>227</v>
      </c>
      <c r="B220" s="6" t="str">
        <f aca="false">IFERROR(INDEX('Source 2026'!$C:$C,MATCH($A220,'Source 2026'!$B:$B,0)),IFERROR(INDEX('Source 2025'!$C:$C,MATCH($A220,'Source 2025'!$B:$B,0)),""))</f>
        <v>L מיצב פיקה</v>
      </c>
      <c r="C220" s="7" t="n">
        <f aca="false">SUMIFS('Source 2025'!$D:$D,'Source 2025'!$B:$B,$A220,'Source 2025'!$A:$A,"Quantity (units)")</f>
        <v>-1</v>
      </c>
      <c r="D220" s="7" t="n">
        <f aca="false">SUMIFS('Source 2026'!$D:$D,'Source 2026'!$B:$B,$A220,'Source 2026'!$A:$A,"Quantity (units)")</f>
        <v>-1</v>
      </c>
      <c r="E220" s="7" t="n">
        <f aca="false">D220-C220</f>
        <v>0</v>
      </c>
      <c r="F220" s="8" t="n">
        <f aca="false">IF(AND(C220=0,D220=0),0,IF(C220=0,"New",(D220-C220)/C220))</f>
        <v>-0</v>
      </c>
      <c r="G220" s="9" t="n">
        <f aca="false">SUMIFS('Source 2025'!$D:$D,'Source 2025'!$B:$B,$A220,'Source 2025'!$A:$A,"Amount (NIS)")</f>
        <v>-81.9</v>
      </c>
      <c r="H220" s="9" t="n">
        <f aca="false">SUMIFS('Source 2026'!$D:$D,'Source 2026'!$B:$B,$A220,'Source 2026'!$A:$A,"Amount (NIS)")</f>
        <v>-81.9</v>
      </c>
      <c r="I220" s="9" t="n">
        <f aca="false">H220-G220</f>
        <v>0</v>
      </c>
      <c r="J220" s="8" t="n">
        <f aca="false">IF(AND(G220=0,H220=0),0,IF(G220=0,"New",(H220-G220)/G220))</f>
        <v>-0</v>
      </c>
    </row>
    <row r="221" customFormat="false" ht="15" hidden="false" customHeight="false" outlineLevel="0" collapsed="false">
      <c r="A221" s="6" t="s">
        <v>228</v>
      </c>
      <c r="B221" s="6" t="str">
        <f aca="false">IFERROR(INDEX('Source 2026'!$C:$C,MATCH($A221,'Source 2026'!$B:$B,0)),IFERROR(INDEX('Source 2025'!$C:$C,MATCH($A221,'Source 2025'!$B:$B,0)),""))</f>
        <v>XLסד ליד שמאל</v>
      </c>
      <c r="C221" s="7" t="n">
        <f aca="false">SUMIFS('Source 2025'!$D:$D,'Source 2025'!$B:$B,$A221,'Source 2025'!$A:$A,"Quantity (units)")</f>
        <v>0</v>
      </c>
      <c r="D221" s="7" t="n">
        <f aca="false">SUMIFS('Source 2026'!$D:$D,'Source 2026'!$B:$B,$A221,'Source 2026'!$A:$A,"Quantity (units)")</f>
        <v>-1</v>
      </c>
      <c r="E221" s="7" t="n">
        <f aca="false">D221-C221</f>
        <v>-1</v>
      </c>
      <c r="F221" s="8" t="str">
        <f aca="false">IF(AND(C221=0,D221=0),0,IF(C221=0,"New",(D221-C221)/C221))</f>
        <v>New</v>
      </c>
      <c r="G221" s="9" t="n">
        <f aca="false">SUMIFS('Source 2025'!$D:$D,'Source 2025'!$B:$B,$A221,'Source 2025'!$A:$A,"Amount (NIS)")</f>
        <v>0</v>
      </c>
      <c r="H221" s="9" t="n">
        <f aca="false">SUMIFS('Source 2026'!$D:$D,'Source 2026'!$B:$B,$A221,'Source 2026'!$A:$A,"Amount (NIS)")</f>
        <v>0</v>
      </c>
      <c r="I221" s="9" t="n">
        <f aca="false">H221-G221</f>
        <v>0</v>
      </c>
      <c r="J221" s="8" t="n">
        <f aca="false">IF(AND(G221=0,H221=0),0,IF(G221=0,"New",(H221-G221)/G221))</f>
        <v>0</v>
      </c>
    </row>
    <row r="222" customFormat="false" ht="15" hidden="false" customHeight="false" outlineLevel="0" collapsed="false">
      <c r="A222" s="6" t="s">
        <v>229</v>
      </c>
      <c r="B222" s="6" t="str">
        <f aca="false">IFERROR(INDEX('Source 2026'!$C:$C,MATCH($A222,'Source 2026'!$B:$B,0)),IFERROR(INDEX('Source 2025'!$C:$C,MATCH($A222,'Source 2025'!$B:$B,0)),""))</f>
        <v>M מגן מרפק+רצועה לטניס</v>
      </c>
      <c r="C222" s="7" t="n">
        <f aca="false">SUMIFS('Source 2025'!$D:$D,'Source 2025'!$B:$B,$A222,'Source 2025'!$A:$A,"Quantity (units)")</f>
        <v>-1</v>
      </c>
      <c r="D222" s="7" t="n">
        <f aca="false">SUMIFS('Source 2026'!$D:$D,'Source 2026'!$B:$B,$A222,'Source 2026'!$A:$A,"Quantity (units)")</f>
        <v>-1</v>
      </c>
      <c r="E222" s="7" t="n">
        <f aca="false">D222-C222</f>
        <v>0</v>
      </c>
      <c r="F222" s="8" t="n">
        <f aca="false">IF(AND(C222=0,D222=0),0,IF(C222=0,"New",(D222-C222)/C222))</f>
        <v>-0</v>
      </c>
      <c r="G222" s="9" t="n">
        <f aca="false">SUMIFS('Source 2025'!$D:$D,'Source 2025'!$B:$B,$A222,'Source 2025'!$A:$A,"Amount (NIS)")</f>
        <v>0</v>
      </c>
      <c r="H222" s="9" t="n">
        <f aca="false">SUMIFS('Source 2026'!$D:$D,'Source 2026'!$B:$B,$A222,'Source 2026'!$A:$A,"Amount (NIS)")</f>
        <v>0</v>
      </c>
      <c r="I222" s="9" t="n">
        <f aca="false">H222-G222</f>
        <v>0</v>
      </c>
      <c r="J222" s="8" t="n">
        <f aca="false">IF(AND(G222=0,H222=0),0,IF(G222=0,"New",(H222-G222)/G222))</f>
        <v>0</v>
      </c>
    </row>
    <row r="223" customFormat="false" ht="15" hidden="false" customHeight="false" outlineLevel="0" collapsed="false">
      <c r="A223" s="6" t="s">
        <v>230</v>
      </c>
      <c r="B223" s="6" t="str">
        <f aca="false">IFERROR(INDEX('Source 2026'!$C:$C,MATCH($A223,'Source 2026'!$B:$B,0)),IFERROR(INDEX('Source 2025'!$C:$C,MATCH($A223,'Source 2025'!$B:$B,0)),""))</f>
        <v>S ח.גב ""איטלקית"" אורירית</v>
      </c>
      <c r="C223" s="7" t="n">
        <f aca="false">SUMIFS('Source 2025'!$D:$D,'Source 2025'!$B:$B,$A223,'Source 2025'!$A:$A,"Quantity (units)")</f>
        <v>-1</v>
      </c>
      <c r="D223" s="7" t="n">
        <f aca="false">SUMIFS('Source 2026'!$D:$D,'Source 2026'!$B:$B,$A223,'Source 2026'!$A:$A,"Quantity (units)")</f>
        <v>-1</v>
      </c>
      <c r="E223" s="7" t="n">
        <f aca="false">D223-C223</f>
        <v>0</v>
      </c>
      <c r="F223" s="8" t="n">
        <f aca="false">IF(AND(C223=0,D223=0),0,IF(C223=0,"New",(D223-C223)/C223))</f>
        <v>-0</v>
      </c>
      <c r="G223" s="9" t="n">
        <f aca="false">SUMIFS('Source 2025'!$D:$D,'Source 2025'!$B:$B,$A223,'Source 2025'!$A:$A,"Amount (NIS)")</f>
        <v>-215.4</v>
      </c>
      <c r="H223" s="9" t="n">
        <f aca="false">SUMIFS('Source 2026'!$D:$D,'Source 2026'!$B:$B,$A223,'Source 2026'!$A:$A,"Amount (NIS)")</f>
        <v>-215.4</v>
      </c>
      <c r="I223" s="9" t="n">
        <f aca="false">H223-G223</f>
        <v>0</v>
      </c>
      <c r="J223" s="8" t="n">
        <f aca="false">IF(AND(G223=0,H223=0),0,IF(G223=0,"New",(H223-G223)/G223))</f>
        <v>-0</v>
      </c>
    </row>
    <row r="224" customFormat="false" ht="15" hidden="false" customHeight="false" outlineLevel="0" collapsed="false">
      <c r="A224" s="6" t="s">
        <v>231</v>
      </c>
      <c r="B224" s="6" t="str">
        <f aca="false">IFERROR(INDEX('Source 2026'!$C:$C,MATCH($A224,'Source 2026'!$B:$B,0)),IFERROR(INDEX('Source 2025'!$C:$C,MATCH($A224,'Source 2025'!$B:$B,0)),""))</f>
        <v>L חגורה לשבר טבור</v>
      </c>
      <c r="C224" s="7" t="n">
        <f aca="false">SUMIFS('Source 2025'!$D:$D,'Source 2025'!$B:$B,$A224,'Source 2025'!$A:$A,"Quantity (units)")</f>
        <v>-1</v>
      </c>
      <c r="D224" s="7" t="n">
        <f aca="false">SUMIFS('Source 2026'!$D:$D,'Source 2026'!$B:$B,$A224,'Source 2026'!$A:$A,"Quantity (units)")</f>
        <v>-1</v>
      </c>
      <c r="E224" s="7" t="n">
        <f aca="false">D224-C224</f>
        <v>0</v>
      </c>
      <c r="F224" s="8" t="n">
        <f aca="false">IF(AND(C224=0,D224=0),0,IF(C224=0,"New",(D224-C224)/C224))</f>
        <v>-0</v>
      </c>
      <c r="G224" s="9" t="n">
        <f aca="false">SUMIFS('Source 2025'!$D:$D,'Source 2025'!$B:$B,$A224,'Source 2025'!$A:$A,"Amount (NIS)")</f>
        <v>-135</v>
      </c>
      <c r="H224" s="9" t="n">
        <f aca="false">SUMIFS('Source 2026'!$D:$D,'Source 2026'!$B:$B,$A224,'Source 2026'!$A:$A,"Amount (NIS)")</f>
        <v>-135</v>
      </c>
      <c r="I224" s="9" t="n">
        <f aca="false">H224-G224</f>
        <v>0</v>
      </c>
      <c r="J224" s="8" t="n">
        <f aca="false">IF(AND(G224=0,H224=0),0,IF(G224=0,"New",(H224-G224)/G224))</f>
        <v>-0</v>
      </c>
    </row>
    <row r="226" customFormat="false" ht="15" hidden="false" customHeight="false" outlineLevel="0" collapsed="false">
      <c r="A226" s="10"/>
      <c r="B226" s="11" t="s">
        <v>232</v>
      </c>
      <c r="C226" s="12" t="n">
        <f aca="false">SUM(C6:C224)</f>
        <v>176505</v>
      </c>
      <c r="D226" s="12" t="n">
        <f aca="false">SUM(D6:D224)</f>
        <v>118307</v>
      </c>
      <c r="E226" s="12" t="n">
        <f aca="false">SUM(E6:E224)</f>
        <v>-58198</v>
      </c>
      <c r="F226" s="13" t="n">
        <f aca="false">IF(C226=0,"N/A",E226/C226)</f>
        <v>-0.329724370414436</v>
      </c>
      <c r="G226" s="14" t="n">
        <f aca="false">SUM(G6:G224)</f>
        <v>6689220.5</v>
      </c>
      <c r="H226" s="14" t="n">
        <f aca="false">SUM(H6:H224)</f>
        <v>4476515.3</v>
      </c>
      <c r="I226" s="14" t="n">
        <f aca="false">SUM(I6:I224)</f>
        <v>-2212705.2</v>
      </c>
      <c r="J226" s="13" t="n">
        <f aca="false">IF(G226=0,"N/A",I226/G226)</f>
        <v>-0.330786703772136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2" t="s">
        <v>233</v>
      </c>
    </row>
    <row r="2" customFormat="false" ht="15" hidden="false" customHeight="false" outlineLevel="0" collapsed="false">
      <c r="A2" s="15" t="s">
        <v>234</v>
      </c>
      <c r="B2" s="15" t="s">
        <v>235</v>
      </c>
      <c r="C2" s="15" t="s">
        <v>236</v>
      </c>
      <c r="D2" s="15" t="s">
        <v>237</v>
      </c>
    </row>
    <row r="3" customFormat="false" ht="15" hidden="false" customHeight="false" outlineLevel="0" collapsed="false">
      <c r="A3" s="6" t="s">
        <v>238</v>
      </c>
      <c r="B3" s="6" t="s">
        <v>57</v>
      </c>
      <c r="C3" s="6" t="s">
        <v>239</v>
      </c>
      <c r="D3" s="9" t="n">
        <v>22376.6</v>
      </c>
    </row>
    <row r="4" customFormat="false" ht="15" hidden="false" customHeight="false" outlineLevel="0" collapsed="false">
      <c r="A4" s="6" t="s">
        <v>238</v>
      </c>
      <c r="B4" s="6" t="s">
        <v>57</v>
      </c>
      <c r="C4" s="6" t="s">
        <v>240</v>
      </c>
      <c r="D4" s="9" t="n">
        <v>25972.9</v>
      </c>
    </row>
    <row r="5" customFormat="false" ht="15" hidden="false" customHeight="false" outlineLevel="0" collapsed="false">
      <c r="A5" s="6" t="s">
        <v>238</v>
      </c>
      <c r="B5" s="6" t="s">
        <v>241</v>
      </c>
      <c r="C5" s="6" t="s">
        <v>242</v>
      </c>
      <c r="D5" s="9" t="n">
        <v>0</v>
      </c>
    </row>
    <row r="6" customFormat="false" ht="15" hidden="false" customHeight="false" outlineLevel="0" collapsed="false">
      <c r="A6" s="6" t="s">
        <v>238</v>
      </c>
      <c r="B6" s="6" t="s">
        <v>243</v>
      </c>
      <c r="C6" s="6" t="s">
        <v>244</v>
      </c>
      <c r="D6" s="9" t="n">
        <v>0</v>
      </c>
    </row>
    <row r="7" customFormat="false" ht="15" hidden="false" customHeight="false" outlineLevel="0" collapsed="false">
      <c r="A7" s="6" t="s">
        <v>238</v>
      </c>
      <c r="B7" s="6" t="s">
        <v>245</v>
      </c>
      <c r="C7" s="6" t="s">
        <v>246</v>
      </c>
      <c r="D7" s="9" t="n">
        <v>0</v>
      </c>
    </row>
    <row r="8" customFormat="false" ht="15" hidden="false" customHeight="false" outlineLevel="0" collapsed="false">
      <c r="A8" s="6" t="s">
        <v>238</v>
      </c>
      <c r="B8" s="6" t="s">
        <v>247</v>
      </c>
      <c r="C8" s="6" t="s">
        <v>248</v>
      </c>
      <c r="D8" s="9" t="n">
        <v>0</v>
      </c>
    </row>
    <row r="9" customFormat="false" ht="15" hidden="false" customHeight="false" outlineLevel="0" collapsed="false">
      <c r="A9" s="6" t="s">
        <v>238</v>
      </c>
      <c r="B9" s="6" t="s">
        <v>249</v>
      </c>
      <c r="C9" s="6" t="s">
        <v>250</v>
      </c>
      <c r="D9" s="9" t="n">
        <v>0</v>
      </c>
    </row>
    <row r="10" customFormat="false" ht="15" hidden="false" customHeight="false" outlineLevel="0" collapsed="false">
      <c r="A10" s="6" t="s">
        <v>238</v>
      </c>
      <c r="B10" s="6" t="s">
        <v>118</v>
      </c>
      <c r="C10" s="6" t="s">
        <v>251</v>
      </c>
      <c r="D10" s="9" t="n">
        <v>4320.4</v>
      </c>
    </row>
    <row r="11" customFormat="false" ht="15" hidden="false" customHeight="false" outlineLevel="0" collapsed="false">
      <c r="A11" s="6" t="s">
        <v>238</v>
      </c>
      <c r="B11" s="6" t="s">
        <v>66</v>
      </c>
      <c r="C11" s="6" t="s">
        <v>252</v>
      </c>
      <c r="D11" s="9" t="n">
        <v>33927.9</v>
      </c>
    </row>
    <row r="12" customFormat="false" ht="15" hidden="false" customHeight="false" outlineLevel="0" collapsed="false">
      <c r="A12" s="6" t="s">
        <v>238</v>
      </c>
      <c r="B12" s="6" t="s">
        <v>94</v>
      </c>
      <c r="C12" s="6" t="s">
        <v>253</v>
      </c>
      <c r="D12" s="9" t="n">
        <v>882.1</v>
      </c>
    </row>
    <row r="13" customFormat="false" ht="15" hidden="false" customHeight="false" outlineLevel="0" collapsed="false">
      <c r="A13" s="6" t="s">
        <v>238</v>
      </c>
      <c r="B13" s="6" t="s">
        <v>94</v>
      </c>
      <c r="C13" s="6" t="s">
        <v>254</v>
      </c>
      <c r="D13" s="9" t="n">
        <v>2179.1</v>
      </c>
    </row>
    <row r="14" customFormat="false" ht="15" hidden="false" customHeight="false" outlineLevel="0" collapsed="false">
      <c r="A14" s="6" t="s">
        <v>238</v>
      </c>
      <c r="B14" s="6" t="s">
        <v>94</v>
      </c>
      <c r="C14" s="6" t="s">
        <v>255</v>
      </c>
      <c r="D14" s="9" t="n">
        <v>2791.6</v>
      </c>
    </row>
    <row r="15" customFormat="false" ht="15" hidden="false" customHeight="false" outlineLevel="0" collapsed="false">
      <c r="A15" s="6" t="s">
        <v>238</v>
      </c>
      <c r="B15" s="6" t="s">
        <v>116</v>
      </c>
      <c r="C15" s="6" t="s">
        <v>256</v>
      </c>
      <c r="D15" s="9" t="n">
        <v>644.1</v>
      </c>
    </row>
    <row r="16" customFormat="false" ht="15" hidden="false" customHeight="false" outlineLevel="0" collapsed="false">
      <c r="A16" s="6" t="s">
        <v>238</v>
      </c>
      <c r="B16" s="6" t="s">
        <v>116</v>
      </c>
      <c r="C16" s="6" t="s">
        <v>257</v>
      </c>
      <c r="D16" s="9" t="n">
        <v>1517.5</v>
      </c>
    </row>
    <row r="17" customFormat="false" ht="15" hidden="false" customHeight="false" outlineLevel="0" collapsed="false">
      <c r="A17" s="6" t="s">
        <v>238</v>
      </c>
      <c r="B17" s="6" t="s">
        <v>158</v>
      </c>
      <c r="C17" s="6" t="s">
        <v>258</v>
      </c>
      <c r="D17" s="9" t="n">
        <v>1147.9</v>
      </c>
    </row>
    <row r="18" customFormat="false" ht="15" hidden="false" customHeight="false" outlineLevel="0" collapsed="false">
      <c r="A18" s="6" t="s">
        <v>238</v>
      </c>
      <c r="B18" s="6" t="s">
        <v>143</v>
      </c>
      <c r="C18" s="6" t="s">
        <v>259</v>
      </c>
      <c r="D18" s="9" t="n">
        <v>585.7</v>
      </c>
    </row>
    <row r="19" customFormat="false" ht="15" hidden="false" customHeight="false" outlineLevel="0" collapsed="false">
      <c r="A19" s="6" t="s">
        <v>238</v>
      </c>
      <c r="B19" s="6" t="s">
        <v>143</v>
      </c>
      <c r="C19" s="6" t="s">
        <v>260</v>
      </c>
      <c r="D19" s="9" t="n">
        <v>1022.4</v>
      </c>
    </row>
    <row r="20" customFormat="false" ht="15" hidden="false" customHeight="false" outlineLevel="0" collapsed="false">
      <c r="A20" s="6" t="s">
        <v>238</v>
      </c>
      <c r="B20" s="6" t="s">
        <v>143</v>
      </c>
      <c r="C20" s="6" t="s">
        <v>261</v>
      </c>
      <c r="D20" s="9" t="n">
        <v>992.3</v>
      </c>
    </row>
    <row r="21" customFormat="false" ht="15" hidden="false" customHeight="false" outlineLevel="0" collapsed="false">
      <c r="A21" s="6" t="s">
        <v>238</v>
      </c>
      <c r="B21" s="6" t="s">
        <v>223</v>
      </c>
      <c r="C21" s="6" t="s">
        <v>262</v>
      </c>
      <c r="D21" s="9" t="n">
        <v>-28.4</v>
      </c>
    </row>
    <row r="22" customFormat="false" ht="15" hidden="false" customHeight="false" outlineLevel="0" collapsed="false">
      <c r="A22" s="6" t="s">
        <v>238</v>
      </c>
      <c r="B22" s="6" t="s">
        <v>84</v>
      </c>
      <c r="C22" s="6" t="s">
        <v>253</v>
      </c>
      <c r="D22" s="9" t="n">
        <v>1714.9</v>
      </c>
    </row>
    <row r="23" customFormat="false" ht="15" hidden="false" customHeight="false" outlineLevel="0" collapsed="false">
      <c r="A23" s="6" t="s">
        <v>238</v>
      </c>
      <c r="B23" s="6" t="s">
        <v>84</v>
      </c>
      <c r="C23" s="6" t="s">
        <v>263</v>
      </c>
      <c r="D23" s="9" t="n">
        <v>3293.1</v>
      </c>
    </row>
    <row r="24" customFormat="false" ht="15" hidden="false" customHeight="false" outlineLevel="0" collapsed="false">
      <c r="A24" s="6" t="s">
        <v>238</v>
      </c>
      <c r="B24" s="6" t="s">
        <v>84</v>
      </c>
      <c r="C24" s="6" t="s">
        <v>264</v>
      </c>
      <c r="D24" s="9" t="n">
        <v>4724.4</v>
      </c>
    </row>
    <row r="25" customFormat="false" ht="15" hidden="false" customHeight="false" outlineLevel="0" collapsed="false">
      <c r="A25" s="6" t="s">
        <v>238</v>
      </c>
      <c r="B25" s="6" t="s">
        <v>95</v>
      </c>
      <c r="C25" s="6" t="s">
        <v>265</v>
      </c>
      <c r="D25" s="9" t="n">
        <v>939.9</v>
      </c>
    </row>
    <row r="26" customFormat="false" ht="15" hidden="false" customHeight="false" outlineLevel="0" collapsed="false">
      <c r="A26" s="6" t="s">
        <v>238</v>
      </c>
      <c r="B26" s="6" t="s">
        <v>95</v>
      </c>
      <c r="C26" s="6" t="s">
        <v>266</v>
      </c>
      <c r="D26" s="9" t="n">
        <v>1262.2</v>
      </c>
    </row>
    <row r="27" customFormat="false" ht="15" hidden="false" customHeight="false" outlineLevel="0" collapsed="false">
      <c r="A27" s="6" t="s">
        <v>238</v>
      </c>
      <c r="B27" s="6" t="s">
        <v>95</v>
      </c>
      <c r="C27" s="6" t="s">
        <v>267</v>
      </c>
      <c r="D27" s="9" t="n">
        <v>1297.6</v>
      </c>
    </row>
    <row r="28" customFormat="false" ht="15" hidden="false" customHeight="false" outlineLevel="0" collapsed="false">
      <c r="A28" s="6" t="s">
        <v>238</v>
      </c>
      <c r="B28" s="6" t="s">
        <v>152</v>
      </c>
      <c r="C28" s="6" t="s">
        <v>268</v>
      </c>
      <c r="D28" s="9" t="n">
        <v>561.1</v>
      </c>
    </row>
    <row r="29" customFormat="false" ht="15" hidden="false" customHeight="false" outlineLevel="0" collapsed="false">
      <c r="A29" s="6" t="s">
        <v>238</v>
      </c>
      <c r="B29" s="6" t="s">
        <v>152</v>
      </c>
      <c r="C29" s="6" t="s">
        <v>269</v>
      </c>
      <c r="D29" s="9" t="n">
        <v>1734.3</v>
      </c>
    </row>
    <row r="30" customFormat="false" ht="15" hidden="false" customHeight="false" outlineLevel="0" collapsed="false">
      <c r="A30" s="6" t="s">
        <v>238</v>
      </c>
      <c r="B30" s="6" t="s">
        <v>152</v>
      </c>
      <c r="C30" s="6" t="s">
        <v>270</v>
      </c>
      <c r="D30" s="9" t="n">
        <v>1886.6</v>
      </c>
    </row>
    <row r="31" customFormat="false" ht="15" hidden="false" customHeight="false" outlineLevel="0" collapsed="false">
      <c r="A31" s="6" t="s">
        <v>238</v>
      </c>
      <c r="B31" s="6" t="s">
        <v>218</v>
      </c>
      <c r="C31" s="6" t="s">
        <v>271</v>
      </c>
      <c r="D31" s="9" t="n">
        <v>-47.1</v>
      </c>
    </row>
    <row r="32" customFormat="false" ht="15" hidden="false" customHeight="false" outlineLevel="0" collapsed="false">
      <c r="A32" s="6" t="s">
        <v>238</v>
      </c>
      <c r="B32" s="6" t="s">
        <v>188</v>
      </c>
      <c r="C32" s="6" t="s">
        <v>272</v>
      </c>
      <c r="D32" s="9" t="n">
        <v>0</v>
      </c>
    </row>
    <row r="33" customFormat="false" ht="15" hidden="false" customHeight="false" outlineLevel="0" collapsed="false">
      <c r="A33" s="6" t="s">
        <v>238</v>
      </c>
      <c r="B33" s="6" t="s">
        <v>188</v>
      </c>
      <c r="C33" s="6" t="s">
        <v>273</v>
      </c>
      <c r="D33" s="9" t="n">
        <v>0</v>
      </c>
    </row>
    <row r="34" customFormat="false" ht="15" hidden="false" customHeight="false" outlineLevel="0" collapsed="false">
      <c r="A34" s="6" t="s">
        <v>238</v>
      </c>
      <c r="B34" s="6" t="s">
        <v>188</v>
      </c>
      <c r="C34" s="6" t="s">
        <v>274</v>
      </c>
      <c r="D34" s="9" t="n">
        <v>0</v>
      </c>
    </row>
    <row r="35" customFormat="false" ht="15" hidden="false" customHeight="false" outlineLevel="0" collapsed="false">
      <c r="A35" s="6" t="s">
        <v>238</v>
      </c>
      <c r="B35" s="6" t="s">
        <v>188</v>
      </c>
      <c r="C35" s="6" t="s">
        <v>275</v>
      </c>
      <c r="D35" s="9" t="n">
        <v>-147.4</v>
      </c>
    </row>
    <row r="36" customFormat="false" ht="15" hidden="false" customHeight="false" outlineLevel="0" collapsed="false">
      <c r="A36" s="6" t="s">
        <v>238</v>
      </c>
      <c r="B36" s="6" t="s">
        <v>148</v>
      </c>
      <c r="C36" s="6" t="s">
        <v>276</v>
      </c>
      <c r="D36" s="9" t="n">
        <v>202.7</v>
      </c>
    </row>
    <row r="37" customFormat="false" ht="15" hidden="false" customHeight="false" outlineLevel="0" collapsed="false">
      <c r="A37" s="6" t="s">
        <v>238</v>
      </c>
      <c r="B37" s="6" t="s">
        <v>148</v>
      </c>
      <c r="C37" s="6" t="s">
        <v>277</v>
      </c>
      <c r="D37" s="9" t="n">
        <v>-265.4</v>
      </c>
    </row>
    <row r="38" customFormat="false" ht="15" hidden="false" customHeight="false" outlineLevel="0" collapsed="false">
      <c r="A38" s="6" t="s">
        <v>238</v>
      </c>
      <c r="B38" s="6" t="s">
        <v>148</v>
      </c>
      <c r="C38" s="6" t="s">
        <v>278</v>
      </c>
      <c r="D38" s="9" t="n">
        <v>-151.1</v>
      </c>
    </row>
    <row r="39" customFormat="false" ht="15" hidden="false" customHeight="false" outlineLevel="0" collapsed="false">
      <c r="A39" s="6" t="s">
        <v>238</v>
      </c>
      <c r="B39" s="6" t="s">
        <v>148</v>
      </c>
      <c r="C39" s="6" t="s">
        <v>279</v>
      </c>
      <c r="D39" s="9" t="n">
        <v>-507.7</v>
      </c>
    </row>
    <row r="40" customFormat="false" ht="15" hidden="false" customHeight="false" outlineLevel="0" collapsed="false">
      <c r="A40" s="6" t="s">
        <v>238</v>
      </c>
      <c r="B40" s="6" t="s">
        <v>148</v>
      </c>
      <c r="C40" s="6" t="s">
        <v>280</v>
      </c>
      <c r="D40" s="9" t="n">
        <v>276.4</v>
      </c>
    </row>
    <row r="41" customFormat="false" ht="15" hidden="false" customHeight="false" outlineLevel="0" collapsed="false">
      <c r="A41" s="6" t="s">
        <v>238</v>
      </c>
      <c r="B41" s="6" t="s">
        <v>230</v>
      </c>
      <c r="C41" s="6" t="s">
        <v>281</v>
      </c>
      <c r="D41" s="9" t="n">
        <v>0</v>
      </c>
    </row>
    <row r="42" customFormat="false" ht="15" hidden="false" customHeight="false" outlineLevel="0" collapsed="false">
      <c r="A42" s="6" t="s">
        <v>238</v>
      </c>
      <c r="B42" s="6" t="s">
        <v>230</v>
      </c>
      <c r="C42" s="6" t="s">
        <v>282</v>
      </c>
      <c r="D42" s="9" t="n">
        <v>0</v>
      </c>
    </row>
    <row r="43" customFormat="false" ht="15" hidden="false" customHeight="false" outlineLevel="0" collapsed="false">
      <c r="A43" s="6" t="s">
        <v>238</v>
      </c>
      <c r="B43" s="6" t="s">
        <v>230</v>
      </c>
      <c r="C43" s="6" t="s">
        <v>283</v>
      </c>
      <c r="D43" s="9" t="n">
        <v>0</v>
      </c>
    </row>
    <row r="44" customFormat="false" ht="15" hidden="false" customHeight="false" outlineLevel="0" collapsed="false">
      <c r="A44" s="6" t="s">
        <v>238</v>
      </c>
      <c r="B44" s="6" t="s">
        <v>230</v>
      </c>
      <c r="C44" s="6" t="s">
        <v>284</v>
      </c>
      <c r="D44" s="9" t="n">
        <v>-215.4</v>
      </c>
    </row>
    <row r="45" customFormat="false" ht="15" hidden="false" customHeight="false" outlineLevel="0" collapsed="false">
      <c r="A45" s="6" t="s">
        <v>238</v>
      </c>
      <c r="B45" s="6" t="s">
        <v>230</v>
      </c>
      <c r="C45" s="6" t="s">
        <v>285</v>
      </c>
      <c r="D45" s="9" t="n">
        <v>0</v>
      </c>
    </row>
    <row r="46" customFormat="false" ht="15" hidden="false" customHeight="false" outlineLevel="0" collapsed="false">
      <c r="A46" s="6" t="s">
        <v>238</v>
      </c>
      <c r="B46" s="6" t="s">
        <v>286</v>
      </c>
      <c r="C46" s="6" t="s">
        <v>287</v>
      </c>
      <c r="D46" s="9" t="n">
        <v>0</v>
      </c>
    </row>
    <row r="47" customFormat="false" ht="15" hidden="false" customHeight="false" outlineLevel="0" collapsed="false">
      <c r="A47" s="6" t="s">
        <v>238</v>
      </c>
      <c r="B47" s="6" t="s">
        <v>54</v>
      </c>
      <c r="C47" s="6" t="s">
        <v>288</v>
      </c>
      <c r="D47" s="9" t="n">
        <v>786.4</v>
      </c>
    </row>
    <row r="48" customFormat="false" ht="15" hidden="false" customHeight="false" outlineLevel="0" collapsed="false">
      <c r="A48" s="6" t="s">
        <v>238</v>
      </c>
      <c r="B48" s="6" t="s">
        <v>54</v>
      </c>
      <c r="C48" s="6" t="s">
        <v>289</v>
      </c>
      <c r="D48" s="9" t="n">
        <v>7575.9</v>
      </c>
    </row>
    <row r="49" customFormat="false" ht="15" hidden="false" customHeight="false" outlineLevel="0" collapsed="false">
      <c r="A49" s="6" t="s">
        <v>238</v>
      </c>
      <c r="B49" s="6" t="s">
        <v>54</v>
      </c>
      <c r="C49" s="6" t="s">
        <v>290</v>
      </c>
      <c r="D49" s="9" t="n">
        <v>4875.8</v>
      </c>
    </row>
    <row r="50" customFormat="false" ht="15" hidden="false" customHeight="false" outlineLevel="0" collapsed="false">
      <c r="A50" s="6" t="s">
        <v>238</v>
      </c>
      <c r="B50" s="6" t="s">
        <v>54</v>
      </c>
      <c r="C50" s="6" t="s">
        <v>291</v>
      </c>
      <c r="D50" s="9" t="n">
        <v>8519.6</v>
      </c>
    </row>
    <row r="51" customFormat="false" ht="15" hidden="false" customHeight="false" outlineLevel="0" collapsed="false">
      <c r="A51" s="6" t="s">
        <v>238</v>
      </c>
      <c r="B51" s="6" t="s">
        <v>54</v>
      </c>
      <c r="C51" s="6" t="s">
        <v>292</v>
      </c>
      <c r="D51" s="9" t="n">
        <v>524.2</v>
      </c>
    </row>
    <row r="52" customFormat="false" ht="15" hidden="false" customHeight="false" outlineLevel="0" collapsed="false">
      <c r="A52" s="6" t="s">
        <v>238</v>
      </c>
      <c r="B52" s="6" t="s">
        <v>32</v>
      </c>
      <c r="C52" s="6" t="s">
        <v>293</v>
      </c>
      <c r="D52" s="9" t="n">
        <v>13244.7</v>
      </c>
    </row>
    <row r="53" customFormat="false" ht="15" hidden="false" customHeight="false" outlineLevel="0" collapsed="false">
      <c r="A53" s="6" t="s">
        <v>238</v>
      </c>
      <c r="B53" s="6" t="s">
        <v>32</v>
      </c>
      <c r="C53" s="6" t="s">
        <v>294</v>
      </c>
      <c r="D53" s="9" t="n">
        <v>37050.2</v>
      </c>
    </row>
    <row r="54" customFormat="false" ht="15" hidden="false" customHeight="false" outlineLevel="0" collapsed="false">
      <c r="A54" s="6" t="s">
        <v>238</v>
      </c>
      <c r="B54" s="6" t="s">
        <v>32</v>
      </c>
      <c r="C54" s="6" t="s">
        <v>295</v>
      </c>
      <c r="D54" s="9" t="n">
        <v>28070.8</v>
      </c>
    </row>
    <row r="55" customFormat="false" ht="15" hidden="false" customHeight="false" outlineLevel="0" collapsed="false">
      <c r="A55" s="6" t="s">
        <v>238</v>
      </c>
      <c r="B55" s="6" t="s">
        <v>32</v>
      </c>
      <c r="C55" s="6" t="s">
        <v>296</v>
      </c>
      <c r="D55" s="9" t="n">
        <v>35878.9</v>
      </c>
    </row>
    <row r="56" customFormat="false" ht="15" hidden="false" customHeight="false" outlineLevel="0" collapsed="false">
      <c r="A56" s="6" t="s">
        <v>238</v>
      </c>
      <c r="B56" s="6" t="s">
        <v>32</v>
      </c>
      <c r="C56" s="6" t="s">
        <v>297</v>
      </c>
      <c r="D56" s="9" t="n">
        <v>8750.6</v>
      </c>
    </row>
    <row r="57" customFormat="false" ht="15" hidden="false" customHeight="false" outlineLevel="0" collapsed="false">
      <c r="A57" s="6" t="s">
        <v>238</v>
      </c>
      <c r="B57" s="6" t="s">
        <v>224</v>
      </c>
      <c r="C57" s="6" t="s">
        <v>298</v>
      </c>
      <c r="D57" s="9" t="n">
        <v>-178.6</v>
      </c>
    </row>
    <row r="58" customFormat="false" ht="15" hidden="false" customHeight="false" outlineLevel="0" collapsed="false">
      <c r="A58" s="6" t="s">
        <v>238</v>
      </c>
      <c r="B58" s="6" t="s">
        <v>177</v>
      </c>
      <c r="C58" s="6" t="s">
        <v>299</v>
      </c>
      <c r="D58" s="9" t="n">
        <v>0</v>
      </c>
    </row>
    <row r="59" customFormat="false" ht="15" hidden="false" customHeight="false" outlineLevel="0" collapsed="false">
      <c r="A59" s="6" t="s">
        <v>238</v>
      </c>
      <c r="B59" s="6" t="s">
        <v>177</v>
      </c>
      <c r="C59" s="6" t="s">
        <v>300</v>
      </c>
      <c r="D59" s="9" t="n">
        <v>0</v>
      </c>
    </row>
    <row r="60" customFormat="false" ht="15" hidden="false" customHeight="false" outlineLevel="0" collapsed="false">
      <c r="A60" s="6" t="s">
        <v>238</v>
      </c>
      <c r="B60" s="6" t="s">
        <v>75</v>
      </c>
      <c r="C60" s="6" t="s">
        <v>301</v>
      </c>
      <c r="D60" s="9" t="n">
        <v>4743.3</v>
      </c>
    </row>
    <row r="61" customFormat="false" ht="15" hidden="false" customHeight="false" outlineLevel="0" collapsed="false">
      <c r="A61" s="6" t="s">
        <v>238</v>
      </c>
      <c r="B61" s="6" t="s">
        <v>75</v>
      </c>
      <c r="C61" s="6" t="s">
        <v>302</v>
      </c>
      <c r="D61" s="9" t="n">
        <v>7085.9</v>
      </c>
    </row>
    <row r="62" customFormat="false" ht="15" hidden="false" customHeight="false" outlineLevel="0" collapsed="false">
      <c r="A62" s="6" t="s">
        <v>238</v>
      </c>
      <c r="B62" s="6" t="s">
        <v>75</v>
      </c>
      <c r="C62" s="6" t="s">
        <v>303</v>
      </c>
      <c r="D62" s="9" t="n">
        <v>4593.4</v>
      </c>
    </row>
    <row r="63" customFormat="false" ht="15" hidden="false" customHeight="false" outlineLevel="0" collapsed="false">
      <c r="A63" s="6" t="s">
        <v>238</v>
      </c>
      <c r="B63" s="6" t="s">
        <v>75</v>
      </c>
      <c r="C63" s="6" t="s">
        <v>304</v>
      </c>
      <c r="D63" s="9" t="n">
        <v>2104.6</v>
      </c>
    </row>
    <row r="64" customFormat="false" ht="15" hidden="false" customHeight="false" outlineLevel="0" collapsed="false">
      <c r="A64" s="6" t="s">
        <v>238</v>
      </c>
      <c r="B64" s="6" t="s">
        <v>75</v>
      </c>
      <c r="C64" s="6" t="s">
        <v>305</v>
      </c>
      <c r="D64" s="9" t="n">
        <v>25.2</v>
      </c>
    </row>
    <row r="65" customFormat="false" ht="15" hidden="false" customHeight="false" outlineLevel="0" collapsed="false">
      <c r="A65" s="6" t="s">
        <v>238</v>
      </c>
      <c r="B65" s="6" t="s">
        <v>19</v>
      </c>
      <c r="C65" s="6" t="s">
        <v>306</v>
      </c>
      <c r="D65" s="9" t="n">
        <v>73733</v>
      </c>
    </row>
    <row r="66" customFormat="false" ht="15" hidden="false" customHeight="false" outlineLevel="0" collapsed="false">
      <c r="A66" s="6" t="s">
        <v>238</v>
      </c>
      <c r="B66" s="6" t="s">
        <v>19</v>
      </c>
      <c r="C66" s="6" t="s">
        <v>307</v>
      </c>
      <c r="D66" s="9" t="n">
        <v>70516.7</v>
      </c>
    </row>
    <row r="67" customFormat="false" ht="15" hidden="false" customHeight="false" outlineLevel="0" collapsed="false">
      <c r="A67" s="6" t="s">
        <v>238</v>
      </c>
      <c r="B67" s="6" t="s">
        <v>19</v>
      </c>
      <c r="C67" s="6" t="s">
        <v>308</v>
      </c>
      <c r="D67" s="9" t="n">
        <v>99452.8</v>
      </c>
    </row>
    <row r="68" customFormat="false" ht="15" hidden="false" customHeight="false" outlineLevel="0" collapsed="false">
      <c r="A68" s="6" t="s">
        <v>238</v>
      </c>
      <c r="B68" s="6" t="s">
        <v>19</v>
      </c>
      <c r="C68" s="6" t="s">
        <v>309</v>
      </c>
      <c r="D68" s="9" t="n">
        <v>26160</v>
      </c>
    </row>
    <row r="69" customFormat="false" ht="15" hidden="false" customHeight="false" outlineLevel="0" collapsed="false">
      <c r="A69" s="6" t="s">
        <v>238</v>
      </c>
      <c r="B69" s="6" t="s">
        <v>162</v>
      </c>
      <c r="C69" s="6" t="s">
        <v>310</v>
      </c>
      <c r="D69" s="9" t="n">
        <v>-318.1</v>
      </c>
    </row>
    <row r="70" customFormat="false" ht="15" hidden="false" customHeight="false" outlineLevel="0" collapsed="false">
      <c r="A70" s="6" t="s">
        <v>238</v>
      </c>
      <c r="B70" s="6" t="s">
        <v>162</v>
      </c>
      <c r="C70" s="6" t="s">
        <v>311</v>
      </c>
      <c r="D70" s="9" t="n">
        <v>-63.6</v>
      </c>
    </row>
    <row r="71" customFormat="false" ht="15" hidden="false" customHeight="false" outlineLevel="0" collapsed="false">
      <c r="A71" s="6" t="s">
        <v>238</v>
      </c>
      <c r="B71" s="6" t="s">
        <v>162</v>
      </c>
      <c r="C71" s="6" t="s">
        <v>312</v>
      </c>
      <c r="D71" s="9" t="n">
        <v>0</v>
      </c>
    </row>
    <row r="72" customFormat="false" ht="15" hidden="false" customHeight="false" outlineLevel="0" collapsed="false">
      <c r="A72" s="6" t="s">
        <v>238</v>
      </c>
      <c r="B72" s="6" t="s">
        <v>162</v>
      </c>
      <c r="C72" s="6" t="s">
        <v>313</v>
      </c>
      <c r="D72" s="9" t="n">
        <v>-318.1</v>
      </c>
    </row>
    <row r="73" customFormat="false" ht="15" hidden="false" customHeight="false" outlineLevel="0" collapsed="false">
      <c r="A73" s="6" t="s">
        <v>238</v>
      </c>
      <c r="B73" s="6" t="s">
        <v>190</v>
      </c>
      <c r="C73" s="6" t="s">
        <v>314</v>
      </c>
      <c r="D73" s="9" t="n">
        <v>-136.3</v>
      </c>
    </row>
    <row r="74" customFormat="false" ht="15" hidden="false" customHeight="false" outlineLevel="0" collapsed="false">
      <c r="A74" s="6" t="s">
        <v>238</v>
      </c>
      <c r="B74" s="6" t="s">
        <v>315</v>
      </c>
      <c r="C74" s="6" t="s">
        <v>316</v>
      </c>
      <c r="D74" s="9" t="n">
        <v>0</v>
      </c>
    </row>
    <row r="75" customFormat="false" ht="15" hidden="false" customHeight="false" outlineLevel="0" collapsed="false">
      <c r="A75" s="6" t="s">
        <v>238</v>
      </c>
      <c r="B75" s="6" t="s">
        <v>315</v>
      </c>
      <c r="C75" s="6" t="s">
        <v>317</v>
      </c>
      <c r="D75" s="9" t="n">
        <v>0</v>
      </c>
    </row>
    <row r="76" customFormat="false" ht="15" hidden="false" customHeight="false" outlineLevel="0" collapsed="false">
      <c r="A76" s="6" t="s">
        <v>238</v>
      </c>
      <c r="B76" s="6" t="s">
        <v>315</v>
      </c>
      <c r="C76" s="6" t="s">
        <v>318</v>
      </c>
      <c r="D76" s="9" t="n">
        <v>0</v>
      </c>
    </row>
    <row r="77" customFormat="false" ht="15" hidden="false" customHeight="false" outlineLevel="0" collapsed="false">
      <c r="A77" s="6" t="s">
        <v>238</v>
      </c>
      <c r="B77" s="6" t="s">
        <v>315</v>
      </c>
      <c r="C77" s="6" t="s">
        <v>319</v>
      </c>
      <c r="D77" s="9" t="n">
        <v>0</v>
      </c>
    </row>
    <row r="78" customFormat="false" ht="15" hidden="false" customHeight="false" outlineLevel="0" collapsed="false">
      <c r="A78" s="6" t="s">
        <v>238</v>
      </c>
      <c r="B78" s="6" t="s">
        <v>176</v>
      </c>
      <c r="C78" s="6" t="s">
        <v>320</v>
      </c>
      <c r="D78" s="9" t="n">
        <v>0</v>
      </c>
    </row>
    <row r="79" customFormat="false" ht="15" hidden="false" customHeight="false" outlineLevel="0" collapsed="false">
      <c r="A79" s="6" t="s">
        <v>238</v>
      </c>
      <c r="B79" s="6" t="s">
        <v>176</v>
      </c>
      <c r="C79" s="6" t="s">
        <v>321</v>
      </c>
      <c r="D79" s="9" t="n">
        <v>-166.1</v>
      </c>
    </row>
    <row r="80" customFormat="false" ht="15" hidden="false" customHeight="false" outlineLevel="0" collapsed="false">
      <c r="A80" s="6" t="s">
        <v>238</v>
      </c>
      <c r="B80" s="6" t="s">
        <v>175</v>
      </c>
      <c r="C80" s="6" t="s">
        <v>322</v>
      </c>
      <c r="D80" s="9" t="n">
        <v>0</v>
      </c>
    </row>
    <row r="81" customFormat="false" ht="15" hidden="false" customHeight="false" outlineLevel="0" collapsed="false">
      <c r="A81" s="6" t="s">
        <v>238</v>
      </c>
      <c r="B81" s="6" t="s">
        <v>175</v>
      </c>
      <c r="C81" s="6" t="s">
        <v>323</v>
      </c>
      <c r="D81" s="9" t="n">
        <v>166.1</v>
      </c>
    </row>
    <row r="82" customFormat="false" ht="15" hidden="false" customHeight="false" outlineLevel="0" collapsed="false">
      <c r="A82" s="6" t="s">
        <v>238</v>
      </c>
      <c r="B82" s="6" t="s">
        <v>175</v>
      </c>
      <c r="C82" s="6" t="s">
        <v>324</v>
      </c>
      <c r="D82" s="9" t="n">
        <v>-166.1</v>
      </c>
    </row>
    <row r="83" customFormat="false" ht="15" hidden="false" customHeight="false" outlineLevel="0" collapsed="false">
      <c r="A83" s="6" t="s">
        <v>238</v>
      </c>
      <c r="B83" s="6" t="s">
        <v>175</v>
      </c>
      <c r="C83" s="6" t="s">
        <v>325</v>
      </c>
      <c r="D83" s="9" t="n">
        <v>-332.2</v>
      </c>
    </row>
    <row r="84" customFormat="false" ht="15" hidden="false" customHeight="false" outlineLevel="0" collapsed="false">
      <c r="A84" s="6" t="s">
        <v>238</v>
      </c>
      <c r="B84" s="6" t="s">
        <v>326</v>
      </c>
      <c r="C84" s="6" t="s">
        <v>327</v>
      </c>
      <c r="D84" s="9" t="n">
        <v>0</v>
      </c>
    </row>
    <row r="85" customFormat="false" ht="15" hidden="false" customHeight="false" outlineLevel="0" collapsed="false">
      <c r="A85" s="6" t="s">
        <v>238</v>
      </c>
      <c r="B85" s="6" t="s">
        <v>178</v>
      </c>
      <c r="C85" s="6" t="s">
        <v>328</v>
      </c>
      <c r="D85" s="9" t="n">
        <v>-262.1</v>
      </c>
    </row>
    <row r="86" customFormat="false" ht="15" hidden="false" customHeight="false" outlineLevel="0" collapsed="false">
      <c r="A86" s="6" t="s">
        <v>238</v>
      </c>
      <c r="B86" s="6" t="s">
        <v>50</v>
      </c>
      <c r="C86" s="6" t="s">
        <v>329</v>
      </c>
      <c r="D86" s="9" t="n">
        <v>15661.5</v>
      </c>
    </row>
    <row r="87" customFormat="false" ht="15" hidden="false" customHeight="false" outlineLevel="0" collapsed="false">
      <c r="A87" s="6" t="s">
        <v>238</v>
      </c>
      <c r="B87" s="6" t="s">
        <v>127</v>
      </c>
      <c r="C87" s="6" t="s">
        <v>330</v>
      </c>
      <c r="D87" s="9" t="n">
        <v>-81.9</v>
      </c>
    </row>
    <row r="88" customFormat="false" ht="15" hidden="false" customHeight="false" outlineLevel="0" collapsed="false">
      <c r="A88" s="6" t="s">
        <v>238</v>
      </c>
      <c r="B88" s="6" t="s">
        <v>127</v>
      </c>
      <c r="C88" s="6" t="s">
        <v>331</v>
      </c>
      <c r="D88" s="9" t="n">
        <v>728.9</v>
      </c>
    </row>
    <row r="89" customFormat="false" ht="15" hidden="false" customHeight="false" outlineLevel="0" collapsed="false">
      <c r="A89" s="6" t="s">
        <v>238</v>
      </c>
      <c r="B89" s="6" t="s">
        <v>127</v>
      </c>
      <c r="C89" s="6" t="s">
        <v>332</v>
      </c>
      <c r="D89" s="9" t="n">
        <v>573.3</v>
      </c>
    </row>
    <row r="90" customFormat="false" ht="15" hidden="false" customHeight="false" outlineLevel="0" collapsed="false">
      <c r="A90" s="6" t="s">
        <v>238</v>
      </c>
      <c r="B90" s="6" t="s">
        <v>127</v>
      </c>
      <c r="C90" s="6" t="s">
        <v>333</v>
      </c>
      <c r="D90" s="9" t="n">
        <v>1052.4</v>
      </c>
    </row>
    <row r="91" customFormat="false" ht="15" hidden="false" customHeight="false" outlineLevel="0" collapsed="false">
      <c r="A91" s="6" t="s">
        <v>238</v>
      </c>
      <c r="B91" s="6" t="s">
        <v>127</v>
      </c>
      <c r="C91" s="6" t="s">
        <v>334</v>
      </c>
      <c r="D91" s="9" t="n">
        <v>0</v>
      </c>
    </row>
    <row r="92" customFormat="false" ht="15" hidden="false" customHeight="false" outlineLevel="0" collapsed="false">
      <c r="A92" s="6" t="s">
        <v>238</v>
      </c>
      <c r="B92" s="6" t="s">
        <v>93</v>
      </c>
      <c r="C92" s="6" t="s">
        <v>335</v>
      </c>
      <c r="D92" s="9" t="n">
        <v>5949.8</v>
      </c>
    </row>
    <row r="93" customFormat="false" ht="15" hidden="false" customHeight="false" outlineLevel="0" collapsed="false">
      <c r="A93" s="6" t="s">
        <v>238</v>
      </c>
      <c r="B93" s="6" t="s">
        <v>93</v>
      </c>
      <c r="C93" s="6" t="s">
        <v>336</v>
      </c>
      <c r="D93" s="9" t="n">
        <v>3854.3</v>
      </c>
    </row>
    <row r="94" customFormat="false" ht="15" hidden="false" customHeight="false" outlineLevel="0" collapsed="false">
      <c r="A94" s="6" t="s">
        <v>238</v>
      </c>
      <c r="B94" s="6" t="s">
        <v>99</v>
      </c>
      <c r="C94" s="6" t="s">
        <v>337</v>
      </c>
      <c r="D94" s="9" t="n">
        <v>3246.9</v>
      </c>
    </row>
    <row r="95" customFormat="false" ht="15" hidden="false" customHeight="false" outlineLevel="0" collapsed="false">
      <c r="A95" s="6" t="s">
        <v>238</v>
      </c>
      <c r="B95" s="6" t="s">
        <v>99</v>
      </c>
      <c r="C95" s="6" t="s">
        <v>338</v>
      </c>
      <c r="D95" s="9" t="n">
        <v>3688.3</v>
      </c>
    </row>
    <row r="96" customFormat="false" ht="15" hidden="false" customHeight="false" outlineLevel="0" collapsed="false">
      <c r="A96" s="6" t="s">
        <v>238</v>
      </c>
      <c r="B96" s="6" t="s">
        <v>35</v>
      </c>
      <c r="C96" s="6" t="s">
        <v>339</v>
      </c>
      <c r="D96" s="9" t="n">
        <v>161481.4</v>
      </c>
    </row>
    <row r="97" customFormat="false" ht="15" hidden="false" customHeight="false" outlineLevel="0" collapsed="false">
      <c r="A97" s="6" t="s">
        <v>238</v>
      </c>
      <c r="B97" s="6" t="s">
        <v>34</v>
      </c>
      <c r="C97" s="6" t="s">
        <v>339</v>
      </c>
      <c r="D97" s="9" t="n">
        <v>199054.3</v>
      </c>
    </row>
    <row r="98" customFormat="false" ht="15" hidden="false" customHeight="false" outlineLevel="0" collapsed="false">
      <c r="A98" s="6" t="s">
        <v>238</v>
      </c>
      <c r="B98" s="6" t="s">
        <v>340</v>
      </c>
      <c r="C98" s="6" t="s">
        <v>341</v>
      </c>
      <c r="D98" s="9" t="n">
        <v>0</v>
      </c>
    </row>
    <row r="99" customFormat="false" ht="15" hidden="false" customHeight="false" outlineLevel="0" collapsed="false">
      <c r="A99" s="6" t="s">
        <v>238</v>
      </c>
      <c r="B99" s="6" t="s">
        <v>182</v>
      </c>
      <c r="C99" s="6" t="s">
        <v>342</v>
      </c>
      <c r="D99" s="9" t="n">
        <v>0</v>
      </c>
    </row>
    <row r="100" customFormat="false" ht="15" hidden="false" customHeight="false" outlineLevel="0" collapsed="false">
      <c r="A100" s="6" t="s">
        <v>238</v>
      </c>
      <c r="B100" s="6" t="s">
        <v>172</v>
      </c>
      <c r="C100" s="6" t="s">
        <v>343</v>
      </c>
      <c r="D100" s="9" t="n">
        <v>0</v>
      </c>
    </row>
    <row r="101" customFormat="false" ht="15" hidden="false" customHeight="false" outlineLevel="0" collapsed="false">
      <c r="A101" s="6" t="s">
        <v>238</v>
      </c>
      <c r="B101" s="6" t="s">
        <v>172</v>
      </c>
      <c r="C101" s="6" t="s">
        <v>344</v>
      </c>
      <c r="D101" s="9" t="n">
        <v>882.9</v>
      </c>
    </row>
    <row r="102" customFormat="false" ht="15" hidden="false" customHeight="false" outlineLevel="0" collapsed="false">
      <c r="A102" s="6" t="s">
        <v>238</v>
      </c>
      <c r="B102" s="6" t="s">
        <v>172</v>
      </c>
      <c r="C102" s="6" t="s">
        <v>345</v>
      </c>
      <c r="D102" s="9" t="n">
        <v>0</v>
      </c>
    </row>
    <row r="103" customFormat="false" ht="15" hidden="false" customHeight="false" outlineLevel="0" collapsed="false">
      <c r="A103" s="6" t="s">
        <v>238</v>
      </c>
      <c r="B103" s="6" t="s">
        <v>172</v>
      </c>
      <c r="C103" s="6" t="s">
        <v>346</v>
      </c>
      <c r="D103" s="9" t="n">
        <v>0</v>
      </c>
    </row>
    <row r="104" customFormat="false" ht="15" hidden="false" customHeight="false" outlineLevel="0" collapsed="false">
      <c r="A104" s="6" t="s">
        <v>238</v>
      </c>
      <c r="B104" s="6" t="s">
        <v>347</v>
      </c>
      <c r="C104" s="6" t="s">
        <v>348</v>
      </c>
      <c r="D104" s="9" t="n">
        <v>0</v>
      </c>
    </row>
    <row r="105" customFormat="false" ht="15" hidden="false" customHeight="false" outlineLevel="0" collapsed="false">
      <c r="A105" s="6" t="s">
        <v>238</v>
      </c>
      <c r="B105" s="6" t="s">
        <v>347</v>
      </c>
      <c r="C105" s="6" t="s">
        <v>349</v>
      </c>
      <c r="D105" s="9" t="n">
        <v>0</v>
      </c>
    </row>
    <row r="106" customFormat="false" ht="15" hidden="false" customHeight="false" outlineLevel="0" collapsed="false">
      <c r="A106" s="6" t="s">
        <v>238</v>
      </c>
      <c r="B106" s="6" t="s">
        <v>350</v>
      </c>
      <c r="C106" s="6" t="s">
        <v>351</v>
      </c>
      <c r="D106" s="9" t="n">
        <v>0</v>
      </c>
    </row>
    <row r="107" customFormat="false" ht="15" hidden="false" customHeight="false" outlineLevel="0" collapsed="false">
      <c r="A107" s="6" t="s">
        <v>238</v>
      </c>
      <c r="B107" s="6" t="s">
        <v>352</v>
      </c>
      <c r="C107" s="6" t="s">
        <v>353</v>
      </c>
      <c r="D107" s="9" t="n">
        <v>0</v>
      </c>
    </row>
    <row r="108" customFormat="false" ht="15" hidden="false" customHeight="false" outlineLevel="0" collapsed="false">
      <c r="A108" s="6" t="s">
        <v>238</v>
      </c>
      <c r="B108" s="6" t="s">
        <v>350</v>
      </c>
      <c r="C108" s="6" t="s">
        <v>354</v>
      </c>
      <c r="D108" s="9" t="n">
        <v>0</v>
      </c>
    </row>
    <row r="109" customFormat="false" ht="15" hidden="false" customHeight="false" outlineLevel="0" collapsed="false">
      <c r="A109" s="6" t="s">
        <v>238</v>
      </c>
      <c r="B109" s="6" t="s">
        <v>172</v>
      </c>
      <c r="C109" s="6" t="s">
        <v>355</v>
      </c>
      <c r="D109" s="9" t="n">
        <v>0</v>
      </c>
    </row>
    <row r="110" customFormat="false" ht="15" hidden="false" customHeight="false" outlineLevel="0" collapsed="false">
      <c r="A110" s="6" t="s">
        <v>238</v>
      </c>
      <c r="B110" s="6" t="s">
        <v>356</v>
      </c>
      <c r="C110" s="6" t="s">
        <v>357</v>
      </c>
      <c r="D110" s="9" t="n">
        <v>0</v>
      </c>
    </row>
    <row r="111" customFormat="false" ht="15" hidden="false" customHeight="false" outlineLevel="0" collapsed="false">
      <c r="A111" s="6" t="s">
        <v>238</v>
      </c>
      <c r="B111" s="6" t="s">
        <v>356</v>
      </c>
      <c r="C111" s="6" t="s">
        <v>358</v>
      </c>
      <c r="D111" s="9" t="n">
        <v>0</v>
      </c>
    </row>
    <row r="112" customFormat="false" ht="15" hidden="false" customHeight="false" outlineLevel="0" collapsed="false">
      <c r="A112" s="6" t="s">
        <v>238</v>
      </c>
      <c r="B112" s="6" t="s">
        <v>359</v>
      </c>
      <c r="C112" s="6" t="s">
        <v>360</v>
      </c>
      <c r="D112" s="9" t="n">
        <v>0</v>
      </c>
    </row>
    <row r="113" customFormat="false" ht="15" hidden="false" customHeight="false" outlineLevel="0" collapsed="false">
      <c r="A113" s="6" t="s">
        <v>238</v>
      </c>
      <c r="B113" s="6" t="s">
        <v>361</v>
      </c>
      <c r="C113" s="6" t="s">
        <v>362</v>
      </c>
      <c r="D113" s="9" t="n">
        <v>0</v>
      </c>
    </row>
    <row r="114" customFormat="false" ht="15" hidden="false" customHeight="false" outlineLevel="0" collapsed="false">
      <c r="A114" s="6" t="s">
        <v>238</v>
      </c>
      <c r="B114" s="6" t="s">
        <v>361</v>
      </c>
      <c r="C114" s="6" t="s">
        <v>363</v>
      </c>
      <c r="D114" s="9" t="n">
        <v>0</v>
      </c>
    </row>
    <row r="115" customFormat="false" ht="15" hidden="false" customHeight="false" outlineLevel="0" collapsed="false">
      <c r="A115" s="6" t="s">
        <v>238</v>
      </c>
      <c r="B115" s="6" t="s">
        <v>163</v>
      </c>
      <c r="C115" s="6" t="s">
        <v>364</v>
      </c>
      <c r="D115" s="9" t="n">
        <v>0</v>
      </c>
    </row>
    <row r="116" customFormat="false" ht="15" hidden="false" customHeight="false" outlineLevel="0" collapsed="false">
      <c r="A116" s="6" t="s">
        <v>238</v>
      </c>
      <c r="B116" s="6" t="s">
        <v>163</v>
      </c>
      <c r="C116" s="6" t="s">
        <v>365</v>
      </c>
      <c r="D116" s="9" t="n">
        <v>0</v>
      </c>
    </row>
    <row r="117" customFormat="false" ht="15" hidden="false" customHeight="false" outlineLevel="0" collapsed="false">
      <c r="A117" s="6" t="s">
        <v>238</v>
      </c>
      <c r="B117" s="6" t="s">
        <v>163</v>
      </c>
      <c r="C117" s="6" t="s">
        <v>366</v>
      </c>
      <c r="D117" s="9" t="n">
        <v>315.2</v>
      </c>
    </row>
    <row r="118" customFormat="false" ht="15" hidden="false" customHeight="false" outlineLevel="0" collapsed="false">
      <c r="A118" s="6" t="s">
        <v>238</v>
      </c>
      <c r="B118" s="6" t="s">
        <v>163</v>
      </c>
      <c r="C118" s="6" t="s">
        <v>367</v>
      </c>
      <c r="D118" s="9" t="n">
        <v>315.2</v>
      </c>
    </row>
    <row r="119" customFormat="false" ht="15" hidden="false" customHeight="false" outlineLevel="0" collapsed="false">
      <c r="A119" s="6" t="s">
        <v>238</v>
      </c>
      <c r="B119" s="6" t="s">
        <v>163</v>
      </c>
      <c r="C119" s="6" t="s">
        <v>368</v>
      </c>
      <c r="D119" s="9" t="n">
        <v>0</v>
      </c>
    </row>
    <row r="120" customFormat="false" ht="15" hidden="false" customHeight="false" outlineLevel="0" collapsed="false">
      <c r="A120" s="6" t="s">
        <v>238</v>
      </c>
      <c r="B120" s="6" t="s">
        <v>91</v>
      </c>
      <c r="C120" s="6" t="s">
        <v>369</v>
      </c>
      <c r="D120" s="9" t="n">
        <v>0</v>
      </c>
    </row>
    <row r="121" customFormat="false" ht="15" hidden="false" customHeight="false" outlineLevel="0" collapsed="false">
      <c r="A121" s="6" t="s">
        <v>238</v>
      </c>
      <c r="B121" s="6" t="s">
        <v>91</v>
      </c>
      <c r="C121" s="6" t="s">
        <v>370</v>
      </c>
      <c r="D121" s="9" t="n">
        <v>1743.6</v>
      </c>
    </row>
    <row r="122" customFormat="false" ht="15" hidden="false" customHeight="false" outlineLevel="0" collapsed="false">
      <c r="A122" s="6" t="s">
        <v>238</v>
      </c>
      <c r="B122" s="6" t="s">
        <v>91</v>
      </c>
      <c r="C122" s="6" t="s">
        <v>371</v>
      </c>
      <c r="D122" s="9" t="n">
        <v>1304.3</v>
      </c>
    </row>
    <row r="123" customFormat="false" ht="15" hidden="false" customHeight="false" outlineLevel="0" collapsed="false">
      <c r="A123" s="6" t="s">
        <v>238</v>
      </c>
      <c r="B123" s="6" t="s">
        <v>91</v>
      </c>
      <c r="C123" s="6" t="s">
        <v>372</v>
      </c>
      <c r="D123" s="9" t="n">
        <v>2500.4</v>
      </c>
    </row>
    <row r="124" customFormat="false" ht="15" hidden="false" customHeight="false" outlineLevel="0" collapsed="false">
      <c r="A124" s="6" t="s">
        <v>238</v>
      </c>
      <c r="B124" s="6" t="s">
        <v>91</v>
      </c>
      <c r="C124" s="6" t="s">
        <v>373</v>
      </c>
      <c r="D124" s="9" t="n">
        <v>2777.5</v>
      </c>
    </row>
    <row r="125" customFormat="false" ht="15" hidden="false" customHeight="false" outlineLevel="0" collapsed="false">
      <c r="A125" s="6" t="s">
        <v>238</v>
      </c>
      <c r="B125" s="6" t="s">
        <v>32</v>
      </c>
      <c r="C125" s="6" t="s">
        <v>374</v>
      </c>
      <c r="D125" s="9" t="n">
        <v>0</v>
      </c>
    </row>
    <row r="126" customFormat="false" ht="15" hidden="false" customHeight="false" outlineLevel="0" collapsed="false">
      <c r="A126" s="6" t="s">
        <v>238</v>
      </c>
      <c r="B126" s="6" t="s">
        <v>231</v>
      </c>
      <c r="C126" s="6" t="s">
        <v>375</v>
      </c>
      <c r="D126" s="9" t="n">
        <v>0</v>
      </c>
    </row>
    <row r="127" customFormat="false" ht="15" hidden="false" customHeight="false" outlineLevel="0" collapsed="false">
      <c r="A127" s="6" t="s">
        <v>238</v>
      </c>
      <c r="B127" s="6" t="s">
        <v>231</v>
      </c>
      <c r="C127" s="6" t="s">
        <v>376</v>
      </c>
      <c r="D127" s="9" t="n">
        <v>-135</v>
      </c>
    </row>
    <row r="128" customFormat="false" ht="15" hidden="false" customHeight="false" outlineLevel="0" collapsed="false">
      <c r="A128" s="6" t="s">
        <v>238</v>
      </c>
      <c r="B128" s="6" t="s">
        <v>231</v>
      </c>
      <c r="C128" s="6" t="s">
        <v>377</v>
      </c>
      <c r="D128" s="9" t="n">
        <v>0</v>
      </c>
    </row>
    <row r="129" customFormat="false" ht="15" hidden="false" customHeight="false" outlineLevel="0" collapsed="false">
      <c r="A129" s="6" t="s">
        <v>238</v>
      </c>
      <c r="B129" s="6" t="s">
        <v>231</v>
      </c>
      <c r="C129" s="6" t="s">
        <v>378</v>
      </c>
      <c r="D129" s="9" t="n">
        <v>0</v>
      </c>
    </row>
    <row r="130" customFormat="false" ht="15" hidden="false" customHeight="false" outlineLevel="0" collapsed="false">
      <c r="A130" s="6" t="s">
        <v>238</v>
      </c>
      <c r="B130" s="6" t="s">
        <v>108</v>
      </c>
      <c r="C130" s="6" t="s">
        <v>379</v>
      </c>
      <c r="D130" s="9" t="n">
        <v>6213.6</v>
      </c>
    </row>
    <row r="131" customFormat="false" ht="15" hidden="false" customHeight="false" outlineLevel="0" collapsed="false">
      <c r="A131" s="6" t="s">
        <v>238</v>
      </c>
      <c r="B131" s="6" t="s">
        <v>78</v>
      </c>
      <c r="C131" s="6" t="s">
        <v>380</v>
      </c>
      <c r="D131" s="9" t="n">
        <v>15702.7</v>
      </c>
    </row>
    <row r="132" customFormat="false" ht="15" hidden="false" customHeight="false" outlineLevel="0" collapsed="false">
      <c r="A132" s="6" t="s">
        <v>238</v>
      </c>
      <c r="B132" s="6" t="s">
        <v>130</v>
      </c>
      <c r="C132" s="6" t="s">
        <v>381</v>
      </c>
      <c r="D132" s="9" t="n">
        <v>442.1</v>
      </c>
    </row>
    <row r="133" customFormat="false" ht="15" hidden="false" customHeight="false" outlineLevel="0" collapsed="false">
      <c r="A133" s="6" t="s">
        <v>238</v>
      </c>
      <c r="B133" s="6" t="s">
        <v>382</v>
      </c>
      <c r="C133" s="6" t="s">
        <v>383</v>
      </c>
      <c r="D133" s="9" t="n">
        <v>0</v>
      </c>
    </row>
    <row r="134" customFormat="false" ht="15" hidden="false" customHeight="false" outlineLevel="0" collapsed="false">
      <c r="A134" s="6" t="s">
        <v>238</v>
      </c>
      <c r="B134" s="6" t="s">
        <v>384</v>
      </c>
      <c r="C134" s="6" t="s">
        <v>385</v>
      </c>
      <c r="D134" s="9" t="n">
        <v>0</v>
      </c>
    </row>
    <row r="135" customFormat="false" ht="15" hidden="false" customHeight="false" outlineLevel="0" collapsed="false">
      <c r="A135" s="6" t="s">
        <v>238</v>
      </c>
      <c r="B135" s="6" t="s">
        <v>386</v>
      </c>
      <c r="C135" s="6" t="s">
        <v>387</v>
      </c>
      <c r="D135" s="9" t="n">
        <v>0</v>
      </c>
    </row>
    <row r="136" customFormat="false" ht="15" hidden="false" customHeight="false" outlineLevel="0" collapsed="false">
      <c r="A136" s="6" t="s">
        <v>238</v>
      </c>
      <c r="B136" s="6" t="s">
        <v>85</v>
      </c>
      <c r="C136" s="6" t="s">
        <v>388</v>
      </c>
      <c r="D136" s="9" t="n">
        <v>21410.6</v>
      </c>
    </row>
    <row r="137" customFormat="false" ht="15" hidden="false" customHeight="false" outlineLevel="0" collapsed="false">
      <c r="A137" s="6" t="s">
        <v>238</v>
      </c>
      <c r="B137" s="6" t="s">
        <v>154</v>
      </c>
      <c r="C137" s="6" t="s">
        <v>379</v>
      </c>
      <c r="D137" s="9" t="n">
        <v>1035.5</v>
      </c>
    </row>
    <row r="138" customFormat="false" ht="15" hidden="false" customHeight="false" outlineLevel="0" collapsed="false">
      <c r="A138" s="6" t="s">
        <v>238</v>
      </c>
      <c r="B138" s="6" t="s">
        <v>74</v>
      </c>
      <c r="C138" s="6" t="s">
        <v>379</v>
      </c>
      <c r="D138" s="9" t="n">
        <v>12600.2</v>
      </c>
    </row>
    <row r="139" customFormat="false" ht="15" hidden="false" customHeight="false" outlineLevel="0" collapsed="false">
      <c r="A139" s="6" t="s">
        <v>238</v>
      </c>
      <c r="B139" s="6" t="s">
        <v>144</v>
      </c>
      <c r="C139" s="6" t="s">
        <v>389</v>
      </c>
      <c r="D139" s="9" t="n">
        <v>0</v>
      </c>
    </row>
    <row r="140" customFormat="false" ht="15" hidden="false" customHeight="false" outlineLevel="0" collapsed="false">
      <c r="A140" s="6" t="s">
        <v>238</v>
      </c>
      <c r="B140" s="6" t="s">
        <v>144</v>
      </c>
      <c r="C140" s="6" t="s">
        <v>390</v>
      </c>
      <c r="D140" s="9" t="n">
        <v>2310.4</v>
      </c>
    </row>
    <row r="141" customFormat="false" ht="15" hidden="false" customHeight="false" outlineLevel="0" collapsed="false">
      <c r="A141" s="6" t="s">
        <v>238</v>
      </c>
      <c r="B141" s="6" t="s">
        <v>186</v>
      </c>
      <c r="C141" s="6" t="s">
        <v>391</v>
      </c>
      <c r="D141" s="9" t="n">
        <v>-235.1</v>
      </c>
    </row>
    <row r="142" customFormat="false" ht="15" hidden="false" customHeight="false" outlineLevel="0" collapsed="false">
      <c r="A142" s="6" t="s">
        <v>238</v>
      </c>
      <c r="B142" s="6" t="s">
        <v>392</v>
      </c>
      <c r="C142" s="6" t="s">
        <v>393</v>
      </c>
      <c r="D142" s="9" t="n">
        <v>0</v>
      </c>
    </row>
    <row r="143" customFormat="false" ht="15" hidden="false" customHeight="false" outlineLevel="0" collapsed="false">
      <c r="A143" s="6" t="s">
        <v>238</v>
      </c>
      <c r="B143" s="6" t="s">
        <v>62</v>
      </c>
      <c r="C143" s="6" t="s">
        <v>394</v>
      </c>
      <c r="D143" s="9" t="n">
        <v>20668.1</v>
      </c>
    </row>
    <row r="144" customFormat="false" ht="15" hidden="false" customHeight="false" outlineLevel="0" collapsed="false">
      <c r="A144" s="6" t="s">
        <v>238</v>
      </c>
      <c r="B144" s="6" t="s">
        <v>65</v>
      </c>
      <c r="C144" s="6" t="s">
        <v>395</v>
      </c>
      <c r="D144" s="9" t="n">
        <v>51118.9</v>
      </c>
    </row>
    <row r="145" customFormat="false" ht="15" hidden="false" customHeight="false" outlineLevel="0" collapsed="false">
      <c r="A145" s="6" t="s">
        <v>238</v>
      </c>
      <c r="B145" s="6" t="s">
        <v>131</v>
      </c>
      <c r="C145" s="6" t="s">
        <v>396</v>
      </c>
      <c r="D145" s="9" t="n">
        <v>5701.6</v>
      </c>
    </row>
    <row r="146" customFormat="false" ht="15" hidden="false" customHeight="false" outlineLevel="0" collapsed="false">
      <c r="A146" s="6" t="s">
        <v>238</v>
      </c>
      <c r="B146" s="6" t="s">
        <v>170</v>
      </c>
      <c r="C146" s="6" t="s">
        <v>397</v>
      </c>
      <c r="D146" s="9" t="n">
        <v>-393.2</v>
      </c>
    </row>
    <row r="147" customFormat="false" ht="15" hidden="false" customHeight="false" outlineLevel="0" collapsed="false">
      <c r="A147" s="6" t="s">
        <v>238</v>
      </c>
      <c r="B147" s="6" t="s">
        <v>123</v>
      </c>
      <c r="C147" s="6" t="s">
        <v>398</v>
      </c>
      <c r="D147" s="9" t="n">
        <v>826.4</v>
      </c>
    </row>
    <row r="148" customFormat="false" ht="15" hidden="false" customHeight="false" outlineLevel="0" collapsed="false">
      <c r="A148" s="6" t="s">
        <v>238</v>
      </c>
      <c r="B148" s="6" t="s">
        <v>76</v>
      </c>
      <c r="C148" s="6" t="s">
        <v>399</v>
      </c>
      <c r="D148" s="9" t="n">
        <v>1507.5</v>
      </c>
    </row>
    <row r="149" customFormat="false" ht="15" hidden="false" customHeight="false" outlineLevel="0" collapsed="false">
      <c r="A149" s="6" t="s">
        <v>238</v>
      </c>
      <c r="B149" s="6" t="s">
        <v>76</v>
      </c>
      <c r="C149" s="6" t="s">
        <v>400</v>
      </c>
      <c r="D149" s="9" t="n">
        <v>1755.2</v>
      </c>
    </row>
    <row r="150" customFormat="false" ht="15" hidden="false" customHeight="false" outlineLevel="0" collapsed="false">
      <c r="A150" s="6" t="s">
        <v>238</v>
      </c>
      <c r="B150" s="6" t="s">
        <v>76</v>
      </c>
      <c r="C150" s="6" t="s">
        <v>401</v>
      </c>
      <c r="D150" s="9" t="n">
        <v>1802.1</v>
      </c>
    </row>
    <row r="151" customFormat="false" ht="15" hidden="false" customHeight="false" outlineLevel="0" collapsed="false">
      <c r="A151" s="6" t="s">
        <v>238</v>
      </c>
      <c r="B151" s="6" t="s">
        <v>76</v>
      </c>
      <c r="C151" s="6" t="s">
        <v>402</v>
      </c>
      <c r="D151" s="9" t="n">
        <v>659.2</v>
      </c>
    </row>
    <row r="152" customFormat="false" ht="15" hidden="false" customHeight="false" outlineLevel="0" collapsed="false">
      <c r="A152" s="6" t="s">
        <v>238</v>
      </c>
      <c r="B152" s="6" t="s">
        <v>76</v>
      </c>
      <c r="C152" s="6" t="s">
        <v>403</v>
      </c>
      <c r="D152" s="9" t="n">
        <v>-54.5</v>
      </c>
    </row>
    <row r="153" customFormat="false" ht="15" hidden="false" customHeight="false" outlineLevel="0" collapsed="false">
      <c r="A153" s="6" t="s">
        <v>238</v>
      </c>
      <c r="B153" s="6" t="s">
        <v>404</v>
      </c>
      <c r="C153" s="6" t="s">
        <v>405</v>
      </c>
      <c r="D153" s="9" t="n">
        <v>0</v>
      </c>
    </row>
    <row r="154" customFormat="false" ht="15" hidden="false" customHeight="false" outlineLevel="0" collapsed="false">
      <c r="A154" s="6" t="s">
        <v>238</v>
      </c>
      <c r="B154" s="6" t="s">
        <v>404</v>
      </c>
      <c r="C154" s="6" t="s">
        <v>406</v>
      </c>
      <c r="D154" s="9" t="n">
        <v>0</v>
      </c>
    </row>
    <row r="155" customFormat="false" ht="15" hidden="false" customHeight="false" outlineLevel="0" collapsed="false">
      <c r="A155" s="6" t="s">
        <v>238</v>
      </c>
      <c r="B155" s="6" t="s">
        <v>159</v>
      </c>
      <c r="C155" s="6" t="s">
        <v>407</v>
      </c>
      <c r="D155" s="9" t="n">
        <v>0</v>
      </c>
    </row>
    <row r="156" customFormat="false" ht="15" hidden="false" customHeight="false" outlineLevel="0" collapsed="false">
      <c r="A156" s="6" t="s">
        <v>238</v>
      </c>
      <c r="B156" s="6" t="s">
        <v>159</v>
      </c>
      <c r="C156" s="6" t="s">
        <v>408</v>
      </c>
      <c r="D156" s="9" t="n">
        <v>0</v>
      </c>
    </row>
    <row r="157" customFormat="false" ht="15" hidden="false" customHeight="false" outlineLevel="0" collapsed="false">
      <c r="A157" s="6" t="s">
        <v>238</v>
      </c>
      <c r="B157" s="6" t="s">
        <v>159</v>
      </c>
      <c r="C157" s="6" t="s">
        <v>409</v>
      </c>
      <c r="D157" s="9" t="n">
        <v>-102.6</v>
      </c>
    </row>
    <row r="158" customFormat="false" ht="15" hidden="false" customHeight="false" outlineLevel="0" collapsed="false">
      <c r="A158" s="6" t="s">
        <v>238</v>
      </c>
      <c r="B158" s="6" t="s">
        <v>159</v>
      </c>
      <c r="C158" s="6" t="s">
        <v>410</v>
      </c>
      <c r="D158" s="9" t="n">
        <v>0</v>
      </c>
    </row>
    <row r="159" customFormat="false" ht="15" hidden="false" customHeight="false" outlineLevel="0" collapsed="false">
      <c r="A159" s="6" t="s">
        <v>238</v>
      </c>
      <c r="B159" s="6" t="s">
        <v>159</v>
      </c>
      <c r="C159" s="6" t="s">
        <v>411</v>
      </c>
      <c r="D159" s="9" t="n">
        <v>-513</v>
      </c>
    </row>
    <row r="160" customFormat="false" ht="15" hidden="false" customHeight="false" outlineLevel="0" collapsed="false">
      <c r="A160" s="6" t="s">
        <v>238</v>
      </c>
      <c r="B160" s="6" t="s">
        <v>63</v>
      </c>
      <c r="C160" s="6" t="s">
        <v>412</v>
      </c>
      <c r="D160" s="9" t="n">
        <v>50190</v>
      </c>
    </row>
    <row r="161" customFormat="false" ht="15" hidden="false" customHeight="false" outlineLevel="0" collapsed="false">
      <c r="A161" s="6" t="s">
        <v>238</v>
      </c>
      <c r="B161" s="6" t="s">
        <v>117</v>
      </c>
      <c r="C161" s="6" t="s">
        <v>413</v>
      </c>
      <c r="D161" s="9" t="n">
        <v>4120.4</v>
      </c>
    </row>
    <row r="162" customFormat="false" ht="15" hidden="false" customHeight="false" outlineLevel="0" collapsed="false">
      <c r="A162" s="6" t="s">
        <v>238</v>
      </c>
      <c r="B162" s="6" t="s">
        <v>22</v>
      </c>
      <c r="C162" s="6" t="s">
        <v>414</v>
      </c>
      <c r="D162" s="9" t="n">
        <v>71558.8</v>
      </c>
    </row>
    <row r="163" customFormat="false" ht="15" hidden="false" customHeight="false" outlineLevel="0" collapsed="false">
      <c r="A163" s="6" t="s">
        <v>238</v>
      </c>
      <c r="B163" s="6" t="s">
        <v>22</v>
      </c>
      <c r="C163" s="6" t="s">
        <v>415</v>
      </c>
      <c r="D163" s="9" t="n">
        <v>44734.6</v>
      </c>
    </row>
    <row r="164" customFormat="false" ht="15" hidden="false" customHeight="false" outlineLevel="0" collapsed="false">
      <c r="A164" s="6" t="s">
        <v>238</v>
      </c>
      <c r="B164" s="6" t="s">
        <v>22</v>
      </c>
      <c r="C164" s="6" t="s">
        <v>416</v>
      </c>
      <c r="D164" s="9" t="n">
        <v>67283.3</v>
      </c>
    </row>
    <row r="165" customFormat="false" ht="15" hidden="false" customHeight="false" outlineLevel="0" collapsed="false">
      <c r="A165" s="6" t="s">
        <v>238</v>
      </c>
      <c r="B165" s="6" t="s">
        <v>22</v>
      </c>
      <c r="C165" s="6" t="s">
        <v>417</v>
      </c>
      <c r="D165" s="9" t="n">
        <v>46241.2</v>
      </c>
    </row>
    <row r="166" customFormat="false" ht="15" hidden="false" customHeight="false" outlineLevel="0" collapsed="false">
      <c r="A166" s="6" t="s">
        <v>238</v>
      </c>
      <c r="B166" s="6" t="s">
        <v>22</v>
      </c>
      <c r="C166" s="6" t="s">
        <v>418</v>
      </c>
      <c r="D166" s="9" t="n">
        <v>0</v>
      </c>
    </row>
    <row r="167" customFormat="false" ht="15" hidden="false" customHeight="false" outlineLevel="0" collapsed="false">
      <c r="A167" s="6" t="s">
        <v>238</v>
      </c>
      <c r="B167" s="6" t="s">
        <v>22</v>
      </c>
      <c r="C167" s="6" t="s">
        <v>419</v>
      </c>
      <c r="D167" s="9" t="n">
        <v>2028.5</v>
      </c>
    </row>
    <row r="168" customFormat="false" ht="15" hidden="false" customHeight="false" outlineLevel="0" collapsed="false">
      <c r="A168" s="6" t="s">
        <v>238</v>
      </c>
      <c r="B168" s="6" t="s">
        <v>31</v>
      </c>
      <c r="C168" s="6" t="s">
        <v>420</v>
      </c>
      <c r="D168" s="9" t="n">
        <v>29720.7</v>
      </c>
    </row>
    <row r="169" customFormat="false" ht="15" hidden="false" customHeight="false" outlineLevel="0" collapsed="false">
      <c r="A169" s="6" t="s">
        <v>238</v>
      </c>
      <c r="B169" s="6" t="s">
        <v>31</v>
      </c>
      <c r="C169" s="6" t="s">
        <v>421</v>
      </c>
      <c r="D169" s="9" t="n">
        <v>42561.6</v>
      </c>
    </row>
    <row r="170" customFormat="false" ht="15" hidden="false" customHeight="false" outlineLevel="0" collapsed="false">
      <c r="A170" s="6" t="s">
        <v>238</v>
      </c>
      <c r="B170" s="6" t="s">
        <v>31</v>
      </c>
      <c r="C170" s="6" t="s">
        <v>422</v>
      </c>
      <c r="D170" s="9" t="n">
        <v>48710.8</v>
      </c>
    </row>
    <row r="171" customFormat="false" ht="15" hidden="false" customHeight="false" outlineLevel="0" collapsed="false">
      <c r="A171" s="6" t="s">
        <v>238</v>
      </c>
      <c r="B171" s="6" t="s">
        <v>31</v>
      </c>
      <c r="C171" s="6" t="s">
        <v>423</v>
      </c>
      <c r="D171" s="9" t="n">
        <v>28674.2</v>
      </c>
    </row>
    <row r="172" customFormat="false" ht="15" hidden="false" customHeight="false" outlineLevel="0" collapsed="false">
      <c r="A172" s="6" t="s">
        <v>238</v>
      </c>
      <c r="B172" s="6" t="s">
        <v>31</v>
      </c>
      <c r="C172" s="6" t="s">
        <v>424</v>
      </c>
      <c r="D172" s="9" t="n">
        <v>2262.6</v>
      </c>
    </row>
    <row r="173" customFormat="false" ht="15" hidden="false" customHeight="false" outlineLevel="0" collapsed="false">
      <c r="A173" s="6" t="s">
        <v>238</v>
      </c>
      <c r="B173" s="6" t="s">
        <v>18</v>
      </c>
      <c r="C173" s="6" t="s">
        <v>425</v>
      </c>
      <c r="D173" s="9" t="n">
        <v>63730.9</v>
      </c>
    </row>
    <row r="174" customFormat="false" ht="15" hidden="false" customHeight="false" outlineLevel="0" collapsed="false">
      <c r="A174" s="6" t="s">
        <v>238</v>
      </c>
      <c r="B174" s="6" t="s">
        <v>18</v>
      </c>
      <c r="C174" s="6" t="s">
        <v>426</v>
      </c>
      <c r="D174" s="9" t="n">
        <v>80301.8</v>
      </c>
    </row>
    <row r="175" customFormat="false" ht="15" hidden="false" customHeight="false" outlineLevel="0" collapsed="false">
      <c r="A175" s="6" t="s">
        <v>238</v>
      </c>
      <c r="B175" s="6" t="s">
        <v>18</v>
      </c>
      <c r="C175" s="6" t="s">
        <v>427</v>
      </c>
      <c r="D175" s="9" t="n">
        <v>84599.4</v>
      </c>
    </row>
    <row r="176" customFormat="false" ht="15" hidden="false" customHeight="false" outlineLevel="0" collapsed="false">
      <c r="A176" s="6" t="s">
        <v>238</v>
      </c>
      <c r="B176" s="6" t="s">
        <v>18</v>
      </c>
      <c r="C176" s="6" t="s">
        <v>428</v>
      </c>
      <c r="D176" s="9" t="n">
        <v>47984.9</v>
      </c>
    </row>
    <row r="177" customFormat="false" ht="15" hidden="false" customHeight="false" outlineLevel="0" collapsed="false">
      <c r="A177" s="6" t="s">
        <v>238</v>
      </c>
      <c r="B177" s="6" t="s">
        <v>156</v>
      </c>
      <c r="C177" s="6" t="s">
        <v>429</v>
      </c>
      <c r="D177" s="9" t="n">
        <v>891.9</v>
      </c>
    </row>
    <row r="178" customFormat="false" ht="15" hidden="false" customHeight="false" outlineLevel="0" collapsed="false">
      <c r="A178" s="6" t="s">
        <v>238</v>
      </c>
      <c r="B178" s="6" t="s">
        <v>89</v>
      </c>
      <c r="C178" s="6" t="s">
        <v>430</v>
      </c>
      <c r="D178" s="9" t="n">
        <v>15313.6</v>
      </c>
    </row>
    <row r="179" customFormat="false" ht="15" hidden="false" customHeight="false" outlineLevel="0" collapsed="false">
      <c r="A179" s="6" t="s">
        <v>238</v>
      </c>
      <c r="B179" s="6" t="s">
        <v>217</v>
      </c>
      <c r="C179" s="6" t="s">
        <v>431</v>
      </c>
      <c r="D179" s="9" t="n">
        <v>-47.7</v>
      </c>
    </row>
    <row r="180" customFormat="false" ht="15" hidden="false" customHeight="false" outlineLevel="0" collapsed="false">
      <c r="A180" s="6" t="s">
        <v>238</v>
      </c>
      <c r="B180" s="6" t="s">
        <v>220</v>
      </c>
      <c r="C180" s="6" t="s">
        <v>432</v>
      </c>
      <c r="D180" s="9" t="n">
        <v>0</v>
      </c>
    </row>
    <row r="181" customFormat="false" ht="15" hidden="false" customHeight="false" outlineLevel="0" collapsed="false">
      <c r="A181" s="6" t="s">
        <v>238</v>
      </c>
      <c r="B181" s="6" t="s">
        <v>433</v>
      </c>
      <c r="C181" s="6" t="s">
        <v>434</v>
      </c>
      <c r="D181" s="9" t="n">
        <v>0</v>
      </c>
    </row>
    <row r="182" customFormat="false" ht="15" hidden="false" customHeight="false" outlineLevel="0" collapsed="false">
      <c r="A182" s="6" t="s">
        <v>238</v>
      </c>
      <c r="B182" s="6" t="s">
        <v>435</v>
      </c>
      <c r="C182" s="6" t="s">
        <v>436</v>
      </c>
      <c r="D182" s="9" t="n">
        <v>0</v>
      </c>
    </row>
    <row r="183" customFormat="false" ht="15" hidden="false" customHeight="false" outlineLevel="0" collapsed="false">
      <c r="A183" s="6" t="s">
        <v>238</v>
      </c>
      <c r="B183" s="6" t="s">
        <v>437</v>
      </c>
      <c r="C183" s="6" t="s">
        <v>438</v>
      </c>
      <c r="D183" s="9" t="n">
        <v>0</v>
      </c>
    </row>
    <row r="184" customFormat="false" ht="15" hidden="false" customHeight="false" outlineLevel="0" collapsed="false">
      <c r="A184" s="6" t="s">
        <v>238</v>
      </c>
      <c r="B184" s="6" t="s">
        <v>146</v>
      </c>
      <c r="C184" s="6" t="s">
        <v>439</v>
      </c>
      <c r="D184" s="9" t="n">
        <v>-1026.6</v>
      </c>
    </row>
    <row r="185" customFormat="false" ht="15" hidden="false" customHeight="false" outlineLevel="0" collapsed="false">
      <c r="A185" s="6" t="s">
        <v>238</v>
      </c>
      <c r="B185" s="6" t="s">
        <v>164</v>
      </c>
      <c r="C185" s="6" t="s">
        <v>439</v>
      </c>
      <c r="D185" s="9" t="n">
        <v>-769.9</v>
      </c>
    </row>
    <row r="186" customFormat="false" ht="15" hidden="false" customHeight="false" outlineLevel="0" collapsed="false">
      <c r="A186" s="6" t="s">
        <v>238</v>
      </c>
      <c r="B186" s="6" t="s">
        <v>168</v>
      </c>
      <c r="C186" s="6" t="s">
        <v>440</v>
      </c>
      <c r="D186" s="9" t="n">
        <v>0</v>
      </c>
    </row>
    <row r="187" customFormat="false" ht="15" hidden="false" customHeight="false" outlineLevel="0" collapsed="false">
      <c r="A187" s="6" t="s">
        <v>238</v>
      </c>
      <c r="B187" s="6" t="s">
        <v>168</v>
      </c>
      <c r="C187" s="6" t="s">
        <v>441</v>
      </c>
      <c r="D187" s="9" t="n">
        <v>319.4</v>
      </c>
    </row>
    <row r="188" customFormat="false" ht="15" hidden="false" customHeight="false" outlineLevel="0" collapsed="false">
      <c r="A188" s="6" t="s">
        <v>238</v>
      </c>
      <c r="B188" s="6" t="s">
        <v>168</v>
      </c>
      <c r="C188" s="6" t="s">
        <v>442</v>
      </c>
      <c r="D188" s="9" t="n">
        <v>106.5</v>
      </c>
    </row>
    <row r="189" customFormat="false" ht="15" hidden="false" customHeight="false" outlineLevel="0" collapsed="false">
      <c r="A189" s="6" t="s">
        <v>238</v>
      </c>
      <c r="B189" s="6" t="s">
        <v>168</v>
      </c>
      <c r="C189" s="6" t="s">
        <v>443</v>
      </c>
      <c r="D189" s="9" t="n">
        <v>319.4</v>
      </c>
    </row>
    <row r="190" customFormat="false" ht="15" hidden="false" customHeight="false" outlineLevel="0" collapsed="false">
      <c r="A190" s="6" t="s">
        <v>238</v>
      </c>
      <c r="B190" s="6" t="s">
        <v>198</v>
      </c>
      <c r="C190" s="6" t="s">
        <v>444</v>
      </c>
      <c r="D190" s="9" t="n">
        <v>0</v>
      </c>
    </row>
    <row r="191" customFormat="false" ht="15" hidden="false" customHeight="false" outlineLevel="0" collapsed="false">
      <c r="A191" s="6" t="s">
        <v>238</v>
      </c>
      <c r="B191" s="6" t="s">
        <v>198</v>
      </c>
      <c r="C191" s="6" t="s">
        <v>445</v>
      </c>
      <c r="D191" s="9" t="n">
        <v>-116.7</v>
      </c>
    </row>
    <row r="192" customFormat="false" ht="15" hidden="false" customHeight="false" outlineLevel="0" collapsed="false">
      <c r="A192" s="6" t="s">
        <v>238</v>
      </c>
      <c r="B192" s="6" t="s">
        <v>198</v>
      </c>
      <c r="C192" s="6" t="s">
        <v>446</v>
      </c>
      <c r="D192" s="9" t="n">
        <v>0</v>
      </c>
    </row>
    <row r="193" customFormat="false" ht="15" hidden="false" customHeight="false" outlineLevel="0" collapsed="false">
      <c r="A193" s="6" t="s">
        <v>238</v>
      </c>
      <c r="B193" s="6" t="s">
        <v>147</v>
      </c>
      <c r="C193" s="6" t="s">
        <v>447</v>
      </c>
      <c r="D193" s="9" t="n">
        <v>-272.8</v>
      </c>
    </row>
    <row r="194" customFormat="false" ht="15" hidden="false" customHeight="false" outlineLevel="0" collapsed="false">
      <c r="A194" s="6" t="s">
        <v>238</v>
      </c>
      <c r="B194" s="6" t="s">
        <v>147</v>
      </c>
      <c r="C194" s="6" t="s">
        <v>448</v>
      </c>
      <c r="D194" s="9" t="n">
        <v>30.3</v>
      </c>
    </row>
    <row r="195" customFormat="false" ht="15" hidden="false" customHeight="false" outlineLevel="0" collapsed="false">
      <c r="A195" s="6" t="s">
        <v>238</v>
      </c>
      <c r="B195" s="6" t="s">
        <v>147</v>
      </c>
      <c r="C195" s="6" t="s">
        <v>449</v>
      </c>
      <c r="D195" s="9" t="n">
        <v>-454.6</v>
      </c>
    </row>
    <row r="196" customFormat="false" ht="15" hidden="false" customHeight="false" outlineLevel="0" collapsed="false">
      <c r="A196" s="6" t="s">
        <v>238</v>
      </c>
      <c r="B196" s="6" t="s">
        <v>147</v>
      </c>
      <c r="C196" s="6" t="s">
        <v>450</v>
      </c>
      <c r="D196" s="9" t="n">
        <v>7.6</v>
      </c>
    </row>
    <row r="197" customFormat="false" ht="15" hidden="false" customHeight="false" outlineLevel="0" collapsed="false">
      <c r="A197" s="6" t="s">
        <v>238</v>
      </c>
      <c r="B197" s="6" t="s">
        <v>147</v>
      </c>
      <c r="C197" s="6" t="s">
        <v>451</v>
      </c>
      <c r="D197" s="9" t="n">
        <v>303.1</v>
      </c>
    </row>
    <row r="198" customFormat="false" ht="15" hidden="false" customHeight="false" outlineLevel="0" collapsed="false">
      <c r="A198" s="6" t="s">
        <v>238</v>
      </c>
      <c r="B198" s="6" t="s">
        <v>33</v>
      </c>
      <c r="C198" s="6" t="s">
        <v>452</v>
      </c>
      <c r="D198" s="9" t="n">
        <v>39564.5</v>
      </c>
    </row>
    <row r="199" customFormat="false" ht="15" hidden="false" customHeight="false" outlineLevel="0" collapsed="false">
      <c r="A199" s="6" t="s">
        <v>238</v>
      </c>
      <c r="B199" s="6" t="s">
        <v>33</v>
      </c>
      <c r="C199" s="6" t="s">
        <v>453</v>
      </c>
      <c r="D199" s="9" t="n">
        <v>42810</v>
      </c>
    </row>
    <row r="200" customFormat="false" ht="15" hidden="false" customHeight="false" outlineLevel="0" collapsed="false">
      <c r="A200" s="6" t="s">
        <v>238</v>
      </c>
      <c r="B200" s="6" t="s">
        <v>33</v>
      </c>
      <c r="C200" s="6" t="s">
        <v>454</v>
      </c>
      <c r="D200" s="9" t="n">
        <v>24598.1</v>
      </c>
    </row>
    <row r="201" customFormat="false" ht="15" hidden="false" customHeight="false" outlineLevel="0" collapsed="false">
      <c r="A201" s="6" t="s">
        <v>238</v>
      </c>
      <c r="B201" s="6" t="s">
        <v>33</v>
      </c>
      <c r="C201" s="6" t="s">
        <v>455</v>
      </c>
      <c r="D201" s="9" t="n">
        <v>25735.4</v>
      </c>
    </row>
    <row r="202" customFormat="false" ht="15" hidden="false" customHeight="false" outlineLevel="0" collapsed="false">
      <c r="A202" s="6" t="s">
        <v>238</v>
      </c>
      <c r="B202" s="6" t="s">
        <v>33</v>
      </c>
      <c r="C202" s="6" t="s">
        <v>456</v>
      </c>
      <c r="D202" s="9" t="n">
        <v>7405</v>
      </c>
    </row>
    <row r="203" customFormat="false" ht="15" hidden="false" customHeight="false" outlineLevel="0" collapsed="false">
      <c r="A203" s="6" t="s">
        <v>238</v>
      </c>
      <c r="B203" s="6" t="s">
        <v>24</v>
      </c>
      <c r="C203" s="6" t="s">
        <v>457</v>
      </c>
      <c r="D203" s="9" t="n">
        <v>46049.9</v>
      </c>
    </row>
    <row r="204" customFormat="false" ht="15" hidden="false" customHeight="false" outlineLevel="0" collapsed="false">
      <c r="A204" s="6" t="s">
        <v>238</v>
      </c>
      <c r="B204" s="6" t="s">
        <v>24</v>
      </c>
      <c r="C204" s="6" t="s">
        <v>458</v>
      </c>
      <c r="D204" s="9" t="n">
        <v>78269.8</v>
      </c>
    </row>
    <row r="205" customFormat="false" ht="15" hidden="false" customHeight="false" outlineLevel="0" collapsed="false">
      <c r="A205" s="6" t="s">
        <v>238</v>
      </c>
      <c r="B205" s="6" t="s">
        <v>24</v>
      </c>
      <c r="C205" s="6" t="s">
        <v>459</v>
      </c>
      <c r="D205" s="9" t="n">
        <v>77434.1</v>
      </c>
    </row>
    <row r="206" customFormat="false" ht="15" hidden="false" customHeight="false" outlineLevel="0" collapsed="false">
      <c r="A206" s="6" t="s">
        <v>238</v>
      </c>
      <c r="B206" s="6" t="s">
        <v>24</v>
      </c>
      <c r="C206" s="6" t="s">
        <v>460</v>
      </c>
      <c r="D206" s="9" t="n">
        <v>57363.1</v>
      </c>
    </row>
    <row r="207" customFormat="false" ht="15" hidden="false" customHeight="false" outlineLevel="0" collapsed="false">
      <c r="A207" s="6" t="s">
        <v>238</v>
      </c>
      <c r="B207" s="6" t="s">
        <v>26</v>
      </c>
      <c r="C207" s="6" t="s">
        <v>461</v>
      </c>
      <c r="D207" s="9" t="n">
        <v>16595.5</v>
      </c>
    </row>
    <row r="208" customFormat="false" ht="15" hidden="false" customHeight="false" outlineLevel="0" collapsed="false">
      <c r="A208" s="6" t="s">
        <v>238</v>
      </c>
      <c r="B208" s="6" t="s">
        <v>26</v>
      </c>
      <c r="C208" s="6" t="s">
        <v>462</v>
      </c>
      <c r="D208" s="9" t="n">
        <v>47701.2</v>
      </c>
    </row>
    <row r="209" customFormat="false" ht="15" hidden="false" customHeight="false" outlineLevel="0" collapsed="false">
      <c r="A209" s="6" t="s">
        <v>238</v>
      </c>
      <c r="B209" s="6" t="s">
        <v>26</v>
      </c>
      <c r="C209" s="6" t="s">
        <v>463</v>
      </c>
      <c r="D209" s="9" t="n">
        <v>41507.4</v>
      </c>
    </row>
    <row r="210" customFormat="false" ht="15" hidden="false" customHeight="false" outlineLevel="0" collapsed="false">
      <c r="A210" s="6" t="s">
        <v>238</v>
      </c>
      <c r="B210" s="6" t="s">
        <v>26</v>
      </c>
      <c r="C210" s="6" t="s">
        <v>464</v>
      </c>
      <c r="D210" s="9" t="n">
        <v>33971.4</v>
      </c>
    </row>
    <row r="211" customFormat="false" ht="15" hidden="false" customHeight="false" outlineLevel="0" collapsed="false">
      <c r="A211" s="6" t="s">
        <v>238</v>
      </c>
      <c r="B211" s="6" t="s">
        <v>26</v>
      </c>
      <c r="C211" s="6" t="s">
        <v>465</v>
      </c>
      <c r="D211" s="9" t="n">
        <v>4772.4</v>
      </c>
    </row>
    <row r="212" customFormat="false" ht="15" hidden="false" customHeight="false" outlineLevel="0" collapsed="false">
      <c r="A212" s="6" t="s">
        <v>238</v>
      </c>
      <c r="B212" s="6" t="s">
        <v>142</v>
      </c>
      <c r="C212" s="6" t="s">
        <v>466</v>
      </c>
      <c r="D212" s="9" t="n">
        <v>97.2</v>
      </c>
    </row>
    <row r="213" customFormat="false" ht="15" hidden="false" customHeight="false" outlineLevel="0" collapsed="false">
      <c r="A213" s="6" t="s">
        <v>238</v>
      </c>
      <c r="B213" s="6" t="s">
        <v>142</v>
      </c>
      <c r="C213" s="6" t="s">
        <v>467</v>
      </c>
      <c r="D213" s="9" t="n">
        <v>632.1</v>
      </c>
    </row>
    <row r="214" customFormat="false" ht="15" hidden="false" customHeight="false" outlineLevel="0" collapsed="false">
      <c r="A214" s="6" t="s">
        <v>238</v>
      </c>
      <c r="B214" s="6" t="s">
        <v>142</v>
      </c>
      <c r="C214" s="6" t="s">
        <v>468</v>
      </c>
      <c r="D214" s="9" t="n">
        <v>243.1</v>
      </c>
    </row>
    <row r="215" customFormat="false" ht="15" hidden="false" customHeight="false" outlineLevel="0" collapsed="false">
      <c r="A215" s="6" t="s">
        <v>238</v>
      </c>
      <c r="B215" s="6" t="s">
        <v>142</v>
      </c>
      <c r="C215" s="6" t="s">
        <v>469</v>
      </c>
      <c r="D215" s="9" t="n">
        <v>389</v>
      </c>
    </row>
    <row r="216" customFormat="false" ht="15" hidden="false" customHeight="false" outlineLevel="0" collapsed="false">
      <c r="A216" s="6" t="s">
        <v>238</v>
      </c>
      <c r="B216" s="6" t="s">
        <v>142</v>
      </c>
      <c r="C216" s="6" t="s">
        <v>470</v>
      </c>
      <c r="D216" s="9" t="n">
        <v>97.2</v>
      </c>
    </row>
    <row r="217" customFormat="false" ht="15" hidden="false" customHeight="false" outlineLevel="0" collapsed="false">
      <c r="A217" s="6" t="s">
        <v>238</v>
      </c>
      <c r="B217" s="6" t="s">
        <v>100</v>
      </c>
      <c r="C217" s="6" t="s">
        <v>471</v>
      </c>
      <c r="D217" s="9" t="n">
        <v>799.1</v>
      </c>
    </row>
    <row r="218" customFormat="false" ht="15" hidden="false" customHeight="false" outlineLevel="0" collapsed="false">
      <c r="A218" s="6" t="s">
        <v>238</v>
      </c>
      <c r="B218" s="6" t="s">
        <v>100</v>
      </c>
      <c r="C218" s="6" t="s">
        <v>472</v>
      </c>
      <c r="D218" s="9" t="n">
        <v>2334.2</v>
      </c>
    </row>
    <row r="219" customFormat="false" ht="15" hidden="false" customHeight="false" outlineLevel="0" collapsed="false">
      <c r="A219" s="6" t="s">
        <v>238</v>
      </c>
      <c r="B219" s="6" t="s">
        <v>100</v>
      </c>
      <c r="C219" s="6" t="s">
        <v>473</v>
      </c>
      <c r="D219" s="9" t="n">
        <v>1553.7</v>
      </c>
    </row>
    <row r="220" customFormat="false" ht="15" hidden="false" customHeight="false" outlineLevel="0" collapsed="false">
      <c r="A220" s="6" t="s">
        <v>238</v>
      </c>
      <c r="B220" s="6" t="s">
        <v>100</v>
      </c>
      <c r="C220" s="6" t="s">
        <v>474</v>
      </c>
      <c r="D220" s="9" t="n">
        <v>1513.6</v>
      </c>
    </row>
    <row r="221" customFormat="false" ht="15" hidden="false" customHeight="false" outlineLevel="0" collapsed="false">
      <c r="A221" s="6" t="s">
        <v>238</v>
      </c>
      <c r="B221" s="6" t="s">
        <v>100</v>
      </c>
      <c r="C221" s="6" t="s">
        <v>475</v>
      </c>
      <c r="D221" s="9" t="n">
        <v>28.6</v>
      </c>
    </row>
    <row r="222" customFormat="false" ht="15" hidden="false" customHeight="false" outlineLevel="0" collapsed="false">
      <c r="A222" s="6" t="s">
        <v>238</v>
      </c>
      <c r="B222" s="6" t="s">
        <v>185</v>
      </c>
      <c r="C222" s="6" t="s">
        <v>476</v>
      </c>
      <c r="D222" s="9" t="n">
        <v>0</v>
      </c>
    </row>
    <row r="223" customFormat="false" ht="15" hidden="false" customHeight="false" outlineLevel="0" collapsed="false">
      <c r="A223" s="6" t="s">
        <v>238</v>
      </c>
      <c r="B223" s="6" t="s">
        <v>185</v>
      </c>
      <c r="C223" s="6" t="s">
        <v>477</v>
      </c>
      <c r="D223" s="9" t="n">
        <v>0</v>
      </c>
    </row>
    <row r="224" customFormat="false" ht="15" hidden="false" customHeight="false" outlineLevel="0" collapsed="false">
      <c r="A224" s="6" t="s">
        <v>238</v>
      </c>
      <c r="B224" s="6" t="s">
        <v>185</v>
      </c>
      <c r="C224" s="6" t="s">
        <v>478</v>
      </c>
      <c r="D224" s="9" t="n">
        <v>0</v>
      </c>
    </row>
    <row r="225" customFormat="false" ht="15" hidden="false" customHeight="false" outlineLevel="0" collapsed="false">
      <c r="A225" s="6" t="s">
        <v>238</v>
      </c>
      <c r="B225" s="6" t="s">
        <v>185</v>
      </c>
      <c r="C225" s="6" t="s">
        <v>479</v>
      </c>
      <c r="D225" s="9" t="n">
        <v>0</v>
      </c>
    </row>
    <row r="226" customFormat="false" ht="15" hidden="false" customHeight="false" outlineLevel="0" collapsed="false">
      <c r="A226" s="6" t="s">
        <v>238</v>
      </c>
      <c r="B226" s="6" t="s">
        <v>212</v>
      </c>
      <c r="C226" s="6" t="s">
        <v>480</v>
      </c>
      <c r="D226" s="9" t="n">
        <v>-71.3</v>
      </c>
    </row>
    <row r="227" customFormat="false" ht="15" hidden="false" customHeight="false" outlineLevel="0" collapsed="false">
      <c r="A227" s="6" t="s">
        <v>238</v>
      </c>
      <c r="B227" s="6" t="s">
        <v>212</v>
      </c>
      <c r="C227" s="6" t="s">
        <v>481</v>
      </c>
      <c r="D227" s="9" t="n">
        <v>0</v>
      </c>
    </row>
    <row r="228" customFormat="false" ht="15" hidden="false" customHeight="false" outlineLevel="0" collapsed="false">
      <c r="A228" s="6" t="s">
        <v>238</v>
      </c>
      <c r="B228" s="6" t="s">
        <v>59</v>
      </c>
      <c r="C228" s="6" t="s">
        <v>482</v>
      </c>
      <c r="D228" s="9" t="n">
        <v>2437.9</v>
      </c>
    </row>
    <row r="229" customFormat="false" ht="15" hidden="false" customHeight="false" outlineLevel="0" collapsed="false">
      <c r="A229" s="6" t="s">
        <v>238</v>
      </c>
      <c r="B229" s="6" t="s">
        <v>59</v>
      </c>
      <c r="C229" s="6" t="s">
        <v>483</v>
      </c>
      <c r="D229" s="9" t="n">
        <v>9083.1</v>
      </c>
    </row>
    <row r="230" customFormat="false" ht="15" hidden="false" customHeight="false" outlineLevel="0" collapsed="false">
      <c r="A230" s="6" t="s">
        <v>238</v>
      </c>
      <c r="B230" s="6" t="s">
        <v>59</v>
      </c>
      <c r="C230" s="6" t="s">
        <v>484</v>
      </c>
      <c r="D230" s="9" t="n">
        <v>4934.7</v>
      </c>
    </row>
    <row r="231" customFormat="false" ht="15" hidden="false" customHeight="false" outlineLevel="0" collapsed="false">
      <c r="A231" s="6" t="s">
        <v>238</v>
      </c>
      <c r="B231" s="6" t="s">
        <v>59</v>
      </c>
      <c r="C231" s="6" t="s">
        <v>485</v>
      </c>
      <c r="D231" s="9" t="n">
        <v>4377.7</v>
      </c>
    </row>
    <row r="232" customFormat="false" ht="15" hidden="false" customHeight="false" outlineLevel="0" collapsed="false">
      <c r="A232" s="6" t="s">
        <v>238</v>
      </c>
      <c r="B232" s="6" t="s">
        <v>59</v>
      </c>
      <c r="C232" s="6" t="s">
        <v>486</v>
      </c>
      <c r="D232" s="9" t="n">
        <v>-262.1</v>
      </c>
    </row>
    <row r="233" customFormat="false" ht="15" hidden="false" customHeight="false" outlineLevel="0" collapsed="false">
      <c r="A233" s="6" t="s">
        <v>238</v>
      </c>
      <c r="B233" s="6" t="s">
        <v>139</v>
      </c>
      <c r="C233" s="6" t="s">
        <v>487</v>
      </c>
      <c r="D233" s="9" t="n">
        <v>655.3</v>
      </c>
    </row>
    <row r="234" customFormat="false" ht="15" hidden="false" customHeight="false" outlineLevel="0" collapsed="false">
      <c r="A234" s="6" t="s">
        <v>238</v>
      </c>
      <c r="B234" s="6" t="s">
        <v>139</v>
      </c>
      <c r="C234" s="6" t="s">
        <v>488</v>
      </c>
      <c r="D234" s="9" t="n">
        <v>983</v>
      </c>
    </row>
    <row r="235" customFormat="false" ht="15" hidden="false" customHeight="false" outlineLevel="0" collapsed="false">
      <c r="A235" s="6" t="s">
        <v>238</v>
      </c>
      <c r="B235" s="6" t="s">
        <v>139</v>
      </c>
      <c r="C235" s="6" t="s">
        <v>489</v>
      </c>
      <c r="D235" s="9" t="n">
        <v>1638.4</v>
      </c>
    </row>
    <row r="236" customFormat="false" ht="15" hidden="false" customHeight="false" outlineLevel="0" collapsed="false">
      <c r="A236" s="6" t="s">
        <v>238</v>
      </c>
      <c r="B236" s="6" t="s">
        <v>139</v>
      </c>
      <c r="C236" s="6" t="s">
        <v>490</v>
      </c>
      <c r="D236" s="9" t="n">
        <v>327.7</v>
      </c>
    </row>
    <row r="237" customFormat="false" ht="15" hidden="false" customHeight="false" outlineLevel="0" collapsed="false">
      <c r="A237" s="6" t="s">
        <v>238</v>
      </c>
      <c r="B237" s="6" t="s">
        <v>37</v>
      </c>
      <c r="C237" s="6" t="s">
        <v>491</v>
      </c>
      <c r="D237" s="9" t="n">
        <v>35030.1</v>
      </c>
    </row>
    <row r="238" customFormat="false" ht="15" hidden="false" customHeight="false" outlineLevel="0" collapsed="false">
      <c r="A238" s="6" t="s">
        <v>238</v>
      </c>
      <c r="B238" s="6" t="s">
        <v>37</v>
      </c>
      <c r="C238" s="6" t="s">
        <v>492</v>
      </c>
      <c r="D238" s="9" t="n">
        <v>31572.4</v>
      </c>
    </row>
    <row r="239" customFormat="false" ht="15" hidden="false" customHeight="false" outlineLevel="0" collapsed="false">
      <c r="A239" s="6" t="s">
        <v>238</v>
      </c>
      <c r="B239" s="6" t="s">
        <v>37</v>
      </c>
      <c r="C239" s="6" t="s">
        <v>493</v>
      </c>
      <c r="D239" s="9" t="n">
        <v>16012.6</v>
      </c>
    </row>
    <row r="240" customFormat="false" ht="15" hidden="false" customHeight="false" outlineLevel="0" collapsed="false">
      <c r="A240" s="6" t="s">
        <v>238</v>
      </c>
      <c r="B240" s="6" t="s">
        <v>37</v>
      </c>
      <c r="C240" s="6" t="s">
        <v>494</v>
      </c>
      <c r="D240" s="9" t="n">
        <v>17970.4</v>
      </c>
    </row>
    <row r="241" customFormat="false" ht="15" hidden="false" customHeight="false" outlineLevel="0" collapsed="false">
      <c r="A241" s="6" t="s">
        <v>238</v>
      </c>
      <c r="B241" s="6" t="s">
        <v>49</v>
      </c>
      <c r="C241" s="6" t="s">
        <v>495</v>
      </c>
      <c r="D241" s="9" t="n">
        <v>10557.7</v>
      </c>
    </row>
    <row r="242" customFormat="false" ht="15" hidden="false" customHeight="false" outlineLevel="0" collapsed="false">
      <c r="A242" s="6" t="s">
        <v>238</v>
      </c>
      <c r="B242" s="6" t="s">
        <v>49</v>
      </c>
      <c r="C242" s="6" t="s">
        <v>496</v>
      </c>
      <c r="D242" s="9" t="n">
        <v>14270.6</v>
      </c>
    </row>
    <row r="243" customFormat="false" ht="15" hidden="false" customHeight="false" outlineLevel="0" collapsed="false">
      <c r="A243" s="6" t="s">
        <v>238</v>
      </c>
      <c r="B243" s="6" t="s">
        <v>49</v>
      </c>
      <c r="C243" s="6" t="s">
        <v>497</v>
      </c>
      <c r="D243" s="9" t="n">
        <v>10058</v>
      </c>
    </row>
    <row r="244" customFormat="false" ht="15" hidden="false" customHeight="false" outlineLevel="0" collapsed="false">
      <c r="A244" s="6" t="s">
        <v>238</v>
      </c>
      <c r="B244" s="6" t="s">
        <v>49</v>
      </c>
      <c r="C244" s="6" t="s">
        <v>498</v>
      </c>
      <c r="D244" s="9" t="n">
        <v>5281.3</v>
      </c>
    </row>
    <row r="245" customFormat="false" ht="15" hidden="false" customHeight="false" outlineLevel="0" collapsed="false">
      <c r="A245" s="6" t="s">
        <v>238</v>
      </c>
      <c r="B245" s="6" t="s">
        <v>49</v>
      </c>
      <c r="C245" s="6" t="s">
        <v>499</v>
      </c>
      <c r="D245" s="9" t="n">
        <v>953.5</v>
      </c>
    </row>
    <row r="246" customFormat="false" ht="15" hidden="false" customHeight="false" outlineLevel="0" collapsed="false">
      <c r="A246" s="6" t="s">
        <v>238</v>
      </c>
      <c r="B246" s="6" t="s">
        <v>49</v>
      </c>
      <c r="C246" s="6" t="s">
        <v>500</v>
      </c>
      <c r="D246" s="9" t="n">
        <v>128.9</v>
      </c>
    </row>
    <row r="247" customFormat="false" ht="15" hidden="false" customHeight="false" outlineLevel="0" collapsed="false">
      <c r="A247" s="6" t="s">
        <v>238</v>
      </c>
      <c r="B247" s="6" t="s">
        <v>87</v>
      </c>
      <c r="C247" s="6" t="s">
        <v>501</v>
      </c>
      <c r="D247" s="9" t="n">
        <v>8834.2</v>
      </c>
    </row>
    <row r="248" customFormat="false" ht="15" hidden="false" customHeight="false" outlineLevel="0" collapsed="false">
      <c r="A248" s="6" t="s">
        <v>238</v>
      </c>
      <c r="B248" s="6" t="s">
        <v>167</v>
      </c>
      <c r="C248" s="6" t="s">
        <v>502</v>
      </c>
      <c r="D248" s="9" t="n">
        <v>1686.8</v>
      </c>
    </row>
    <row r="249" customFormat="false" ht="15" hidden="false" customHeight="false" outlineLevel="0" collapsed="false">
      <c r="A249" s="6" t="s">
        <v>238</v>
      </c>
      <c r="B249" s="6" t="s">
        <v>64</v>
      </c>
      <c r="C249" s="6" t="s">
        <v>503</v>
      </c>
      <c r="D249" s="9" t="n">
        <v>-5920.6</v>
      </c>
    </row>
    <row r="250" customFormat="false" ht="15" hidden="false" customHeight="false" outlineLevel="0" collapsed="false">
      <c r="A250" s="6" t="s">
        <v>238</v>
      </c>
      <c r="B250" s="6" t="s">
        <v>64</v>
      </c>
      <c r="C250" s="6" t="s">
        <v>504</v>
      </c>
      <c r="D250" s="9" t="n">
        <v>764</v>
      </c>
    </row>
    <row r="251" customFormat="false" ht="15" hidden="false" customHeight="false" outlineLevel="0" collapsed="false">
      <c r="A251" s="6" t="s">
        <v>238</v>
      </c>
      <c r="B251" s="6" t="s">
        <v>64</v>
      </c>
      <c r="C251" s="6" t="s">
        <v>505</v>
      </c>
      <c r="D251" s="9" t="n">
        <v>2750.2</v>
      </c>
    </row>
    <row r="252" customFormat="false" ht="15" hidden="false" customHeight="false" outlineLevel="0" collapsed="false">
      <c r="A252" s="6" t="s">
        <v>238</v>
      </c>
      <c r="B252" s="6" t="s">
        <v>64</v>
      </c>
      <c r="C252" s="6" t="s">
        <v>506</v>
      </c>
      <c r="D252" s="9" t="n">
        <v>11235.7</v>
      </c>
    </row>
    <row r="253" customFormat="false" ht="15" hidden="false" customHeight="false" outlineLevel="0" collapsed="false">
      <c r="A253" s="6" t="s">
        <v>238</v>
      </c>
      <c r="B253" s="6" t="s">
        <v>64</v>
      </c>
      <c r="C253" s="6" t="s">
        <v>507</v>
      </c>
      <c r="D253" s="9" t="n">
        <v>14677.4</v>
      </c>
    </row>
    <row r="254" customFormat="false" ht="15" hidden="false" customHeight="false" outlineLevel="0" collapsed="false">
      <c r="A254" s="6" t="s">
        <v>238</v>
      </c>
      <c r="B254" s="6" t="s">
        <v>64</v>
      </c>
      <c r="C254" s="6" t="s">
        <v>508</v>
      </c>
      <c r="D254" s="9" t="n">
        <v>9409.4</v>
      </c>
    </row>
    <row r="255" customFormat="false" ht="15" hidden="false" customHeight="false" outlineLevel="0" collapsed="false">
      <c r="A255" s="6" t="s">
        <v>238</v>
      </c>
      <c r="B255" s="6" t="s">
        <v>88</v>
      </c>
      <c r="C255" s="6" t="s">
        <v>509</v>
      </c>
      <c r="D255" s="9" t="n">
        <v>2791.4</v>
      </c>
    </row>
    <row r="256" customFormat="false" ht="15" hidden="false" customHeight="false" outlineLevel="0" collapsed="false">
      <c r="A256" s="6" t="s">
        <v>238</v>
      </c>
      <c r="B256" s="6" t="s">
        <v>88</v>
      </c>
      <c r="C256" s="6" t="s">
        <v>510</v>
      </c>
      <c r="D256" s="9" t="n">
        <v>6495.5</v>
      </c>
    </row>
    <row r="257" customFormat="false" ht="15" hidden="false" customHeight="false" outlineLevel="0" collapsed="false">
      <c r="A257" s="6" t="s">
        <v>238</v>
      </c>
      <c r="B257" s="6" t="s">
        <v>88</v>
      </c>
      <c r="C257" s="6" t="s">
        <v>511</v>
      </c>
      <c r="D257" s="9" t="n">
        <v>5934</v>
      </c>
    </row>
    <row r="258" customFormat="false" ht="15" hidden="false" customHeight="false" outlineLevel="0" collapsed="false">
      <c r="A258" s="6" t="s">
        <v>238</v>
      </c>
      <c r="B258" s="6" t="s">
        <v>137</v>
      </c>
      <c r="C258" s="6" t="s">
        <v>512</v>
      </c>
      <c r="D258" s="9" t="n">
        <v>4401.3</v>
      </c>
    </row>
    <row r="259" customFormat="false" ht="15" hidden="false" customHeight="false" outlineLevel="0" collapsed="false">
      <c r="A259" s="6" t="s">
        <v>238</v>
      </c>
      <c r="B259" s="6" t="s">
        <v>219</v>
      </c>
      <c r="C259" s="6" t="s">
        <v>513</v>
      </c>
      <c r="D259" s="9" t="n">
        <v>0</v>
      </c>
    </row>
    <row r="260" customFormat="false" ht="15" hidden="false" customHeight="false" outlineLevel="0" collapsed="false">
      <c r="A260" s="6" t="s">
        <v>238</v>
      </c>
      <c r="B260" s="6" t="s">
        <v>219</v>
      </c>
      <c r="C260" s="6" t="s">
        <v>514</v>
      </c>
      <c r="D260" s="9" t="n">
        <v>-32.3</v>
      </c>
    </row>
    <row r="261" customFormat="false" ht="15" hidden="false" customHeight="false" outlineLevel="0" collapsed="false">
      <c r="A261" s="6" t="s">
        <v>238</v>
      </c>
      <c r="B261" s="6" t="s">
        <v>227</v>
      </c>
      <c r="C261" s="6" t="s">
        <v>515</v>
      </c>
      <c r="D261" s="9" t="n">
        <v>-81.9</v>
      </c>
    </row>
    <row r="262" customFormat="false" ht="15" hidden="false" customHeight="false" outlineLevel="0" collapsed="false">
      <c r="A262" s="6" t="s">
        <v>238</v>
      </c>
      <c r="B262" s="6" t="s">
        <v>227</v>
      </c>
      <c r="C262" s="6" t="s">
        <v>516</v>
      </c>
      <c r="D262" s="9" t="n">
        <v>0</v>
      </c>
    </row>
    <row r="263" customFormat="false" ht="15" hidden="false" customHeight="false" outlineLevel="0" collapsed="false">
      <c r="A263" s="6" t="s">
        <v>238</v>
      </c>
      <c r="B263" s="6" t="s">
        <v>227</v>
      </c>
      <c r="C263" s="6" t="s">
        <v>517</v>
      </c>
      <c r="D263" s="9" t="n">
        <v>0</v>
      </c>
    </row>
    <row r="264" customFormat="false" ht="15" hidden="false" customHeight="false" outlineLevel="0" collapsed="false">
      <c r="A264" s="6" t="s">
        <v>238</v>
      </c>
      <c r="B264" s="6" t="s">
        <v>227</v>
      </c>
      <c r="C264" s="6" t="s">
        <v>518</v>
      </c>
      <c r="D264" s="9" t="n">
        <v>0</v>
      </c>
    </row>
    <row r="265" customFormat="false" ht="15" hidden="false" customHeight="false" outlineLevel="0" collapsed="false">
      <c r="A265" s="6" t="s">
        <v>238</v>
      </c>
      <c r="B265" s="6" t="s">
        <v>227</v>
      </c>
      <c r="C265" s="6" t="s">
        <v>519</v>
      </c>
      <c r="D265" s="9" t="n">
        <v>0</v>
      </c>
    </row>
    <row r="266" customFormat="false" ht="15" hidden="false" customHeight="false" outlineLevel="0" collapsed="false">
      <c r="A266" s="6" t="s">
        <v>238</v>
      </c>
      <c r="B266" s="6" t="s">
        <v>179</v>
      </c>
      <c r="C266" s="6" t="s">
        <v>520</v>
      </c>
      <c r="D266" s="9" t="n">
        <v>0</v>
      </c>
    </row>
    <row r="267" customFormat="false" ht="15" hidden="false" customHeight="false" outlineLevel="0" collapsed="false">
      <c r="A267" s="6" t="s">
        <v>238</v>
      </c>
      <c r="B267" s="6" t="s">
        <v>179</v>
      </c>
      <c r="C267" s="6" t="s">
        <v>521</v>
      </c>
      <c r="D267" s="9" t="n">
        <v>84.9</v>
      </c>
    </row>
    <row r="268" customFormat="false" ht="15" hidden="false" customHeight="false" outlineLevel="0" collapsed="false">
      <c r="A268" s="6" t="s">
        <v>238</v>
      </c>
      <c r="B268" s="6" t="s">
        <v>179</v>
      </c>
      <c r="C268" s="6" t="s">
        <v>522</v>
      </c>
      <c r="D268" s="9" t="n">
        <v>81.9</v>
      </c>
    </row>
    <row r="269" customFormat="false" ht="15" hidden="false" customHeight="false" outlineLevel="0" collapsed="false">
      <c r="A269" s="6" t="s">
        <v>238</v>
      </c>
      <c r="B269" s="6" t="s">
        <v>179</v>
      </c>
      <c r="C269" s="6" t="s">
        <v>523</v>
      </c>
      <c r="D269" s="9" t="n">
        <v>81.9</v>
      </c>
    </row>
    <row r="270" customFormat="false" ht="15" hidden="false" customHeight="false" outlineLevel="0" collapsed="false">
      <c r="A270" s="6" t="s">
        <v>238</v>
      </c>
      <c r="B270" s="6" t="s">
        <v>166</v>
      </c>
      <c r="C270" s="6" t="s">
        <v>524</v>
      </c>
      <c r="D270" s="9" t="n">
        <v>0</v>
      </c>
    </row>
    <row r="271" customFormat="false" ht="15" hidden="false" customHeight="false" outlineLevel="0" collapsed="false">
      <c r="A271" s="6" t="s">
        <v>238</v>
      </c>
      <c r="B271" s="6" t="s">
        <v>166</v>
      </c>
      <c r="C271" s="6" t="s">
        <v>525</v>
      </c>
      <c r="D271" s="9" t="n">
        <v>-360.4</v>
      </c>
    </row>
    <row r="272" customFormat="false" ht="15" hidden="false" customHeight="false" outlineLevel="0" collapsed="false">
      <c r="A272" s="6" t="s">
        <v>238</v>
      </c>
      <c r="B272" s="6" t="s">
        <v>166</v>
      </c>
      <c r="C272" s="6" t="s">
        <v>526</v>
      </c>
      <c r="D272" s="9" t="n">
        <v>0</v>
      </c>
    </row>
    <row r="273" customFormat="false" ht="15" hidden="false" customHeight="false" outlineLevel="0" collapsed="false">
      <c r="A273" s="6" t="s">
        <v>238</v>
      </c>
      <c r="B273" s="6" t="s">
        <v>166</v>
      </c>
      <c r="C273" s="6" t="s">
        <v>527</v>
      </c>
      <c r="D273" s="9" t="n">
        <v>-90.1</v>
      </c>
    </row>
    <row r="274" customFormat="false" ht="15" hidden="false" customHeight="false" outlineLevel="0" collapsed="false">
      <c r="A274" s="6" t="s">
        <v>238</v>
      </c>
      <c r="B274" s="6" t="s">
        <v>205</v>
      </c>
      <c r="C274" s="6" t="s">
        <v>528</v>
      </c>
      <c r="D274" s="9" t="n">
        <v>-173.9</v>
      </c>
    </row>
    <row r="275" customFormat="false" ht="15" hidden="false" customHeight="false" outlineLevel="0" collapsed="false">
      <c r="A275" s="6" t="s">
        <v>238</v>
      </c>
      <c r="B275" s="6" t="s">
        <v>55</v>
      </c>
      <c r="C275" s="6" t="s">
        <v>529</v>
      </c>
      <c r="D275" s="9" t="n">
        <v>7014.3</v>
      </c>
    </row>
    <row r="276" customFormat="false" ht="15" hidden="false" customHeight="false" outlineLevel="0" collapsed="false">
      <c r="A276" s="6" t="s">
        <v>238</v>
      </c>
      <c r="B276" s="6" t="s">
        <v>55</v>
      </c>
      <c r="C276" s="6" t="s">
        <v>530</v>
      </c>
      <c r="D276" s="9" t="n">
        <v>7827.9</v>
      </c>
    </row>
    <row r="277" customFormat="false" ht="15" hidden="false" customHeight="false" outlineLevel="0" collapsed="false">
      <c r="A277" s="6" t="s">
        <v>238</v>
      </c>
      <c r="B277" s="6" t="s">
        <v>55</v>
      </c>
      <c r="C277" s="6" t="s">
        <v>531</v>
      </c>
      <c r="D277" s="9" t="n">
        <v>8568.6</v>
      </c>
    </row>
    <row r="278" customFormat="false" ht="15" hidden="false" customHeight="false" outlineLevel="0" collapsed="false">
      <c r="A278" s="6" t="s">
        <v>238</v>
      </c>
      <c r="B278" s="6" t="s">
        <v>52</v>
      </c>
      <c r="C278" s="6" t="s">
        <v>532</v>
      </c>
      <c r="D278" s="9" t="n">
        <v>3416.1</v>
      </c>
    </row>
    <row r="279" customFormat="false" ht="15" hidden="false" customHeight="false" outlineLevel="0" collapsed="false">
      <c r="A279" s="6" t="s">
        <v>238</v>
      </c>
      <c r="B279" s="6" t="s">
        <v>52</v>
      </c>
      <c r="C279" s="6" t="s">
        <v>533</v>
      </c>
      <c r="D279" s="9" t="n">
        <v>20889.7</v>
      </c>
    </row>
    <row r="280" customFormat="false" ht="15" hidden="false" customHeight="false" outlineLevel="0" collapsed="false">
      <c r="A280" s="6" t="s">
        <v>238</v>
      </c>
      <c r="B280" s="6" t="s">
        <v>52</v>
      </c>
      <c r="C280" s="6" t="s">
        <v>534</v>
      </c>
      <c r="D280" s="9" t="n">
        <v>34398.3</v>
      </c>
    </row>
    <row r="281" customFormat="false" ht="15" hidden="false" customHeight="false" outlineLevel="0" collapsed="false">
      <c r="A281" s="6" t="s">
        <v>238</v>
      </c>
      <c r="B281" s="6" t="s">
        <v>52</v>
      </c>
      <c r="C281" s="6" t="s">
        <v>535</v>
      </c>
      <c r="D281" s="9" t="n">
        <v>20594.8</v>
      </c>
    </row>
    <row r="282" customFormat="false" ht="15" hidden="false" customHeight="false" outlineLevel="0" collapsed="false">
      <c r="A282" s="6" t="s">
        <v>238</v>
      </c>
      <c r="B282" s="6" t="s">
        <v>52</v>
      </c>
      <c r="C282" s="6" t="s">
        <v>536</v>
      </c>
      <c r="D282" s="9" t="n">
        <v>7847</v>
      </c>
    </row>
    <row r="283" customFormat="false" ht="15" hidden="false" customHeight="false" outlineLevel="0" collapsed="false">
      <c r="A283" s="6" t="s">
        <v>238</v>
      </c>
      <c r="B283" s="6" t="s">
        <v>537</v>
      </c>
      <c r="C283" s="6" t="s">
        <v>538</v>
      </c>
      <c r="D283" s="9" t="n">
        <v>0</v>
      </c>
    </row>
    <row r="284" customFormat="false" ht="15" hidden="false" customHeight="false" outlineLevel="0" collapsed="false">
      <c r="A284" s="6" t="s">
        <v>238</v>
      </c>
      <c r="B284" s="6" t="s">
        <v>537</v>
      </c>
      <c r="C284" s="6" t="s">
        <v>539</v>
      </c>
      <c r="D284" s="9" t="n">
        <v>0</v>
      </c>
    </row>
    <row r="285" customFormat="false" ht="15" hidden="false" customHeight="false" outlineLevel="0" collapsed="false">
      <c r="A285" s="6" t="s">
        <v>238</v>
      </c>
      <c r="B285" s="6" t="s">
        <v>540</v>
      </c>
      <c r="C285" s="6" t="s">
        <v>541</v>
      </c>
      <c r="D285" s="9" t="n">
        <v>0</v>
      </c>
    </row>
    <row r="286" customFormat="false" ht="15" hidden="false" customHeight="false" outlineLevel="0" collapsed="false">
      <c r="A286" s="6" t="s">
        <v>238</v>
      </c>
      <c r="B286" s="6" t="s">
        <v>540</v>
      </c>
      <c r="C286" s="6" t="s">
        <v>542</v>
      </c>
      <c r="D286" s="9" t="n">
        <v>0</v>
      </c>
    </row>
    <row r="287" customFormat="false" ht="15" hidden="false" customHeight="false" outlineLevel="0" collapsed="false">
      <c r="A287" s="6" t="s">
        <v>238</v>
      </c>
      <c r="B287" s="6" t="s">
        <v>540</v>
      </c>
      <c r="C287" s="6" t="s">
        <v>543</v>
      </c>
      <c r="D287" s="9" t="n">
        <v>0</v>
      </c>
    </row>
    <row r="288" customFormat="false" ht="15" hidden="false" customHeight="false" outlineLevel="0" collapsed="false">
      <c r="A288" s="6" t="s">
        <v>238</v>
      </c>
      <c r="B288" s="6" t="s">
        <v>544</v>
      </c>
      <c r="C288" s="6" t="s">
        <v>545</v>
      </c>
      <c r="D288" s="9" t="n">
        <v>0</v>
      </c>
    </row>
    <row r="289" customFormat="false" ht="15" hidden="false" customHeight="false" outlineLevel="0" collapsed="false">
      <c r="A289" s="6" t="s">
        <v>238</v>
      </c>
      <c r="B289" s="6" t="s">
        <v>544</v>
      </c>
      <c r="C289" s="6" t="s">
        <v>546</v>
      </c>
      <c r="D289" s="9" t="n">
        <v>0</v>
      </c>
    </row>
    <row r="290" customFormat="false" ht="15" hidden="false" customHeight="false" outlineLevel="0" collapsed="false">
      <c r="A290" s="6" t="s">
        <v>238</v>
      </c>
      <c r="B290" s="6" t="s">
        <v>544</v>
      </c>
      <c r="C290" s="6" t="s">
        <v>547</v>
      </c>
      <c r="D290" s="9" t="n">
        <v>0</v>
      </c>
    </row>
    <row r="291" customFormat="false" ht="15" hidden="false" customHeight="false" outlineLevel="0" collapsed="false">
      <c r="A291" s="6" t="s">
        <v>238</v>
      </c>
      <c r="B291" s="6" t="s">
        <v>139</v>
      </c>
      <c r="C291" s="6" t="s">
        <v>548</v>
      </c>
      <c r="D291" s="9" t="n">
        <v>0</v>
      </c>
    </row>
    <row r="292" customFormat="false" ht="15" hidden="false" customHeight="false" outlineLevel="0" collapsed="false">
      <c r="A292" s="6" t="s">
        <v>238</v>
      </c>
      <c r="B292" s="6" t="s">
        <v>184</v>
      </c>
      <c r="C292" s="6" t="s">
        <v>549</v>
      </c>
      <c r="D292" s="9" t="n">
        <v>40.6</v>
      </c>
    </row>
    <row r="293" customFormat="false" ht="15" hidden="false" customHeight="false" outlineLevel="0" collapsed="false">
      <c r="A293" s="6" t="s">
        <v>238</v>
      </c>
      <c r="B293" s="6" t="s">
        <v>184</v>
      </c>
      <c r="C293" s="6" t="s">
        <v>550</v>
      </c>
      <c r="D293" s="9" t="n">
        <v>-79.1</v>
      </c>
    </row>
    <row r="294" customFormat="false" ht="15" hidden="false" customHeight="false" outlineLevel="0" collapsed="false">
      <c r="A294" s="6" t="s">
        <v>238</v>
      </c>
      <c r="B294" s="6" t="s">
        <v>184</v>
      </c>
      <c r="C294" s="6" t="s">
        <v>551</v>
      </c>
      <c r="D294" s="9" t="n">
        <v>-40.6</v>
      </c>
    </row>
    <row r="295" customFormat="false" ht="15" hidden="false" customHeight="false" outlineLevel="0" collapsed="false">
      <c r="A295" s="6" t="s">
        <v>238</v>
      </c>
      <c r="B295" s="6" t="s">
        <v>153</v>
      </c>
      <c r="C295" s="6" t="s">
        <v>552</v>
      </c>
      <c r="D295" s="9" t="n">
        <v>0</v>
      </c>
    </row>
    <row r="296" customFormat="false" ht="15" hidden="false" customHeight="false" outlineLevel="0" collapsed="false">
      <c r="A296" s="6" t="s">
        <v>238</v>
      </c>
      <c r="B296" s="6" t="s">
        <v>153</v>
      </c>
      <c r="C296" s="6" t="s">
        <v>553</v>
      </c>
      <c r="D296" s="9" t="n">
        <v>-365.4</v>
      </c>
    </row>
    <row r="297" customFormat="false" ht="15" hidden="false" customHeight="false" outlineLevel="0" collapsed="false">
      <c r="A297" s="6" t="s">
        <v>238</v>
      </c>
      <c r="B297" s="6" t="s">
        <v>153</v>
      </c>
      <c r="C297" s="6" t="s">
        <v>554</v>
      </c>
      <c r="D297" s="9" t="n">
        <v>-365.4</v>
      </c>
    </row>
    <row r="298" customFormat="false" ht="15" hidden="false" customHeight="false" outlineLevel="0" collapsed="false">
      <c r="A298" s="6" t="s">
        <v>238</v>
      </c>
      <c r="B298" s="6" t="s">
        <v>153</v>
      </c>
      <c r="C298" s="6" t="s">
        <v>555</v>
      </c>
      <c r="D298" s="9" t="n">
        <v>0</v>
      </c>
    </row>
    <row r="299" customFormat="false" ht="15" hidden="false" customHeight="false" outlineLevel="0" collapsed="false">
      <c r="A299" s="6" t="s">
        <v>238</v>
      </c>
      <c r="B299" s="6" t="s">
        <v>153</v>
      </c>
      <c r="C299" s="6" t="s">
        <v>556</v>
      </c>
      <c r="D299" s="9" t="n">
        <v>0</v>
      </c>
    </row>
    <row r="300" customFormat="false" ht="15" hidden="false" customHeight="false" outlineLevel="0" collapsed="false">
      <c r="A300" s="6" t="s">
        <v>238</v>
      </c>
      <c r="B300" s="6" t="s">
        <v>64</v>
      </c>
      <c r="C300" s="6" t="s">
        <v>557</v>
      </c>
      <c r="D300" s="9" t="n">
        <v>-185.8</v>
      </c>
    </row>
    <row r="301" customFormat="false" ht="15" hidden="false" customHeight="false" outlineLevel="0" collapsed="false">
      <c r="A301" s="6" t="s">
        <v>238</v>
      </c>
      <c r="B301" s="6" t="s">
        <v>205</v>
      </c>
      <c r="C301" s="6" t="s">
        <v>558</v>
      </c>
      <c r="D301" s="9" t="n">
        <v>2428.2</v>
      </c>
    </row>
    <row r="302" customFormat="false" ht="15" hidden="false" customHeight="false" outlineLevel="0" collapsed="false">
      <c r="A302" s="6" t="s">
        <v>238</v>
      </c>
      <c r="B302" s="6" t="s">
        <v>559</v>
      </c>
      <c r="C302" s="6" t="s">
        <v>560</v>
      </c>
      <c r="D302" s="9" t="n">
        <v>0</v>
      </c>
    </row>
    <row r="303" customFormat="false" ht="15" hidden="false" customHeight="false" outlineLevel="0" collapsed="false">
      <c r="A303" s="6" t="s">
        <v>238</v>
      </c>
      <c r="B303" s="6" t="s">
        <v>77</v>
      </c>
      <c r="C303" s="6" t="s">
        <v>561</v>
      </c>
      <c r="D303" s="9" t="n">
        <v>25707.7</v>
      </c>
    </row>
    <row r="304" customFormat="false" ht="15" hidden="false" customHeight="false" outlineLevel="0" collapsed="false">
      <c r="A304" s="6" t="s">
        <v>238</v>
      </c>
      <c r="B304" s="6" t="s">
        <v>31</v>
      </c>
      <c r="C304" s="6" t="s">
        <v>562</v>
      </c>
      <c r="D304" s="9" t="n">
        <v>0</v>
      </c>
    </row>
    <row r="305" customFormat="false" ht="15" hidden="false" customHeight="false" outlineLevel="0" collapsed="false">
      <c r="A305" s="6" t="s">
        <v>238</v>
      </c>
      <c r="B305" s="6" t="s">
        <v>563</v>
      </c>
      <c r="C305" s="6" t="s">
        <v>564</v>
      </c>
      <c r="D305" s="9" t="n">
        <v>0</v>
      </c>
    </row>
    <row r="306" customFormat="false" ht="15" hidden="false" customHeight="false" outlineLevel="0" collapsed="false">
      <c r="A306" s="6" t="s">
        <v>238</v>
      </c>
      <c r="B306" s="6" t="s">
        <v>565</v>
      </c>
      <c r="C306" s="6" t="s">
        <v>566</v>
      </c>
      <c r="D306" s="9" t="n">
        <v>0</v>
      </c>
    </row>
    <row r="307" customFormat="false" ht="15" hidden="false" customHeight="false" outlineLevel="0" collapsed="false">
      <c r="A307" s="6" t="s">
        <v>238</v>
      </c>
      <c r="B307" s="6" t="s">
        <v>41</v>
      </c>
      <c r="C307" s="6" t="s">
        <v>567</v>
      </c>
      <c r="D307" s="9" t="n">
        <v>5062.6</v>
      </c>
    </row>
    <row r="308" customFormat="false" ht="15" hidden="false" customHeight="false" outlineLevel="0" collapsed="false">
      <c r="A308" s="6" t="s">
        <v>238</v>
      </c>
      <c r="B308" s="6" t="s">
        <v>568</v>
      </c>
      <c r="C308" s="6" t="s">
        <v>569</v>
      </c>
      <c r="D308" s="9" t="n">
        <v>0</v>
      </c>
    </row>
    <row r="309" customFormat="false" ht="15" hidden="false" customHeight="false" outlineLevel="0" collapsed="false">
      <c r="A309" s="6" t="s">
        <v>238</v>
      </c>
      <c r="B309" s="6" t="s">
        <v>570</v>
      </c>
      <c r="C309" s="6" t="s">
        <v>571</v>
      </c>
      <c r="D309" s="9" t="n">
        <v>0</v>
      </c>
    </row>
    <row r="310" customFormat="false" ht="15" hidden="false" customHeight="false" outlineLevel="0" collapsed="false">
      <c r="A310" s="6" t="s">
        <v>238</v>
      </c>
      <c r="B310" s="6" t="s">
        <v>33</v>
      </c>
      <c r="C310" s="6" t="s">
        <v>572</v>
      </c>
      <c r="D310" s="9" t="n">
        <v>0</v>
      </c>
    </row>
    <row r="311" customFormat="false" ht="15" hidden="false" customHeight="false" outlineLevel="0" collapsed="false">
      <c r="A311" s="6" t="s">
        <v>238</v>
      </c>
      <c r="B311" s="6" t="s">
        <v>121</v>
      </c>
      <c r="C311" s="6" t="s">
        <v>573</v>
      </c>
      <c r="D311" s="9" t="n">
        <v>4298.2</v>
      </c>
    </row>
    <row r="312" customFormat="false" ht="15" hidden="false" customHeight="false" outlineLevel="0" collapsed="false">
      <c r="A312" s="6" t="s">
        <v>238</v>
      </c>
      <c r="B312" s="6" t="s">
        <v>574</v>
      </c>
      <c r="C312" s="6" t="s">
        <v>575</v>
      </c>
      <c r="D312" s="9" t="n">
        <v>0</v>
      </c>
    </row>
    <row r="313" customFormat="false" ht="15" hidden="false" customHeight="false" outlineLevel="0" collapsed="false">
      <c r="A313" s="6" t="s">
        <v>238</v>
      </c>
      <c r="B313" s="6" t="s">
        <v>574</v>
      </c>
      <c r="C313" s="6" t="s">
        <v>576</v>
      </c>
      <c r="D313" s="9" t="n">
        <v>0</v>
      </c>
    </row>
    <row r="314" customFormat="false" ht="15" hidden="false" customHeight="false" outlineLevel="0" collapsed="false">
      <c r="A314" s="6" t="s">
        <v>238</v>
      </c>
      <c r="B314" s="6" t="s">
        <v>574</v>
      </c>
      <c r="C314" s="6" t="s">
        <v>577</v>
      </c>
      <c r="D314" s="9" t="n">
        <v>0</v>
      </c>
    </row>
    <row r="315" customFormat="false" ht="15" hidden="false" customHeight="false" outlineLevel="0" collapsed="false">
      <c r="A315" s="6" t="s">
        <v>238</v>
      </c>
      <c r="B315" s="6" t="s">
        <v>574</v>
      </c>
      <c r="C315" s="6" t="s">
        <v>578</v>
      </c>
      <c r="D315" s="9" t="n">
        <v>0</v>
      </c>
    </row>
    <row r="316" customFormat="false" ht="15" hidden="false" customHeight="false" outlineLevel="0" collapsed="false">
      <c r="A316" s="6" t="s">
        <v>238</v>
      </c>
      <c r="B316" s="6" t="s">
        <v>44</v>
      </c>
      <c r="C316" s="6" t="s">
        <v>579</v>
      </c>
      <c r="D316" s="9" t="n">
        <v>66609.4</v>
      </c>
    </row>
    <row r="317" customFormat="false" ht="15" hidden="false" customHeight="false" outlineLevel="0" collapsed="false">
      <c r="A317" s="6" t="s">
        <v>238</v>
      </c>
      <c r="B317" s="6" t="s">
        <v>17</v>
      </c>
      <c r="C317" s="6" t="s">
        <v>580</v>
      </c>
      <c r="D317" s="9" t="n">
        <v>53009.9</v>
      </c>
    </row>
    <row r="318" customFormat="false" ht="15" hidden="false" customHeight="false" outlineLevel="0" collapsed="false">
      <c r="A318" s="6" t="s">
        <v>238</v>
      </c>
      <c r="B318" s="6" t="s">
        <v>17</v>
      </c>
      <c r="C318" s="6" t="s">
        <v>581</v>
      </c>
      <c r="D318" s="9" t="n">
        <v>65159.7</v>
      </c>
    </row>
    <row r="319" customFormat="false" ht="15" hidden="false" customHeight="false" outlineLevel="0" collapsed="false">
      <c r="A319" s="6" t="s">
        <v>238</v>
      </c>
      <c r="B319" s="6" t="s">
        <v>17</v>
      </c>
      <c r="C319" s="6" t="s">
        <v>582</v>
      </c>
      <c r="D319" s="9" t="n">
        <v>48197.4</v>
      </c>
    </row>
    <row r="320" customFormat="false" ht="15" hidden="false" customHeight="false" outlineLevel="0" collapsed="false">
      <c r="A320" s="6" t="s">
        <v>238</v>
      </c>
      <c r="B320" s="6" t="s">
        <v>17</v>
      </c>
      <c r="C320" s="6" t="s">
        <v>583</v>
      </c>
      <c r="D320" s="9" t="n">
        <v>42043.4</v>
      </c>
    </row>
    <row r="321" customFormat="false" ht="15" hidden="false" customHeight="false" outlineLevel="0" collapsed="false">
      <c r="A321" s="6" t="s">
        <v>238</v>
      </c>
      <c r="B321" s="6" t="s">
        <v>17</v>
      </c>
      <c r="C321" s="6" t="s">
        <v>584</v>
      </c>
      <c r="D321" s="9" t="n">
        <v>163.8</v>
      </c>
    </row>
    <row r="322" customFormat="false" ht="15" hidden="false" customHeight="false" outlineLevel="0" collapsed="false">
      <c r="A322" s="6" t="s">
        <v>238</v>
      </c>
      <c r="B322" s="6" t="s">
        <v>27</v>
      </c>
      <c r="C322" s="6" t="s">
        <v>585</v>
      </c>
      <c r="D322" s="9" t="n">
        <v>44554.5</v>
      </c>
    </row>
    <row r="323" customFormat="false" ht="15" hidden="false" customHeight="false" outlineLevel="0" collapsed="false">
      <c r="A323" s="6" t="s">
        <v>238</v>
      </c>
      <c r="B323" s="6" t="s">
        <v>27</v>
      </c>
      <c r="C323" s="6" t="s">
        <v>586</v>
      </c>
      <c r="D323" s="9" t="n">
        <v>50799.4</v>
      </c>
    </row>
    <row r="324" customFormat="false" ht="15" hidden="false" customHeight="false" outlineLevel="0" collapsed="false">
      <c r="A324" s="6" t="s">
        <v>238</v>
      </c>
      <c r="B324" s="6" t="s">
        <v>27</v>
      </c>
      <c r="C324" s="6" t="s">
        <v>587</v>
      </c>
      <c r="D324" s="9" t="n">
        <v>49181</v>
      </c>
    </row>
    <row r="325" customFormat="false" ht="15" hidden="false" customHeight="false" outlineLevel="0" collapsed="false">
      <c r="A325" s="6" t="s">
        <v>238</v>
      </c>
      <c r="B325" s="6" t="s">
        <v>27</v>
      </c>
      <c r="C325" s="6" t="s">
        <v>588</v>
      </c>
      <c r="D325" s="9" t="n">
        <v>18345.6</v>
      </c>
    </row>
    <row r="326" customFormat="false" ht="15" hidden="false" customHeight="false" outlineLevel="0" collapsed="false">
      <c r="A326" s="6" t="s">
        <v>238</v>
      </c>
      <c r="B326" s="6" t="s">
        <v>589</v>
      </c>
      <c r="C326" s="6" t="s">
        <v>590</v>
      </c>
      <c r="D326" s="9" t="n">
        <v>0</v>
      </c>
    </row>
    <row r="327" customFormat="false" ht="15" hidden="false" customHeight="false" outlineLevel="0" collapsed="false">
      <c r="A327" s="6" t="s">
        <v>238</v>
      </c>
      <c r="B327" s="6" t="s">
        <v>199</v>
      </c>
      <c r="C327" s="6" t="s">
        <v>591</v>
      </c>
      <c r="D327" s="9" t="n">
        <v>143.4</v>
      </c>
    </row>
    <row r="328" customFormat="false" ht="15" hidden="false" customHeight="false" outlineLevel="0" collapsed="false">
      <c r="A328" s="6" t="s">
        <v>238</v>
      </c>
      <c r="B328" s="6" t="s">
        <v>592</v>
      </c>
      <c r="C328" s="6" t="s">
        <v>593</v>
      </c>
      <c r="D328" s="9" t="n">
        <v>0</v>
      </c>
    </row>
    <row r="329" customFormat="false" ht="15" hidden="false" customHeight="false" outlineLevel="0" collapsed="false">
      <c r="A329" s="6" t="s">
        <v>238</v>
      </c>
      <c r="B329" s="6" t="s">
        <v>594</v>
      </c>
      <c r="C329" s="6" t="s">
        <v>595</v>
      </c>
      <c r="D329" s="9" t="n">
        <v>0</v>
      </c>
    </row>
    <row r="330" customFormat="false" ht="15" hidden="false" customHeight="false" outlineLevel="0" collapsed="false">
      <c r="A330" s="6" t="s">
        <v>238</v>
      </c>
      <c r="B330" s="6" t="s">
        <v>596</v>
      </c>
      <c r="C330" s="6" t="s">
        <v>597</v>
      </c>
      <c r="D330" s="9" t="n">
        <v>0</v>
      </c>
    </row>
    <row r="331" customFormat="false" ht="15" hidden="false" customHeight="false" outlineLevel="0" collapsed="false">
      <c r="A331" s="6" t="s">
        <v>238</v>
      </c>
      <c r="B331" s="6" t="s">
        <v>151</v>
      </c>
      <c r="C331" s="6" t="s">
        <v>598</v>
      </c>
      <c r="D331" s="9" t="n">
        <v>4329.5</v>
      </c>
    </row>
    <row r="332" customFormat="false" ht="15" hidden="false" customHeight="false" outlineLevel="0" collapsed="false">
      <c r="A332" s="6" t="s">
        <v>238</v>
      </c>
      <c r="B332" s="6" t="s">
        <v>195</v>
      </c>
      <c r="C332" s="6" t="s">
        <v>599</v>
      </c>
      <c r="D332" s="9" t="n">
        <v>122.8</v>
      </c>
    </row>
    <row r="333" customFormat="false" ht="15" hidden="false" customHeight="false" outlineLevel="0" collapsed="false">
      <c r="A333" s="6" t="s">
        <v>238</v>
      </c>
      <c r="B333" s="6" t="s">
        <v>195</v>
      </c>
      <c r="C333" s="6" t="s">
        <v>600</v>
      </c>
      <c r="D333" s="9" t="n">
        <v>0</v>
      </c>
    </row>
    <row r="334" customFormat="false" ht="15" hidden="false" customHeight="false" outlineLevel="0" collapsed="false">
      <c r="A334" s="6" t="s">
        <v>238</v>
      </c>
      <c r="B334" s="6" t="s">
        <v>215</v>
      </c>
      <c r="C334" s="6" t="s">
        <v>601</v>
      </c>
      <c r="D334" s="9" t="n">
        <v>0</v>
      </c>
    </row>
    <row r="335" customFormat="false" ht="15" hidden="false" customHeight="false" outlineLevel="0" collapsed="false">
      <c r="A335" s="6" t="s">
        <v>238</v>
      </c>
      <c r="B335" s="6" t="s">
        <v>215</v>
      </c>
      <c r="C335" s="6" t="s">
        <v>602</v>
      </c>
      <c r="D335" s="9" t="n">
        <v>0</v>
      </c>
    </row>
    <row r="336" customFormat="false" ht="15" hidden="false" customHeight="false" outlineLevel="0" collapsed="false">
      <c r="A336" s="6" t="s">
        <v>238</v>
      </c>
      <c r="B336" s="6" t="s">
        <v>215</v>
      </c>
      <c r="C336" s="6" t="s">
        <v>600</v>
      </c>
      <c r="D336" s="9" t="n">
        <v>0</v>
      </c>
    </row>
    <row r="337" customFormat="false" ht="15" hidden="false" customHeight="false" outlineLevel="0" collapsed="false">
      <c r="A337" s="6" t="s">
        <v>238</v>
      </c>
      <c r="B337" s="6" t="s">
        <v>128</v>
      </c>
      <c r="C337" s="6" t="s">
        <v>603</v>
      </c>
      <c r="D337" s="9" t="n">
        <v>74753.7</v>
      </c>
    </row>
    <row r="338" customFormat="false" ht="15" hidden="false" customHeight="false" outlineLevel="0" collapsed="false">
      <c r="A338" s="6" t="s">
        <v>238</v>
      </c>
      <c r="B338" s="6" t="s">
        <v>128</v>
      </c>
      <c r="C338" s="6" t="s">
        <v>604</v>
      </c>
      <c r="D338" s="9" t="n">
        <v>54679.2</v>
      </c>
    </row>
    <row r="339" customFormat="false" ht="15" hidden="false" customHeight="false" outlineLevel="0" collapsed="false">
      <c r="A339" s="6" t="s">
        <v>238</v>
      </c>
      <c r="B339" s="6" t="s">
        <v>80</v>
      </c>
      <c r="C339" s="6" t="s">
        <v>603</v>
      </c>
      <c r="D339" s="9" t="n">
        <v>17280.9</v>
      </c>
    </row>
    <row r="340" customFormat="false" ht="15" hidden="false" customHeight="false" outlineLevel="0" collapsed="false">
      <c r="A340" s="6" t="s">
        <v>238</v>
      </c>
      <c r="B340" s="6" t="s">
        <v>80</v>
      </c>
      <c r="C340" s="6" t="s">
        <v>604</v>
      </c>
      <c r="D340" s="9" t="n">
        <v>10885.6</v>
      </c>
    </row>
    <row r="341" customFormat="false" ht="15" hidden="false" customHeight="false" outlineLevel="0" collapsed="false">
      <c r="A341" s="6" t="s">
        <v>238</v>
      </c>
      <c r="B341" s="6" t="s">
        <v>169</v>
      </c>
      <c r="C341" s="6" t="s">
        <v>605</v>
      </c>
      <c r="D341" s="9" t="n">
        <v>791.2</v>
      </c>
    </row>
    <row r="342" customFormat="false" ht="15" hidden="false" customHeight="false" outlineLevel="0" collapsed="false">
      <c r="A342" s="6" t="s">
        <v>238</v>
      </c>
      <c r="B342" s="6" t="s">
        <v>606</v>
      </c>
      <c r="C342" s="6" t="s">
        <v>607</v>
      </c>
      <c r="D342" s="9" t="n">
        <v>0</v>
      </c>
    </row>
    <row r="343" customFormat="false" ht="15" hidden="false" customHeight="false" outlineLevel="0" collapsed="false">
      <c r="A343" s="6" t="s">
        <v>238</v>
      </c>
      <c r="B343" s="6" t="s">
        <v>606</v>
      </c>
      <c r="C343" s="6" t="s">
        <v>608</v>
      </c>
      <c r="D343" s="9" t="n">
        <v>0</v>
      </c>
    </row>
    <row r="344" customFormat="false" ht="15" hidden="false" customHeight="false" outlineLevel="0" collapsed="false">
      <c r="A344" s="6" t="s">
        <v>238</v>
      </c>
      <c r="B344" s="6" t="s">
        <v>228</v>
      </c>
      <c r="C344" s="6" t="s">
        <v>609</v>
      </c>
      <c r="D344" s="9" t="n">
        <v>0</v>
      </c>
    </row>
    <row r="345" customFormat="false" ht="15" hidden="false" customHeight="false" outlineLevel="0" collapsed="false">
      <c r="A345" s="6" t="s">
        <v>238</v>
      </c>
      <c r="B345" s="6" t="s">
        <v>228</v>
      </c>
      <c r="C345" s="6" t="s">
        <v>610</v>
      </c>
      <c r="D345" s="9" t="n">
        <v>0</v>
      </c>
    </row>
    <row r="346" customFormat="false" ht="15" hidden="false" customHeight="false" outlineLevel="0" collapsed="false">
      <c r="A346" s="6" t="s">
        <v>238</v>
      </c>
      <c r="B346" s="6" t="s">
        <v>606</v>
      </c>
      <c r="C346" s="6" t="s">
        <v>611</v>
      </c>
      <c r="D346" s="9" t="n">
        <v>0</v>
      </c>
    </row>
    <row r="347" customFormat="false" ht="15" hidden="false" customHeight="false" outlineLevel="0" collapsed="false">
      <c r="A347" s="6" t="s">
        <v>238</v>
      </c>
      <c r="B347" s="6" t="s">
        <v>612</v>
      </c>
      <c r="C347" s="6" t="s">
        <v>609</v>
      </c>
      <c r="D347" s="9" t="n">
        <v>0</v>
      </c>
    </row>
    <row r="348" customFormat="false" ht="15" hidden="false" customHeight="false" outlineLevel="0" collapsed="false">
      <c r="A348" s="6" t="s">
        <v>238</v>
      </c>
      <c r="B348" s="6" t="s">
        <v>17</v>
      </c>
      <c r="C348" s="6" t="s">
        <v>613</v>
      </c>
      <c r="D348" s="9" t="n">
        <v>0</v>
      </c>
    </row>
    <row r="349" customFormat="false" ht="15" hidden="false" customHeight="false" outlineLevel="0" collapsed="false">
      <c r="A349" s="6" t="s">
        <v>238</v>
      </c>
      <c r="B349" s="6" t="s">
        <v>38</v>
      </c>
      <c r="C349" s="6" t="s">
        <v>614</v>
      </c>
      <c r="D349" s="9" t="n">
        <v>34315.1</v>
      </c>
    </row>
    <row r="350" customFormat="false" ht="15" hidden="false" customHeight="false" outlineLevel="0" collapsed="false">
      <c r="A350" s="6" t="s">
        <v>238</v>
      </c>
      <c r="B350" s="6" t="s">
        <v>38</v>
      </c>
      <c r="C350" s="6" t="s">
        <v>615</v>
      </c>
      <c r="D350" s="9" t="n">
        <v>34410.1</v>
      </c>
    </row>
    <row r="351" customFormat="false" ht="15" hidden="false" customHeight="false" outlineLevel="0" collapsed="false">
      <c r="A351" s="6" t="s">
        <v>238</v>
      </c>
      <c r="B351" s="6" t="s">
        <v>38</v>
      </c>
      <c r="C351" s="6" t="s">
        <v>616</v>
      </c>
      <c r="D351" s="9" t="n">
        <v>12815.8</v>
      </c>
    </row>
    <row r="352" customFormat="false" ht="15" hidden="false" customHeight="false" outlineLevel="0" collapsed="false">
      <c r="A352" s="6" t="s">
        <v>238</v>
      </c>
      <c r="B352" s="6" t="s">
        <v>204</v>
      </c>
      <c r="C352" s="6" t="s">
        <v>617</v>
      </c>
      <c r="D352" s="9" t="n">
        <v>0</v>
      </c>
    </row>
    <row r="353" customFormat="false" ht="15" hidden="false" customHeight="false" outlineLevel="0" collapsed="false">
      <c r="A353" s="6" t="s">
        <v>238</v>
      </c>
      <c r="B353" s="6" t="s">
        <v>204</v>
      </c>
      <c r="C353" s="6" t="s">
        <v>618</v>
      </c>
      <c r="D353" s="9" t="n">
        <v>0</v>
      </c>
    </row>
    <row r="354" customFormat="false" ht="15" hidden="false" customHeight="false" outlineLevel="0" collapsed="false">
      <c r="A354" s="6" t="s">
        <v>238</v>
      </c>
      <c r="B354" s="6" t="s">
        <v>204</v>
      </c>
      <c r="C354" s="6" t="s">
        <v>619</v>
      </c>
      <c r="D354" s="9" t="n">
        <v>-245.6</v>
      </c>
    </row>
    <row r="355" customFormat="false" ht="15" hidden="false" customHeight="false" outlineLevel="0" collapsed="false">
      <c r="A355" s="6" t="s">
        <v>238</v>
      </c>
      <c r="B355" s="6" t="s">
        <v>180</v>
      </c>
      <c r="C355" s="6" t="s">
        <v>620</v>
      </c>
      <c r="D355" s="9" t="n">
        <v>-241.3</v>
      </c>
    </row>
    <row r="356" customFormat="false" ht="15" hidden="false" customHeight="false" outlineLevel="0" collapsed="false">
      <c r="A356" s="6" t="s">
        <v>238</v>
      </c>
      <c r="B356" s="6" t="s">
        <v>209</v>
      </c>
      <c r="C356" s="6" t="s">
        <v>502</v>
      </c>
      <c r="D356" s="9" t="n">
        <v>0</v>
      </c>
    </row>
    <row r="357" customFormat="false" ht="15" hidden="false" customHeight="false" outlineLevel="0" collapsed="false">
      <c r="A357" s="6" t="s">
        <v>238</v>
      </c>
      <c r="B357" s="6" t="s">
        <v>621</v>
      </c>
      <c r="C357" s="6" t="s">
        <v>622</v>
      </c>
      <c r="D357" s="9" t="n">
        <v>0</v>
      </c>
    </row>
    <row r="358" customFormat="false" ht="15" hidden="false" customHeight="false" outlineLevel="0" collapsed="false">
      <c r="A358" s="6" t="s">
        <v>238</v>
      </c>
      <c r="B358" s="6" t="s">
        <v>48</v>
      </c>
      <c r="C358" s="6" t="s">
        <v>623</v>
      </c>
      <c r="D358" s="9" t="n">
        <v>17843.1</v>
      </c>
    </row>
    <row r="359" customFormat="false" ht="15" hidden="false" customHeight="false" outlineLevel="0" collapsed="false">
      <c r="A359" s="6" t="s">
        <v>238</v>
      </c>
      <c r="B359" s="6" t="s">
        <v>48</v>
      </c>
      <c r="C359" s="6" t="s">
        <v>624</v>
      </c>
      <c r="D359" s="9" t="n">
        <v>19003.5</v>
      </c>
    </row>
    <row r="360" customFormat="false" ht="15" hidden="false" customHeight="false" outlineLevel="0" collapsed="false">
      <c r="A360" s="6" t="s">
        <v>238</v>
      </c>
      <c r="B360" s="6" t="s">
        <v>48</v>
      </c>
      <c r="C360" s="6" t="s">
        <v>625</v>
      </c>
      <c r="D360" s="9" t="n">
        <v>11107.5</v>
      </c>
    </row>
    <row r="361" customFormat="false" ht="15" hidden="false" customHeight="false" outlineLevel="0" collapsed="false">
      <c r="A361" s="6" t="s">
        <v>238</v>
      </c>
      <c r="B361" s="6" t="s">
        <v>48</v>
      </c>
      <c r="C361" s="6" t="s">
        <v>626</v>
      </c>
      <c r="D361" s="9" t="n">
        <v>15063</v>
      </c>
    </row>
    <row r="362" customFormat="false" ht="15" hidden="false" customHeight="false" outlineLevel="0" collapsed="false">
      <c r="A362" s="6" t="s">
        <v>238</v>
      </c>
      <c r="B362" s="6" t="s">
        <v>48</v>
      </c>
      <c r="C362" s="6" t="s">
        <v>627</v>
      </c>
      <c r="D362" s="9" t="n">
        <v>30</v>
      </c>
    </row>
    <row r="363" customFormat="false" ht="15" hidden="false" customHeight="false" outlineLevel="0" collapsed="false">
      <c r="A363" s="6" t="s">
        <v>238</v>
      </c>
      <c r="B363" s="6" t="s">
        <v>628</v>
      </c>
      <c r="C363" s="6" t="s">
        <v>629</v>
      </c>
      <c r="D363" s="9" t="n">
        <v>0</v>
      </c>
    </row>
    <row r="364" customFormat="false" ht="15" hidden="false" customHeight="false" outlineLevel="0" collapsed="false">
      <c r="A364" s="6" t="s">
        <v>238</v>
      </c>
      <c r="B364" s="6" t="s">
        <v>208</v>
      </c>
      <c r="C364" s="6" t="s">
        <v>630</v>
      </c>
      <c r="D364" s="9" t="n">
        <v>-90</v>
      </c>
    </row>
    <row r="365" customFormat="false" ht="15" hidden="false" customHeight="false" outlineLevel="0" collapsed="false">
      <c r="A365" s="6" t="s">
        <v>238</v>
      </c>
      <c r="B365" s="6" t="s">
        <v>631</v>
      </c>
      <c r="C365" s="6" t="s">
        <v>632</v>
      </c>
      <c r="D365" s="9" t="n">
        <v>0</v>
      </c>
    </row>
    <row r="366" customFormat="false" ht="15" hidden="false" customHeight="false" outlineLevel="0" collapsed="false">
      <c r="A366" s="6" t="s">
        <v>238</v>
      </c>
      <c r="B366" s="6" t="s">
        <v>633</v>
      </c>
      <c r="C366" s="6" t="s">
        <v>634</v>
      </c>
      <c r="D366" s="9" t="n">
        <v>0</v>
      </c>
    </row>
    <row r="367" customFormat="false" ht="15" hidden="false" customHeight="false" outlineLevel="0" collapsed="false">
      <c r="A367" s="6" t="s">
        <v>238</v>
      </c>
      <c r="B367" s="6" t="s">
        <v>635</v>
      </c>
      <c r="C367" s="6" t="s">
        <v>636</v>
      </c>
      <c r="D367" s="9" t="n">
        <v>0</v>
      </c>
    </row>
    <row r="368" customFormat="false" ht="15" hidden="false" customHeight="false" outlineLevel="0" collapsed="false">
      <c r="A368" s="6" t="s">
        <v>238</v>
      </c>
      <c r="B368" s="6" t="s">
        <v>221</v>
      </c>
      <c r="C368" s="6" t="s">
        <v>637</v>
      </c>
      <c r="D368" s="9" t="n">
        <v>0</v>
      </c>
    </row>
    <row r="369" customFormat="false" ht="15" hidden="false" customHeight="false" outlineLevel="0" collapsed="false">
      <c r="A369" s="6" t="s">
        <v>238</v>
      </c>
      <c r="B369" s="6" t="s">
        <v>638</v>
      </c>
      <c r="C369" s="6" t="s">
        <v>639</v>
      </c>
      <c r="D369" s="9" t="n">
        <v>0</v>
      </c>
    </row>
    <row r="370" customFormat="false" ht="15" hidden="false" customHeight="false" outlineLevel="0" collapsed="false">
      <c r="A370" s="6" t="s">
        <v>238</v>
      </c>
      <c r="B370" s="6" t="s">
        <v>640</v>
      </c>
      <c r="C370" s="6" t="s">
        <v>641</v>
      </c>
      <c r="D370" s="9" t="n">
        <v>0</v>
      </c>
    </row>
    <row r="371" customFormat="false" ht="15" hidden="false" customHeight="false" outlineLevel="0" collapsed="false">
      <c r="A371" s="6" t="s">
        <v>238</v>
      </c>
      <c r="B371" s="6" t="s">
        <v>216</v>
      </c>
      <c r="C371" s="6" t="s">
        <v>642</v>
      </c>
      <c r="D371" s="9" t="n">
        <v>336.9</v>
      </c>
    </row>
    <row r="372" customFormat="false" ht="15" hidden="false" customHeight="false" outlineLevel="0" collapsed="false">
      <c r="A372" s="6" t="s">
        <v>238</v>
      </c>
      <c r="B372" s="6" t="s">
        <v>643</v>
      </c>
      <c r="C372" s="6" t="s">
        <v>644</v>
      </c>
      <c r="D372" s="9" t="n">
        <v>0</v>
      </c>
    </row>
    <row r="373" customFormat="false" ht="15" hidden="false" customHeight="false" outlineLevel="0" collapsed="false">
      <c r="A373" s="6" t="s">
        <v>238</v>
      </c>
      <c r="B373" s="6" t="s">
        <v>645</v>
      </c>
      <c r="C373" s="6" t="s">
        <v>646</v>
      </c>
      <c r="D373" s="9" t="n">
        <v>0</v>
      </c>
    </row>
    <row r="374" customFormat="false" ht="15" hidden="false" customHeight="false" outlineLevel="0" collapsed="false">
      <c r="A374" s="6" t="s">
        <v>238</v>
      </c>
      <c r="B374" s="6" t="s">
        <v>174</v>
      </c>
      <c r="C374" s="6" t="s">
        <v>647</v>
      </c>
      <c r="D374" s="9" t="n">
        <v>0</v>
      </c>
    </row>
    <row r="375" customFormat="false" ht="15" hidden="false" customHeight="false" outlineLevel="0" collapsed="false">
      <c r="A375" s="6" t="s">
        <v>238</v>
      </c>
      <c r="B375" s="6" t="s">
        <v>174</v>
      </c>
      <c r="C375" s="6" t="s">
        <v>648</v>
      </c>
      <c r="D375" s="9" t="n">
        <v>7.7</v>
      </c>
    </row>
    <row r="376" customFormat="false" ht="15" hidden="false" customHeight="false" outlineLevel="0" collapsed="false">
      <c r="A376" s="6" t="s">
        <v>238</v>
      </c>
      <c r="B376" s="6" t="s">
        <v>174</v>
      </c>
      <c r="C376" s="6" t="s">
        <v>649</v>
      </c>
      <c r="D376" s="9" t="n">
        <v>0</v>
      </c>
    </row>
    <row r="377" customFormat="false" ht="15" hidden="false" customHeight="false" outlineLevel="0" collapsed="false">
      <c r="A377" s="6" t="s">
        <v>238</v>
      </c>
      <c r="B377" s="6" t="s">
        <v>174</v>
      </c>
      <c r="C377" s="6" t="s">
        <v>650</v>
      </c>
      <c r="D377" s="9" t="n">
        <v>219.1</v>
      </c>
    </row>
    <row r="378" customFormat="false" ht="15" hidden="false" customHeight="false" outlineLevel="0" collapsed="false">
      <c r="A378" s="6" t="s">
        <v>238</v>
      </c>
      <c r="B378" s="6" t="s">
        <v>174</v>
      </c>
      <c r="C378" s="6" t="s">
        <v>651</v>
      </c>
      <c r="D378" s="9" t="n">
        <v>109.6</v>
      </c>
    </row>
    <row r="379" customFormat="false" ht="15" hidden="false" customHeight="false" outlineLevel="0" collapsed="false">
      <c r="A379" s="6" t="s">
        <v>238</v>
      </c>
      <c r="B379" s="6" t="s">
        <v>174</v>
      </c>
      <c r="C379" s="6" t="s">
        <v>652</v>
      </c>
      <c r="D379" s="9" t="n">
        <v>36.5</v>
      </c>
    </row>
    <row r="380" customFormat="false" ht="15" hidden="false" customHeight="false" outlineLevel="0" collapsed="false">
      <c r="A380" s="6" t="s">
        <v>238</v>
      </c>
      <c r="B380" s="6" t="s">
        <v>174</v>
      </c>
      <c r="C380" s="6" t="s">
        <v>653</v>
      </c>
      <c r="D380" s="9" t="n">
        <v>-73</v>
      </c>
    </row>
    <row r="381" customFormat="false" ht="15" hidden="false" customHeight="false" outlineLevel="0" collapsed="false">
      <c r="A381" s="6" t="s">
        <v>238</v>
      </c>
      <c r="B381" s="6" t="s">
        <v>174</v>
      </c>
      <c r="C381" s="6" t="s">
        <v>654</v>
      </c>
      <c r="D381" s="9" t="n">
        <v>109.6</v>
      </c>
    </row>
    <row r="382" customFormat="false" ht="15" hidden="false" customHeight="false" outlineLevel="0" collapsed="false">
      <c r="A382" s="6" t="s">
        <v>238</v>
      </c>
      <c r="B382" s="6" t="s">
        <v>174</v>
      </c>
      <c r="C382" s="6" t="s">
        <v>655</v>
      </c>
      <c r="D382" s="9" t="n">
        <v>3.7</v>
      </c>
    </row>
    <row r="383" customFormat="false" ht="15" hidden="false" customHeight="false" outlineLevel="0" collapsed="false">
      <c r="A383" s="6" t="s">
        <v>238</v>
      </c>
      <c r="B383" s="6" t="s">
        <v>174</v>
      </c>
      <c r="C383" s="6" t="s">
        <v>656</v>
      </c>
      <c r="D383" s="9" t="n">
        <v>-182.6</v>
      </c>
    </row>
    <row r="384" customFormat="false" ht="15" hidden="false" customHeight="false" outlineLevel="0" collapsed="false">
      <c r="A384" s="6" t="s">
        <v>238</v>
      </c>
      <c r="B384" s="6" t="s">
        <v>174</v>
      </c>
      <c r="C384" s="6" t="s">
        <v>657</v>
      </c>
      <c r="D384" s="9" t="n">
        <v>-109.6</v>
      </c>
    </row>
    <row r="385" customFormat="false" ht="15" hidden="false" customHeight="false" outlineLevel="0" collapsed="false">
      <c r="A385" s="6" t="s">
        <v>238</v>
      </c>
      <c r="B385" s="6" t="s">
        <v>43</v>
      </c>
      <c r="C385" s="6" t="s">
        <v>658</v>
      </c>
      <c r="D385" s="9" t="n">
        <v>43385.1</v>
      </c>
    </row>
    <row r="386" customFormat="false" ht="15" hidden="false" customHeight="false" outlineLevel="0" collapsed="false">
      <c r="A386" s="6" t="s">
        <v>238</v>
      </c>
      <c r="B386" s="6" t="s">
        <v>109</v>
      </c>
      <c r="C386" s="6" t="s">
        <v>659</v>
      </c>
      <c r="D386" s="9" t="n">
        <v>3726.4</v>
      </c>
    </row>
    <row r="387" customFormat="false" ht="15" hidden="false" customHeight="false" outlineLevel="0" collapsed="false">
      <c r="A387" s="6" t="s">
        <v>238</v>
      </c>
      <c r="B387" s="6" t="s">
        <v>660</v>
      </c>
      <c r="C387" s="6" t="s">
        <v>661</v>
      </c>
      <c r="D387" s="9" t="n">
        <v>0</v>
      </c>
    </row>
    <row r="388" customFormat="false" ht="15" hidden="false" customHeight="false" outlineLevel="0" collapsed="false">
      <c r="A388" s="6" t="s">
        <v>238</v>
      </c>
      <c r="B388" s="6" t="s">
        <v>189</v>
      </c>
      <c r="C388" s="6" t="s">
        <v>662</v>
      </c>
      <c r="D388" s="9" t="n">
        <v>98.2</v>
      </c>
    </row>
    <row r="389" customFormat="false" ht="15" hidden="false" customHeight="false" outlineLevel="0" collapsed="false">
      <c r="A389" s="6" t="s">
        <v>238</v>
      </c>
      <c r="B389" s="6" t="s">
        <v>189</v>
      </c>
      <c r="C389" s="6" t="s">
        <v>663</v>
      </c>
      <c r="D389" s="9" t="n">
        <v>0</v>
      </c>
    </row>
    <row r="390" customFormat="false" ht="15" hidden="false" customHeight="false" outlineLevel="0" collapsed="false">
      <c r="A390" s="6" t="s">
        <v>238</v>
      </c>
      <c r="B390" s="6" t="s">
        <v>211</v>
      </c>
      <c r="C390" s="6" t="s">
        <v>664</v>
      </c>
      <c r="D390" s="9" t="n">
        <v>-73.9</v>
      </c>
    </row>
    <row r="391" customFormat="false" ht="15" hidden="false" customHeight="false" outlineLevel="0" collapsed="false">
      <c r="A391" s="6" t="s">
        <v>238</v>
      </c>
      <c r="B391" s="6" t="s">
        <v>665</v>
      </c>
      <c r="C391" s="6" t="s">
        <v>666</v>
      </c>
      <c r="D391" s="9" t="n">
        <v>0</v>
      </c>
    </row>
    <row r="392" customFormat="false" ht="15" hidden="false" customHeight="false" outlineLevel="0" collapsed="false">
      <c r="A392" s="6" t="s">
        <v>238</v>
      </c>
      <c r="B392" s="6" t="s">
        <v>200</v>
      </c>
      <c r="C392" s="6" t="s">
        <v>667</v>
      </c>
      <c r="D392" s="9" t="n">
        <v>-85.8</v>
      </c>
    </row>
    <row r="393" customFormat="false" ht="15" hidden="false" customHeight="false" outlineLevel="0" collapsed="false">
      <c r="A393" s="6" t="s">
        <v>238</v>
      </c>
      <c r="B393" s="6" t="s">
        <v>668</v>
      </c>
      <c r="C393" s="6" t="s">
        <v>669</v>
      </c>
      <c r="D393" s="9" t="n">
        <v>0</v>
      </c>
    </row>
    <row r="394" customFormat="false" ht="15" hidden="false" customHeight="false" outlineLevel="0" collapsed="false">
      <c r="A394" s="6" t="s">
        <v>238</v>
      </c>
      <c r="B394" s="6" t="s">
        <v>222</v>
      </c>
      <c r="C394" s="6" t="s">
        <v>670</v>
      </c>
      <c r="D394" s="9" t="n">
        <v>-40.5</v>
      </c>
    </row>
    <row r="395" customFormat="false" ht="15" hidden="false" customHeight="false" outlineLevel="0" collapsed="false">
      <c r="A395" s="6" t="s">
        <v>238</v>
      </c>
      <c r="B395" s="6" t="s">
        <v>671</v>
      </c>
      <c r="C395" s="6" t="s">
        <v>672</v>
      </c>
      <c r="D395" s="9" t="n">
        <v>0</v>
      </c>
    </row>
    <row r="396" customFormat="false" ht="15" hidden="false" customHeight="false" outlineLevel="0" collapsed="false">
      <c r="A396" s="6" t="s">
        <v>238</v>
      </c>
      <c r="B396" s="6" t="s">
        <v>42</v>
      </c>
      <c r="C396" s="6" t="s">
        <v>673</v>
      </c>
      <c r="D396" s="9" t="n">
        <v>61190.5</v>
      </c>
    </row>
    <row r="397" customFormat="false" ht="15" hidden="false" customHeight="false" outlineLevel="0" collapsed="false">
      <c r="A397" s="6" t="s">
        <v>238</v>
      </c>
      <c r="B397" s="6" t="s">
        <v>111</v>
      </c>
      <c r="C397" s="6" t="s">
        <v>674</v>
      </c>
      <c r="D397" s="9" t="n">
        <v>4566.7</v>
      </c>
    </row>
    <row r="398" customFormat="false" ht="15" hidden="false" customHeight="false" outlineLevel="0" collapsed="false">
      <c r="A398" s="6" t="s">
        <v>238</v>
      </c>
      <c r="B398" s="6" t="s">
        <v>213</v>
      </c>
      <c r="C398" s="6" t="s">
        <v>675</v>
      </c>
      <c r="D398" s="9" t="n">
        <v>-70.7</v>
      </c>
    </row>
    <row r="399" customFormat="false" ht="15" hidden="false" customHeight="false" outlineLevel="0" collapsed="false">
      <c r="A399" s="6" t="s">
        <v>238</v>
      </c>
      <c r="B399" s="6" t="s">
        <v>160</v>
      </c>
      <c r="C399" s="6" t="s">
        <v>676</v>
      </c>
      <c r="D399" s="9" t="n">
        <v>0</v>
      </c>
    </row>
    <row r="400" customFormat="false" ht="15" hidden="false" customHeight="false" outlineLevel="0" collapsed="false">
      <c r="A400" s="6" t="s">
        <v>238</v>
      </c>
      <c r="B400" s="6" t="s">
        <v>160</v>
      </c>
      <c r="C400" s="6" t="s">
        <v>677</v>
      </c>
      <c r="D400" s="9" t="n">
        <v>827.4</v>
      </c>
    </row>
    <row r="401" customFormat="false" ht="15" hidden="false" customHeight="false" outlineLevel="0" collapsed="false">
      <c r="A401" s="6" t="s">
        <v>238</v>
      </c>
      <c r="B401" s="6" t="s">
        <v>160</v>
      </c>
      <c r="C401" s="6" t="s">
        <v>678</v>
      </c>
      <c r="D401" s="9" t="n">
        <v>655.4</v>
      </c>
    </row>
    <row r="402" customFormat="false" ht="15" hidden="false" customHeight="false" outlineLevel="0" collapsed="false">
      <c r="A402" s="6" t="s">
        <v>238</v>
      </c>
      <c r="B402" s="6" t="s">
        <v>160</v>
      </c>
      <c r="C402" s="6" t="s">
        <v>679</v>
      </c>
      <c r="D402" s="9" t="n">
        <v>655.4</v>
      </c>
    </row>
    <row r="403" customFormat="false" ht="15" hidden="false" customHeight="false" outlineLevel="0" collapsed="false">
      <c r="A403" s="6" t="s">
        <v>238</v>
      </c>
      <c r="B403" s="6" t="s">
        <v>160</v>
      </c>
      <c r="C403" s="6" t="s">
        <v>680</v>
      </c>
      <c r="D403" s="9" t="n">
        <v>0</v>
      </c>
    </row>
    <row r="404" customFormat="false" ht="15" hidden="false" customHeight="false" outlineLevel="0" collapsed="false">
      <c r="A404" s="6" t="s">
        <v>238</v>
      </c>
      <c r="B404" s="6" t="s">
        <v>28</v>
      </c>
      <c r="C404" s="6" t="s">
        <v>681</v>
      </c>
      <c r="D404" s="9" t="n">
        <v>304743.2</v>
      </c>
    </row>
    <row r="405" customFormat="false" ht="15" hidden="false" customHeight="false" outlineLevel="0" collapsed="false">
      <c r="A405" s="6" t="s">
        <v>238</v>
      </c>
      <c r="B405" s="6" t="s">
        <v>124</v>
      </c>
      <c r="C405" s="6" t="s">
        <v>598</v>
      </c>
      <c r="D405" s="9" t="n">
        <v>14778.5</v>
      </c>
    </row>
    <row r="406" customFormat="false" ht="15" hidden="false" customHeight="false" outlineLevel="0" collapsed="false">
      <c r="A406" s="6" t="s">
        <v>238</v>
      </c>
      <c r="B406" s="6" t="s">
        <v>21</v>
      </c>
      <c r="C406" s="6" t="s">
        <v>682</v>
      </c>
      <c r="D406" s="9" t="n">
        <v>22846.7</v>
      </c>
    </row>
    <row r="407" customFormat="false" ht="15" hidden="false" customHeight="false" outlineLevel="0" collapsed="false">
      <c r="A407" s="6" t="s">
        <v>238</v>
      </c>
      <c r="B407" s="6" t="s">
        <v>21</v>
      </c>
      <c r="C407" s="6" t="s">
        <v>683</v>
      </c>
      <c r="D407" s="9" t="n">
        <v>28632.9</v>
      </c>
    </row>
    <row r="408" customFormat="false" ht="15" hidden="false" customHeight="false" outlineLevel="0" collapsed="false">
      <c r="A408" s="6" t="s">
        <v>238</v>
      </c>
      <c r="B408" s="6" t="s">
        <v>21</v>
      </c>
      <c r="C408" s="6" t="s">
        <v>684</v>
      </c>
      <c r="D408" s="9" t="n">
        <v>27725.3</v>
      </c>
    </row>
    <row r="409" customFormat="false" ht="15" hidden="false" customHeight="false" outlineLevel="0" collapsed="false">
      <c r="A409" s="6" t="s">
        <v>238</v>
      </c>
      <c r="B409" s="6" t="s">
        <v>685</v>
      </c>
      <c r="C409" s="6" t="s">
        <v>686</v>
      </c>
      <c r="D409" s="9" t="n">
        <v>0</v>
      </c>
    </row>
    <row r="410" customFormat="false" ht="15" hidden="false" customHeight="false" outlineLevel="0" collapsed="false">
      <c r="A410" s="6" t="s">
        <v>238</v>
      </c>
      <c r="B410" s="6" t="s">
        <v>72</v>
      </c>
      <c r="C410" s="6" t="s">
        <v>687</v>
      </c>
      <c r="D410" s="9" t="n">
        <v>33059.8</v>
      </c>
    </row>
    <row r="411" customFormat="false" ht="15" hidden="false" customHeight="false" outlineLevel="0" collapsed="false">
      <c r="A411" s="6" t="s">
        <v>238</v>
      </c>
      <c r="B411" s="6" t="s">
        <v>36</v>
      </c>
      <c r="C411" s="6" t="s">
        <v>687</v>
      </c>
      <c r="D411" s="9" t="n">
        <v>110749.4</v>
      </c>
    </row>
    <row r="412" customFormat="false" ht="15" hidden="false" customHeight="false" outlineLevel="0" collapsed="false">
      <c r="A412" s="6" t="s">
        <v>238</v>
      </c>
      <c r="B412" s="6" t="s">
        <v>30</v>
      </c>
      <c r="C412" s="6" t="s">
        <v>687</v>
      </c>
      <c r="D412" s="9" t="n">
        <v>161994.9</v>
      </c>
    </row>
    <row r="413" customFormat="false" ht="15" hidden="false" customHeight="false" outlineLevel="0" collapsed="false">
      <c r="A413" s="6" t="s">
        <v>238</v>
      </c>
      <c r="B413" s="6" t="s">
        <v>29</v>
      </c>
      <c r="C413" s="6" t="s">
        <v>688</v>
      </c>
      <c r="D413" s="9" t="n">
        <v>137916.9</v>
      </c>
    </row>
    <row r="414" customFormat="false" ht="15" hidden="false" customHeight="false" outlineLevel="0" collapsed="false">
      <c r="A414" s="6" t="s">
        <v>238</v>
      </c>
      <c r="B414" s="6" t="s">
        <v>83</v>
      </c>
      <c r="C414" s="6" t="s">
        <v>688</v>
      </c>
      <c r="D414" s="9" t="n">
        <v>14776.5</v>
      </c>
    </row>
    <row r="415" customFormat="false" ht="15" hidden="false" customHeight="false" outlineLevel="0" collapsed="false">
      <c r="A415" s="6" t="s">
        <v>238</v>
      </c>
      <c r="B415" s="6" t="s">
        <v>136</v>
      </c>
      <c r="C415" s="6" t="s">
        <v>689</v>
      </c>
      <c r="D415" s="9" t="n">
        <v>1210.5</v>
      </c>
    </row>
    <row r="416" customFormat="false" ht="15" hidden="false" customHeight="false" outlineLevel="0" collapsed="false">
      <c r="A416" s="6" t="s">
        <v>238</v>
      </c>
      <c r="B416" s="6" t="s">
        <v>105</v>
      </c>
      <c r="C416" s="6" t="s">
        <v>690</v>
      </c>
      <c r="D416" s="9" t="n">
        <v>2730.6</v>
      </c>
    </row>
    <row r="417" customFormat="false" ht="15" hidden="false" customHeight="false" outlineLevel="0" collapsed="false">
      <c r="A417" s="6" t="s">
        <v>238</v>
      </c>
      <c r="B417" s="6" t="s">
        <v>98</v>
      </c>
      <c r="C417" s="6" t="s">
        <v>690</v>
      </c>
      <c r="D417" s="9" t="n">
        <v>3611.3</v>
      </c>
    </row>
    <row r="418" customFormat="false" ht="15" hidden="false" customHeight="false" outlineLevel="0" collapsed="false">
      <c r="A418" s="6" t="s">
        <v>238</v>
      </c>
      <c r="B418" s="6" t="s">
        <v>113</v>
      </c>
      <c r="C418" s="6" t="s">
        <v>690</v>
      </c>
      <c r="D418" s="9" t="n">
        <v>2549.6</v>
      </c>
    </row>
    <row r="419" customFormat="false" ht="15" hidden="false" customHeight="false" outlineLevel="0" collapsed="false">
      <c r="A419" s="6" t="s">
        <v>238</v>
      </c>
      <c r="B419" s="6" t="s">
        <v>157</v>
      </c>
      <c r="C419" s="6" t="s">
        <v>691</v>
      </c>
      <c r="D419" s="9" t="n">
        <v>635.4</v>
      </c>
    </row>
    <row r="420" customFormat="false" ht="15" hidden="false" customHeight="false" outlineLevel="0" collapsed="false">
      <c r="A420" s="6" t="s">
        <v>238</v>
      </c>
      <c r="B420" s="6" t="s">
        <v>692</v>
      </c>
      <c r="C420" s="6" t="s">
        <v>693</v>
      </c>
      <c r="D420" s="9" t="n">
        <v>0</v>
      </c>
    </row>
    <row r="421" customFormat="false" ht="15" hidden="false" customHeight="false" outlineLevel="0" collapsed="false">
      <c r="A421" s="6" t="s">
        <v>238</v>
      </c>
      <c r="B421" s="6" t="s">
        <v>694</v>
      </c>
      <c r="C421" s="6" t="s">
        <v>693</v>
      </c>
      <c r="D421" s="9" t="n">
        <v>0</v>
      </c>
    </row>
    <row r="422" customFormat="false" ht="15" hidden="false" customHeight="false" outlineLevel="0" collapsed="false">
      <c r="A422" s="6" t="s">
        <v>238</v>
      </c>
      <c r="B422" s="6" t="s">
        <v>191</v>
      </c>
      <c r="C422" s="6" t="s">
        <v>693</v>
      </c>
      <c r="D422" s="9" t="n">
        <v>-131.1</v>
      </c>
    </row>
    <row r="423" customFormat="false" ht="15" hidden="false" customHeight="false" outlineLevel="0" collapsed="false">
      <c r="A423" s="6" t="s">
        <v>238</v>
      </c>
      <c r="B423" s="6" t="s">
        <v>193</v>
      </c>
      <c r="C423" s="6" t="s">
        <v>695</v>
      </c>
      <c r="D423" s="9" t="n">
        <v>0</v>
      </c>
    </row>
    <row r="424" customFormat="false" ht="15" hidden="false" customHeight="false" outlineLevel="0" collapsed="false">
      <c r="A424" s="6" t="s">
        <v>238</v>
      </c>
      <c r="B424" s="6" t="s">
        <v>192</v>
      </c>
      <c r="C424" s="6" t="s">
        <v>693</v>
      </c>
      <c r="D424" s="9" t="n">
        <v>-131.1</v>
      </c>
    </row>
    <row r="425" customFormat="false" ht="15" hidden="false" customHeight="false" outlineLevel="0" collapsed="false">
      <c r="A425" s="6" t="s">
        <v>238</v>
      </c>
      <c r="B425" s="6" t="s">
        <v>126</v>
      </c>
      <c r="C425" s="6" t="s">
        <v>696</v>
      </c>
      <c r="D425" s="9" t="n">
        <v>4430.4</v>
      </c>
    </row>
    <row r="426" customFormat="false" ht="15" hidden="false" customHeight="false" outlineLevel="0" collapsed="false">
      <c r="A426" s="6" t="s">
        <v>238</v>
      </c>
      <c r="B426" s="6" t="s">
        <v>126</v>
      </c>
      <c r="C426" s="6" t="s">
        <v>697</v>
      </c>
      <c r="D426" s="9" t="n">
        <v>1926.9</v>
      </c>
    </row>
    <row r="427" customFormat="false" ht="15" hidden="false" customHeight="false" outlineLevel="0" collapsed="false">
      <c r="A427" s="6" t="s">
        <v>238</v>
      </c>
      <c r="B427" s="6" t="s">
        <v>126</v>
      </c>
      <c r="C427" s="6" t="s">
        <v>698</v>
      </c>
      <c r="D427" s="9" t="n">
        <v>-101.1</v>
      </c>
    </row>
    <row r="428" customFormat="false" ht="15" hidden="false" customHeight="false" outlineLevel="0" collapsed="false">
      <c r="A428" s="6" t="s">
        <v>238</v>
      </c>
      <c r="B428" s="6" t="s">
        <v>165</v>
      </c>
      <c r="C428" s="6" t="s">
        <v>699</v>
      </c>
      <c r="D428" s="9" t="n">
        <v>-85.7</v>
      </c>
    </row>
    <row r="429" customFormat="false" ht="15" hidden="false" customHeight="false" outlineLevel="0" collapsed="false">
      <c r="A429" s="6" t="s">
        <v>238</v>
      </c>
      <c r="B429" s="6" t="s">
        <v>165</v>
      </c>
      <c r="C429" s="6" t="s">
        <v>700</v>
      </c>
      <c r="D429" s="9" t="n">
        <v>-92.1</v>
      </c>
    </row>
    <row r="430" customFormat="false" ht="15" hidden="false" customHeight="false" outlineLevel="0" collapsed="false">
      <c r="A430" s="6" t="s">
        <v>238</v>
      </c>
      <c r="B430" s="6" t="s">
        <v>165</v>
      </c>
      <c r="C430" s="6" t="s">
        <v>701</v>
      </c>
      <c r="D430" s="9" t="n">
        <v>-921.4</v>
      </c>
    </row>
    <row r="431" customFormat="false" ht="15" hidden="false" customHeight="false" outlineLevel="0" collapsed="false">
      <c r="A431" s="6" t="s">
        <v>238</v>
      </c>
      <c r="B431" s="6" t="s">
        <v>165</v>
      </c>
      <c r="C431" s="6" t="s">
        <v>702</v>
      </c>
      <c r="D431" s="9" t="n">
        <v>0</v>
      </c>
    </row>
    <row r="432" customFormat="false" ht="15" hidden="false" customHeight="false" outlineLevel="0" collapsed="false">
      <c r="A432" s="6" t="s">
        <v>238</v>
      </c>
      <c r="B432" s="6" t="s">
        <v>356</v>
      </c>
      <c r="C432" s="6" t="s">
        <v>703</v>
      </c>
      <c r="D432" s="9" t="n">
        <v>0</v>
      </c>
    </row>
    <row r="433" customFormat="false" ht="15" hidden="false" customHeight="false" outlineLevel="0" collapsed="false">
      <c r="A433" s="6" t="s">
        <v>238</v>
      </c>
      <c r="B433" s="6" t="s">
        <v>704</v>
      </c>
      <c r="C433" s="6" t="s">
        <v>705</v>
      </c>
      <c r="D433" s="9" t="n">
        <v>0</v>
      </c>
    </row>
    <row r="434" customFormat="false" ht="15" hidden="false" customHeight="false" outlineLevel="0" collapsed="false">
      <c r="A434" s="6" t="s">
        <v>238</v>
      </c>
      <c r="B434" s="6" t="s">
        <v>706</v>
      </c>
      <c r="C434" s="6" t="s">
        <v>705</v>
      </c>
      <c r="D434" s="9" t="n">
        <v>0</v>
      </c>
    </row>
    <row r="435" customFormat="false" ht="15" hidden="false" customHeight="false" outlineLevel="0" collapsed="false">
      <c r="A435" s="6" t="s">
        <v>238</v>
      </c>
      <c r="B435" s="6" t="s">
        <v>707</v>
      </c>
      <c r="C435" s="6" t="s">
        <v>705</v>
      </c>
      <c r="D435" s="9" t="n">
        <v>0</v>
      </c>
    </row>
    <row r="436" customFormat="false" ht="15" hidden="false" customHeight="false" outlineLevel="0" collapsed="false">
      <c r="A436" s="6" t="s">
        <v>238</v>
      </c>
      <c r="B436" s="6" t="s">
        <v>708</v>
      </c>
      <c r="C436" s="6" t="s">
        <v>705</v>
      </c>
      <c r="D436" s="9" t="n">
        <v>0</v>
      </c>
    </row>
    <row r="437" customFormat="false" ht="15" hidden="false" customHeight="false" outlineLevel="0" collapsed="false">
      <c r="A437" s="6" t="s">
        <v>238</v>
      </c>
      <c r="B437" s="6" t="s">
        <v>53</v>
      </c>
      <c r="C437" s="6" t="s">
        <v>709</v>
      </c>
      <c r="D437" s="9" t="n">
        <v>32148.2</v>
      </c>
    </row>
    <row r="438" customFormat="false" ht="15" hidden="false" customHeight="false" outlineLevel="0" collapsed="false">
      <c r="A438" s="6" t="s">
        <v>238</v>
      </c>
      <c r="B438" s="6" t="s">
        <v>46</v>
      </c>
      <c r="C438" s="6" t="s">
        <v>709</v>
      </c>
      <c r="D438" s="9" t="n">
        <v>48495.6</v>
      </c>
    </row>
    <row r="439" customFormat="false" ht="15" hidden="false" customHeight="false" outlineLevel="0" collapsed="false">
      <c r="A439" s="6" t="s">
        <v>238</v>
      </c>
      <c r="B439" s="6" t="s">
        <v>47</v>
      </c>
      <c r="C439" s="6" t="s">
        <v>709</v>
      </c>
      <c r="D439" s="9" t="n">
        <v>49688.4</v>
      </c>
    </row>
    <row r="440" customFormat="false" ht="15" hidden="false" customHeight="false" outlineLevel="0" collapsed="false">
      <c r="A440" s="6" t="s">
        <v>238</v>
      </c>
      <c r="B440" s="6" t="s">
        <v>51</v>
      </c>
      <c r="C440" s="6" t="s">
        <v>709</v>
      </c>
      <c r="D440" s="9" t="n">
        <v>45598.1</v>
      </c>
    </row>
    <row r="441" customFormat="false" ht="15" hidden="false" customHeight="false" outlineLevel="0" collapsed="false">
      <c r="A441" s="6" t="s">
        <v>238</v>
      </c>
      <c r="B441" s="6" t="s">
        <v>38</v>
      </c>
      <c r="C441" s="6" t="s">
        <v>710</v>
      </c>
      <c r="D441" s="9" t="n">
        <v>22578.4</v>
      </c>
    </row>
    <row r="442" customFormat="false" ht="15" hidden="false" customHeight="false" outlineLevel="0" collapsed="false">
      <c r="A442" s="6" t="s">
        <v>238</v>
      </c>
      <c r="B442" s="6" t="s">
        <v>711</v>
      </c>
      <c r="C442" s="6" t="s">
        <v>712</v>
      </c>
      <c r="D442" s="9" t="n">
        <v>0</v>
      </c>
    </row>
    <row r="443" customFormat="false" ht="15" hidden="false" customHeight="false" outlineLevel="0" collapsed="false">
      <c r="A443" s="6" t="s">
        <v>238</v>
      </c>
      <c r="B443" s="6" t="s">
        <v>40</v>
      </c>
      <c r="C443" s="6" t="s">
        <v>713</v>
      </c>
      <c r="D443" s="9" t="n">
        <v>28021.7</v>
      </c>
    </row>
    <row r="444" customFormat="false" ht="15" hidden="false" customHeight="false" outlineLevel="0" collapsed="false">
      <c r="A444" s="6" t="s">
        <v>238</v>
      </c>
      <c r="B444" s="6" t="s">
        <v>40</v>
      </c>
      <c r="C444" s="6" t="s">
        <v>714</v>
      </c>
      <c r="D444" s="9" t="n">
        <v>18857.2</v>
      </c>
    </row>
    <row r="445" customFormat="false" ht="15" hidden="false" customHeight="false" outlineLevel="0" collapsed="false">
      <c r="A445" s="6" t="s">
        <v>238</v>
      </c>
      <c r="B445" s="6" t="s">
        <v>40</v>
      </c>
      <c r="C445" s="6" t="s">
        <v>715</v>
      </c>
      <c r="D445" s="9" t="n">
        <v>21400.4</v>
      </c>
    </row>
    <row r="446" customFormat="false" ht="15" hidden="false" customHeight="false" outlineLevel="0" collapsed="false">
      <c r="A446" s="6" t="s">
        <v>238</v>
      </c>
      <c r="B446" s="6" t="s">
        <v>40</v>
      </c>
      <c r="C446" s="6" t="s">
        <v>716</v>
      </c>
      <c r="D446" s="9" t="n">
        <v>8929.8</v>
      </c>
    </row>
    <row r="447" customFormat="false" ht="15" hidden="false" customHeight="false" outlineLevel="0" collapsed="false">
      <c r="A447" s="6" t="s">
        <v>238</v>
      </c>
      <c r="B447" s="6" t="s">
        <v>40</v>
      </c>
      <c r="C447" s="6" t="s">
        <v>717</v>
      </c>
      <c r="D447" s="9" t="n">
        <v>0</v>
      </c>
    </row>
    <row r="448" customFormat="false" ht="15" hidden="false" customHeight="false" outlineLevel="0" collapsed="false">
      <c r="A448" s="6" t="s">
        <v>238</v>
      </c>
      <c r="B448" s="6" t="s">
        <v>40</v>
      </c>
      <c r="C448" s="6" t="s">
        <v>718</v>
      </c>
      <c r="D448" s="9" t="n">
        <v>0</v>
      </c>
    </row>
    <row r="449" customFormat="false" ht="15" hidden="false" customHeight="false" outlineLevel="0" collapsed="false">
      <c r="A449" s="6" t="s">
        <v>238</v>
      </c>
      <c r="B449" s="6" t="s">
        <v>56</v>
      </c>
      <c r="C449" s="6" t="s">
        <v>719</v>
      </c>
      <c r="D449" s="9" t="n">
        <v>63005.9</v>
      </c>
    </row>
    <row r="450" customFormat="false" ht="15" hidden="false" customHeight="false" outlineLevel="0" collapsed="false">
      <c r="A450" s="6" t="s">
        <v>238</v>
      </c>
      <c r="B450" s="6" t="s">
        <v>171</v>
      </c>
      <c r="C450" s="6" t="s">
        <v>720</v>
      </c>
      <c r="D450" s="9" t="n">
        <v>2147.5</v>
      </c>
    </row>
    <row r="451" customFormat="false" ht="15" hidden="false" customHeight="false" outlineLevel="0" collapsed="false">
      <c r="A451" s="6" t="s">
        <v>238</v>
      </c>
      <c r="B451" s="6" t="s">
        <v>711</v>
      </c>
      <c r="C451" s="6" t="s">
        <v>721</v>
      </c>
      <c r="D451" s="9" t="n">
        <v>0</v>
      </c>
    </row>
    <row r="452" customFormat="false" ht="15" hidden="false" customHeight="false" outlineLevel="0" collapsed="false">
      <c r="A452" s="6" t="s">
        <v>238</v>
      </c>
      <c r="B452" s="6" t="s">
        <v>25</v>
      </c>
      <c r="C452" s="6" t="s">
        <v>722</v>
      </c>
      <c r="D452" s="9" t="n">
        <v>38220.3</v>
      </c>
    </row>
    <row r="453" customFormat="false" ht="15" hidden="false" customHeight="false" outlineLevel="0" collapsed="false">
      <c r="A453" s="6" t="s">
        <v>238</v>
      </c>
      <c r="B453" s="6" t="s">
        <v>25</v>
      </c>
      <c r="C453" s="6" t="s">
        <v>723</v>
      </c>
      <c r="D453" s="9" t="n">
        <v>86595.2</v>
      </c>
    </row>
    <row r="454" customFormat="false" ht="15" hidden="false" customHeight="false" outlineLevel="0" collapsed="false">
      <c r="A454" s="6" t="s">
        <v>238</v>
      </c>
      <c r="B454" s="6" t="s">
        <v>25</v>
      </c>
      <c r="C454" s="6" t="s">
        <v>724</v>
      </c>
      <c r="D454" s="9" t="n">
        <v>82929.1</v>
      </c>
    </row>
    <row r="455" customFormat="false" ht="15" hidden="false" customHeight="false" outlineLevel="0" collapsed="false">
      <c r="A455" s="6" t="s">
        <v>238</v>
      </c>
      <c r="B455" s="6" t="s">
        <v>25</v>
      </c>
      <c r="C455" s="6" t="s">
        <v>725</v>
      </c>
      <c r="D455" s="9" t="n">
        <v>71479.1</v>
      </c>
    </row>
    <row r="456" customFormat="false" ht="15" hidden="false" customHeight="false" outlineLevel="0" collapsed="false">
      <c r="A456" s="6" t="s">
        <v>238</v>
      </c>
      <c r="B456" s="6" t="s">
        <v>25</v>
      </c>
      <c r="C456" s="6" t="s">
        <v>726</v>
      </c>
      <c r="D456" s="9" t="n">
        <v>11165</v>
      </c>
    </row>
    <row r="457" customFormat="false" ht="15" hidden="false" customHeight="false" outlineLevel="0" collapsed="false">
      <c r="A457" s="6" t="s">
        <v>238</v>
      </c>
      <c r="B457" s="6" t="s">
        <v>19</v>
      </c>
      <c r="C457" s="6" t="s">
        <v>727</v>
      </c>
      <c r="D457" s="9" t="n">
        <v>0</v>
      </c>
    </row>
    <row r="458" customFormat="false" ht="15" hidden="false" customHeight="false" outlineLevel="0" collapsed="false">
      <c r="A458" s="6" t="s">
        <v>238</v>
      </c>
      <c r="B458" s="6" t="s">
        <v>173</v>
      </c>
      <c r="C458" s="6" t="s">
        <v>728</v>
      </c>
      <c r="D458" s="9" t="n">
        <v>0</v>
      </c>
    </row>
    <row r="459" customFormat="false" ht="15" hidden="false" customHeight="false" outlineLevel="0" collapsed="false">
      <c r="A459" s="6" t="s">
        <v>238</v>
      </c>
      <c r="B459" s="6" t="s">
        <v>90</v>
      </c>
      <c r="C459" s="6" t="s">
        <v>729</v>
      </c>
      <c r="D459" s="9" t="n">
        <v>18579.7</v>
      </c>
    </row>
    <row r="460" customFormat="false" ht="15" hidden="false" customHeight="false" outlineLevel="0" collapsed="false">
      <c r="A460" s="6" t="s">
        <v>238</v>
      </c>
      <c r="B460" s="6" t="s">
        <v>135</v>
      </c>
      <c r="C460" s="6" t="s">
        <v>729</v>
      </c>
      <c r="D460" s="9" t="n">
        <v>28832.9</v>
      </c>
    </row>
    <row r="461" customFormat="false" ht="15" hidden="false" customHeight="false" outlineLevel="0" collapsed="false">
      <c r="A461" s="6" t="s">
        <v>238</v>
      </c>
      <c r="B461" s="6" t="s">
        <v>149</v>
      </c>
      <c r="C461" s="6" t="s">
        <v>729</v>
      </c>
      <c r="D461" s="9" t="n">
        <v>26241.7</v>
      </c>
    </row>
    <row r="462" customFormat="false" ht="15" hidden="false" customHeight="false" outlineLevel="0" collapsed="false">
      <c r="A462" s="6" t="s">
        <v>238</v>
      </c>
      <c r="B462" s="6" t="s">
        <v>150</v>
      </c>
      <c r="C462" s="6" t="s">
        <v>729</v>
      </c>
      <c r="D462" s="9" t="n">
        <v>16083.8</v>
      </c>
    </row>
    <row r="463" customFormat="false" ht="15" hidden="false" customHeight="false" outlineLevel="0" collapsed="false">
      <c r="A463" s="6" t="s">
        <v>238</v>
      </c>
      <c r="B463" s="6" t="s">
        <v>214</v>
      </c>
      <c r="C463" s="6" t="s">
        <v>730</v>
      </c>
      <c r="D463" s="9" t="n">
        <v>0</v>
      </c>
    </row>
    <row r="464" customFormat="false" ht="15" hidden="false" customHeight="false" outlineLevel="0" collapsed="false">
      <c r="A464" s="6" t="s">
        <v>238</v>
      </c>
      <c r="B464" s="6" t="s">
        <v>145</v>
      </c>
      <c r="C464" s="6" t="s">
        <v>731</v>
      </c>
      <c r="D464" s="9" t="n">
        <v>1434.1</v>
      </c>
    </row>
    <row r="465" customFormat="false" ht="15" hidden="false" customHeight="false" outlineLevel="0" collapsed="false">
      <c r="A465" s="6" t="s">
        <v>238</v>
      </c>
      <c r="B465" s="6" t="s">
        <v>732</v>
      </c>
      <c r="C465" s="6" t="s">
        <v>733</v>
      </c>
      <c r="D465" s="9" t="n">
        <v>0</v>
      </c>
    </row>
    <row r="466" customFormat="false" ht="15" hidden="false" customHeight="false" outlineLevel="0" collapsed="false">
      <c r="A466" s="6" t="s">
        <v>238</v>
      </c>
      <c r="B466" s="6" t="s">
        <v>734</v>
      </c>
      <c r="C466" s="6" t="s">
        <v>733</v>
      </c>
      <c r="D466" s="9" t="n">
        <v>0</v>
      </c>
    </row>
    <row r="467" customFormat="false" ht="15" hidden="false" customHeight="false" outlineLevel="0" collapsed="false">
      <c r="A467" s="6" t="s">
        <v>238</v>
      </c>
      <c r="B467" s="6" t="s">
        <v>735</v>
      </c>
      <c r="C467" s="6" t="s">
        <v>733</v>
      </c>
      <c r="D467" s="9" t="n">
        <v>0</v>
      </c>
    </row>
    <row r="468" customFormat="false" ht="15" hidden="false" customHeight="false" outlineLevel="0" collapsed="false">
      <c r="A468" s="6" t="s">
        <v>238</v>
      </c>
      <c r="B468" s="6" t="s">
        <v>71</v>
      </c>
      <c r="C468" s="6" t="s">
        <v>736</v>
      </c>
      <c r="D468" s="9" t="n">
        <v>27666.3</v>
      </c>
    </row>
    <row r="469" customFormat="false" ht="15" hidden="false" customHeight="false" outlineLevel="0" collapsed="false">
      <c r="A469" s="6" t="s">
        <v>238</v>
      </c>
      <c r="B469" s="6" t="s">
        <v>45</v>
      </c>
      <c r="C469" s="6" t="s">
        <v>737</v>
      </c>
      <c r="D469" s="9" t="n">
        <v>32526.4</v>
      </c>
    </row>
    <row r="470" customFormat="false" ht="15" hidden="false" customHeight="false" outlineLevel="0" collapsed="false">
      <c r="A470" s="6" t="s">
        <v>238</v>
      </c>
      <c r="B470" s="6" t="s">
        <v>68</v>
      </c>
      <c r="C470" s="6" t="s">
        <v>737</v>
      </c>
      <c r="D470" s="9" t="n">
        <v>28005.4</v>
      </c>
    </row>
    <row r="471" customFormat="false" ht="15" hidden="false" customHeight="false" outlineLevel="0" collapsed="false">
      <c r="A471" s="6" t="s">
        <v>238</v>
      </c>
      <c r="B471" s="6" t="s">
        <v>67</v>
      </c>
      <c r="C471" s="6" t="s">
        <v>737</v>
      </c>
      <c r="D471" s="9" t="n">
        <v>17832.6</v>
      </c>
    </row>
    <row r="472" customFormat="false" ht="15" hidden="false" customHeight="false" outlineLevel="0" collapsed="false">
      <c r="A472" s="6" t="s">
        <v>238</v>
      </c>
      <c r="B472" s="6" t="s">
        <v>104</v>
      </c>
      <c r="C472" s="6" t="s">
        <v>737</v>
      </c>
      <c r="D472" s="9" t="n">
        <v>9936.3</v>
      </c>
    </row>
    <row r="473" customFormat="false" ht="15" hidden="false" customHeight="false" outlineLevel="0" collapsed="false">
      <c r="A473" s="6" t="s">
        <v>238</v>
      </c>
      <c r="B473" s="6" t="s">
        <v>161</v>
      </c>
      <c r="C473" s="6" t="s">
        <v>738</v>
      </c>
      <c r="D473" s="9" t="n">
        <v>0</v>
      </c>
    </row>
    <row r="474" customFormat="false" ht="15" hidden="false" customHeight="false" outlineLevel="0" collapsed="false">
      <c r="A474" s="6" t="s">
        <v>238</v>
      </c>
      <c r="B474" s="6" t="s">
        <v>161</v>
      </c>
      <c r="C474" s="6" t="s">
        <v>739</v>
      </c>
      <c r="D474" s="9" t="n">
        <v>964.7</v>
      </c>
    </row>
    <row r="475" customFormat="false" ht="15" hidden="false" customHeight="false" outlineLevel="0" collapsed="false">
      <c r="A475" s="6" t="s">
        <v>238</v>
      </c>
      <c r="B475" s="6" t="s">
        <v>161</v>
      </c>
      <c r="C475" s="6" t="s">
        <v>740</v>
      </c>
      <c r="D475" s="9" t="n">
        <v>452.2</v>
      </c>
    </row>
    <row r="476" customFormat="false" ht="15" hidden="false" customHeight="false" outlineLevel="0" collapsed="false">
      <c r="A476" s="6" t="s">
        <v>238</v>
      </c>
      <c r="B476" s="6" t="s">
        <v>161</v>
      </c>
      <c r="C476" s="6" t="s">
        <v>741</v>
      </c>
      <c r="D476" s="9" t="n">
        <v>1117.4</v>
      </c>
    </row>
    <row r="477" customFormat="false" ht="15" hidden="false" customHeight="false" outlineLevel="0" collapsed="false">
      <c r="A477" s="6" t="s">
        <v>238</v>
      </c>
      <c r="B477" s="6" t="s">
        <v>141</v>
      </c>
      <c r="C477" s="6" t="s">
        <v>742</v>
      </c>
      <c r="D477" s="9" t="n">
        <v>510.3</v>
      </c>
    </row>
    <row r="478" customFormat="false" ht="15" hidden="false" customHeight="false" outlineLevel="0" collapsed="false">
      <c r="A478" s="6" t="s">
        <v>238</v>
      </c>
      <c r="B478" s="6" t="s">
        <v>141</v>
      </c>
      <c r="C478" s="6" t="s">
        <v>743</v>
      </c>
      <c r="D478" s="9" t="n">
        <v>607.1</v>
      </c>
    </row>
    <row r="479" customFormat="false" ht="15" hidden="false" customHeight="false" outlineLevel="0" collapsed="false">
      <c r="A479" s="6" t="s">
        <v>238</v>
      </c>
      <c r="B479" s="6" t="s">
        <v>141</v>
      </c>
      <c r="C479" s="6" t="s">
        <v>744</v>
      </c>
      <c r="D479" s="9" t="n">
        <v>1933</v>
      </c>
    </row>
    <row r="480" customFormat="false" ht="15" hidden="false" customHeight="false" outlineLevel="0" collapsed="false">
      <c r="A480" s="6" t="s">
        <v>238</v>
      </c>
      <c r="B480" s="6" t="s">
        <v>141</v>
      </c>
      <c r="C480" s="6" t="s">
        <v>745</v>
      </c>
      <c r="D480" s="9" t="n">
        <v>964.7</v>
      </c>
    </row>
    <row r="481" customFormat="false" ht="15" hidden="false" customHeight="false" outlineLevel="0" collapsed="false">
      <c r="A481" s="6" t="s">
        <v>238</v>
      </c>
      <c r="B481" s="6" t="s">
        <v>134</v>
      </c>
      <c r="C481" s="6" t="s">
        <v>526</v>
      </c>
      <c r="D481" s="9" t="n">
        <v>0</v>
      </c>
    </row>
    <row r="482" customFormat="false" ht="15" hidden="false" customHeight="false" outlineLevel="0" collapsed="false">
      <c r="A482" s="6" t="s">
        <v>238</v>
      </c>
      <c r="B482" s="6" t="s">
        <v>134</v>
      </c>
      <c r="C482" s="6" t="s">
        <v>525</v>
      </c>
      <c r="D482" s="9" t="n">
        <v>1479.8</v>
      </c>
    </row>
    <row r="483" customFormat="false" ht="15" hidden="false" customHeight="false" outlineLevel="0" collapsed="false">
      <c r="A483" s="6" t="s">
        <v>238</v>
      </c>
      <c r="B483" s="6" t="s">
        <v>134</v>
      </c>
      <c r="C483" s="6" t="s">
        <v>527</v>
      </c>
      <c r="D483" s="9" t="n">
        <v>407.3</v>
      </c>
    </row>
    <row r="484" customFormat="false" ht="15" hidden="false" customHeight="false" outlineLevel="0" collapsed="false">
      <c r="A484" s="6" t="s">
        <v>238</v>
      </c>
      <c r="B484" s="6" t="s">
        <v>134</v>
      </c>
      <c r="C484" s="6" t="s">
        <v>524</v>
      </c>
      <c r="D484" s="9" t="n">
        <v>285.1</v>
      </c>
    </row>
    <row r="485" customFormat="false" ht="15" hidden="false" customHeight="false" outlineLevel="0" collapsed="false">
      <c r="A485" s="6" t="s">
        <v>238</v>
      </c>
      <c r="B485" s="6" t="s">
        <v>134</v>
      </c>
      <c r="C485" s="6" t="s">
        <v>746</v>
      </c>
      <c r="D485" s="9" t="n">
        <v>0</v>
      </c>
    </row>
    <row r="486" customFormat="false" ht="15" hidden="false" customHeight="false" outlineLevel="0" collapsed="false">
      <c r="A486" s="6" t="s">
        <v>238</v>
      </c>
      <c r="B486" s="6" t="s">
        <v>125</v>
      </c>
      <c r="C486" s="6" t="s">
        <v>747</v>
      </c>
      <c r="D486" s="9" t="n">
        <v>0</v>
      </c>
    </row>
    <row r="487" customFormat="false" ht="15" hidden="false" customHeight="false" outlineLevel="0" collapsed="false">
      <c r="A487" s="6" t="s">
        <v>238</v>
      </c>
      <c r="B487" s="6" t="s">
        <v>125</v>
      </c>
      <c r="C487" s="6" t="s">
        <v>748</v>
      </c>
      <c r="D487" s="9" t="n">
        <v>1918.1</v>
      </c>
    </row>
    <row r="488" customFormat="false" ht="15" hidden="false" customHeight="false" outlineLevel="0" collapsed="false">
      <c r="A488" s="6" t="s">
        <v>238</v>
      </c>
      <c r="B488" s="6" t="s">
        <v>125</v>
      </c>
      <c r="C488" s="6" t="s">
        <v>749</v>
      </c>
      <c r="D488" s="9" t="n">
        <v>1638.8</v>
      </c>
    </row>
    <row r="489" customFormat="false" ht="15" hidden="false" customHeight="false" outlineLevel="0" collapsed="false">
      <c r="A489" s="6" t="s">
        <v>238</v>
      </c>
      <c r="B489" s="6" t="s">
        <v>125</v>
      </c>
      <c r="C489" s="6" t="s">
        <v>750</v>
      </c>
      <c r="D489" s="9" t="n">
        <v>0</v>
      </c>
    </row>
    <row r="490" customFormat="false" ht="15" hidden="false" customHeight="false" outlineLevel="0" collapsed="false">
      <c r="A490" s="6" t="s">
        <v>238</v>
      </c>
      <c r="B490" s="6" t="s">
        <v>140</v>
      </c>
      <c r="C490" s="6" t="s">
        <v>751</v>
      </c>
      <c r="D490" s="9" t="n">
        <v>0</v>
      </c>
    </row>
    <row r="491" customFormat="false" ht="15" hidden="false" customHeight="false" outlineLevel="0" collapsed="false">
      <c r="A491" s="6" t="s">
        <v>238</v>
      </c>
      <c r="B491" s="6" t="s">
        <v>140</v>
      </c>
      <c r="C491" s="6" t="s">
        <v>752</v>
      </c>
      <c r="D491" s="9" t="n">
        <v>1772.9</v>
      </c>
    </row>
    <row r="492" customFormat="false" ht="15" hidden="false" customHeight="false" outlineLevel="0" collapsed="false">
      <c r="A492" s="6" t="s">
        <v>238</v>
      </c>
      <c r="B492" s="6" t="s">
        <v>140</v>
      </c>
      <c r="C492" s="6" t="s">
        <v>753</v>
      </c>
      <c r="D492" s="9" t="n">
        <v>1549.4</v>
      </c>
    </row>
    <row r="493" customFormat="false" ht="15" hidden="false" customHeight="false" outlineLevel="0" collapsed="false">
      <c r="A493" s="6" t="s">
        <v>238</v>
      </c>
      <c r="B493" s="6" t="s">
        <v>140</v>
      </c>
      <c r="C493" s="6" t="s">
        <v>754</v>
      </c>
      <c r="D493" s="9" t="n">
        <v>815.7</v>
      </c>
    </row>
    <row r="494" customFormat="false" ht="15" hidden="false" customHeight="false" outlineLevel="0" collapsed="false">
      <c r="A494" s="6" t="s">
        <v>238</v>
      </c>
      <c r="B494" s="6" t="s">
        <v>181</v>
      </c>
      <c r="C494" s="6" t="s">
        <v>755</v>
      </c>
      <c r="D494" s="9" t="n">
        <v>-213</v>
      </c>
    </row>
    <row r="495" customFormat="false" ht="15" hidden="false" customHeight="false" outlineLevel="0" collapsed="false">
      <c r="A495" s="6" t="s">
        <v>238</v>
      </c>
      <c r="B495" s="6" t="s">
        <v>202</v>
      </c>
      <c r="C495" s="6" t="s">
        <v>755</v>
      </c>
      <c r="D495" s="9" t="n">
        <v>-106.5</v>
      </c>
    </row>
    <row r="496" customFormat="false" ht="15" hidden="false" customHeight="false" outlineLevel="0" collapsed="false">
      <c r="A496" s="6" t="s">
        <v>238</v>
      </c>
      <c r="B496" s="6" t="s">
        <v>203</v>
      </c>
      <c r="C496" s="6" t="s">
        <v>755</v>
      </c>
      <c r="D496" s="9" t="n">
        <v>-106.5</v>
      </c>
    </row>
    <row r="497" customFormat="false" ht="15" hidden="false" customHeight="false" outlineLevel="0" collapsed="false">
      <c r="A497" s="6" t="s">
        <v>238</v>
      </c>
      <c r="B497" s="6" t="s">
        <v>201</v>
      </c>
      <c r="C497" s="6" t="s">
        <v>755</v>
      </c>
      <c r="D497" s="9" t="n">
        <v>-106.5</v>
      </c>
    </row>
    <row r="498" customFormat="false" ht="15" hidden="false" customHeight="false" outlineLevel="0" collapsed="false">
      <c r="A498" s="6" t="s">
        <v>238</v>
      </c>
      <c r="B498" s="6" t="s">
        <v>155</v>
      </c>
      <c r="C498" s="6" t="s">
        <v>756</v>
      </c>
      <c r="D498" s="9" t="n">
        <v>1880.3</v>
      </c>
    </row>
    <row r="499" customFormat="false" ht="15" hidden="false" customHeight="false" outlineLevel="0" collapsed="false">
      <c r="A499" s="6" t="s">
        <v>238</v>
      </c>
      <c r="B499" s="6" t="s">
        <v>155</v>
      </c>
      <c r="C499" s="6" t="s">
        <v>757</v>
      </c>
      <c r="D499" s="9" t="n">
        <v>2674.5</v>
      </c>
    </row>
    <row r="500" customFormat="false" ht="15" hidden="false" customHeight="false" outlineLevel="0" collapsed="false">
      <c r="A500" s="6" t="s">
        <v>238</v>
      </c>
      <c r="B500" s="6" t="s">
        <v>155</v>
      </c>
      <c r="C500" s="6" t="s">
        <v>758</v>
      </c>
      <c r="D500" s="9" t="n">
        <v>4167.8</v>
      </c>
    </row>
    <row r="501" customFormat="false" ht="15" hidden="false" customHeight="false" outlineLevel="0" collapsed="false">
      <c r="A501" s="6" t="s">
        <v>238</v>
      </c>
      <c r="B501" s="6" t="s">
        <v>155</v>
      </c>
      <c r="C501" s="6" t="s">
        <v>759</v>
      </c>
      <c r="D501" s="9" t="n">
        <v>1751.3</v>
      </c>
    </row>
    <row r="502" customFormat="false" ht="15" hidden="false" customHeight="false" outlineLevel="0" collapsed="false">
      <c r="A502" s="6" t="s">
        <v>238</v>
      </c>
      <c r="B502" s="6" t="s">
        <v>155</v>
      </c>
      <c r="C502" s="6" t="s">
        <v>760</v>
      </c>
      <c r="D502" s="9" t="n">
        <v>469.1</v>
      </c>
    </row>
    <row r="503" customFormat="false" ht="15" hidden="false" customHeight="false" outlineLevel="0" collapsed="false">
      <c r="A503" s="6" t="s">
        <v>238</v>
      </c>
      <c r="B503" s="6" t="s">
        <v>173</v>
      </c>
      <c r="C503" s="6" t="s">
        <v>761</v>
      </c>
      <c r="D503" s="9" t="n">
        <v>-570.3</v>
      </c>
    </row>
    <row r="504" customFormat="false" ht="15" hidden="false" customHeight="false" outlineLevel="0" collapsed="false">
      <c r="A504" s="6" t="s">
        <v>238</v>
      </c>
      <c r="B504" s="6" t="s">
        <v>206</v>
      </c>
      <c r="C504" s="6" t="s">
        <v>762</v>
      </c>
      <c r="D504" s="9" t="n">
        <v>0</v>
      </c>
    </row>
    <row r="505" customFormat="false" ht="15" hidden="false" customHeight="false" outlineLevel="0" collapsed="false">
      <c r="A505" s="6" t="s">
        <v>238</v>
      </c>
      <c r="B505" s="6" t="s">
        <v>206</v>
      </c>
      <c r="C505" s="6" t="s">
        <v>763</v>
      </c>
      <c r="D505" s="9" t="n">
        <v>-188.4</v>
      </c>
    </row>
    <row r="506" customFormat="false" ht="15" hidden="false" customHeight="false" outlineLevel="0" collapsed="false">
      <c r="A506" s="6" t="s">
        <v>238</v>
      </c>
      <c r="B506" s="6" t="s">
        <v>764</v>
      </c>
      <c r="C506" s="6" t="s">
        <v>765</v>
      </c>
      <c r="D506" s="9" t="n">
        <v>0</v>
      </c>
    </row>
    <row r="507" customFormat="false" ht="15" hidden="false" customHeight="false" outlineLevel="0" collapsed="false">
      <c r="A507" s="6" t="s">
        <v>238</v>
      </c>
      <c r="B507" s="6" t="s">
        <v>764</v>
      </c>
      <c r="C507" s="6" t="s">
        <v>766</v>
      </c>
      <c r="D507" s="9" t="n">
        <v>0</v>
      </c>
    </row>
    <row r="508" customFormat="false" ht="15" hidden="false" customHeight="false" outlineLevel="0" collapsed="false">
      <c r="A508" s="6" t="s">
        <v>238</v>
      </c>
      <c r="B508" s="6" t="s">
        <v>767</v>
      </c>
      <c r="C508" s="6" t="s">
        <v>768</v>
      </c>
      <c r="D508" s="9" t="n">
        <v>0</v>
      </c>
    </row>
    <row r="509" customFormat="false" ht="15" hidden="false" customHeight="false" outlineLevel="0" collapsed="false">
      <c r="A509" s="6" t="s">
        <v>238</v>
      </c>
      <c r="B509" s="6" t="s">
        <v>767</v>
      </c>
      <c r="C509" s="6" t="s">
        <v>769</v>
      </c>
      <c r="D509" s="9" t="n">
        <v>0</v>
      </c>
    </row>
    <row r="510" customFormat="false" ht="15" hidden="false" customHeight="false" outlineLevel="0" collapsed="false">
      <c r="A510" s="6" t="s">
        <v>238</v>
      </c>
      <c r="B510" s="6" t="s">
        <v>770</v>
      </c>
      <c r="C510" s="6" t="s">
        <v>771</v>
      </c>
      <c r="D510" s="9" t="n">
        <v>0</v>
      </c>
    </row>
    <row r="511" customFormat="false" ht="15" hidden="false" customHeight="false" outlineLevel="0" collapsed="false">
      <c r="A511" s="6" t="s">
        <v>238</v>
      </c>
      <c r="B511" s="6" t="s">
        <v>770</v>
      </c>
      <c r="C511" s="6" t="s">
        <v>772</v>
      </c>
      <c r="D511" s="9" t="n">
        <v>0</v>
      </c>
    </row>
    <row r="512" customFormat="false" ht="15" hidden="false" customHeight="false" outlineLevel="0" collapsed="false">
      <c r="A512" s="6" t="s">
        <v>238</v>
      </c>
      <c r="B512" s="6" t="s">
        <v>773</v>
      </c>
      <c r="C512" s="6" t="s">
        <v>774</v>
      </c>
      <c r="D512" s="9" t="n">
        <v>0</v>
      </c>
    </row>
    <row r="513" customFormat="false" ht="15" hidden="false" customHeight="false" outlineLevel="0" collapsed="false">
      <c r="A513" s="6" t="s">
        <v>238</v>
      </c>
      <c r="B513" s="6" t="s">
        <v>773</v>
      </c>
      <c r="C513" s="6" t="s">
        <v>775</v>
      </c>
      <c r="D513" s="9" t="n">
        <v>0</v>
      </c>
    </row>
    <row r="514" customFormat="false" ht="15" hidden="false" customHeight="false" outlineLevel="0" collapsed="false">
      <c r="A514" s="6" t="s">
        <v>238</v>
      </c>
      <c r="B514" s="6" t="s">
        <v>773</v>
      </c>
      <c r="C514" s="6" t="s">
        <v>776</v>
      </c>
      <c r="D514" s="9" t="n">
        <v>0</v>
      </c>
    </row>
    <row r="515" customFormat="false" ht="15" hidden="false" customHeight="false" outlineLevel="0" collapsed="false">
      <c r="A515" s="6" t="s">
        <v>238</v>
      </c>
      <c r="B515" s="6" t="s">
        <v>122</v>
      </c>
      <c r="C515" s="6" t="s">
        <v>777</v>
      </c>
      <c r="D515" s="9" t="n">
        <v>5113.7</v>
      </c>
    </row>
    <row r="516" customFormat="false" ht="15" hidden="false" customHeight="false" outlineLevel="0" collapsed="false">
      <c r="A516" s="6" t="s">
        <v>238</v>
      </c>
      <c r="B516" s="6" t="s">
        <v>106</v>
      </c>
      <c r="C516" s="6" t="s">
        <v>777</v>
      </c>
      <c r="D516" s="9" t="n">
        <v>7344.8</v>
      </c>
    </row>
    <row r="517" customFormat="false" ht="15" hidden="false" customHeight="false" outlineLevel="0" collapsed="false">
      <c r="A517" s="6" t="s">
        <v>238</v>
      </c>
      <c r="B517" s="6" t="s">
        <v>110</v>
      </c>
      <c r="C517" s="6" t="s">
        <v>777</v>
      </c>
      <c r="D517" s="9" t="n">
        <v>6998.3</v>
      </c>
    </row>
    <row r="518" customFormat="false" ht="15" hidden="false" customHeight="false" outlineLevel="0" collapsed="false">
      <c r="A518" s="6" t="s">
        <v>238</v>
      </c>
      <c r="B518" s="6" t="s">
        <v>138</v>
      </c>
      <c r="C518" s="6" t="s">
        <v>777</v>
      </c>
      <c r="D518" s="9" t="n">
        <v>2156.6</v>
      </c>
    </row>
    <row r="519" customFormat="false" ht="15" hidden="false" customHeight="false" outlineLevel="0" collapsed="false">
      <c r="A519" s="6" t="s">
        <v>238</v>
      </c>
      <c r="B519" s="6" t="s">
        <v>129</v>
      </c>
      <c r="C519" s="6" t="s">
        <v>778</v>
      </c>
      <c r="D519" s="9" t="n">
        <v>6942.4</v>
      </c>
    </row>
    <row r="520" customFormat="false" ht="15" hidden="false" customHeight="false" outlineLevel="0" collapsed="false">
      <c r="A520" s="6" t="s">
        <v>238</v>
      </c>
      <c r="B520" s="6" t="s">
        <v>114</v>
      </c>
      <c r="C520" s="6" t="s">
        <v>778</v>
      </c>
      <c r="D520" s="9" t="n">
        <v>11927.2</v>
      </c>
    </row>
    <row r="521" customFormat="false" ht="15" hidden="false" customHeight="false" outlineLevel="0" collapsed="false">
      <c r="A521" s="6" t="s">
        <v>238</v>
      </c>
      <c r="B521" s="6" t="s">
        <v>92</v>
      </c>
      <c r="C521" s="6" t="s">
        <v>778</v>
      </c>
      <c r="D521" s="9" t="n">
        <v>11254.2</v>
      </c>
    </row>
    <row r="522" customFormat="false" ht="15" hidden="false" customHeight="false" outlineLevel="0" collapsed="false">
      <c r="A522" s="6" t="s">
        <v>238</v>
      </c>
      <c r="B522" s="6" t="s">
        <v>187</v>
      </c>
      <c r="C522" s="6" t="s">
        <v>778</v>
      </c>
      <c r="D522" s="9" t="n">
        <v>1770</v>
      </c>
    </row>
    <row r="523" customFormat="false" ht="15" hidden="false" customHeight="false" outlineLevel="0" collapsed="false">
      <c r="A523" s="6" t="s">
        <v>238</v>
      </c>
      <c r="B523" s="6" t="s">
        <v>779</v>
      </c>
      <c r="C523" s="6" t="s">
        <v>780</v>
      </c>
      <c r="D523" s="9" t="n">
        <v>0</v>
      </c>
    </row>
    <row r="524" customFormat="false" ht="15" hidden="false" customHeight="false" outlineLevel="0" collapsed="false">
      <c r="A524" s="6" t="s">
        <v>238</v>
      </c>
      <c r="B524" s="6" t="s">
        <v>779</v>
      </c>
      <c r="C524" s="6" t="s">
        <v>781</v>
      </c>
      <c r="D524" s="9" t="n">
        <v>0</v>
      </c>
    </row>
    <row r="525" customFormat="false" ht="15" hidden="false" customHeight="false" outlineLevel="0" collapsed="false">
      <c r="A525" s="6" t="s">
        <v>238</v>
      </c>
      <c r="B525" s="6" t="s">
        <v>79</v>
      </c>
      <c r="C525" s="6" t="s">
        <v>782</v>
      </c>
      <c r="D525" s="9" t="n">
        <v>33989.9</v>
      </c>
    </row>
    <row r="526" customFormat="false" ht="15" hidden="false" customHeight="false" outlineLevel="0" collapsed="false">
      <c r="A526" s="6" t="s">
        <v>238</v>
      </c>
      <c r="B526" s="6" t="s">
        <v>23</v>
      </c>
      <c r="C526" s="6" t="s">
        <v>783</v>
      </c>
      <c r="D526" s="9" t="n">
        <v>34271.9</v>
      </c>
    </row>
    <row r="527" customFormat="false" ht="15" hidden="false" customHeight="false" outlineLevel="0" collapsed="false">
      <c r="A527" s="6" t="s">
        <v>238</v>
      </c>
      <c r="B527" s="6" t="s">
        <v>102</v>
      </c>
      <c r="C527" s="6" t="s">
        <v>784</v>
      </c>
      <c r="D527" s="9" t="n">
        <v>13367.2</v>
      </c>
    </row>
    <row r="528" customFormat="false" ht="15" hidden="false" customHeight="false" outlineLevel="0" collapsed="false">
      <c r="A528" s="6" t="s">
        <v>238</v>
      </c>
      <c r="B528" s="6" t="s">
        <v>23</v>
      </c>
      <c r="C528" s="6" t="s">
        <v>785</v>
      </c>
      <c r="D528" s="9" t="n">
        <v>5983.3</v>
      </c>
    </row>
    <row r="529" customFormat="false" ht="15" hidden="false" customHeight="false" outlineLevel="0" collapsed="false">
      <c r="A529" s="6" t="s">
        <v>238</v>
      </c>
      <c r="B529" s="6" t="s">
        <v>786</v>
      </c>
      <c r="C529" s="6" t="s">
        <v>787</v>
      </c>
      <c r="D529" s="9" t="n">
        <v>0</v>
      </c>
    </row>
    <row r="530" customFormat="false" ht="15" hidden="false" customHeight="false" outlineLevel="0" collapsed="false">
      <c r="A530" s="6" t="s">
        <v>238</v>
      </c>
      <c r="B530" s="6" t="s">
        <v>788</v>
      </c>
      <c r="C530" s="6" t="s">
        <v>789</v>
      </c>
      <c r="D530" s="9" t="n">
        <v>0</v>
      </c>
    </row>
    <row r="531" customFormat="false" ht="15" hidden="false" customHeight="false" outlineLevel="0" collapsed="false">
      <c r="A531" s="6" t="s">
        <v>238</v>
      </c>
      <c r="B531" s="6" t="s">
        <v>788</v>
      </c>
      <c r="C531" s="6" t="s">
        <v>790</v>
      </c>
      <c r="D531" s="9" t="n">
        <v>0</v>
      </c>
    </row>
    <row r="532" customFormat="false" ht="15" hidden="false" customHeight="false" outlineLevel="0" collapsed="false">
      <c r="A532" s="6" t="s">
        <v>238</v>
      </c>
      <c r="B532" s="6" t="s">
        <v>788</v>
      </c>
      <c r="C532" s="6" t="s">
        <v>791</v>
      </c>
      <c r="D532" s="9" t="n">
        <v>0</v>
      </c>
    </row>
    <row r="533" customFormat="false" ht="15" hidden="false" customHeight="false" outlineLevel="0" collapsed="false">
      <c r="A533" s="6" t="s">
        <v>238</v>
      </c>
      <c r="B533" s="6" t="s">
        <v>788</v>
      </c>
      <c r="C533" s="6" t="s">
        <v>792</v>
      </c>
      <c r="D533" s="9" t="n">
        <v>0</v>
      </c>
    </row>
    <row r="534" customFormat="false" ht="15" hidden="false" customHeight="false" outlineLevel="0" collapsed="false">
      <c r="A534" s="6" t="s">
        <v>238</v>
      </c>
      <c r="B534" s="6" t="s">
        <v>788</v>
      </c>
      <c r="C534" s="6" t="s">
        <v>793</v>
      </c>
      <c r="D534" s="9" t="n">
        <v>0</v>
      </c>
    </row>
    <row r="535" customFormat="false" ht="15" hidden="false" customHeight="false" outlineLevel="0" collapsed="false">
      <c r="A535" s="6" t="s">
        <v>238</v>
      </c>
      <c r="B535" s="6" t="s">
        <v>794</v>
      </c>
      <c r="C535" s="6" t="s">
        <v>795</v>
      </c>
      <c r="D535" s="9" t="n">
        <v>0</v>
      </c>
    </row>
    <row r="536" customFormat="false" ht="15" hidden="false" customHeight="false" outlineLevel="0" collapsed="false">
      <c r="A536" s="6" t="s">
        <v>238</v>
      </c>
      <c r="B536" s="6" t="s">
        <v>794</v>
      </c>
      <c r="C536" s="6" t="s">
        <v>796</v>
      </c>
      <c r="D536" s="9" t="n">
        <v>0</v>
      </c>
    </row>
    <row r="537" customFormat="false" ht="15" hidden="false" customHeight="false" outlineLevel="0" collapsed="false">
      <c r="A537" s="6" t="s">
        <v>238</v>
      </c>
      <c r="B537" s="6" t="s">
        <v>794</v>
      </c>
      <c r="C537" s="6" t="s">
        <v>797</v>
      </c>
      <c r="D537" s="9" t="n">
        <v>0</v>
      </c>
    </row>
    <row r="538" customFormat="false" ht="15" hidden="false" customHeight="false" outlineLevel="0" collapsed="false">
      <c r="A538" s="6" t="s">
        <v>238</v>
      </c>
      <c r="B538" s="6" t="s">
        <v>794</v>
      </c>
      <c r="C538" s="6" t="s">
        <v>798</v>
      </c>
      <c r="D538" s="9" t="n">
        <v>0</v>
      </c>
    </row>
    <row r="539" customFormat="false" ht="15" hidden="false" customHeight="false" outlineLevel="0" collapsed="false">
      <c r="A539" s="6" t="s">
        <v>238</v>
      </c>
      <c r="B539" s="6" t="s">
        <v>794</v>
      </c>
      <c r="C539" s="6" t="s">
        <v>799</v>
      </c>
      <c r="D539" s="9" t="n">
        <v>0</v>
      </c>
    </row>
    <row r="540" customFormat="false" ht="15" hidden="false" customHeight="false" outlineLevel="0" collapsed="false">
      <c r="A540" s="6" t="s">
        <v>238</v>
      </c>
      <c r="B540" s="6" t="s">
        <v>800</v>
      </c>
      <c r="C540" s="6" t="s">
        <v>801</v>
      </c>
      <c r="D540" s="9" t="n">
        <v>0</v>
      </c>
    </row>
    <row r="541" customFormat="false" ht="15" hidden="false" customHeight="false" outlineLevel="0" collapsed="false">
      <c r="A541" s="6" t="s">
        <v>238</v>
      </c>
      <c r="B541" s="6" t="s">
        <v>800</v>
      </c>
      <c r="C541" s="6" t="s">
        <v>802</v>
      </c>
      <c r="D541" s="9" t="n">
        <v>0</v>
      </c>
    </row>
    <row r="542" customFormat="false" ht="15" hidden="false" customHeight="false" outlineLevel="0" collapsed="false">
      <c r="A542" s="6" t="s">
        <v>238</v>
      </c>
      <c r="B542" s="6" t="s">
        <v>800</v>
      </c>
      <c r="C542" s="6" t="s">
        <v>803</v>
      </c>
      <c r="D542" s="9" t="n">
        <v>0</v>
      </c>
    </row>
    <row r="543" customFormat="false" ht="15" hidden="false" customHeight="false" outlineLevel="0" collapsed="false">
      <c r="A543" s="6" t="s">
        <v>238</v>
      </c>
      <c r="B543" s="6" t="s">
        <v>800</v>
      </c>
      <c r="C543" s="6" t="s">
        <v>804</v>
      </c>
      <c r="D543" s="9" t="n">
        <v>0</v>
      </c>
    </row>
    <row r="544" customFormat="false" ht="15" hidden="false" customHeight="false" outlineLevel="0" collapsed="false">
      <c r="A544" s="6" t="s">
        <v>238</v>
      </c>
      <c r="B544" s="6" t="s">
        <v>800</v>
      </c>
      <c r="C544" s="6" t="s">
        <v>805</v>
      </c>
      <c r="D544" s="9" t="n">
        <v>0</v>
      </c>
    </row>
    <row r="545" customFormat="false" ht="15" hidden="false" customHeight="false" outlineLevel="0" collapsed="false">
      <c r="A545" s="6" t="s">
        <v>238</v>
      </c>
      <c r="B545" s="6" t="s">
        <v>133</v>
      </c>
      <c r="C545" s="6" t="s">
        <v>806</v>
      </c>
      <c r="D545" s="9" t="n">
        <v>5300.6</v>
      </c>
    </row>
    <row r="546" customFormat="false" ht="15" hidden="false" customHeight="false" outlineLevel="0" collapsed="false">
      <c r="A546" s="6" t="s">
        <v>238</v>
      </c>
      <c r="B546" s="6" t="s">
        <v>807</v>
      </c>
      <c r="C546" s="6" t="s">
        <v>808</v>
      </c>
      <c r="D546" s="9" t="n">
        <v>0</v>
      </c>
    </row>
    <row r="547" customFormat="false" ht="15" hidden="false" customHeight="false" outlineLevel="0" collapsed="false">
      <c r="A547" s="6" t="s">
        <v>238</v>
      </c>
      <c r="B547" s="6" t="s">
        <v>809</v>
      </c>
      <c r="C547" s="6" t="s">
        <v>810</v>
      </c>
      <c r="D547" s="9" t="n">
        <v>0</v>
      </c>
    </row>
    <row r="548" customFormat="false" ht="15" hidden="false" customHeight="false" outlineLevel="0" collapsed="false">
      <c r="A548" s="6" t="s">
        <v>238</v>
      </c>
      <c r="B548" s="6" t="s">
        <v>811</v>
      </c>
      <c r="C548" s="6" t="s">
        <v>812</v>
      </c>
      <c r="D548" s="9" t="n">
        <v>0</v>
      </c>
    </row>
    <row r="549" customFormat="false" ht="15" hidden="false" customHeight="false" outlineLevel="0" collapsed="false">
      <c r="A549" s="6" t="s">
        <v>238</v>
      </c>
      <c r="B549" s="6" t="s">
        <v>813</v>
      </c>
      <c r="C549" s="6" t="s">
        <v>814</v>
      </c>
      <c r="D549" s="9" t="n">
        <v>0</v>
      </c>
    </row>
    <row r="550" customFormat="false" ht="15" hidden="false" customHeight="false" outlineLevel="0" collapsed="false">
      <c r="A550" s="6" t="s">
        <v>238</v>
      </c>
      <c r="B550" s="6" t="s">
        <v>120</v>
      </c>
      <c r="C550" s="6" t="s">
        <v>815</v>
      </c>
      <c r="D550" s="9" t="n">
        <v>10951.3</v>
      </c>
    </row>
    <row r="551" customFormat="false" ht="15" hidden="false" customHeight="false" outlineLevel="0" collapsed="false">
      <c r="A551" s="6" t="s">
        <v>238</v>
      </c>
      <c r="B551" s="6" t="s">
        <v>120</v>
      </c>
      <c r="C551" s="6" t="s">
        <v>816</v>
      </c>
      <c r="D551" s="9" t="n">
        <v>16470.8</v>
      </c>
    </row>
    <row r="552" customFormat="false" ht="15" hidden="false" customHeight="false" outlineLevel="0" collapsed="false">
      <c r="A552" s="6" t="s">
        <v>238</v>
      </c>
      <c r="B552" s="6" t="s">
        <v>120</v>
      </c>
      <c r="C552" s="6" t="s">
        <v>817</v>
      </c>
      <c r="D552" s="9" t="n">
        <v>9621.9</v>
      </c>
    </row>
    <row r="553" customFormat="false" ht="15" hidden="false" customHeight="false" outlineLevel="0" collapsed="false">
      <c r="A553" s="6" t="s">
        <v>238</v>
      </c>
      <c r="B553" s="6" t="s">
        <v>120</v>
      </c>
      <c r="C553" s="6" t="s">
        <v>818</v>
      </c>
      <c r="D553" s="9" t="n">
        <v>13563.4</v>
      </c>
    </row>
    <row r="554" customFormat="false" ht="15" hidden="false" customHeight="false" outlineLevel="0" collapsed="false">
      <c r="A554" s="6" t="s">
        <v>238</v>
      </c>
      <c r="B554" s="6" t="s">
        <v>112</v>
      </c>
      <c r="C554" s="6" t="s">
        <v>819</v>
      </c>
      <c r="D554" s="9" t="n">
        <v>12532.2</v>
      </c>
    </row>
    <row r="555" customFormat="false" ht="15" hidden="false" customHeight="false" outlineLevel="0" collapsed="false">
      <c r="A555" s="6" t="s">
        <v>238</v>
      </c>
      <c r="B555" s="6" t="s">
        <v>60</v>
      </c>
      <c r="C555" s="6" t="s">
        <v>820</v>
      </c>
      <c r="D555" s="9" t="n">
        <v>18164.7</v>
      </c>
    </row>
    <row r="556" customFormat="false" ht="15" hidden="false" customHeight="false" outlineLevel="0" collapsed="false">
      <c r="A556" s="6" t="s">
        <v>238</v>
      </c>
      <c r="B556" s="6" t="s">
        <v>61</v>
      </c>
      <c r="C556" s="6" t="s">
        <v>821</v>
      </c>
      <c r="D556" s="9" t="n">
        <v>15795.7</v>
      </c>
    </row>
    <row r="557" customFormat="false" ht="15" hidden="false" customHeight="false" outlineLevel="0" collapsed="false">
      <c r="A557" s="6" t="s">
        <v>238</v>
      </c>
      <c r="B557" s="6" t="s">
        <v>70</v>
      </c>
      <c r="C557" s="6" t="s">
        <v>822</v>
      </c>
      <c r="D557" s="9" t="n">
        <v>11512.2</v>
      </c>
    </row>
    <row r="558" customFormat="false" ht="15" hidden="false" customHeight="false" outlineLevel="0" collapsed="false">
      <c r="A558" s="6" t="s">
        <v>238</v>
      </c>
      <c r="B558" s="6" t="s">
        <v>823</v>
      </c>
      <c r="C558" s="6" t="s">
        <v>824</v>
      </c>
      <c r="D558" s="9" t="n">
        <v>0</v>
      </c>
    </row>
    <row r="559" customFormat="false" ht="15" hidden="false" customHeight="false" outlineLevel="0" collapsed="false">
      <c r="A559" s="6" t="s">
        <v>238</v>
      </c>
      <c r="B559" s="6" t="s">
        <v>825</v>
      </c>
      <c r="C559" s="6" t="s">
        <v>826</v>
      </c>
      <c r="D559" s="9" t="n">
        <v>0</v>
      </c>
    </row>
    <row r="560" customFormat="false" ht="15" hidden="false" customHeight="false" outlineLevel="0" collapsed="false">
      <c r="A560" s="6" t="s">
        <v>238</v>
      </c>
      <c r="B560" s="6" t="s">
        <v>827</v>
      </c>
      <c r="C560" s="6" t="s">
        <v>828</v>
      </c>
      <c r="D560" s="9" t="n">
        <v>0</v>
      </c>
    </row>
    <row r="561" customFormat="false" ht="15" hidden="false" customHeight="false" outlineLevel="0" collapsed="false">
      <c r="A561" s="6" t="s">
        <v>238</v>
      </c>
      <c r="B561" s="6" t="s">
        <v>103</v>
      </c>
      <c r="C561" s="6" t="s">
        <v>829</v>
      </c>
      <c r="D561" s="9" t="n">
        <v>45804.2</v>
      </c>
    </row>
    <row r="562" customFormat="false" ht="15" hidden="false" customHeight="false" outlineLevel="0" collapsed="false">
      <c r="A562" s="6" t="s">
        <v>238</v>
      </c>
      <c r="B562" s="6" t="s">
        <v>103</v>
      </c>
      <c r="C562" s="6" t="s">
        <v>830</v>
      </c>
      <c r="D562" s="9" t="n">
        <v>39247.7</v>
      </c>
    </row>
    <row r="563" customFormat="false" ht="15" hidden="false" customHeight="false" outlineLevel="0" collapsed="false">
      <c r="A563" s="6" t="s">
        <v>238</v>
      </c>
      <c r="B563" s="6" t="s">
        <v>103</v>
      </c>
      <c r="C563" s="6" t="s">
        <v>831</v>
      </c>
      <c r="D563" s="9" t="n">
        <v>28808.8</v>
      </c>
    </row>
    <row r="564" customFormat="false" ht="15" hidden="false" customHeight="false" outlineLevel="0" collapsed="false">
      <c r="A564" s="6" t="s">
        <v>238</v>
      </c>
      <c r="B564" s="6" t="s">
        <v>103</v>
      </c>
      <c r="C564" s="6" t="s">
        <v>832</v>
      </c>
      <c r="D564" s="9" t="n">
        <v>22776.9</v>
      </c>
    </row>
    <row r="565" customFormat="false" ht="15" hidden="false" customHeight="false" outlineLevel="0" collapsed="false">
      <c r="A565" s="6" t="s">
        <v>238</v>
      </c>
      <c r="B565" s="6" t="s">
        <v>81</v>
      </c>
      <c r="C565" s="6" t="s">
        <v>833</v>
      </c>
      <c r="D565" s="9" t="n">
        <v>4298.7</v>
      </c>
    </row>
    <row r="566" customFormat="false" ht="15" hidden="false" customHeight="false" outlineLevel="0" collapsed="false">
      <c r="A566" s="6" t="s">
        <v>238</v>
      </c>
      <c r="B566" s="6" t="s">
        <v>115</v>
      </c>
      <c r="C566" s="6" t="s">
        <v>833</v>
      </c>
      <c r="D566" s="9" t="n">
        <v>1673</v>
      </c>
    </row>
    <row r="567" customFormat="false" ht="15" hidden="false" customHeight="false" outlineLevel="0" collapsed="false">
      <c r="A567" s="6" t="s">
        <v>238</v>
      </c>
      <c r="B567" s="6" t="s">
        <v>81</v>
      </c>
      <c r="C567" s="6" t="s">
        <v>834</v>
      </c>
      <c r="D567" s="9" t="n">
        <v>3993.5</v>
      </c>
    </row>
    <row r="568" customFormat="false" ht="15" hidden="false" customHeight="false" outlineLevel="0" collapsed="false">
      <c r="A568" s="6" t="s">
        <v>238</v>
      </c>
      <c r="B568" s="6" t="s">
        <v>96</v>
      </c>
      <c r="C568" s="6" t="s">
        <v>834</v>
      </c>
      <c r="D568" s="9" t="n">
        <v>5450</v>
      </c>
    </row>
    <row r="569" customFormat="false" ht="15" hidden="false" customHeight="false" outlineLevel="0" collapsed="false">
      <c r="A569" s="6" t="s">
        <v>238</v>
      </c>
      <c r="B569" s="6" t="s">
        <v>73</v>
      </c>
      <c r="C569" s="6" t="s">
        <v>835</v>
      </c>
      <c r="D569" s="9" t="n">
        <v>30574.4</v>
      </c>
    </row>
    <row r="570" customFormat="false" ht="15" hidden="false" customHeight="false" outlineLevel="0" collapsed="false">
      <c r="A570" s="6" t="s">
        <v>238</v>
      </c>
      <c r="B570" s="6" t="s">
        <v>132</v>
      </c>
      <c r="C570" s="6" t="s">
        <v>836</v>
      </c>
      <c r="D570" s="9" t="n">
        <v>3384.7</v>
      </c>
    </row>
    <row r="571" customFormat="false" ht="15" hidden="false" customHeight="false" outlineLevel="0" collapsed="false">
      <c r="A571" s="6" t="s">
        <v>238</v>
      </c>
      <c r="B571" s="6" t="s">
        <v>837</v>
      </c>
      <c r="C571" s="6" t="s">
        <v>838</v>
      </c>
      <c r="D571" s="9" t="n">
        <v>0</v>
      </c>
    </row>
    <row r="572" customFormat="false" ht="15" hidden="false" customHeight="false" outlineLevel="0" collapsed="false">
      <c r="A572" s="6" t="s">
        <v>238</v>
      </c>
      <c r="B572" s="6" t="s">
        <v>194</v>
      </c>
      <c r="C572" s="6" t="s">
        <v>379</v>
      </c>
      <c r="D572" s="9" t="n">
        <v>2640.1</v>
      </c>
    </row>
    <row r="573" customFormat="false" ht="15" hidden="false" customHeight="false" outlineLevel="0" collapsed="false">
      <c r="A573" s="6" t="s">
        <v>238</v>
      </c>
      <c r="B573" s="6" t="s">
        <v>97</v>
      </c>
      <c r="C573" s="6" t="s">
        <v>839</v>
      </c>
      <c r="D573" s="9" t="n">
        <v>62831.2</v>
      </c>
    </row>
    <row r="574" customFormat="false" ht="15" hidden="false" customHeight="false" outlineLevel="0" collapsed="false">
      <c r="A574" s="6" t="s">
        <v>238</v>
      </c>
      <c r="B574" s="6" t="s">
        <v>13</v>
      </c>
      <c r="C574" s="6" t="s">
        <v>840</v>
      </c>
      <c r="D574" s="9" t="n">
        <v>80570.4</v>
      </c>
    </row>
    <row r="575" customFormat="false" ht="15" hidden="false" customHeight="false" outlineLevel="0" collapsed="false">
      <c r="A575" s="6" t="s">
        <v>238</v>
      </c>
      <c r="B575" s="6" t="s">
        <v>13</v>
      </c>
      <c r="C575" s="6" t="s">
        <v>841</v>
      </c>
      <c r="D575" s="9" t="n">
        <v>87621.8</v>
      </c>
    </row>
    <row r="576" customFormat="false" ht="15" hidden="false" customHeight="false" outlineLevel="0" collapsed="false">
      <c r="A576" s="6" t="s">
        <v>238</v>
      </c>
      <c r="B576" s="6" t="s">
        <v>13</v>
      </c>
      <c r="C576" s="6" t="s">
        <v>842</v>
      </c>
      <c r="D576" s="9" t="n">
        <v>97534</v>
      </c>
    </row>
    <row r="577" customFormat="false" ht="15" hidden="false" customHeight="false" outlineLevel="0" collapsed="false">
      <c r="A577" s="6" t="s">
        <v>238</v>
      </c>
      <c r="B577" s="6" t="s">
        <v>14</v>
      </c>
      <c r="C577" s="6" t="s">
        <v>843</v>
      </c>
      <c r="D577" s="9" t="n">
        <v>82352.3</v>
      </c>
    </row>
    <row r="578" customFormat="false" ht="15" hidden="false" customHeight="false" outlineLevel="0" collapsed="false">
      <c r="A578" s="6" t="s">
        <v>238</v>
      </c>
      <c r="B578" s="6" t="s">
        <v>15</v>
      </c>
      <c r="C578" s="6" t="s">
        <v>843</v>
      </c>
      <c r="D578" s="9" t="n">
        <v>90203.7</v>
      </c>
    </row>
    <row r="579" customFormat="false" ht="15" hidden="false" customHeight="false" outlineLevel="0" collapsed="false">
      <c r="A579" s="6" t="s">
        <v>238</v>
      </c>
      <c r="B579" s="6" t="s">
        <v>16</v>
      </c>
      <c r="C579" s="6" t="s">
        <v>843</v>
      </c>
      <c r="D579" s="9" t="n">
        <v>92093.6</v>
      </c>
    </row>
    <row r="580" customFormat="false" ht="15" hidden="false" customHeight="false" outlineLevel="0" collapsed="false">
      <c r="A580" s="6" t="s">
        <v>238</v>
      </c>
      <c r="B580" s="6" t="s">
        <v>14</v>
      </c>
      <c r="C580" s="6" t="s">
        <v>844</v>
      </c>
      <c r="D580" s="9" t="n">
        <v>82079.4</v>
      </c>
    </row>
    <row r="581" customFormat="false" ht="15" hidden="false" customHeight="false" outlineLevel="0" collapsed="false">
      <c r="A581" s="6" t="s">
        <v>238</v>
      </c>
      <c r="B581" s="6" t="s">
        <v>15</v>
      </c>
      <c r="C581" s="6" t="s">
        <v>844</v>
      </c>
      <c r="D581" s="9" t="n">
        <v>98563.4</v>
      </c>
    </row>
    <row r="582" customFormat="false" ht="15" hidden="false" customHeight="false" outlineLevel="0" collapsed="false">
      <c r="A582" s="6" t="s">
        <v>238</v>
      </c>
      <c r="B582" s="6" t="s">
        <v>16</v>
      </c>
      <c r="C582" s="6" t="s">
        <v>844</v>
      </c>
      <c r="D582" s="9" t="n">
        <v>105681.3</v>
      </c>
    </row>
    <row r="583" customFormat="false" ht="15" hidden="false" customHeight="false" outlineLevel="0" collapsed="false">
      <c r="A583" s="6" t="s">
        <v>238</v>
      </c>
      <c r="B583" s="6" t="s">
        <v>18</v>
      </c>
      <c r="C583" s="6" t="s">
        <v>845</v>
      </c>
      <c r="D583" s="9" t="n">
        <v>0</v>
      </c>
    </row>
    <row r="584" customFormat="false" ht="15" hidden="false" customHeight="false" outlineLevel="0" collapsed="false">
      <c r="A584" s="6" t="s">
        <v>238</v>
      </c>
      <c r="B584" s="6" t="s">
        <v>107</v>
      </c>
      <c r="C584" s="6" t="s">
        <v>846</v>
      </c>
      <c r="D584" s="9" t="n">
        <v>2362.3</v>
      </c>
    </row>
    <row r="585" customFormat="false" ht="15" hidden="false" customHeight="false" outlineLevel="0" collapsed="false">
      <c r="A585" s="6" t="s">
        <v>238</v>
      </c>
      <c r="B585" s="6" t="s">
        <v>107</v>
      </c>
      <c r="C585" s="6" t="s">
        <v>847</v>
      </c>
      <c r="D585" s="9" t="n">
        <v>2786.5</v>
      </c>
    </row>
    <row r="586" customFormat="false" ht="15" hidden="false" customHeight="false" outlineLevel="0" collapsed="false">
      <c r="A586" s="6" t="s">
        <v>238</v>
      </c>
      <c r="B586" s="6" t="s">
        <v>119</v>
      </c>
      <c r="C586" s="6" t="s">
        <v>848</v>
      </c>
      <c r="D586" s="9" t="n">
        <v>12662</v>
      </c>
    </row>
    <row r="587" customFormat="false" ht="15" hidden="false" customHeight="false" outlineLevel="0" collapsed="false">
      <c r="A587" s="6" t="s">
        <v>238</v>
      </c>
      <c r="B587" s="6" t="s">
        <v>39</v>
      </c>
      <c r="C587" s="6" t="s">
        <v>849</v>
      </c>
      <c r="D587" s="9" t="n">
        <v>0</v>
      </c>
    </row>
    <row r="588" customFormat="false" ht="15" hidden="false" customHeight="false" outlineLevel="0" collapsed="false">
      <c r="A588" s="6" t="s">
        <v>238</v>
      </c>
      <c r="B588" s="6" t="s">
        <v>39</v>
      </c>
      <c r="C588" s="6" t="s">
        <v>850</v>
      </c>
      <c r="D588" s="9" t="n">
        <v>0</v>
      </c>
    </row>
    <row r="589" customFormat="false" ht="15" hidden="false" customHeight="false" outlineLevel="0" collapsed="false">
      <c r="A589" s="6" t="s">
        <v>238</v>
      </c>
      <c r="B589" s="6" t="s">
        <v>39</v>
      </c>
      <c r="C589" s="6" t="s">
        <v>851</v>
      </c>
      <c r="D589" s="9" t="n">
        <v>0</v>
      </c>
    </row>
    <row r="590" customFormat="false" ht="15" hidden="false" customHeight="false" outlineLevel="0" collapsed="false">
      <c r="A590" s="6" t="s">
        <v>238</v>
      </c>
      <c r="B590" s="6" t="s">
        <v>39</v>
      </c>
      <c r="C590" s="6" t="s">
        <v>852</v>
      </c>
      <c r="D590" s="9" t="n">
        <v>0</v>
      </c>
    </row>
    <row r="591" customFormat="false" ht="15" hidden="false" customHeight="false" outlineLevel="0" collapsed="false">
      <c r="A591" s="6" t="s">
        <v>238</v>
      </c>
      <c r="B591" s="6" t="s">
        <v>39</v>
      </c>
      <c r="C591" s="6" t="s">
        <v>853</v>
      </c>
      <c r="D591" s="9" t="n">
        <v>0</v>
      </c>
    </row>
    <row r="592" customFormat="false" ht="15" hidden="false" customHeight="false" outlineLevel="0" collapsed="false">
      <c r="A592" s="6" t="s">
        <v>854</v>
      </c>
      <c r="B592" s="6" t="s">
        <v>57</v>
      </c>
      <c r="C592" s="6" t="s">
        <v>239</v>
      </c>
      <c r="D592" s="9" t="n">
        <v>1030</v>
      </c>
    </row>
    <row r="593" customFormat="false" ht="15" hidden="false" customHeight="false" outlineLevel="0" collapsed="false">
      <c r="A593" s="6" t="s">
        <v>854</v>
      </c>
      <c r="B593" s="6" t="s">
        <v>57</v>
      </c>
      <c r="C593" s="6" t="s">
        <v>240</v>
      </c>
      <c r="D593" s="9" t="n">
        <v>1142</v>
      </c>
    </row>
    <row r="594" customFormat="false" ht="15" hidden="false" customHeight="false" outlineLevel="0" collapsed="false">
      <c r="A594" s="6" t="s">
        <v>854</v>
      </c>
      <c r="B594" s="6" t="s">
        <v>241</v>
      </c>
      <c r="C594" s="6" t="s">
        <v>242</v>
      </c>
      <c r="D594" s="9" t="n">
        <v>0</v>
      </c>
    </row>
    <row r="595" customFormat="false" ht="15" hidden="false" customHeight="false" outlineLevel="0" collapsed="false">
      <c r="A595" s="6" t="s">
        <v>854</v>
      </c>
      <c r="B595" s="6" t="s">
        <v>243</v>
      </c>
      <c r="C595" s="6" t="s">
        <v>244</v>
      </c>
      <c r="D595" s="9" t="n">
        <v>0</v>
      </c>
    </row>
    <row r="596" customFormat="false" ht="15" hidden="false" customHeight="false" outlineLevel="0" collapsed="false">
      <c r="A596" s="6" t="s">
        <v>854</v>
      </c>
      <c r="B596" s="6" t="s">
        <v>245</v>
      </c>
      <c r="C596" s="6" t="s">
        <v>246</v>
      </c>
      <c r="D596" s="9" t="n">
        <v>0</v>
      </c>
    </row>
    <row r="597" customFormat="false" ht="15" hidden="false" customHeight="false" outlineLevel="0" collapsed="false">
      <c r="A597" s="6" t="s">
        <v>854</v>
      </c>
      <c r="B597" s="6" t="s">
        <v>247</v>
      </c>
      <c r="C597" s="6" t="s">
        <v>248</v>
      </c>
      <c r="D597" s="9" t="n">
        <v>0</v>
      </c>
    </row>
    <row r="598" customFormat="false" ht="15" hidden="false" customHeight="false" outlineLevel="0" collapsed="false">
      <c r="A598" s="6" t="s">
        <v>854</v>
      </c>
      <c r="B598" s="6" t="s">
        <v>249</v>
      </c>
      <c r="C598" s="6" t="s">
        <v>250</v>
      </c>
      <c r="D598" s="9" t="n">
        <v>0</v>
      </c>
    </row>
    <row r="599" customFormat="false" ht="15" hidden="false" customHeight="false" outlineLevel="0" collapsed="false">
      <c r="A599" s="6" t="s">
        <v>854</v>
      </c>
      <c r="B599" s="6" t="s">
        <v>118</v>
      </c>
      <c r="C599" s="6" t="s">
        <v>251</v>
      </c>
      <c r="D599" s="9" t="n">
        <v>199</v>
      </c>
    </row>
    <row r="600" customFormat="false" ht="15" hidden="false" customHeight="false" outlineLevel="0" collapsed="false">
      <c r="A600" s="6" t="s">
        <v>854</v>
      </c>
      <c r="B600" s="6" t="s">
        <v>66</v>
      </c>
      <c r="C600" s="6" t="s">
        <v>252</v>
      </c>
      <c r="D600" s="9" t="n">
        <v>1909</v>
      </c>
    </row>
    <row r="601" customFormat="false" ht="15" hidden="false" customHeight="false" outlineLevel="0" collapsed="false">
      <c r="A601" s="6" t="s">
        <v>854</v>
      </c>
      <c r="B601" s="6" t="s">
        <v>94</v>
      </c>
      <c r="C601" s="6" t="s">
        <v>253</v>
      </c>
      <c r="D601" s="9" t="n">
        <v>30</v>
      </c>
    </row>
    <row r="602" customFormat="false" ht="15" hidden="false" customHeight="false" outlineLevel="0" collapsed="false">
      <c r="A602" s="6" t="s">
        <v>854</v>
      </c>
      <c r="B602" s="6" t="s">
        <v>94</v>
      </c>
      <c r="C602" s="6" t="s">
        <v>254</v>
      </c>
      <c r="D602" s="9" t="n">
        <v>75</v>
      </c>
    </row>
    <row r="603" customFormat="false" ht="15" hidden="false" customHeight="false" outlineLevel="0" collapsed="false">
      <c r="A603" s="6" t="s">
        <v>854</v>
      </c>
      <c r="B603" s="6" t="s">
        <v>94</v>
      </c>
      <c r="C603" s="6" t="s">
        <v>255</v>
      </c>
      <c r="D603" s="9" t="n">
        <v>96</v>
      </c>
    </row>
    <row r="604" customFormat="false" ht="15" hidden="false" customHeight="false" outlineLevel="0" collapsed="false">
      <c r="A604" s="6" t="s">
        <v>854</v>
      </c>
      <c r="B604" s="6" t="s">
        <v>116</v>
      </c>
      <c r="C604" s="6" t="s">
        <v>256</v>
      </c>
      <c r="D604" s="9" t="n">
        <v>22</v>
      </c>
    </row>
    <row r="605" customFormat="false" ht="15" hidden="false" customHeight="false" outlineLevel="0" collapsed="false">
      <c r="A605" s="6" t="s">
        <v>854</v>
      </c>
      <c r="B605" s="6" t="s">
        <v>116</v>
      </c>
      <c r="C605" s="6" t="s">
        <v>257</v>
      </c>
      <c r="D605" s="9" t="n">
        <v>52</v>
      </c>
    </row>
    <row r="606" customFormat="false" ht="15" hidden="false" customHeight="false" outlineLevel="0" collapsed="false">
      <c r="A606" s="6" t="s">
        <v>854</v>
      </c>
      <c r="B606" s="6" t="s">
        <v>158</v>
      </c>
      <c r="C606" s="6" t="s">
        <v>258</v>
      </c>
      <c r="D606" s="9" t="n">
        <v>39</v>
      </c>
    </row>
    <row r="607" customFormat="false" ht="15" hidden="false" customHeight="false" outlineLevel="0" collapsed="false">
      <c r="A607" s="6" t="s">
        <v>854</v>
      </c>
      <c r="B607" s="6" t="s">
        <v>143</v>
      </c>
      <c r="C607" s="6" t="s">
        <v>259</v>
      </c>
      <c r="D607" s="9" t="n">
        <v>20</v>
      </c>
    </row>
    <row r="608" customFormat="false" ht="15" hidden="false" customHeight="false" outlineLevel="0" collapsed="false">
      <c r="A608" s="6" t="s">
        <v>854</v>
      </c>
      <c r="B608" s="6" t="s">
        <v>143</v>
      </c>
      <c r="C608" s="6" t="s">
        <v>260</v>
      </c>
      <c r="D608" s="9" t="n">
        <v>35</v>
      </c>
    </row>
    <row r="609" customFormat="false" ht="15" hidden="false" customHeight="false" outlineLevel="0" collapsed="false">
      <c r="A609" s="6" t="s">
        <v>854</v>
      </c>
      <c r="B609" s="6" t="s">
        <v>143</v>
      </c>
      <c r="C609" s="6" t="s">
        <v>261</v>
      </c>
      <c r="D609" s="9" t="n">
        <v>34</v>
      </c>
    </row>
    <row r="610" customFormat="false" ht="15" hidden="false" customHeight="false" outlineLevel="0" collapsed="false">
      <c r="A610" s="6" t="s">
        <v>854</v>
      </c>
      <c r="B610" s="6" t="s">
        <v>223</v>
      </c>
      <c r="C610" s="6" t="s">
        <v>262</v>
      </c>
      <c r="D610" s="9" t="n">
        <v>-1</v>
      </c>
    </row>
    <row r="611" customFormat="false" ht="15" hidden="false" customHeight="false" outlineLevel="0" collapsed="false">
      <c r="A611" s="6" t="s">
        <v>854</v>
      </c>
      <c r="B611" s="6" t="s">
        <v>84</v>
      </c>
      <c r="C611" s="6" t="s">
        <v>253</v>
      </c>
      <c r="D611" s="9" t="n">
        <v>77</v>
      </c>
    </row>
    <row r="612" customFormat="false" ht="15" hidden="false" customHeight="false" outlineLevel="0" collapsed="false">
      <c r="A612" s="6" t="s">
        <v>854</v>
      </c>
      <c r="B612" s="6" t="s">
        <v>84</v>
      </c>
      <c r="C612" s="6" t="s">
        <v>263</v>
      </c>
      <c r="D612" s="9" t="n">
        <v>148</v>
      </c>
    </row>
    <row r="613" customFormat="false" ht="15" hidden="false" customHeight="false" outlineLevel="0" collapsed="false">
      <c r="A613" s="6" t="s">
        <v>854</v>
      </c>
      <c r="B613" s="6" t="s">
        <v>84</v>
      </c>
      <c r="C613" s="6" t="s">
        <v>264</v>
      </c>
      <c r="D613" s="9" t="n">
        <v>213</v>
      </c>
    </row>
    <row r="614" customFormat="false" ht="15" hidden="false" customHeight="false" outlineLevel="0" collapsed="false">
      <c r="A614" s="6" t="s">
        <v>854</v>
      </c>
      <c r="B614" s="6" t="s">
        <v>95</v>
      </c>
      <c r="C614" s="6" t="s">
        <v>265</v>
      </c>
      <c r="D614" s="9" t="n">
        <v>42</v>
      </c>
    </row>
    <row r="615" customFormat="false" ht="15" hidden="false" customHeight="false" outlineLevel="0" collapsed="false">
      <c r="A615" s="6" t="s">
        <v>854</v>
      </c>
      <c r="B615" s="6" t="s">
        <v>95</v>
      </c>
      <c r="C615" s="6" t="s">
        <v>266</v>
      </c>
      <c r="D615" s="9" t="n">
        <v>57</v>
      </c>
    </row>
    <row r="616" customFormat="false" ht="15" hidden="false" customHeight="false" outlineLevel="0" collapsed="false">
      <c r="A616" s="6" t="s">
        <v>854</v>
      </c>
      <c r="B616" s="6" t="s">
        <v>95</v>
      </c>
      <c r="C616" s="6" t="s">
        <v>267</v>
      </c>
      <c r="D616" s="9" t="n">
        <v>58</v>
      </c>
    </row>
    <row r="617" customFormat="false" ht="15" hidden="false" customHeight="false" outlineLevel="0" collapsed="false">
      <c r="A617" s="6" t="s">
        <v>854</v>
      </c>
      <c r="B617" s="6" t="s">
        <v>152</v>
      </c>
      <c r="C617" s="6" t="s">
        <v>268</v>
      </c>
      <c r="D617" s="9" t="n">
        <v>25</v>
      </c>
    </row>
    <row r="618" customFormat="false" ht="15" hidden="false" customHeight="false" outlineLevel="0" collapsed="false">
      <c r="A618" s="6" t="s">
        <v>854</v>
      </c>
      <c r="B618" s="6" t="s">
        <v>152</v>
      </c>
      <c r="C618" s="6" t="s">
        <v>269</v>
      </c>
      <c r="D618" s="9" t="n">
        <v>78</v>
      </c>
    </row>
    <row r="619" customFormat="false" ht="15" hidden="false" customHeight="false" outlineLevel="0" collapsed="false">
      <c r="A619" s="6" t="s">
        <v>854</v>
      </c>
      <c r="B619" s="6" t="s">
        <v>152</v>
      </c>
      <c r="C619" s="6" t="s">
        <v>270</v>
      </c>
      <c r="D619" s="9" t="n">
        <v>85</v>
      </c>
    </row>
    <row r="620" customFormat="false" ht="15" hidden="false" customHeight="false" outlineLevel="0" collapsed="false">
      <c r="A620" s="6" t="s">
        <v>854</v>
      </c>
      <c r="B620" s="6" t="s">
        <v>218</v>
      </c>
      <c r="C620" s="6" t="s">
        <v>271</v>
      </c>
      <c r="D620" s="9" t="n">
        <v>-2</v>
      </c>
    </row>
    <row r="621" customFormat="false" ht="15" hidden="false" customHeight="false" outlineLevel="0" collapsed="false">
      <c r="A621" s="6" t="s">
        <v>854</v>
      </c>
      <c r="B621" s="6" t="s">
        <v>188</v>
      </c>
      <c r="C621" s="6" t="s">
        <v>272</v>
      </c>
      <c r="D621" s="9" t="n">
        <v>0</v>
      </c>
    </row>
    <row r="622" customFormat="false" ht="15" hidden="false" customHeight="false" outlineLevel="0" collapsed="false">
      <c r="A622" s="6" t="s">
        <v>854</v>
      </c>
      <c r="B622" s="6" t="s">
        <v>188</v>
      </c>
      <c r="C622" s="6" t="s">
        <v>273</v>
      </c>
      <c r="D622" s="9" t="n">
        <v>0</v>
      </c>
    </row>
    <row r="623" customFormat="false" ht="15" hidden="false" customHeight="false" outlineLevel="0" collapsed="false">
      <c r="A623" s="6" t="s">
        <v>854</v>
      </c>
      <c r="B623" s="6" t="s">
        <v>188</v>
      </c>
      <c r="C623" s="6" t="s">
        <v>274</v>
      </c>
      <c r="D623" s="9" t="n">
        <v>0</v>
      </c>
    </row>
    <row r="624" customFormat="false" ht="15" hidden="false" customHeight="false" outlineLevel="0" collapsed="false">
      <c r="A624" s="6" t="s">
        <v>854</v>
      </c>
      <c r="B624" s="6" t="s">
        <v>188</v>
      </c>
      <c r="C624" s="6" t="s">
        <v>275</v>
      </c>
      <c r="D624" s="9" t="n">
        <v>-1</v>
      </c>
    </row>
    <row r="625" customFormat="false" ht="15" hidden="false" customHeight="false" outlineLevel="0" collapsed="false">
      <c r="A625" s="6" t="s">
        <v>854</v>
      </c>
      <c r="B625" s="6" t="s">
        <v>148</v>
      </c>
      <c r="C625" s="6" t="s">
        <v>276</v>
      </c>
      <c r="D625" s="9" t="n">
        <v>2</v>
      </c>
    </row>
    <row r="626" customFormat="false" ht="15" hidden="false" customHeight="false" outlineLevel="0" collapsed="false">
      <c r="A626" s="6" t="s">
        <v>854</v>
      </c>
      <c r="B626" s="6" t="s">
        <v>148</v>
      </c>
      <c r="C626" s="6" t="s">
        <v>277</v>
      </c>
      <c r="D626" s="9" t="n">
        <v>-3</v>
      </c>
    </row>
    <row r="627" customFormat="false" ht="15" hidden="false" customHeight="false" outlineLevel="0" collapsed="false">
      <c r="A627" s="6" t="s">
        <v>854</v>
      </c>
      <c r="B627" s="6" t="s">
        <v>148</v>
      </c>
      <c r="C627" s="6" t="s">
        <v>278</v>
      </c>
      <c r="D627" s="9" t="n">
        <v>-2</v>
      </c>
    </row>
    <row r="628" customFormat="false" ht="15" hidden="false" customHeight="false" outlineLevel="0" collapsed="false">
      <c r="A628" s="6" t="s">
        <v>854</v>
      </c>
      <c r="B628" s="6" t="s">
        <v>148</v>
      </c>
      <c r="C628" s="6" t="s">
        <v>279</v>
      </c>
      <c r="D628" s="9" t="n">
        <v>-6</v>
      </c>
    </row>
    <row r="629" customFormat="false" ht="15" hidden="false" customHeight="false" outlineLevel="0" collapsed="false">
      <c r="A629" s="6" t="s">
        <v>854</v>
      </c>
      <c r="B629" s="6" t="s">
        <v>148</v>
      </c>
      <c r="C629" s="6" t="s">
        <v>280</v>
      </c>
      <c r="D629" s="9" t="n">
        <v>3</v>
      </c>
    </row>
    <row r="630" customFormat="false" ht="15" hidden="false" customHeight="false" outlineLevel="0" collapsed="false">
      <c r="A630" s="6" t="s">
        <v>854</v>
      </c>
      <c r="B630" s="6" t="s">
        <v>230</v>
      </c>
      <c r="C630" s="6" t="s">
        <v>281</v>
      </c>
      <c r="D630" s="9" t="n">
        <v>0</v>
      </c>
    </row>
    <row r="631" customFormat="false" ht="15" hidden="false" customHeight="false" outlineLevel="0" collapsed="false">
      <c r="A631" s="6" t="s">
        <v>854</v>
      </c>
      <c r="B631" s="6" t="s">
        <v>230</v>
      </c>
      <c r="C631" s="6" t="s">
        <v>282</v>
      </c>
      <c r="D631" s="9" t="n">
        <v>0</v>
      </c>
    </row>
    <row r="632" customFormat="false" ht="15" hidden="false" customHeight="false" outlineLevel="0" collapsed="false">
      <c r="A632" s="6" t="s">
        <v>854</v>
      </c>
      <c r="B632" s="6" t="s">
        <v>230</v>
      </c>
      <c r="C632" s="6" t="s">
        <v>283</v>
      </c>
      <c r="D632" s="9" t="n">
        <v>0</v>
      </c>
    </row>
    <row r="633" customFormat="false" ht="15" hidden="false" customHeight="false" outlineLevel="0" collapsed="false">
      <c r="A633" s="6" t="s">
        <v>854</v>
      </c>
      <c r="B633" s="6" t="s">
        <v>230</v>
      </c>
      <c r="C633" s="6" t="s">
        <v>284</v>
      </c>
      <c r="D633" s="9" t="n">
        <v>-1</v>
      </c>
    </row>
    <row r="634" customFormat="false" ht="15" hidden="false" customHeight="false" outlineLevel="0" collapsed="false">
      <c r="A634" s="6" t="s">
        <v>854</v>
      </c>
      <c r="B634" s="6" t="s">
        <v>286</v>
      </c>
      <c r="C634" s="6" t="s">
        <v>287</v>
      </c>
      <c r="D634" s="9" t="n">
        <v>0</v>
      </c>
    </row>
    <row r="635" customFormat="false" ht="15" hidden="false" customHeight="false" outlineLevel="0" collapsed="false">
      <c r="A635" s="6" t="s">
        <v>854</v>
      </c>
      <c r="B635" s="6" t="s">
        <v>54</v>
      </c>
      <c r="C635" s="6" t="s">
        <v>288</v>
      </c>
      <c r="D635" s="9" t="n">
        <v>6</v>
      </c>
    </row>
    <row r="636" customFormat="false" ht="15" hidden="false" customHeight="false" outlineLevel="0" collapsed="false">
      <c r="A636" s="6" t="s">
        <v>854</v>
      </c>
      <c r="B636" s="6" t="s">
        <v>54</v>
      </c>
      <c r="C636" s="6" t="s">
        <v>289</v>
      </c>
      <c r="D636" s="9" t="n">
        <v>58</v>
      </c>
    </row>
    <row r="637" customFormat="false" ht="15" hidden="false" customHeight="false" outlineLevel="0" collapsed="false">
      <c r="A637" s="6" t="s">
        <v>854</v>
      </c>
      <c r="B637" s="6" t="s">
        <v>54</v>
      </c>
      <c r="C637" s="6" t="s">
        <v>290</v>
      </c>
      <c r="D637" s="9" t="n">
        <v>37</v>
      </c>
    </row>
    <row r="638" customFormat="false" ht="15" hidden="false" customHeight="false" outlineLevel="0" collapsed="false">
      <c r="A638" s="6" t="s">
        <v>854</v>
      </c>
      <c r="B638" s="6" t="s">
        <v>54</v>
      </c>
      <c r="C638" s="6" t="s">
        <v>291</v>
      </c>
      <c r="D638" s="9" t="n">
        <v>65</v>
      </c>
    </row>
    <row r="639" customFormat="false" ht="15" hidden="false" customHeight="false" outlineLevel="0" collapsed="false">
      <c r="A639" s="6" t="s">
        <v>854</v>
      </c>
      <c r="B639" s="6" t="s">
        <v>54</v>
      </c>
      <c r="C639" s="6" t="s">
        <v>292</v>
      </c>
      <c r="D639" s="9" t="n">
        <v>4</v>
      </c>
    </row>
    <row r="640" customFormat="false" ht="15" hidden="false" customHeight="false" outlineLevel="0" collapsed="false">
      <c r="A640" s="6" t="s">
        <v>854</v>
      </c>
      <c r="B640" s="6" t="s">
        <v>32</v>
      </c>
      <c r="C640" s="6" t="s">
        <v>293</v>
      </c>
      <c r="D640" s="9" t="n">
        <v>147</v>
      </c>
    </row>
    <row r="641" customFormat="false" ht="15" hidden="false" customHeight="false" outlineLevel="0" collapsed="false">
      <c r="A641" s="6" t="s">
        <v>854</v>
      </c>
      <c r="B641" s="6" t="s">
        <v>32</v>
      </c>
      <c r="C641" s="6" t="s">
        <v>294</v>
      </c>
      <c r="D641" s="9" t="n">
        <v>412</v>
      </c>
    </row>
    <row r="642" customFormat="false" ht="15" hidden="false" customHeight="false" outlineLevel="0" collapsed="false">
      <c r="A642" s="6" t="s">
        <v>854</v>
      </c>
      <c r="B642" s="6" t="s">
        <v>32</v>
      </c>
      <c r="C642" s="6" t="s">
        <v>295</v>
      </c>
      <c r="D642" s="9" t="n">
        <v>313</v>
      </c>
    </row>
    <row r="643" customFormat="false" ht="15" hidden="false" customHeight="false" outlineLevel="0" collapsed="false">
      <c r="A643" s="6" t="s">
        <v>854</v>
      </c>
      <c r="B643" s="6" t="s">
        <v>32</v>
      </c>
      <c r="C643" s="6" t="s">
        <v>296</v>
      </c>
      <c r="D643" s="9" t="n">
        <v>399</v>
      </c>
    </row>
    <row r="644" customFormat="false" ht="15" hidden="false" customHeight="false" outlineLevel="0" collapsed="false">
      <c r="A644" s="6" t="s">
        <v>854</v>
      </c>
      <c r="B644" s="6" t="s">
        <v>32</v>
      </c>
      <c r="C644" s="6" t="s">
        <v>297</v>
      </c>
      <c r="D644" s="9" t="n">
        <v>98</v>
      </c>
    </row>
    <row r="645" customFormat="false" ht="15" hidden="false" customHeight="false" outlineLevel="0" collapsed="false">
      <c r="A645" s="6" t="s">
        <v>854</v>
      </c>
      <c r="B645" s="6" t="s">
        <v>224</v>
      </c>
      <c r="C645" s="6" t="s">
        <v>298</v>
      </c>
      <c r="D645" s="9" t="n">
        <v>-1</v>
      </c>
    </row>
    <row r="646" customFormat="false" ht="15" hidden="false" customHeight="false" outlineLevel="0" collapsed="false">
      <c r="A646" s="6" t="s">
        <v>854</v>
      </c>
      <c r="B646" s="6" t="s">
        <v>177</v>
      </c>
      <c r="C646" s="6" t="s">
        <v>299</v>
      </c>
      <c r="D646" s="9" t="n">
        <v>0</v>
      </c>
    </row>
    <row r="647" customFormat="false" ht="15" hidden="false" customHeight="false" outlineLevel="0" collapsed="false">
      <c r="A647" s="6" t="s">
        <v>854</v>
      </c>
      <c r="B647" s="6" t="s">
        <v>177</v>
      </c>
      <c r="C647" s="6" t="s">
        <v>300</v>
      </c>
      <c r="D647" s="9" t="n">
        <v>0</v>
      </c>
    </row>
    <row r="648" customFormat="false" ht="15" hidden="false" customHeight="false" outlineLevel="0" collapsed="false">
      <c r="A648" s="6" t="s">
        <v>854</v>
      </c>
      <c r="B648" s="6" t="s">
        <v>75</v>
      </c>
      <c r="C648" s="6" t="s">
        <v>301</v>
      </c>
      <c r="D648" s="9" t="n">
        <v>189</v>
      </c>
    </row>
    <row r="649" customFormat="false" ht="15" hidden="false" customHeight="false" outlineLevel="0" collapsed="false">
      <c r="A649" s="6" t="s">
        <v>854</v>
      </c>
      <c r="B649" s="6" t="s">
        <v>75</v>
      </c>
      <c r="C649" s="6" t="s">
        <v>302</v>
      </c>
      <c r="D649" s="9" t="n">
        <v>282</v>
      </c>
    </row>
    <row r="650" customFormat="false" ht="15" hidden="false" customHeight="false" outlineLevel="0" collapsed="false">
      <c r="A650" s="6" t="s">
        <v>854</v>
      </c>
      <c r="B650" s="6" t="s">
        <v>75</v>
      </c>
      <c r="C650" s="6" t="s">
        <v>303</v>
      </c>
      <c r="D650" s="9" t="n">
        <v>183</v>
      </c>
    </row>
    <row r="651" customFormat="false" ht="15" hidden="false" customHeight="false" outlineLevel="0" collapsed="false">
      <c r="A651" s="6" t="s">
        <v>854</v>
      </c>
      <c r="B651" s="6" t="s">
        <v>75</v>
      </c>
      <c r="C651" s="6" t="s">
        <v>304</v>
      </c>
      <c r="D651" s="9" t="n">
        <v>84</v>
      </c>
    </row>
    <row r="652" customFormat="false" ht="15" hidden="false" customHeight="false" outlineLevel="0" collapsed="false">
      <c r="A652" s="6" t="s">
        <v>854</v>
      </c>
      <c r="B652" s="6" t="s">
        <v>75</v>
      </c>
      <c r="C652" s="6" t="s">
        <v>305</v>
      </c>
      <c r="D652" s="9" t="n">
        <v>1</v>
      </c>
    </row>
    <row r="653" customFormat="false" ht="15" hidden="false" customHeight="false" outlineLevel="0" collapsed="false">
      <c r="A653" s="6" t="s">
        <v>854</v>
      </c>
      <c r="B653" s="6" t="s">
        <v>19</v>
      </c>
      <c r="C653" s="6" t="s">
        <v>306</v>
      </c>
      <c r="D653" s="9" t="n">
        <v>2255</v>
      </c>
    </row>
    <row r="654" customFormat="false" ht="15" hidden="false" customHeight="false" outlineLevel="0" collapsed="false">
      <c r="A654" s="6" t="s">
        <v>854</v>
      </c>
      <c r="B654" s="6" t="s">
        <v>19</v>
      </c>
      <c r="C654" s="6" t="s">
        <v>307</v>
      </c>
      <c r="D654" s="9" t="n">
        <v>2160</v>
      </c>
    </row>
    <row r="655" customFormat="false" ht="15" hidden="false" customHeight="false" outlineLevel="0" collapsed="false">
      <c r="A655" s="6" t="s">
        <v>854</v>
      </c>
      <c r="B655" s="6" t="s">
        <v>19</v>
      </c>
      <c r="C655" s="6" t="s">
        <v>308</v>
      </c>
      <c r="D655" s="9" t="n">
        <v>3042</v>
      </c>
    </row>
    <row r="656" customFormat="false" ht="15" hidden="false" customHeight="false" outlineLevel="0" collapsed="false">
      <c r="A656" s="6" t="s">
        <v>854</v>
      </c>
      <c r="B656" s="6" t="s">
        <v>19</v>
      </c>
      <c r="C656" s="6" t="s">
        <v>309</v>
      </c>
      <c r="D656" s="9" t="n">
        <v>801</v>
      </c>
    </row>
    <row r="657" customFormat="false" ht="15" hidden="false" customHeight="false" outlineLevel="0" collapsed="false">
      <c r="A657" s="6" t="s">
        <v>854</v>
      </c>
      <c r="B657" s="6" t="s">
        <v>162</v>
      </c>
      <c r="C657" s="6" t="s">
        <v>310</v>
      </c>
      <c r="D657" s="9" t="n">
        <v>-5</v>
      </c>
    </row>
    <row r="658" customFormat="false" ht="15" hidden="false" customHeight="false" outlineLevel="0" collapsed="false">
      <c r="A658" s="6" t="s">
        <v>854</v>
      </c>
      <c r="B658" s="6" t="s">
        <v>162</v>
      </c>
      <c r="C658" s="6" t="s">
        <v>311</v>
      </c>
      <c r="D658" s="9" t="n">
        <v>-1</v>
      </c>
    </row>
    <row r="659" customFormat="false" ht="15" hidden="false" customHeight="false" outlineLevel="0" collapsed="false">
      <c r="A659" s="6" t="s">
        <v>854</v>
      </c>
      <c r="B659" s="6" t="s">
        <v>162</v>
      </c>
      <c r="C659" s="6" t="s">
        <v>312</v>
      </c>
      <c r="D659" s="9" t="n">
        <v>0</v>
      </c>
    </row>
    <row r="660" customFormat="false" ht="15" hidden="false" customHeight="false" outlineLevel="0" collapsed="false">
      <c r="A660" s="6" t="s">
        <v>854</v>
      </c>
      <c r="B660" s="6" t="s">
        <v>162</v>
      </c>
      <c r="C660" s="6" t="s">
        <v>313</v>
      </c>
      <c r="D660" s="9" t="n">
        <v>-5</v>
      </c>
    </row>
    <row r="661" customFormat="false" ht="15" hidden="false" customHeight="false" outlineLevel="0" collapsed="false">
      <c r="A661" s="6" t="s">
        <v>854</v>
      </c>
      <c r="B661" s="6" t="s">
        <v>190</v>
      </c>
      <c r="C661" s="6" t="s">
        <v>314</v>
      </c>
      <c r="D661" s="9" t="n">
        <v>-2</v>
      </c>
    </row>
    <row r="662" customFormat="false" ht="15" hidden="false" customHeight="false" outlineLevel="0" collapsed="false">
      <c r="A662" s="6" t="s">
        <v>854</v>
      </c>
      <c r="B662" s="6" t="s">
        <v>315</v>
      </c>
      <c r="C662" s="6" t="s">
        <v>316</v>
      </c>
      <c r="D662" s="9" t="n">
        <v>0</v>
      </c>
    </row>
    <row r="663" customFormat="false" ht="15" hidden="false" customHeight="false" outlineLevel="0" collapsed="false">
      <c r="A663" s="6" t="s">
        <v>854</v>
      </c>
      <c r="B663" s="6" t="s">
        <v>315</v>
      </c>
      <c r="C663" s="6" t="s">
        <v>317</v>
      </c>
      <c r="D663" s="9" t="n">
        <v>0</v>
      </c>
    </row>
    <row r="664" customFormat="false" ht="15" hidden="false" customHeight="false" outlineLevel="0" collapsed="false">
      <c r="A664" s="6" t="s">
        <v>854</v>
      </c>
      <c r="B664" s="6" t="s">
        <v>315</v>
      </c>
      <c r="C664" s="6" t="s">
        <v>318</v>
      </c>
      <c r="D664" s="9" t="n">
        <v>0</v>
      </c>
    </row>
    <row r="665" customFormat="false" ht="15" hidden="false" customHeight="false" outlineLevel="0" collapsed="false">
      <c r="A665" s="6" t="s">
        <v>854</v>
      </c>
      <c r="B665" s="6" t="s">
        <v>315</v>
      </c>
      <c r="C665" s="6" t="s">
        <v>319</v>
      </c>
      <c r="D665" s="9" t="n">
        <v>0</v>
      </c>
    </row>
    <row r="666" customFormat="false" ht="15" hidden="false" customHeight="false" outlineLevel="0" collapsed="false">
      <c r="A666" s="6" t="s">
        <v>854</v>
      </c>
      <c r="B666" s="6" t="s">
        <v>176</v>
      </c>
      <c r="C666" s="6" t="s">
        <v>320</v>
      </c>
      <c r="D666" s="9" t="n">
        <v>0</v>
      </c>
    </row>
    <row r="667" customFormat="false" ht="15" hidden="false" customHeight="false" outlineLevel="0" collapsed="false">
      <c r="A667" s="6" t="s">
        <v>854</v>
      </c>
      <c r="B667" s="6" t="s">
        <v>176</v>
      </c>
      <c r="C667" s="6" t="s">
        <v>321</v>
      </c>
      <c r="D667" s="9" t="n">
        <v>-1</v>
      </c>
    </row>
    <row r="668" customFormat="false" ht="15" hidden="false" customHeight="false" outlineLevel="0" collapsed="false">
      <c r="A668" s="6" t="s">
        <v>854</v>
      </c>
      <c r="B668" s="6" t="s">
        <v>175</v>
      </c>
      <c r="C668" s="6" t="s">
        <v>322</v>
      </c>
      <c r="D668" s="9" t="n">
        <v>0</v>
      </c>
    </row>
    <row r="669" customFormat="false" ht="15" hidden="false" customHeight="false" outlineLevel="0" collapsed="false">
      <c r="A669" s="6" t="s">
        <v>854</v>
      </c>
      <c r="B669" s="6" t="s">
        <v>175</v>
      </c>
      <c r="C669" s="6" t="s">
        <v>323</v>
      </c>
      <c r="D669" s="9" t="n">
        <v>1</v>
      </c>
    </row>
    <row r="670" customFormat="false" ht="15" hidden="false" customHeight="false" outlineLevel="0" collapsed="false">
      <c r="A670" s="6" t="s">
        <v>854</v>
      </c>
      <c r="B670" s="6" t="s">
        <v>175</v>
      </c>
      <c r="C670" s="6" t="s">
        <v>324</v>
      </c>
      <c r="D670" s="9" t="n">
        <v>-1</v>
      </c>
    </row>
    <row r="671" customFormat="false" ht="15" hidden="false" customHeight="false" outlineLevel="0" collapsed="false">
      <c r="A671" s="6" t="s">
        <v>854</v>
      </c>
      <c r="B671" s="6" t="s">
        <v>175</v>
      </c>
      <c r="C671" s="6" t="s">
        <v>325</v>
      </c>
      <c r="D671" s="9" t="n">
        <v>-2</v>
      </c>
    </row>
    <row r="672" customFormat="false" ht="15" hidden="false" customHeight="false" outlineLevel="0" collapsed="false">
      <c r="A672" s="6" t="s">
        <v>854</v>
      </c>
      <c r="B672" s="6" t="s">
        <v>326</v>
      </c>
      <c r="C672" s="6" t="s">
        <v>327</v>
      </c>
      <c r="D672" s="9" t="n">
        <v>0</v>
      </c>
    </row>
    <row r="673" customFormat="false" ht="15" hidden="false" customHeight="false" outlineLevel="0" collapsed="false">
      <c r="A673" s="6" t="s">
        <v>854</v>
      </c>
      <c r="B673" s="6" t="s">
        <v>178</v>
      </c>
      <c r="C673" s="6" t="s">
        <v>328</v>
      </c>
      <c r="D673" s="9" t="n">
        <v>-2</v>
      </c>
    </row>
    <row r="674" customFormat="false" ht="15" hidden="false" customHeight="false" outlineLevel="0" collapsed="false">
      <c r="A674" s="6" t="s">
        <v>854</v>
      </c>
      <c r="B674" s="6" t="s">
        <v>225</v>
      </c>
      <c r="C674" s="6" t="s">
        <v>327</v>
      </c>
      <c r="D674" s="9" t="n">
        <v>-1</v>
      </c>
    </row>
    <row r="675" customFormat="false" ht="15" hidden="false" customHeight="false" outlineLevel="0" collapsed="false">
      <c r="A675" s="6" t="s">
        <v>854</v>
      </c>
      <c r="B675" s="6" t="s">
        <v>50</v>
      </c>
      <c r="C675" s="6" t="s">
        <v>329</v>
      </c>
      <c r="D675" s="9" t="n">
        <v>224</v>
      </c>
    </row>
    <row r="676" customFormat="false" ht="15" hidden="false" customHeight="false" outlineLevel="0" collapsed="false">
      <c r="A676" s="6" t="s">
        <v>854</v>
      </c>
      <c r="B676" s="6" t="s">
        <v>127</v>
      </c>
      <c r="C676" s="6" t="s">
        <v>330</v>
      </c>
      <c r="D676" s="9" t="n">
        <v>-1</v>
      </c>
    </row>
    <row r="677" customFormat="false" ht="15" hidden="false" customHeight="false" outlineLevel="0" collapsed="false">
      <c r="A677" s="6" t="s">
        <v>854</v>
      </c>
      <c r="B677" s="6" t="s">
        <v>127</v>
      </c>
      <c r="C677" s="6" t="s">
        <v>331</v>
      </c>
      <c r="D677" s="9" t="n">
        <v>9</v>
      </c>
    </row>
    <row r="678" customFormat="false" ht="15" hidden="false" customHeight="false" outlineLevel="0" collapsed="false">
      <c r="A678" s="6" t="s">
        <v>854</v>
      </c>
      <c r="B678" s="6" t="s">
        <v>127</v>
      </c>
      <c r="C678" s="6" t="s">
        <v>332</v>
      </c>
      <c r="D678" s="9" t="n">
        <v>7</v>
      </c>
    </row>
    <row r="679" customFormat="false" ht="15" hidden="false" customHeight="false" outlineLevel="0" collapsed="false">
      <c r="A679" s="6" t="s">
        <v>854</v>
      </c>
      <c r="B679" s="6" t="s">
        <v>127</v>
      </c>
      <c r="C679" s="6" t="s">
        <v>333</v>
      </c>
      <c r="D679" s="9" t="n">
        <v>13</v>
      </c>
    </row>
    <row r="680" customFormat="false" ht="15" hidden="false" customHeight="false" outlineLevel="0" collapsed="false">
      <c r="A680" s="6" t="s">
        <v>854</v>
      </c>
      <c r="B680" s="6" t="s">
        <v>127</v>
      </c>
      <c r="C680" s="6" t="s">
        <v>334</v>
      </c>
      <c r="D680" s="9" t="n">
        <v>0</v>
      </c>
    </row>
    <row r="681" customFormat="false" ht="15" hidden="false" customHeight="false" outlineLevel="0" collapsed="false">
      <c r="A681" s="6" t="s">
        <v>854</v>
      </c>
      <c r="B681" s="6" t="s">
        <v>93</v>
      </c>
      <c r="C681" s="6" t="s">
        <v>335</v>
      </c>
      <c r="D681" s="9" t="n">
        <v>187</v>
      </c>
    </row>
    <row r="682" customFormat="false" ht="15" hidden="false" customHeight="false" outlineLevel="0" collapsed="false">
      <c r="A682" s="6" t="s">
        <v>854</v>
      </c>
      <c r="B682" s="6" t="s">
        <v>93</v>
      </c>
      <c r="C682" s="6" t="s">
        <v>336</v>
      </c>
      <c r="D682" s="9" t="n">
        <v>121</v>
      </c>
    </row>
    <row r="683" customFormat="false" ht="15" hidden="false" customHeight="false" outlineLevel="0" collapsed="false">
      <c r="A683" s="6" t="s">
        <v>854</v>
      </c>
      <c r="B683" s="6" t="s">
        <v>99</v>
      </c>
      <c r="C683" s="6" t="s">
        <v>337</v>
      </c>
      <c r="D683" s="9" t="n">
        <v>102</v>
      </c>
    </row>
    <row r="684" customFormat="false" ht="15" hidden="false" customHeight="false" outlineLevel="0" collapsed="false">
      <c r="A684" s="6" t="s">
        <v>854</v>
      </c>
      <c r="B684" s="6" t="s">
        <v>99</v>
      </c>
      <c r="C684" s="6" t="s">
        <v>338</v>
      </c>
      <c r="D684" s="9" t="n">
        <v>116</v>
      </c>
    </row>
    <row r="685" customFormat="false" ht="15" hidden="false" customHeight="false" outlineLevel="0" collapsed="false">
      <c r="A685" s="6" t="s">
        <v>854</v>
      </c>
      <c r="B685" s="6" t="s">
        <v>35</v>
      </c>
      <c r="C685" s="6" t="s">
        <v>339</v>
      </c>
      <c r="D685" s="9" t="n">
        <v>4392</v>
      </c>
    </row>
    <row r="686" customFormat="false" ht="15" hidden="false" customHeight="false" outlineLevel="0" collapsed="false">
      <c r="A686" s="6" t="s">
        <v>854</v>
      </c>
      <c r="B686" s="6" t="s">
        <v>34</v>
      </c>
      <c r="C686" s="6" t="s">
        <v>339</v>
      </c>
      <c r="D686" s="9" t="n">
        <v>5414</v>
      </c>
    </row>
    <row r="687" customFormat="false" ht="15" hidden="false" customHeight="false" outlineLevel="0" collapsed="false">
      <c r="A687" s="6" t="s">
        <v>854</v>
      </c>
      <c r="B687" s="6" t="s">
        <v>340</v>
      </c>
      <c r="C687" s="6" t="s">
        <v>341</v>
      </c>
      <c r="D687" s="9" t="n">
        <v>0</v>
      </c>
    </row>
    <row r="688" customFormat="false" ht="15" hidden="false" customHeight="false" outlineLevel="0" collapsed="false">
      <c r="A688" s="6" t="s">
        <v>854</v>
      </c>
      <c r="B688" s="6" t="s">
        <v>182</v>
      </c>
      <c r="C688" s="6" t="s">
        <v>342</v>
      </c>
      <c r="D688" s="9" t="n">
        <v>0</v>
      </c>
    </row>
    <row r="689" customFormat="false" ht="15" hidden="false" customHeight="false" outlineLevel="0" collapsed="false">
      <c r="A689" s="6" t="s">
        <v>854</v>
      </c>
      <c r="B689" s="6" t="s">
        <v>172</v>
      </c>
      <c r="C689" s="6" t="s">
        <v>343</v>
      </c>
      <c r="D689" s="9" t="n">
        <v>0</v>
      </c>
    </row>
    <row r="690" customFormat="false" ht="15" hidden="false" customHeight="false" outlineLevel="0" collapsed="false">
      <c r="A690" s="6" t="s">
        <v>854</v>
      </c>
      <c r="B690" s="6" t="s">
        <v>172</v>
      </c>
      <c r="C690" s="6" t="s">
        <v>344</v>
      </c>
      <c r="D690" s="9" t="n">
        <v>10</v>
      </c>
    </row>
    <row r="691" customFormat="false" ht="15" hidden="false" customHeight="false" outlineLevel="0" collapsed="false">
      <c r="A691" s="6" t="s">
        <v>854</v>
      </c>
      <c r="B691" s="6" t="s">
        <v>172</v>
      </c>
      <c r="C691" s="6" t="s">
        <v>345</v>
      </c>
      <c r="D691" s="9" t="n">
        <v>0</v>
      </c>
    </row>
    <row r="692" customFormat="false" ht="15" hidden="false" customHeight="false" outlineLevel="0" collapsed="false">
      <c r="A692" s="6" t="s">
        <v>854</v>
      </c>
      <c r="B692" s="6" t="s">
        <v>172</v>
      </c>
      <c r="C692" s="6" t="s">
        <v>346</v>
      </c>
      <c r="D692" s="9" t="n">
        <v>0</v>
      </c>
    </row>
    <row r="693" customFormat="false" ht="15" hidden="false" customHeight="false" outlineLevel="0" collapsed="false">
      <c r="A693" s="6" t="s">
        <v>854</v>
      </c>
      <c r="B693" s="6" t="s">
        <v>347</v>
      </c>
      <c r="C693" s="6" t="s">
        <v>348</v>
      </c>
      <c r="D693" s="9" t="n">
        <v>0</v>
      </c>
    </row>
    <row r="694" customFormat="false" ht="15" hidden="false" customHeight="false" outlineLevel="0" collapsed="false">
      <c r="A694" s="6" t="s">
        <v>854</v>
      </c>
      <c r="B694" s="6" t="s">
        <v>347</v>
      </c>
      <c r="C694" s="6" t="s">
        <v>349</v>
      </c>
      <c r="D694" s="9" t="n">
        <v>0</v>
      </c>
    </row>
    <row r="695" customFormat="false" ht="15" hidden="false" customHeight="false" outlineLevel="0" collapsed="false">
      <c r="A695" s="6" t="s">
        <v>854</v>
      </c>
      <c r="B695" s="6" t="s">
        <v>350</v>
      </c>
      <c r="C695" s="6" t="s">
        <v>351</v>
      </c>
      <c r="D695" s="9" t="n">
        <v>0</v>
      </c>
    </row>
    <row r="696" customFormat="false" ht="15" hidden="false" customHeight="false" outlineLevel="0" collapsed="false">
      <c r="A696" s="6" t="s">
        <v>854</v>
      </c>
      <c r="B696" s="6" t="s">
        <v>352</v>
      </c>
      <c r="C696" s="6" t="s">
        <v>353</v>
      </c>
      <c r="D696" s="9" t="n">
        <v>0</v>
      </c>
    </row>
    <row r="697" customFormat="false" ht="15" hidden="false" customHeight="false" outlineLevel="0" collapsed="false">
      <c r="A697" s="6" t="s">
        <v>854</v>
      </c>
      <c r="B697" s="6" t="s">
        <v>350</v>
      </c>
      <c r="C697" s="6" t="s">
        <v>354</v>
      </c>
      <c r="D697" s="9" t="n">
        <v>0</v>
      </c>
    </row>
    <row r="698" customFormat="false" ht="15" hidden="false" customHeight="false" outlineLevel="0" collapsed="false">
      <c r="A698" s="6" t="s">
        <v>854</v>
      </c>
      <c r="B698" s="6" t="s">
        <v>172</v>
      </c>
      <c r="C698" s="6" t="s">
        <v>355</v>
      </c>
      <c r="D698" s="9" t="n">
        <v>0</v>
      </c>
    </row>
    <row r="699" customFormat="false" ht="15" hidden="false" customHeight="false" outlineLevel="0" collapsed="false">
      <c r="A699" s="6" t="s">
        <v>854</v>
      </c>
      <c r="B699" s="6" t="s">
        <v>356</v>
      </c>
      <c r="C699" s="6" t="s">
        <v>357</v>
      </c>
      <c r="D699" s="9" t="n">
        <v>0</v>
      </c>
    </row>
    <row r="700" customFormat="false" ht="15" hidden="false" customHeight="false" outlineLevel="0" collapsed="false">
      <c r="A700" s="6" t="s">
        <v>854</v>
      </c>
      <c r="B700" s="6" t="s">
        <v>356</v>
      </c>
      <c r="C700" s="6" t="s">
        <v>358</v>
      </c>
      <c r="D700" s="9" t="n">
        <v>0</v>
      </c>
    </row>
    <row r="701" customFormat="false" ht="15" hidden="false" customHeight="false" outlineLevel="0" collapsed="false">
      <c r="A701" s="6" t="s">
        <v>854</v>
      </c>
      <c r="B701" s="6" t="s">
        <v>359</v>
      </c>
      <c r="C701" s="6" t="s">
        <v>360</v>
      </c>
      <c r="D701" s="9" t="n">
        <v>0</v>
      </c>
    </row>
    <row r="702" customFormat="false" ht="15" hidden="false" customHeight="false" outlineLevel="0" collapsed="false">
      <c r="A702" s="6" t="s">
        <v>854</v>
      </c>
      <c r="B702" s="6" t="s">
        <v>361</v>
      </c>
      <c r="C702" s="6" t="s">
        <v>362</v>
      </c>
      <c r="D702" s="9" t="n">
        <v>0</v>
      </c>
    </row>
    <row r="703" customFormat="false" ht="15" hidden="false" customHeight="false" outlineLevel="0" collapsed="false">
      <c r="A703" s="6" t="s">
        <v>854</v>
      </c>
      <c r="B703" s="6" t="s">
        <v>361</v>
      </c>
      <c r="C703" s="6" t="s">
        <v>363</v>
      </c>
      <c r="D703" s="9" t="n">
        <v>0</v>
      </c>
    </row>
    <row r="704" customFormat="false" ht="15" hidden="false" customHeight="false" outlineLevel="0" collapsed="false">
      <c r="A704" s="6" t="s">
        <v>854</v>
      </c>
      <c r="B704" s="6" t="s">
        <v>163</v>
      </c>
      <c r="C704" s="6" t="s">
        <v>364</v>
      </c>
      <c r="D704" s="9" t="n">
        <v>0</v>
      </c>
    </row>
    <row r="705" customFormat="false" ht="15" hidden="false" customHeight="false" outlineLevel="0" collapsed="false">
      <c r="A705" s="6" t="s">
        <v>854</v>
      </c>
      <c r="B705" s="6" t="s">
        <v>163</v>
      </c>
      <c r="C705" s="6" t="s">
        <v>365</v>
      </c>
      <c r="D705" s="9" t="n">
        <v>0</v>
      </c>
    </row>
    <row r="706" customFormat="false" ht="15" hidden="false" customHeight="false" outlineLevel="0" collapsed="false">
      <c r="A706" s="6" t="s">
        <v>854</v>
      </c>
      <c r="B706" s="6" t="s">
        <v>163</v>
      </c>
      <c r="C706" s="6" t="s">
        <v>366</v>
      </c>
      <c r="D706" s="9" t="n">
        <v>3</v>
      </c>
    </row>
    <row r="707" customFormat="false" ht="15" hidden="false" customHeight="false" outlineLevel="0" collapsed="false">
      <c r="A707" s="6" t="s">
        <v>854</v>
      </c>
      <c r="B707" s="6" t="s">
        <v>163</v>
      </c>
      <c r="C707" s="6" t="s">
        <v>367</v>
      </c>
      <c r="D707" s="9" t="n">
        <v>3</v>
      </c>
    </row>
    <row r="708" customFormat="false" ht="15" hidden="false" customHeight="false" outlineLevel="0" collapsed="false">
      <c r="A708" s="6" t="s">
        <v>854</v>
      </c>
      <c r="B708" s="6" t="s">
        <v>163</v>
      </c>
      <c r="C708" s="6" t="s">
        <v>368</v>
      </c>
      <c r="D708" s="9" t="n">
        <v>0</v>
      </c>
    </row>
    <row r="709" customFormat="false" ht="15" hidden="false" customHeight="false" outlineLevel="0" collapsed="false">
      <c r="A709" s="6" t="s">
        <v>854</v>
      </c>
      <c r="B709" s="6" t="s">
        <v>91</v>
      </c>
      <c r="C709" s="6" t="s">
        <v>369</v>
      </c>
      <c r="D709" s="9" t="n">
        <v>0</v>
      </c>
    </row>
    <row r="710" customFormat="false" ht="15" hidden="false" customHeight="false" outlineLevel="0" collapsed="false">
      <c r="A710" s="6" t="s">
        <v>854</v>
      </c>
      <c r="B710" s="6" t="s">
        <v>91</v>
      </c>
      <c r="C710" s="6" t="s">
        <v>370</v>
      </c>
      <c r="D710" s="9" t="n">
        <v>13</v>
      </c>
    </row>
    <row r="711" customFormat="false" ht="15" hidden="false" customHeight="false" outlineLevel="0" collapsed="false">
      <c r="A711" s="6" t="s">
        <v>854</v>
      </c>
      <c r="B711" s="6" t="s">
        <v>91</v>
      </c>
      <c r="C711" s="6" t="s">
        <v>371</v>
      </c>
      <c r="D711" s="9" t="n">
        <v>10</v>
      </c>
    </row>
    <row r="712" customFormat="false" ht="15" hidden="false" customHeight="false" outlineLevel="0" collapsed="false">
      <c r="A712" s="6" t="s">
        <v>854</v>
      </c>
      <c r="B712" s="6" t="s">
        <v>91</v>
      </c>
      <c r="C712" s="6" t="s">
        <v>372</v>
      </c>
      <c r="D712" s="9" t="n">
        <v>19</v>
      </c>
    </row>
    <row r="713" customFormat="false" ht="15" hidden="false" customHeight="false" outlineLevel="0" collapsed="false">
      <c r="A713" s="6" t="s">
        <v>854</v>
      </c>
      <c r="B713" s="6" t="s">
        <v>91</v>
      </c>
      <c r="C713" s="6" t="s">
        <v>373</v>
      </c>
      <c r="D713" s="9" t="n">
        <v>21</v>
      </c>
    </row>
    <row r="714" customFormat="false" ht="15" hidden="false" customHeight="false" outlineLevel="0" collapsed="false">
      <c r="A714" s="6" t="s">
        <v>854</v>
      </c>
      <c r="B714" s="6" t="s">
        <v>32</v>
      </c>
      <c r="C714" s="6" t="s">
        <v>374</v>
      </c>
      <c r="D714" s="9" t="n">
        <v>0</v>
      </c>
    </row>
    <row r="715" customFormat="false" ht="15" hidden="false" customHeight="false" outlineLevel="0" collapsed="false">
      <c r="A715" s="6" t="s">
        <v>854</v>
      </c>
      <c r="B715" s="6" t="s">
        <v>231</v>
      </c>
      <c r="C715" s="6" t="s">
        <v>375</v>
      </c>
      <c r="D715" s="9" t="n">
        <v>0</v>
      </c>
    </row>
    <row r="716" customFormat="false" ht="15" hidden="false" customHeight="false" outlineLevel="0" collapsed="false">
      <c r="A716" s="6" t="s">
        <v>854</v>
      </c>
      <c r="B716" s="6" t="s">
        <v>231</v>
      </c>
      <c r="C716" s="6" t="s">
        <v>376</v>
      </c>
      <c r="D716" s="9" t="n">
        <v>-1</v>
      </c>
    </row>
    <row r="717" customFormat="false" ht="15" hidden="false" customHeight="false" outlineLevel="0" collapsed="false">
      <c r="A717" s="6" t="s">
        <v>854</v>
      </c>
      <c r="B717" s="6" t="s">
        <v>231</v>
      </c>
      <c r="C717" s="6" t="s">
        <v>377</v>
      </c>
      <c r="D717" s="9" t="n">
        <v>0</v>
      </c>
    </row>
    <row r="718" customFormat="false" ht="15" hidden="false" customHeight="false" outlineLevel="0" collapsed="false">
      <c r="A718" s="6" t="s">
        <v>854</v>
      </c>
      <c r="B718" s="6" t="s">
        <v>231</v>
      </c>
      <c r="C718" s="6" t="s">
        <v>378</v>
      </c>
      <c r="D718" s="9" t="n">
        <v>0</v>
      </c>
    </row>
    <row r="719" customFormat="false" ht="15" hidden="false" customHeight="false" outlineLevel="0" collapsed="false">
      <c r="A719" s="6" t="s">
        <v>854</v>
      </c>
      <c r="B719" s="6" t="s">
        <v>108</v>
      </c>
      <c r="C719" s="6" t="s">
        <v>379</v>
      </c>
      <c r="D719" s="9" t="n">
        <v>65</v>
      </c>
    </row>
    <row r="720" customFormat="false" ht="15" hidden="false" customHeight="false" outlineLevel="0" collapsed="false">
      <c r="A720" s="6" t="s">
        <v>854</v>
      </c>
      <c r="B720" s="6" t="s">
        <v>78</v>
      </c>
      <c r="C720" s="6" t="s">
        <v>380</v>
      </c>
      <c r="D720" s="9" t="n">
        <v>164</v>
      </c>
    </row>
    <row r="721" customFormat="false" ht="15" hidden="false" customHeight="false" outlineLevel="0" collapsed="false">
      <c r="A721" s="6" t="s">
        <v>854</v>
      </c>
      <c r="B721" s="6" t="s">
        <v>130</v>
      </c>
      <c r="C721" s="6" t="s">
        <v>381</v>
      </c>
      <c r="D721" s="9" t="n">
        <v>2</v>
      </c>
    </row>
    <row r="722" customFormat="false" ht="15" hidden="false" customHeight="false" outlineLevel="0" collapsed="false">
      <c r="A722" s="6" t="s">
        <v>854</v>
      </c>
      <c r="B722" s="6" t="s">
        <v>382</v>
      </c>
      <c r="C722" s="6" t="s">
        <v>383</v>
      </c>
      <c r="D722" s="9" t="n">
        <v>0</v>
      </c>
    </row>
    <row r="723" customFormat="false" ht="15" hidden="false" customHeight="false" outlineLevel="0" collapsed="false">
      <c r="A723" s="6" t="s">
        <v>854</v>
      </c>
      <c r="B723" s="6" t="s">
        <v>384</v>
      </c>
      <c r="C723" s="6" t="s">
        <v>385</v>
      </c>
      <c r="D723" s="9" t="n">
        <v>0</v>
      </c>
    </row>
    <row r="724" customFormat="false" ht="15" hidden="false" customHeight="false" outlineLevel="0" collapsed="false">
      <c r="A724" s="6" t="s">
        <v>854</v>
      </c>
      <c r="B724" s="6" t="s">
        <v>386</v>
      </c>
      <c r="C724" s="6" t="s">
        <v>387</v>
      </c>
      <c r="D724" s="9" t="n">
        <v>0</v>
      </c>
    </row>
    <row r="725" customFormat="false" ht="15" hidden="false" customHeight="false" outlineLevel="0" collapsed="false">
      <c r="A725" s="6" t="s">
        <v>854</v>
      </c>
      <c r="B725" s="6" t="s">
        <v>85</v>
      </c>
      <c r="C725" s="6" t="s">
        <v>388</v>
      </c>
      <c r="D725" s="9" t="n">
        <v>803</v>
      </c>
    </row>
    <row r="726" customFormat="false" ht="15" hidden="false" customHeight="false" outlineLevel="0" collapsed="false">
      <c r="A726" s="6" t="s">
        <v>854</v>
      </c>
      <c r="B726" s="6" t="s">
        <v>154</v>
      </c>
      <c r="C726" s="6" t="s">
        <v>379</v>
      </c>
      <c r="D726" s="9" t="n">
        <v>11</v>
      </c>
    </row>
    <row r="727" customFormat="false" ht="15" hidden="false" customHeight="false" outlineLevel="0" collapsed="false">
      <c r="A727" s="6" t="s">
        <v>854</v>
      </c>
      <c r="B727" s="6" t="s">
        <v>74</v>
      </c>
      <c r="C727" s="6" t="s">
        <v>379</v>
      </c>
      <c r="D727" s="9" t="n">
        <v>132</v>
      </c>
    </row>
    <row r="728" customFormat="false" ht="15" hidden="false" customHeight="false" outlineLevel="0" collapsed="false">
      <c r="A728" s="6" t="s">
        <v>854</v>
      </c>
      <c r="B728" s="6" t="s">
        <v>144</v>
      </c>
      <c r="C728" s="6" t="s">
        <v>389</v>
      </c>
      <c r="D728" s="9" t="n">
        <v>0</v>
      </c>
    </row>
    <row r="729" customFormat="false" ht="15" hidden="false" customHeight="false" outlineLevel="0" collapsed="false">
      <c r="A729" s="6" t="s">
        <v>854</v>
      </c>
      <c r="B729" s="6" t="s">
        <v>144</v>
      </c>
      <c r="C729" s="6" t="s">
        <v>390</v>
      </c>
      <c r="D729" s="9" t="n">
        <v>223</v>
      </c>
    </row>
    <row r="730" customFormat="false" ht="15" hidden="false" customHeight="false" outlineLevel="0" collapsed="false">
      <c r="A730" s="6" t="s">
        <v>854</v>
      </c>
      <c r="B730" s="6" t="s">
        <v>186</v>
      </c>
      <c r="C730" s="6" t="s">
        <v>391</v>
      </c>
      <c r="D730" s="9" t="n">
        <v>-8</v>
      </c>
    </row>
    <row r="731" customFormat="false" ht="15" hidden="false" customHeight="false" outlineLevel="0" collapsed="false">
      <c r="A731" s="6" t="s">
        <v>854</v>
      </c>
      <c r="B731" s="6" t="s">
        <v>392</v>
      </c>
      <c r="C731" s="6" t="s">
        <v>393</v>
      </c>
      <c r="D731" s="9" t="n">
        <v>0</v>
      </c>
    </row>
    <row r="732" customFormat="false" ht="15" hidden="false" customHeight="false" outlineLevel="0" collapsed="false">
      <c r="A732" s="6" t="s">
        <v>854</v>
      </c>
      <c r="B732" s="6" t="s">
        <v>62</v>
      </c>
      <c r="C732" s="6" t="s">
        <v>394</v>
      </c>
      <c r="D732" s="9" t="n">
        <v>1282</v>
      </c>
    </row>
    <row r="733" customFormat="false" ht="15" hidden="false" customHeight="false" outlineLevel="0" collapsed="false">
      <c r="A733" s="6" t="s">
        <v>854</v>
      </c>
      <c r="B733" s="6" t="s">
        <v>65</v>
      </c>
      <c r="C733" s="6" t="s">
        <v>395</v>
      </c>
      <c r="D733" s="9" t="n">
        <v>2204</v>
      </c>
    </row>
    <row r="734" customFormat="false" ht="15" hidden="false" customHeight="false" outlineLevel="0" collapsed="false">
      <c r="A734" s="6" t="s">
        <v>854</v>
      </c>
      <c r="B734" s="6" t="s">
        <v>131</v>
      </c>
      <c r="C734" s="6" t="s">
        <v>396</v>
      </c>
      <c r="D734" s="9" t="n">
        <v>235</v>
      </c>
    </row>
    <row r="735" customFormat="false" ht="15" hidden="false" customHeight="false" outlineLevel="0" collapsed="false">
      <c r="A735" s="6" t="s">
        <v>854</v>
      </c>
      <c r="B735" s="6" t="s">
        <v>170</v>
      </c>
      <c r="C735" s="6" t="s">
        <v>397</v>
      </c>
      <c r="D735" s="9" t="n">
        <v>-3</v>
      </c>
    </row>
    <row r="736" customFormat="false" ht="15" hidden="false" customHeight="false" outlineLevel="0" collapsed="false">
      <c r="A736" s="6" t="s">
        <v>854</v>
      </c>
      <c r="B736" s="6" t="s">
        <v>123</v>
      </c>
      <c r="C736" s="6" t="s">
        <v>398</v>
      </c>
      <c r="D736" s="9" t="n">
        <v>21</v>
      </c>
    </row>
    <row r="737" customFormat="false" ht="15" hidden="false" customHeight="false" outlineLevel="0" collapsed="false">
      <c r="A737" s="6" t="s">
        <v>854</v>
      </c>
      <c r="B737" s="6" t="s">
        <v>76</v>
      </c>
      <c r="C737" s="6" t="s">
        <v>399</v>
      </c>
      <c r="D737" s="9" t="n">
        <v>26</v>
      </c>
    </row>
    <row r="738" customFormat="false" ht="15" hidden="false" customHeight="false" outlineLevel="0" collapsed="false">
      <c r="A738" s="6" t="s">
        <v>854</v>
      </c>
      <c r="B738" s="6" t="s">
        <v>76</v>
      </c>
      <c r="C738" s="6" t="s">
        <v>400</v>
      </c>
      <c r="D738" s="9" t="n">
        <v>30</v>
      </c>
    </row>
    <row r="739" customFormat="false" ht="15" hidden="false" customHeight="false" outlineLevel="0" collapsed="false">
      <c r="A739" s="6" t="s">
        <v>854</v>
      </c>
      <c r="B739" s="6" t="s">
        <v>76</v>
      </c>
      <c r="C739" s="6" t="s">
        <v>401</v>
      </c>
      <c r="D739" s="9" t="n">
        <v>31</v>
      </c>
    </row>
    <row r="740" customFormat="false" ht="15" hidden="false" customHeight="false" outlineLevel="0" collapsed="false">
      <c r="A740" s="6" t="s">
        <v>854</v>
      </c>
      <c r="B740" s="6" t="s">
        <v>76</v>
      </c>
      <c r="C740" s="6" t="s">
        <v>402</v>
      </c>
      <c r="D740" s="9" t="n">
        <v>11</v>
      </c>
    </row>
    <row r="741" customFormat="false" ht="15" hidden="false" customHeight="false" outlineLevel="0" collapsed="false">
      <c r="A741" s="6" t="s">
        <v>854</v>
      </c>
      <c r="B741" s="6" t="s">
        <v>76</v>
      </c>
      <c r="C741" s="6" t="s">
        <v>403</v>
      </c>
      <c r="D741" s="9" t="n">
        <v>-1</v>
      </c>
    </row>
    <row r="742" customFormat="false" ht="15" hidden="false" customHeight="false" outlineLevel="0" collapsed="false">
      <c r="A742" s="6" t="s">
        <v>854</v>
      </c>
      <c r="B742" s="6" t="s">
        <v>404</v>
      </c>
      <c r="C742" s="6" t="s">
        <v>405</v>
      </c>
      <c r="D742" s="9" t="n">
        <v>0</v>
      </c>
    </row>
    <row r="743" customFormat="false" ht="15" hidden="false" customHeight="false" outlineLevel="0" collapsed="false">
      <c r="A743" s="6" t="s">
        <v>854</v>
      </c>
      <c r="B743" s="6" t="s">
        <v>404</v>
      </c>
      <c r="C743" s="6" t="s">
        <v>406</v>
      </c>
      <c r="D743" s="9" t="n">
        <v>0</v>
      </c>
    </row>
    <row r="744" customFormat="false" ht="15" hidden="false" customHeight="false" outlineLevel="0" collapsed="false">
      <c r="A744" s="6" t="s">
        <v>854</v>
      </c>
      <c r="B744" s="6" t="s">
        <v>159</v>
      </c>
      <c r="C744" s="6" t="s">
        <v>407</v>
      </c>
      <c r="D744" s="9" t="n">
        <v>0</v>
      </c>
    </row>
    <row r="745" customFormat="false" ht="15" hidden="false" customHeight="false" outlineLevel="0" collapsed="false">
      <c r="A745" s="6" t="s">
        <v>854</v>
      </c>
      <c r="B745" s="6" t="s">
        <v>159</v>
      </c>
      <c r="C745" s="6" t="s">
        <v>408</v>
      </c>
      <c r="D745" s="9" t="n">
        <v>0</v>
      </c>
    </row>
    <row r="746" customFormat="false" ht="15" hidden="false" customHeight="false" outlineLevel="0" collapsed="false">
      <c r="A746" s="6" t="s">
        <v>854</v>
      </c>
      <c r="B746" s="6" t="s">
        <v>159</v>
      </c>
      <c r="C746" s="6" t="s">
        <v>409</v>
      </c>
      <c r="D746" s="9" t="n">
        <v>-1</v>
      </c>
    </row>
    <row r="747" customFormat="false" ht="15" hidden="false" customHeight="false" outlineLevel="0" collapsed="false">
      <c r="A747" s="6" t="s">
        <v>854</v>
      </c>
      <c r="B747" s="6" t="s">
        <v>159</v>
      </c>
      <c r="C747" s="6" t="s">
        <v>410</v>
      </c>
      <c r="D747" s="9" t="n">
        <v>0</v>
      </c>
    </row>
    <row r="748" customFormat="false" ht="15" hidden="false" customHeight="false" outlineLevel="0" collapsed="false">
      <c r="A748" s="6" t="s">
        <v>854</v>
      </c>
      <c r="B748" s="6" t="s">
        <v>159</v>
      </c>
      <c r="C748" s="6" t="s">
        <v>411</v>
      </c>
      <c r="D748" s="9" t="n">
        <v>-5</v>
      </c>
    </row>
    <row r="749" customFormat="false" ht="15" hidden="false" customHeight="false" outlineLevel="0" collapsed="false">
      <c r="A749" s="6" t="s">
        <v>854</v>
      </c>
      <c r="B749" s="6" t="s">
        <v>63</v>
      </c>
      <c r="C749" s="6" t="s">
        <v>412</v>
      </c>
      <c r="D749" s="9" t="n">
        <v>4057</v>
      </c>
    </row>
    <row r="750" customFormat="false" ht="15" hidden="false" customHeight="false" outlineLevel="0" collapsed="false">
      <c r="A750" s="6" t="s">
        <v>854</v>
      </c>
      <c r="B750" s="6" t="s">
        <v>117</v>
      </c>
      <c r="C750" s="6" t="s">
        <v>413</v>
      </c>
      <c r="D750" s="9" t="n">
        <v>208</v>
      </c>
    </row>
    <row r="751" customFormat="false" ht="15" hidden="false" customHeight="false" outlineLevel="0" collapsed="false">
      <c r="A751" s="6" t="s">
        <v>854</v>
      </c>
      <c r="B751" s="6" t="s">
        <v>22</v>
      </c>
      <c r="C751" s="6" t="s">
        <v>414</v>
      </c>
      <c r="D751" s="9" t="n">
        <v>1906</v>
      </c>
    </row>
    <row r="752" customFormat="false" ht="15" hidden="false" customHeight="false" outlineLevel="0" collapsed="false">
      <c r="A752" s="6" t="s">
        <v>854</v>
      </c>
      <c r="B752" s="6" t="s">
        <v>22</v>
      </c>
      <c r="C752" s="6" t="s">
        <v>415</v>
      </c>
      <c r="D752" s="9" t="n">
        <v>1192</v>
      </c>
    </row>
    <row r="753" customFormat="false" ht="15" hidden="false" customHeight="false" outlineLevel="0" collapsed="false">
      <c r="A753" s="6" t="s">
        <v>854</v>
      </c>
      <c r="B753" s="6" t="s">
        <v>22</v>
      </c>
      <c r="C753" s="6" t="s">
        <v>416</v>
      </c>
      <c r="D753" s="9" t="n">
        <v>1793</v>
      </c>
    </row>
    <row r="754" customFormat="false" ht="15" hidden="false" customHeight="false" outlineLevel="0" collapsed="false">
      <c r="A754" s="6" t="s">
        <v>854</v>
      </c>
      <c r="B754" s="6" t="s">
        <v>22</v>
      </c>
      <c r="C754" s="6" t="s">
        <v>417</v>
      </c>
      <c r="D754" s="9" t="n">
        <v>1232</v>
      </c>
    </row>
    <row r="755" customFormat="false" ht="15" hidden="false" customHeight="false" outlineLevel="0" collapsed="false">
      <c r="A755" s="6" t="s">
        <v>854</v>
      </c>
      <c r="B755" s="6" t="s">
        <v>22</v>
      </c>
      <c r="C755" s="6" t="s">
        <v>418</v>
      </c>
      <c r="D755" s="9" t="n">
        <v>0</v>
      </c>
    </row>
    <row r="756" customFormat="false" ht="15" hidden="false" customHeight="false" outlineLevel="0" collapsed="false">
      <c r="A756" s="6" t="s">
        <v>854</v>
      </c>
      <c r="B756" s="6" t="s">
        <v>22</v>
      </c>
      <c r="C756" s="6" t="s">
        <v>419</v>
      </c>
      <c r="D756" s="9" t="n">
        <v>54</v>
      </c>
    </row>
    <row r="757" customFormat="false" ht="15" hidden="false" customHeight="false" outlineLevel="0" collapsed="false">
      <c r="A757" s="6" t="s">
        <v>854</v>
      </c>
      <c r="B757" s="6" t="s">
        <v>31</v>
      </c>
      <c r="C757" s="6" t="s">
        <v>420</v>
      </c>
      <c r="D757" s="9" t="n">
        <v>1156</v>
      </c>
    </row>
    <row r="758" customFormat="false" ht="15" hidden="false" customHeight="false" outlineLevel="0" collapsed="false">
      <c r="A758" s="6" t="s">
        <v>854</v>
      </c>
      <c r="B758" s="6" t="s">
        <v>31</v>
      </c>
      <c r="C758" s="6" t="s">
        <v>421</v>
      </c>
      <c r="D758" s="9" t="n">
        <v>1656</v>
      </c>
    </row>
    <row r="759" customFormat="false" ht="15" hidden="false" customHeight="false" outlineLevel="0" collapsed="false">
      <c r="A759" s="6" t="s">
        <v>854</v>
      </c>
      <c r="B759" s="6" t="s">
        <v>31</v>
      </c>
      <c r="C759" s="6" t="s">
        <v>422</v>
      </c>
      <c r="D759" s="9" t="n">
        <v>1895</v>
      </c>
    </row>
    <row r="760" customFormat="false" ht="15" hidden="false" customHeight="false" outlineLevel="0" collapsed="false">
      <c r="A760" s="6" t="s">
        <v>854</v>
      </c>
      <c r="B760" s="6" t="s">
        <v>31</v>
      </c>
      <c r="C760" s="6" t="s">
        <v>423</v>
      </c>
      <c r="D760" s="9" t="n">
        <v>1115</v>
      </c>
    </row>
    <row r="761" customFormat="false" ht="15" hidden="false" customHeight="false" outlineLevel="0" collapsed="false">
      <c r="A761" s="6" t="s">
        <v>854</v>
      </c>
      <c r="B761" s="6" t="s">
        <v>31</v>
      </c>
      <c r="C761" s="6" t="s">
        <v>424</v>
      </c>
      <c r="D761" s="9" t="n">
        <v>88</v>
      </c>
    </row>
    <row r="762" customFormat="false" ht="15" hidden="false" customHeight="false" outlineLevel="0" collapsed="false">
      <c r="A762" s="6" t="s">
        <v>854</v>
      </c>
      <c r="B762" s="6" t="s">
        <v>18</v>
      </c>
      <c r="C762" s="6" t="s">
        <v>425</v>
      </c>
      <c r="D762" s="9" t="n">
        <v>2476</v>
      </c>
    </row>
    <row r="763" customFormat="false" ht="15" hidden="false" customHeight="false" outlineLevel="0" collapsed="false">
      <c r="A763" s="6" t="s">
        <v>854</v>
      </c>
      <c r="B763" s="6" t="s">
        <v>18</v>
      </c>
      <c r="C763" s="6" t="s">
        <v>426</v>
      </c>
      <c r="D763" s="9" t="n">
        <v>3121</v>
      </c>
    </row>
    <row r="764" customFormat="false" ht="15" hidden="false" customHeight="false" outlineLevel="0" collapsed="false">
      <c r="A764" s="6" t="s">
        <v>854</v>
      </c>
      <c r="B764" s="6" t="s">
        <v>18</v>
      </c>
      <c r="C764" s="6" t="s">
        <v>427</v>
      </c>
      <c r="D764" s="9" t="n">
        <v>3288</v>
      </c>
    </row>
    <row r="765" customFormat="false" ht="15" hidden="false" customHeight="false" outlineLevel="0" collapsed="false">
      <c r="A765" s="6" t="s">
        <v>854</v>
      </c>
      <c r="B765" s="6" t="s">
        <v>18</v>
      </c>
      <c r="C765" s="6" t="s">
        <v>428</v>
      </c>
      <c r="D765" s="9" t="n">
        <v>1866</v>
      </c>
    </row>
    <row r="766" customFormat="false" ht="15" hidden="false" customHeight="false" outlineLevel="0" collapsed="false">
      <c r="A766" s="6" t="s">
        <v>854</v>
      </c>
      <c r="B766" s="6" t="s">
        <v>156</v>
      </c>
      <c r="C766" s="6" t="s">
        <v>429</v>
      </c>
      <c r="D766" s="9" t="n">
        <v>44</v>
      </c>
    </row>
    <row r="767" customFormat="false" ht="15" hidden="false" customHeight="false" outlineLevel="0" collapsed="false">
      <c r="A767" s="6" t="s">
        <v>854</v>
      </c>
      <c r="B767" s="6" t="s">
        <v>89</v>
      </c>
      <c r="C767" s="6" t="s">
        <v>430</v>
      </c>
      <c r="D767" s="9" t="n">
        <v>571</v>
      </c>
    </row>
    <row r="768" customFormat="false" ht="15" hidden="false" customHeight="false" outlineLevel="0" collapsed="false">
      <c r="A768" s="6" t="s">
        <v>854</v>
      </c>
      <c r="B768" s="6" t="s">
        <v>217</v>
      </c>
      <c r="C768" s="6" t="s">
        <v>431</v>
      </c>
      <c r="D768" s="9" t="n">
        <v>-4</v>
      </c>
    </row>
    <row r="769" customFormat="false" ht="15" hidden="false" customHeight="false" outlineLevel="0" collapsed="false">
      <c r="A769" s="6" t="s">
        <v>854</v>
      </c>
      <c r="B769" s="6" t="s">
        <v>220</v>
      </c>
      <c r="C769" s="6" t="s">
        <v>432</v>
      </c>
      <c r="D769" s="9" t="n">
        <v>0</v>
      </c>
    </row>
    <row r="770" customFormat="false" ht="15" hidden="false" customHeight="false" outlineLevel="0" collapsed="false">
      <c r="A770" s="6" t="s">
        <v>854</v>
      </c>
      <c r="B770" s="6" t="s">
        <v>433</v>
      </c>
      <c r="C770" s="6" t="s">
        <v>434</v>
      </c>
      <c r="D770" s="9" t="n">
        <v>0</v>
      </c>
    </row>
    <row r="771" customFormat="false" ht="15" hidden="false" customHeight="false" outlineLevel="0" collapsed="false">
      <c r="A771" s="6" t="s">
        <v>854</v>
      </c>
      <c r="B771" s="6" t="s">
        <v>435</v>
      </c>
      <c r="C771" s="6" t="s">
        <v>436</v>
      </c>
      <c r="D771" s="9" t="n">
        <v>0</v>
      </c>
    </row>
    <row r="772" customFormat="false" ht="15" hidden="false" customHeight="false" outlineLevel="0" collapsed="false">
      <c r="A772" s="6" t="s">
        <v>854</v>
      </c>
      <c r="B772" s="6" t="s">
        <v>437</v>
      </c>
      <c r="C772" s="6" t="s">
        <v>438</v>
      </c>
      <c r="D772" s="9" t="n">
        <v>0</v>
      </c>
    </row>
    <row r="773" customFormat="false" ht="15" hidden="false" customHeight="false" outlineLevel="0" collapsed="false">
      <c r="A773" s="6" t="s">
        <v>854</v>
      </c>
      <c r="B773" s="6" t="s">
        <v>146</v>
      </c>
      <c r="C773" s="6" t="s">
        <v>439</v>
      </c>
      <c r="D773" s="9" t="n">
        <v>-16</v>
      </c>
    </row>
    <row r="774" customFormat="false" ht="15" hidden="false" customHeight="false" outlineLevel="0" collapsed="false">
      <c r="A774" s="6" t="s">
        <v>854</v>
      </c>
      <c r="B774" s="6" t="s">
        <v>164</v>
      </c>
      <c r="C774" s="6" t="s">
        <v>439</v>
      </c>
      <c r="D774" s="9" t="n">
        <v>-12</v>
      </c>
    </row>
    <row r="775" customFormat="false" ht="15" hidden="false" customHeight="false" outlineLevel="0" collapsed="false">
      <c r="A775" s="6" t="s">
        <v>854</v>
      </c>
      <c r="B775" s="6" t="s">
        <v>168</v>
      </c>
      <c r="C775" s="6" t="s">
        <v>440</v>
      </c>
      <c r="D775" s="9" t="n">
        <v>0</v>
      </c>
    </row>
    <row r="776" customFormat="false" ht="15" hidden="false" customHeight="false" outlineLevel="0" collapsed="false">
      <c r="A776" s="6" t="s">
        <v>854</v>
      </c>
      <c r="B776" s="6" t="s">
        <v>168</v>
      </c>
      <c r="C776" s="6" t="s">
        <v>441</v>
      </c>
      <c r="D776" s="9" t="n">
        <v>3</v>
      </c>
    </row>
    <row r="777" customFormat="false" ht="15" hidden="false" customHeight="false" outlineLevel="0" collapsed="false">
      <c r="A777" s="6" t="s">
        <v>854</v>
      </c>
      <c r="B777" s="6" t="s">
        <v>168</v>
      </c>
      <c r="C777" s="6" t="s">
        <v>442</v>
      </c>
      <c r="D777" s="9" t="n">
        <v>1</v>
      </c>
    </row>
    <row r="778" customFormat="false" ht="15" hidden="false" customHeight="false" outlineLevel="0" collapsed="false">
      <c r="A778" s="6" t="s">
        <v>854</v>
      </c>
      <c r="B778" s="6" t="s">
        <v>168</v>
      </c>
      <c r="C778" s="6" t="s">
        <v>443</v>
      </c>
      <c r="D778" s="9" t="n">
        <v>3</v>
      </c>
    </row>
    <row r="779" customFormat="false" ht="15" hidden="false" customHeight="false" outlineLevel="0" collapsed="false">
      <c r="A779" s="6" t="s">
        <v>854</v>
      </c>
      <c r="B779" s="6" t="s">
        <v>198</v>
      </c>
      <c r="C779" s="6" t="s">
        <v>444</v>
      </c>
      <c r="D779" s="9" t="n">
        <v>0</v>
      </c>
    </row>
    <row r="780" customFormat="false" ht="15" hidden="false" customHeight="false" outlineLevel="0" collapsed="false">
      <c r="A780" s="6" t="s">
        <v>854</v>
      </c>
      <c r="B780" s="6" t="s">
        <v>198</v>
      </c>
      <c r="C780" s="6" t="s">
        <v>445</v>
      </c>
      <c r="D780" s="9" t="n">
        <v>-1</v>
      </c>
    </row>
    <row r="781" customFormat="false" ht="15" hidden="false" customHeight="false" outlineLevel="0" collapsed="false">
      <c r="A781" s="6" t="s">
        <v>854</v>
      </c>
      <c r="B781" s="6" t="s">
        <v>198</v>
      </c>
      <c r="C781" s="6" t="s">
        <v>446</v>
      </c>
      <c r="D781" s="9" t="n">
        <v>0</v>
      </c>
    </row>
    <row r="782" customFormat="false" ht="15" hidden="false" customHeight="false" outlineLevel="0" collapsed="false">
      <c r="A782" s="6" t="s">
        <v>854</v>
      </c>
      <c r="B782" s="6" t="s">
        <v>147</v>
      </c>
      <c r="C782" s="6" t="s">
        <v>447</v>
      </c>
      <c r="D782" s="9" t="n">
        <v>-2</v>
      </c>
    </row>
    <row r="783" customFormat="false" ht="15" hidden="false" customHeight="false" outlineLevel="0" collapsed="false">
      <c r="A783" s="6" t="s">
        <v>854</v>
      </c>
      <c r="B783" s="6" t="s">
        <v>147</v>
      </c>
      <c r="C783" s="6" t="s">
        <v>448</v>
      </c>
      <c r="D783" s="9" t="n">
        <v>0</v>
      </c>
    </row>
    <row r="784" customFormat="false" ht="15" hidden="false" customHeight="false" outlineLevel="0" collapsed="false">
      <c r="A784" s="6" t="s">
        <v>854</v>
      </c>
      <c r="B784" s="6" t="s">
        <v>147</v>
      </c>
      <c r="C784" s="6" t="s">
        <v>449</v>
      </c>
      <c r="D784" s="9" t="n">
        <v>-3</v>
      </c>
    </row>
    <row r="785" customFormat="false" ht="15" hidden="false" customHeight="false" outlineLevel="0" collapsed="false">
      <c r="A785" s="6" t="s">
        <v>854</v>
      </c>
      <c r="B785" s="6" t="s">
        <v>147</v>
      </c>
      <c r="C785" s="6" t="s">
        <v>450</v>
      </c>
      <c r="D785" s="9" t="n">
        <v>0</v>
      </c>
    </row>
    <row r="786" customFormat="false" ht="15" hidden="false" customHeight="false" outlineLevel="0" collapsed="false">
      <c r="A786" s="6" t="s">
        <v>854</v>
      </c>
      <c r="B786" s="6" t="s">
        <v>147</v>
      </c>
      <c r="C786" s="6" t="s">
        <v>451</v>
      </c>
      <c r="D786" s="9" t="n">
        <v>2</v>
      </c>
    </row>
    <row r="787" customFormat="false" ht="15" hidden="false" customHeight="false" outlineLevel="0" collapsed="false">
      <c r="A787" s="6" t="s">
        <v>854</v>
      </c>
      <c r="B787" s="6" t="s">
        <v>33</v>
      </c>
      <c r="C787" s="6" t="s">
        <v>452</v>
      </c>
      <c r="D787" s="9" t="n">
        <v>1539</v>
      </c>
    </row>
    <row r="788" customFormat="false" ht="15" hidden="false" customHeight="false" outlineLevel="0" collapsed="false">
      <c r="A788" s="6" t="s">
        <v>854</v>
      </c>
      <c r="B788" s="6" t="s">
        <v>33</v>
      </c>
      <c r="C788" s="6" t="s">
        <v>453</v>
      </c>
      <c r="D788" s="9" t="n">
        <v>1665</v>
      </c>
    </row>
    <row r="789" customFormat="false" ht="15" hidden="false" customHeight="false" outlineLevel="0" collapsed="false">
      <c r="A789" s="6" t="s">
        <v>854</v>
      </c>
      <c r="B789" s="6" t="s">
        <v>33</v>
      </c>
      <c r="C789" s="6" t="s">
        <v>454</v>
      </c>
      <c r="D789" s="9" t="n">
        <v>956</v>
      </c>
    </row>
    <row r="790" customFormat="false" ht="15" hidden="false" customHeight="false" outlineLevel="0" collapsed="false">
      <c r="A790" s="6" t="s">
        <v>854</v>
      </c>
      <c r="B790" s="6" t="s">
        <v>33</v>
      </c>
      <c r="C790" s="6" t="s">
        <v>455</v>
      </c>
      <c r="D790" s="9" t="n">
        <v>1001</v>
      </c>
    </row>
    <row r="791" customFormat="false" ht="15" hidden="false" customHeight="false" outlineLevel="0" collapsed="false">
      <c r="A791" s="6" t="s">
        <v>854</v>
      </c>
      <c r="B791" s="6" t="s">
        <v>33</v>
      </c>
      <c r="C791" s="6" t="s">
        <v>456</v>
      </c>
      <c r="D791" s="9" t="n">
        <v>288</v>
      </c>
    </row>
    <row r="792" customFormat="false" ht="15" hidden="false" customHeight="false" outlineLevel="0" collapsed="false">
      <c r="A792" s="6" t="s">
        <v>854</v>
      </c>
      <c r="B792" s="6" t="s">
        <v>24</v>
      </c>
      <c r="C792" s="6" t="s">
        <v>457</v>
      </c>
      <c r="D792" s="9" t="n">
        <v>1789</v>
      </c>
    </row>
    <row r="793" customFormat="false" ht="15" hidden="false" customHeight="false" outlineLevel="0" collapsed="false">
      <c r="A793" s="6" t="s">
        <v>854</v>
      </c>
      <c r="B793" s="6" t="s">
        <v>24</v>
      </c>
      <c r="C793" s="6" t="s">
        <v>458</v>
      </c>
      <c r="D793" s="9" t="n">
        <v>3042</v>
      </c>
    </row>
    <row r="794" customFormat="false" ht="15" hidden="false" customHeight="false" outlineLevel="0" collapsed="false">
      <c r="A794" s="6" t="s">
        <v>854</v>
      </c>
      <c r="B794" s="6" t="s">
        <v>24</v>
      </c>
      <c r="C794" s="6" t="s">
        <v>459</v>
      </c>
      <c r="D794" s="9" t="n">
        <v>3009</v>
      </c>
    </row>
    <row r="795" customFormat="false" ht="15" hidden="false" customHeight="false" outlineLevel="0" collapsed="false">
      <c r="A795" s="6" t="s">
        <v>854</v>
      </c>
      <c r="B795" s="6" t="s">
        <v>24</v>
      </c>
      <c r="C795" s="6" t="s">
        <v>460</v>
      </c>
      <c r="D795" s="9" t="n">
        <v>2229</v>
      </c>
    </row>
    <row r="796" customFormat="false" ht="15" hidden="false" customHeight="false" outlineLevel="0" collapsed="false">
      <c r="A796" s="6" t="s">
        <v>854</v>
      </c>
      <c r="B796" s="6" t="s">
        <v>26</v>
      </c>
      <c r="C796" s="6" t="s">
        <v>461</v>
      </c>
      <c r="D796" s="9" t="n">
        <v>533</v>
      </c>
    </row>
    <row r="797" customFormat="false" ht="15" hidden="false" customHeight="false" outlineLevel="0" collapsed="false">
      <c r="A797" s="6" t="s">
        <v>854</v>
      </c>
      <c r="B797" s="6" t="s">
        <v>26</v>
      </c>
      <c r="C797" s="6" t="s">
        <v>462</v>
      </c>
      <c r="D797" s="9" t="n">
        <v>1537</v>
      </c>
    </row>
    <row r="798" customFormat="false" ht="15" hidden="false" customHeight="false" outlineLevel="0" collapsed="false">
      <c r="A798" s="6" t="s">
        <v>854</v>
      </c>
      <c r="B798" s="6" t="s">
        <v>26</v>
      </c>
      <c r="C798" s="6" t="s">
        <v>463</v>
      </c>
      <c r="D798" s="9" t="n">
        <v>1338</v>
      </c>
    </row>
    <row r="799" customFormat="false" ht="15" hidden="false" customHeight="false" outlineLevel="0" collapsed="false">
      <c r="A799" s="6" t="s">
        <v>854</v>
      </c>
      <c r="B799" s="6" t="s">
        <v>26</v>
      </c>
      <c r="C799" s="6" t="s">
        <v>464</v>
      </c>
      <c r="D799" s="9" t="n">
        <v>1095</v>
      </c>
    </row>
    <row r="800" customFormat="false" ht="15" hidden="false" customHeight="false" outlineLevel="0" collapsed="false">
      <c r="A800" s="6" t="s">
        <v>854</v>
      </c>
      <c r="B800" s="6" t="s">
        <v>26</v>
      </c>
      <c r="C800" s="6" t="s">
        <v>465</v>
      </c>
      <c r="D800" s="9" t="n">
        <v>154</v>
      </c>
    </row>
    <row r="801" customFormat="false" ht="15" hidden="false" customHeight="false" outlineLevel="0" collapsed="false">
      <c r="A801" s="6" t="s">
        <v>854</v>
      </c>
      <c r="B801" s="6" t="s">
        <v>142</v>
      </c>
      <c r="C801" s="6" t="s">
        <v>466</v>
      </c>
      <c r="D801" s="9" t="n">
        <v>2</v>
      </c>
    </row>
    <row r="802" customFormat="false" ht="15" hidden="false" customHeight="false" outlineLevel="0" collapsed="false">
      <c r="A802" s="6" t="s">
        <v>854</v>
      </c>
      <c r="B802" s="6" t="s">
        <v>142</v>
      </c>
      <c r="C802" s="6" t="s">
        <v>467</v>
      </c>
      <c r="D802" s="9" t="n">
        <v>13</v>
      </c>
    </row>
    <row r="803" customFormat="false" ht="15" hidden="false" customHeight="false" outlineLevel="0" collapsed="false">
      <c r="A803" s="6" t="s">
        <v>854</v>
      </c>
      <c r="B803" s="6" t="s">
        <v>142</v>
      </c>
      <c r="C803" s="6" t="s">
        <v>468</v>
      </c>
      <c r="D803" s="9" t="n">
        <v>5</v>
      </c>
    </row>
    <row r="804" customFormat="false" ht="15" hidden="false" customHeight="false" outlineLevel="0" collapsed="false">
      <c r="A804" s="6" t="s">
        <v>854</v>
      </c>
      <c r="B804" s="6" t="s">
        <v>142</v>
      </c>
      <c r="C804" s="6" t="s">
        <v>469</v>
      </c>
      <c r="D804" s="9" t="n">
        <v>8</v>
      </c>
    </row>
    <row r="805" customFormat="false" ht="15" hidden="false" customHeight="false" outlineLevel="0" collapsed="false">
      <c r="A805" s="6" t="s">
        <v>854</v>
      </c>
      <c r="B805" s="6" t="s">
        <v>142</v>
      </c>
      <c r="C805" s="6" t="s">
        <v>470</v>
      </c>
      <c r="D805" s="9" t="n">
        <v>2</v>
      </c>
    </row>
    <row r="806" customFormat="false" ht="15" hidden="false" customHeight="false" outlineLevel="0" collapsed="false">
      <c r="A806" s="6" t="s">
        <v>854</v>
      </c>
      <c r="B806" s="6" t="s">
        <v>100</v>
      </c>
      <c r="C806" s="6" t="s">
        <v>471</v>
      </c>
      <c r="D806" s="9" t="n">
        <v>28</v>
      </c>
    </row>
    <row r="807" customFormat="false" ht="15" hidden="false" customHeight="false" outlineLevel="0" collapsed="false">
      <c r="A807" s="6" t="s">
        <v>854</v>
      </c>
      <c r="B807" s="6" t="s">
        <v>100</v>
      </c>
      <c r="C807" s="6" t="s">
        <v>472</v>
      </c>
      <c r="D807" s="9" t="n">
        <v>82</v>
      </c>
    </row>
    <row r="808" customFormat="false" ht="15" hidden="false" customHeight="false" outlineLevel="0" collapsed="false">
      <c r="A808" s="6" t="s">
        <v>854</v>
      </c>
      <c r="B808" s="6" t="s">
        <v>100</v>
      </c>
      <c r="C808" s="6" t="s">
        <v>473</v>
      </c>
      <c r="D808" s="9" t="n">
        <v>54</v>
      </c>
    </row>
    <row r="809" customFormat="false" ht="15" hidden="false" customHeight="false" outlineLevel="0" collapsed="false">
      <c r="A809" s="6" t="s">
        <v>854</v>
      </c>
      <c r="B809" s="6" t="s">
        <v>100</v>
      </c>
      <c r="C809" s="6" t="s">
        <v>474</v>
      </c>
      <c r="D809" s="9" t="n">
        <v>53</v>
      </c>
    </row>
    <row r="810" customFormat="false" ht="15" hidden="false" customHeight="false" outlineLevel="0" collapsed="false">
      <c r="A810" s="6" t="s">
        <v>854</v>
      </c>
      <c r="B810" s="6" t="s">
        <v>100</v>
      </c>
      <c r="C810" s="6" t="s">
        <v>475</v>
      </c>
      <c r="D810" s="9" t="n">
        <v>1</v>
      </c>
    </row>
    <row r="811" customFormat="false" ht="15" hidden="false" customHeight="false" outlineLevel="0" collapsed="false">
      <c r="A811" s="6" t="s">
        <v>854</v>
      </c>
      <c r="B811" s="6" t="s">
        <v>185</v>
      </c>
      <c r="C811" s="6" t="s">
        <v>476</v>
      </c>
      <c r="D811" s="9" t="n">
        <v>0</v>
      </c>
    </row>
    <row r="812" customFormat="false" ht="15" hidden="false" customHeight="false" outlineLevel="0" collapsed="false">
      <c r="A812" s="6" t="s">
        <v>854</v>
      </c>
      <c r="B812" s="6" t="s">
        <v>185</v>
      </c>
      <c r="C812" s="6" t="s">
        <v>477</v>
      </c>
      <c r="D812" s="9" t="n">
        <v>0</v>
      </c>
    </row>
    <row r="813" customFormat="false" ht="15" hidden="false" customHeight="false" outlineLevel="0" collapsed="false">
      <c r="A813" s="6" t="s">
        <v>854</v>
      </c>
      <c r="B813" s="6" t="s">
        <v>185</v>
      </c>
      <c r="C813" s="6" t="s">
        <v>478</v>
      </c>
      <c r="D813" s="9" t="n">
        <v>0</v>
      </c>
    </row>
    <row r="814" customFormat="false" ht="15" hidden="false" customHeight="false" outlineLevel="0" collapsed="false">
      <c r="A814" s="6" t="s">
        <v>854</v>
      </c>
      <c r="B814" s="6" t="s">
        <v>185</v>
      </c>
      <c r="C814" s="6" t="s">
        <v>479</v>
      </c>
      <c r="D814" s="9" t="n">
        <v>0</v>
      </c>
    </row>
    <row r="815" customFormat="false" ht="15" hidden="false" customHeight="false" outlineLevel="0" collapsed="false">
      <c r="A815" s="6" t="s">
        <v>854</v>
      </c>
      <c r="B815" s="6" t="s">
        <v>212</v>
      </c>
      <c r="C815" s="6" t="s">
        <v>480</v>
      </c>
      <c r="D815" s="9" t="n">
        <v>-1</v>
      </c>
    </row>
    <row r="816" customFormat="false" ht="15" hidden="false" customHeight="false" outlineLevel="0" collapsed="false">
      <c r="A816" s="6" t="s">
        <v>854</v>
      </c>
      <c r="B816" s="6" t="s">
        <v>212</v>
      </c>
      <c r="C816" s="6" t="s">
        <v>481</v>
      </c>
      <c r="D816" s="9" t="n">
        <v>0</v>
      </c>
    </row>
    <row r="817" customFormat="false" ht="15" hidden="false" customHeight="false" outlineLevel="0" collapsed="false">
      <c r="A817" s="6" t="s">
        <v>854</v>
      </c>
      <c r="B817" s="6" t="s">
        <v>59</v>
      </c>
      <c r="C817" s="6" t="s">
        <v>482</v>
      </c>
      <c r="D817" s="9" t="n">
        <v>18</v>
      </c>
    </row>
    <row r="818" customFormat="false" ht="15" hidden="false" customHeight="false" outlineLevel="0" collapsed="false">
      <c r="A818" s="6" t="s">
        <v>854</v>
      </c>
      <c r="B818" s="6" t="s">
        <v>59</v>
      </c>
      <c r="C818" s="6" t="s">
        <v>483</v>
      </c>
      <c r="D818" s="9" t="n">
        <v>69</v>
      </c>
    </row>
    <row r="819" customFormat="false" ht="15" hidden="false" customHeight="false" outlineLevel="0" collapsed="false">
      <c r="A819" s="6" t="s">
        <v>854</v>
      </c>
      <c r="B819" s="6" t="s">
        <v>59</v>
      </c>
      <c r="C819" s="6" t="s">
        <v>484</v>
      </c>
      <c r="D819" s="9" t="n">
        <v>37</v>
      </c>
    </row>
    <row r="820" customFormat="false" ht="15" hidden="false" customHeight="false" outlineLevel="0" collapsed="false">
      <c r="A820" s="6" t="s">
        <v>854</v>
      </c>
      <c r="B820" s="6" t="s">
        <v>59</v>
      </c>
      <c r="C820" s="6" t="s">
        <v>485</v>
      </c>
      <c r="D820" s="9" t="n">
        <v>33</v>
      </c>
    </row>
    <row r="821" customFormat="false" ht="15" hidden="false" customHeight="false" outlineLevel="0" collapsed="false">
      <c r="A821" s="6" t="s">
        <v>854</v>
      </c>
      <c r="B821" s="6" t="s">
        <v>59</v>
      </c>
      <c r="C821" s="6" t="s">
        <v>486</v>
      </c>
      <c r="D821" s="9" t="n">
        <v>-2</v>
      </c>
    </row>
    <row r="822" customFormat="false" ht="15" hidden="false" customHeight="false" outlineLevel="0" collapsed="false">
      <c r="A822" s="6" t="s">
        <v>854</v>
      </c>
      <c r="B822" s="6" t="s">
        <v>139</v>
      </c>
      <c r="C822" s="6" t="s">
        <v>487</v>
      </c>
      <c r="D822" s="9" t="n">
        <v>4</v>
      </c>
    </row>
    <row r="823" customFormat="false" ht="15" hidden="false" customHeight="false" outlineLevel="0" collapsed="false">
      <c r="A823" s="6" t="s">
        <v>854</v>
      </c>
      <c r="B823" s="6" t="s">
        <v>139</v>
      </c>
      <c r="C823" s="6" t="s">
        <v>488</v>
      </c>
      <c r="D823" s="9" t="n">
        <v>6</v>
      </c>
    </row>
    <row r="824" customFormat="false" ht="15" hidden="false" customHeight="false" outlineLevel="0" collapsed="false">
      <c r="A824" s="6" t="s">
        <v>854</v>
      </c>
      <c r="B824" s="6" t="s">
        <v>139</v>
      </c>
      <c r="C824" s="6" t="s">
        <v>489</v>
      </c>
      <c r="D824" s="9" t="n">
        <v>10</v>
      </c>
    </row>
    <row r="825" customFormat="false" ht="15" hidden="false" customHeight="false" outlineLevel="0" collapsed="false">
      <c r="A825" s="6" t="s">
        <v>854</v>
      </c>
      <c r="B825" s="6" t="s">
        <v>139</v>
      </c>
      <c r="C825" s="6" t="s">
        <v>490</v>
      </c>
      <c r="D825" s="9" t="n">
        <v>2</v>
      </c>
    </row>
    <row r="826" customFormat="false" ht="15" hidden="false" customHeight="false" outlineLevel="0" collapsed="false">
      <c r="A826" s="6" t="s">
        <v>854</v>
      </c>
      <c r="B826" s="6" t="s">
        <v>37</v>
      </c>
      <c r="C826" s="6" t="s">
        <v>491</v>
      </c>
      <c r="D826" s="9" t="n">
        <v>721</v>
      </c>
    </row>
    <row r="827" customFormat="false" ht="15" hidden="false" customHeight="false" outlineLevel="0" collapsed="false">
      <c r="A827" s="6" t="s">
        <v>854</v>
      </c>
      <c r="B827" s="6" t="s">
        <v>37</v>
      </c>
      <c r="C827" s="6" t="s">
        <v>492</v>
      </c>
      <c r="D827" s="9" t="n">
        <v>650</v>
      </c>
    </row>
    <row r="828" customFormat="false" ht="15" hidden="false" customHeight="false" outlineLevel="0" collapsed="false">
      <c r="A828" s="6" t="s">
        <v>854</v>
      </c>
      <c r="B828" s="6" t="s">
        <v>37</v>
      </c>
      <c r="C828" s="6" t="s">
        <v>493</v>
      </c>
      <c r="D828" s="9" t="n">
        <v>329</v>
      </c>
    </row>
    <row r="829" customFormat="false" ht="15" hidden="false" customHeight="false" outlineLevel="0" collapsed="false">
      <c r="A829" s="6" t="s">
        <v>854</v>
      </c>
      <c r="B829" s="6" t="s">
        <v>37</v>
      </c>
      <c r="C829" s="6" t="s">
        <v>494</v>
      </c>
      <c r="D829" s="9" t="n">
        <v>370</v>
      </c>
    </row>
    <row r="830" customFormat="false" ht="15" hidden="false" customHeight="false" outlineLevel="0" collapsed="false">
      <c r="A830" s="6" t="s">
        <v>854</v>
      </c>
      <c r="B830" s="6" t="s">
        <v>49</v>
      </c>
      <c r="C830" s="6" t="s">
        <v>495</v>
      </c>
      <c r="D830" s="9" t="n">
        <v>410</v>
      </c>
    </row>
    <row r="831" customFormat="false" ht="15" hidden="false" customHeight="false" outlineLevel="0" collapsed="false">
      <c r="A831" s="6" t="s">
        <v>854</v>
      </c>
      <c r="B831" s="6" t="s">
        <v>49</v>
      </c>
      <c r="C831" s="6" t="s">
        <v>496</v>
      </c>
      <c r="D831" s="9" t="n">
        <v>555</v>
      </c>
    </row>
    <row r="832" customFormat="false" ht="15" hidden="false" customHeight="false" outlineLevel="0" collapsed="false">
      <c r="A832" s="6" t="s">
        <v>854</v>
      </c>
      <c r="B832" s="6" t="s">
        <v>49</v>
      </c>
      <c r="C832" s="6" t="s">
        <v>497</v>
      </c>
      <c r="D832" s="9" t="n">
        <v>391</v>
      </c>
    </row>
    <row r="833" customFormat="false" ht="15" hidden="false" customHeight="false" outlineLevel="0" collapsed="false">
      <c r="A833" s="6" t="s">
        <v>854</v>
      </c>
      <c r="B833" s="6" t="s">
        <v>49</v>
      </c>
      <c r="C833" s="6" t="s">
        <v>498</v>
      </c>
      <c r="D833" s="9" t="n">
        <v>205</v>
      </c>
    </row>
    <row r="834" customFormat="false" ht="15" hidden="false" customHeight="false" outlineLevel="0" collapsed="false">
      <c r="A834" s="6" t="s">
        <v>854</v>
      </c>
      <c r="B834" s="6" t="s">
        <v>49</v>
      </c>
      <c r="C834" s="6" t="s">
        <v>499</v>
      </c>
      <c r="D834" s="9" t="n">
        <v>37</v>
      </c>
    </row>
    <row r="835" customFormat="false" ht="15" hidden="false" customHeight="false" outlineLevel="0" collapsed="false">
      <c r="A835" s="6" t="s">
        <v>854</v>
      </c>
      <c r="B835" s="6" t="s">
        <v>49</v>
      </c>
      <c r="C835" s="6" t="s">
        <v>500</v>
      </c>
      <c r="D835" s="9" t="n">
        <v>5</v>
      </c>
    </row>
    <row r="836" customFormat="false" ht="15" hidden="false" customHeight="false" outlineLevel="0" collapsed="false">
      <c r="A836" s="6" t="s">
        <v>854</v>
      </c>
      <c r="B836" s="6" t="s">
        <v>229</v>
      </c>
      <c r="C836" s="6" t="s">
        <v>855</v>
      </c>
      <c r="D836" s="9" t="n">
        <v>-1</v>
      </c>
    </row>
    <row r="837" customFormat="false" ht="15" hidden="false" customHeight="false" outlineLevel="0" collapsed="false">
      <c r="A837" s="6" t="s">
        <v>854</v>
      </c>
      <c r="B837" s="6" t="s">
        <v>87</v>
      </c>
      <c r="C837" s="6" t="s">
        <v>501</v>
      </c>
      <c r="D837" s="9" t="n">
        <v>871</v>
      </c>
    </row>
    <row r="838" customFormat="false" ht="15" hidden="false" customHeight="false" outlineLevel="0" collapsed="false">
      <c r="A838" s="6" t="s">
        <v>854</v>
      </c>
      <c r="B838" s="6" t="s">
        <v>167</v>
      </c>
      <c r="C838" s="6" t="s">
        <v>502</v>
      </c>
      <c r="D838" s="9" t="n">
        <v>68</v>
      </c>
    </row>
    <row r="839" customFormat="false" ht="15" hidden="false" customHeight="false" outlineLevel="0" collapsed="false">
      <c r="A839" s="6" t="s">
        <v>854</v>
      </c>
      <c r="B839" s="6" t="s">
        <v>64</v>
      </c>
      <c r="C839" s="6" t="s">
        <v>503</v>
      </c>
      <c r="D839" s="9" t="n">
        <v>-96</v>
      </c>
    </row>
    <row r="840" customFormat="false" ht="15" hidden="false" customHeight="false" outlineLevel="0" collapsed="false">
      <c r="A840" s="6" t="s">
        <v>854</v>
      </c>
      <c r="B840" s="6" t="s">
        <v>64</v>
      </c>
      <c r="C840" s="6" t="s">
        <v>504</v>
      </c>
      <c r="D840" s="9" t="n">
        <v>9</v>
      </c>
    </row>
    <row r="841" customFormat="false" ht="15" hidden="false" customHeight="false" outlineLevel="0" collapsed="false">
      <c r="A841" s="6" t="s">
        <v>854</v>
      </c>
      <c r="B841" s="6" t="s">
        <v>64</v>
      </c>
      <c r="C841" s="6" t="s">
        <v>505</v>
      </c>
      <c r="D841" s="9" t="n">
        <v>39</v>
      </c>
    </row>
    <row r="842" customFormat="false" ht="15" hidden="false" customHeight="false" outlineLevel="0" collapsed="false">
      <c r="A842" s="6" t="s">
        <v>854</v>
      </c>
      <c r="B842" s="6" t="s">
        <v>64</v>
      </c>
      <c r="C842" s="6" t="s">
        <v>506</v>
      </c>
      <c r="D842" s="9" t="n">
        <v>173</v>
      </c>
    </row>
    <row r="843" customFormat="false" ht="15" hidden="false" customHeight="false" outlineLevel="0" collapsed="false">
      <c r="A843" s="6" t="s">
        <v>854</v>
      </c>
      <c r="B843" s="6" t="s">
        <v>64</v>
      </c>
      <c r="C843" s="6" t="s">
        <v>507</v>
      </c>
      <c r="D843" s="9" t="n">
        <v>226</v>
      </c>
    </row>
    <row r="844" customFormat="false" ht="15" hidden="false" customHeight="false" outlineLevel="0" collapsed="false">
      <c r="A844" s="6" t="s">
        <v>854</v>
      </c>
      <c r="B844" s="6" t="s">
        <v>64</v>
      </c>
      <c r="C844" s="6" t="s">
        <v>508</v>
      </c>
      <c r="D844" s="9" t="n">
        <v>144</v>
      </c>
    </row>
    <row r="845" customFormat="false" ht="15" hidden="false" customHeight="false" outlineLevel="0" collapsed="false">
      <c r="A845" s="6" t="s">
        <v>854</v>
      </c>
      <c r="B845" s="6" t="s">
        <v>88</v>
      </c>
      <c r="C845" s="6" t="s">
        <v>509</v>
      </c>
      <c r="D845" s="9" t="n">
        <v>53</v>
      </c>
    </row>
    <row r="846" customFormat="false" ht="15" hidden="false" customHeight="false" outlineLevel="0" collapsed="false">
      <c r="A846" s="6" t="s">
        <v>854</v>
      </c>
      <c r="B846" s="6" t="s">
        <v>88</v>
      </c>
      <c r="C846" s="6" t="s">
        <v>510</v>
      </c>
      <c r="D846" s="9" t="n">
        <v>123</v>
      </c>
    </row>
    <row r="847" customFormat="false" ht="15" hidden="false" customHeight="false" outlineLevel="0" collapsed="false">
      <c r="A847" s="6" t="s">
        <v>854</v>
      </c>
      <c r="B847" s="6" t="s">
        <v>88</v>
      </c>
      <c r="C847" s="6" t="s">
        <v>511</v>
      </c>
      <c r="D847" s="9" t="n">
        <v>112</v>
      </c>
    </row>
    <row r="848" customFormat="false" ht="15" hidden="false" customHeight="false" outlineLevel="0" collapsed="false">
      <c r="A848" s="6" t="s">
        <v>854</v>
      </c>
      <c r="B848" s="6" t="s">
        <v>137</v>
      </c>
      <c r="C848" s="6" t="s">
        <v>512</v>
      </c>
      <c r="D848" s="9" t="n">
        <v>83</v>
      </c>
    </row>
    <row r="849" customFormat="false" ht="15" hidden="false" customHeight="false" outlineLevel="0" collapsed="false">
      <c r="A849" s="6" t="s">
        <v>854</v>
      </c>
      <c r="B849" s="6" t="s">
        <v>219</v>
      </c>
      <c r="C849" s="6" t="s">
        <v>513</v>
      </c>
      <c r="D849" s="9" t="n">
        <v>0</v>
      </c>
    </row>
    <row r="850" customFormat="false" ht="15" hidden="false" customHeight="false" outlineLevel="0" collapsed="false">
      <c r="A850" s="6" t="s">
        <v>854</v>
      </c>
      <c r="B850" s="6" t="s">
        <v>219</v>
      </c>
      <c r="C850" s="6" t="s">
        <v>514</v>
      </c>
      <c r="D850" s="9" t="n">
        <v>-1</v>
      </c>
    </row>
    <row r="851" customFormat="false" ht="15" hidden="false" customHeight="false" outlineLevel="0" collapsed="false">
      <c r="A851" s="6" t="s">
        <v>854</v>
      </c>
      <c r="B851" s="6" t="s">
        <v>227</v>
      </c>
      <c r="C851" s="6" t="s">
        <v>515</v>
      </c>
      <c r="D851" s="9" t="n">
        <v>-1</v>
      </c>
    </row>
    <row r="852" customFormat="false" ht="15" hidden="false" customHeight="false" outlineLevel="0" collapsed="false">
      <c r="A852" s="6" t="s">
        <v>854</v>
      </c>
      <c r="B852" s="6" t="s">
        <v>227</v>
      </c>
      <c r="C852" s="6" t="s">
        <v>516</v>
      </c>
      <c r="D852" s="9" t="n">
        <v>0</v>
      </c>
    </row>
    <row r="853" customFormat="false" ht="15" hidden="false" customHeight="false" outlineLevel="0" collapsed="false">
      <c r="A853" s="6" t="s">
        <v>854</v>
      </c>
      <c r="B853" s="6" t="s">
        <v>227</v>
      </c>
      <c r="C853" s="6" t="s">
        <v>517</v>
      </c>
      <c r="D853" s="9" t="n">
        <v>0</v>
      </c>
    </row>
    <row r="854" customFormat="false" ht="15" hidden="false" customHeight="false" outlineLevel="0" collapsed="false">
      <c r="A854" s="6" t="s">
        <v>854</v>
      </c>
      <c r="B854" s="6" t="s">
        <v>227</v>
      </c>
      <c r="C854" s="6" t="s">
        <v>518</v>
      </c>
      <c r="D854" s="9" t="n">
        <v>0</v>
      </c>
    </row>
    <row r="855" customFormat="false" ht="15" hidden="false" customHeight="false" outlineLevel="0" collapsed="false">
      <c r="A855" s="6" t="s">
        <v>854</v>
      </c>
      <c r="B855" s="6" t="s">
        <v>227</v>
      </c>
      <c r="C855" s="6" t="s">
        <v>519</v>
      </c>
      <c r="D855" s="9" t="n">
        <v>0</v>
      </c>
    </row>
    <row r="856" customFormat="false" ht="15" hidden="false" customHeight="false" outlineLevel="0" collapsed="false">
      <c r="A856" s="6" t="s">
        <v>854</v>
      </c>
      <c r="B856" s="6" t="s">
        <v>179</v>
      </c>
      <c r="C856" s="6" t="s">
        <v>520</v>
      </c>
      <c r="D856" s="9" t="n">
        <v>0</v>
      </c>
    </row>
    <row r="857" customFormat="false" ht="15" hidden="false" customHeight="false" outlineLevel="0" collapsed="false">
      <c r="A857" s="6" t="s">
        <v>854</v>
      </c>
      <c r="B857" s="6" t="s">
        <v>179</v>
      </c>
      <c r="C857" s="6" t="s">
        <v>521</v>
      </c>
      <c r="D857" s="9" t="n">
        <v>1</v>
      </c>
    </row>
    <row r="858" customFormat="false" ht="15" hidden="false" customHeight="false" outlineLevel="0" collapsed="false">
      <c r="A858" s="6" t="s">
        <v>854</v>
      </c>
      <c r="B858" s="6" t="s">
        <v>179</v>
      </c>
      <c r="C858" s="6" t="s">
        <v>522</v>
      </c>
      <c r="D858" s="9" t="n">
        <v>1</v>
      </c>
    </row>
    <row r="859" customFormat="false" ht="15" hidden="false" customHeight="false" outlineLevel="0" collapsed="false">
      <c r="A859" s="6" t="s">
        <v>854</v>
      </c>
      <c r="B859" s="6" t="s">
        <v>179</v>
      </c>
      <c r="C859" s="6" t="s">
        <v>523</v>
      </c>
      <c r="D859" s="9" t="n">
        <v>1</v>
      </c>
    </row>
    <row r="860" customFormat="false" ht="15" hidden="false" customHeight="false" outlineLevel="0" collapsed="false">
      <c r="A860" s="6" t="s">
        <v>854</v>
      </c>
      <c r="B860" s="6" t="s">
        <v>166</v>
      </c>
      <c r="C860" s="6" t="s">
        <v>524</v>
      </c>
      <c r="D860" s="9" t="n">
        <v>0</v>
      </c>
    </row>
    <row r="861" customFormat="false" ht="15" hidden="false" customHeight="false" outlineLevel="0" collapsed="false">
      <c r="A861" s="6" t="s">
        <v>854</v>
      </c>
      <c r="B861" s="6" t="s">
        <v>166</v>
      </c>
      <c r="C861" s="6" t="s">
        <v>525</v>
      </c>
      <c r="D861" s="9" t="n">
        <v>-4</v>
      </c>
    </row>
    <row r="862" customFormat="false" ht="15" hidden="false" customHeight="false" outlineLevel="0" collapsed="false">
      <c r="A862" s="6" t="s">
        <v>854</v>
      </c>
      <c r="B862" s="6" t="s">
        <v>166</v>
      </c>
      <c r="C862" s="6" t="s">
        <v>526</v>
      </c>
      <c r="D862" s="9" t="n">
        <v>0</v>
      </c>
    </row>
    <row r="863" customFormat="false" ht="15" hidden="false" customHeight="false" outlineLevel="0" collapsed="false">
      <c r="A863" s="6" t="s">
        <v>854</v>
      </c>
      <c r="B863" s="6" t="s">
        <v>166</v>
      </c>
      <c r="C863" s="6" t="s">
        <v>527</v>
      </c>
      <c r="D863" s="9" t="n">
        <v>-1</v>
      </c>
    </row>
    <row r="864" customFormat="false" ht="15" hidden="false" customHeight="false" outlineLevel="0" collapsed="false">
      <c r="A864" s="6" t="s">
        <v>854</v>
      </c>
      <c r="B864" s="6" t="s">
        <v>205</v>
      </c>
      <c r="C864" s="6" t="s">
        <v>528</v>
      </c>
      <c r="D864" s="9" t="n">
        <v>-2</v>
      </c>
    </row>
    <row r="865" customFormat="false" ht="15" hidden="false" customHeight="false" outlineLevel="0" collapsed="false">
      <c r="A865" s="6" t="s">
        <v>854</v>
      </c>
      <c r="B865" s="6" t="s">
        <v>55</v>
      </c>
      <c r="C865" s="6" t="s">
        <v>529</v>
      </c>
      <c r="D865" s="9" t="n">
        <v>78</v>
      </c>
    </row>
    <row r="866" customFormat="false" ht="15" hidden="false" customHeight="false" outlineLevel="0" collapsed="false">
      <c r="A866" s="6" t="s">
        <v>854</v>
      </c>
      <c r="B866" s="6" t="s">
        <v>55</v>
      </c>
      <c r="C866" s="6" t="s">
        <v>530</v>
      </c>
      <c r="D866" s="9" t="n">
        <v>87</v>
      </c>
    </row>
    <row r="867" customFormat="false" ht="15" hidden="false" customHeight="false" outlineLevel="0" collapsed="false">
      <c r="A867" s="6" t="s">
        <v>854</v>
      </c>
      <c r="B867" s="6" t="s">
        <v>55</v>
      </c>
      <c r="C867" s="6" t="s">
        <v>531</v>
      </c>
      <c r="D867" s="9" t="n">
        <v>95</v>
      </c>
    </row>
    <row r="868" customFormat="false" ht="15" hidden="false" customHeight="false" outlineLevel="0" collapsed="false">
      <c r="A868" s="6" t="s">
        <v>854</v>
      </c>
      <c r="B868" s="6" t="s">
        <v>52</v>
      </c>
      <c r="C868" s="6" t="s">
        <v>532</v>
      </c>
      <c r="D868" s="9" t="n">
        <v>21</v>
      </c>
    </row>
    <row r="869" customFormat="false" ht="15" hidden="false" customHeight="false" outlineLevel="0" collapsed="false">
      <c r="A869" s="6" t="s">
        <v>854</v>
      </c>
      <c r="B869" s="6" t="s">
        <v>52</v>
      </c>
      <c r="C869" s="6" t="s">
        <v>533</v>
      </c>
      <c r="D869" s="9" t="n">
        <v>130</v>
      </c>
    </row>
    <row r="870" customFormat="false" ht="15" hidden="false" customHeight="false" outlineLevel="0" collapsed="false">
      <c r="A870" s="6" t="s">
        <v>854</v>
      </c>
      <c r="B870" s="6" t="s">
        <v>52</v>
      </c>
      <c r="C870" s="6" t="s">
        <v>534</v>
      </c>
      <c r="D870" s="9" t="n">
        <v>213</v>
      </c>
    </row>
    <row r="871" customFormat="false" ht="15" hidden="false" customHeight="false" outlineLevel="0" collapsed="false">
      <c r="A871" s="6" t="s">
        <v>854</v>
      </c>
      <c r="B871" s="6" t="s">
        <v>52</v>
      </c>
      <c r="C871" s="6" t="s">
        <v>535</v>
      </c>
      <c r="D871" s="9" t="n">
        <v>128</v>
      </c>
    </row>
    <row r="872" customFormat="false" ht="15" hidden="false" customHeight="false" outlineLevel="0" collapsed="false">
      <c r="A872" s="6" t="s">
        <v>854</v>
      </c>
      <c r="B872" s="6" t="s">
        <v>52</v>
      </c>
      <c r="C872" s="6" t="s">
        <v>536</v>
      </c>
      <c r="D872" s="9" t="n">
        <v>49</v>
      </c>
    </row>
    <row r="873" customFormat="false" ht="15" hidden="false" customHeight="false" outlineLevel="0" collapsed="false">
      <c r="A873" s="6" t="s">
        <v>854</v>
      </c>
      <c r="B873" s="6" t="s">
        <v>537</v>
      </c>
      <c r="C873" s="6" t="s">
        <v>538</v>
      </c>
      <c r="D873" s="9" t="n">
        <v>0</v>
      </c>
    </row>
    <row r="874" customFormat="false" ht="15" hidden="false" customHeight="false" outlineLevel="0" collapsed="false">
      <c r="A874" s="6" t="s">
        <v>854</v>
      </c>
      <c r="B874" s="6" t="s">
        <v>537</v>
      </c>
      <c r="C874" s="6" t="s">
        <v>539</v>
      </c>
      <c r="D874" s="9" t="n">
        <v>0</v>
      </c>
    </row>
    <row r="875" customFormat="false" ht="15" hidden="false" customHeight="false" outlineLevel="0" collapsed="false">
      <c r="A875" s="6" t="s">
        <v>854</v>
      </c>
      <c r="B875" s="6" t="s">
        <v>540</v>
      </c>
      <c r="C875" s="6" t="s">
        <v>541</v>
      </c>
      <c r="D875" s="9" t="n">
        <v>0</v>
      </c>
    </row>
    <row r="876" customFormat="false" ht="15" hidden="false" customHeight="false" outlineLevel="0" collapsed="false">
      <c r="A876" s="6" t="s">
        <v>854</v>
      </c>
      <c r="B876" s="6" t="s">
        <v>540</v>
      </c>
      <c r="C876" s="6" t="s">
        <v>542</v>
      </c>
      <c r="D876" s="9" t="n">
        <v>0</v>
      </c>
    </row>
    <row r="877" customFormat="false" ht="15" hidden="false" customHeight="false" outlineLevel="0" collapsed="false">
      <c r="A877" s="6" t="s">
        <v>854</v>
      </c>
      <c r="B877" s="6" t="s">
        <v>540</v>
      </c>
      <c r="C877" s="6" t="s">
        <v>543</v>
      </c>
      <c r="D877" s="9" t="n">
        <v>0</v>
      </c>
    </row>
    <row r="878" customFormat="false" ht="15" hidden="false" customHeight="false" outlineLevel="0" collapsed="false">
      <c r="A878" s="6" t="s">
        <v>854</v>
      </c>
      <c r="B878" s="6" t="s">
        <v>544</v>
      </c>
      <c r="C878" s="6" t="s">
        <v>545</v>
      </c>
      <c r="D878" s="9" t="n">
        <v>0</v>
      </c>
    </row>
    <row r="879" customFormat="false" ht="15" hidden="false" customHeight="false" outlineLevel="0" collapsed="false">
      <c r="A879" s="6" t="s">
        <v>854</v>
      </c>
      <c r="B879" s="6" t="s">
        <v>544</v>
      </c>
      <c r="C879" s="6" t="s">
        <v>546</v>
      </c>
      <c r="D879" s="9" t="n">
        <v>0</v>
      </c>
    </row>
    <row r="880" customFormat="false" ht="15" hidden="false" customHeight="false" outlineLevel="0" collapsed="false">
      <c r="A880" s="6" t="s">
        <v>854</v>
      </c>
      <c r="B880" s="6" t="s">
        <v>544</v>
      </c>
      <c r="C880" s="6" t="s">
        <v>547</v>
      </c>
      <c r="D880" s="9" t="n">
        <v>0</v>
      </c>
    </row>
    <row r="881" customFormat="false" ht="15" hidden="false" customHeight="false" outlineLevel="0" collapsed="false">
      <c r="A881" s="6" t="s">
        <v>854</v>
      </c>
      <c r="B881" s="6" t="s">
        <v>139</v>
      </c>
      <c r="C881" s="6" t="s">
        <v>548</v>
      </c>
      <c r="D881" s="9" t="n">
        <v>0</v>
      </c>
    </row>
    <row r="882" customFormat="false" ht="15" hidden="false" customHeight="false" outlineLevel="0" collapsed="false">
      <c r="A882" s="6" t="s">
        <v>854</v>
      </c>
      <c r="B882" s="6" t="s">
        <v>184</v>
      </c>
      <c r="C882" s="6" t="s">
        <v>549</v>
      </c>
      <c r="D882" s="9" t="n">
        <v>1</v>
      </c>
    </row>
    <row r="883" customFormat="false" ht="15" hidden="false" customHeight="false" outlineLevel="0" collapsed="false">
      <c r="A883" s="6" t="s">
        <v>854</v>
      </c>
      <c r="B883" s="6" t="s">
        <v>184</v>
      </c>
      <c r="C883" s="6" t="s">
        <v>550</v>
      </c>
      <c r="D883" s="9" t="n">
        <v>-2</v>
      </c>
    </row>
    <row r="884" customFormat="false" ht="15" hidden="false" customHeight="false" outlineLevel="0" collapsed="false">
      <c r="A884" s="6" t="s">
        <v>854</v>
      </c>
      <c r="B884" s="6" t="s">
        <v>184</v>
      </c>
      <c r="C884" s="6" t="s">
        <v>551</v>
      </c>
      <c r="D884" s="9" t="n">
        <v>-1</v>
      </c>
    </row>
    <row r="885" customFormat="false" ht="15" hidden="false" customHeight="false" outlineLevel="0" collapsed="false">
      <c r="A885" s="6" t="s">
        <v>854</v>
      </c>
      <c r="B885" s="6" t="s">
        <v>153</v>
      </c>
      <c r="C885" s="6" t="s">
        <v>552</v>
      </c>
      <c r="D885" s="9" t="n">
        <v>0</v>
      </c>
    </row>
    <row r="886" customFormat="false" ht="15" hidden="false" customHeight="false" outlineLevel="0" collapsed="false">
      <c r="A886" s="6" t="s">
        <v>854</v>
      </c>
      <c r="B886" s="6" t="s">
        <v>153</v>
      </c>
      <c r="C886" s="6" t="s">
        <v>553</v>
      </c>
      <c r="D886" s="9" t="n">
        <v>-2</v>
      </c>
    </row>
    <row r="887" customFormat="false" ht="15" hidden="false" customHeight="false" outlineLevel="0" collapsed="false">
      <c r="A887" s="6" t="s">
        <v>854</v>
      </c>
      <c r="B887" s="6" t="s">
        <v>153</v>
      </c>
      <c r="C887" s="6" t="s">
        <v>554</v>
      </c>
      <c r="D887" s="9" t="n">
        <v>-2</v>
      </c>
    </row>
    <row r="888" customFormat="false" ht="15" hidden="false" customHeight="false" outlineLevel="0" collapsed="false">
      <c r="A888" s="6" t="s">
        <v>854</v>
      </c>
      <c r="B888" s="6" t="s">
        <v>153</v>
      </c>
      <c r="C888" s="6" t="s">
        <v>555</v>
      </c>
      <c r="D888" s="9" t="n">
        <v>0</v>
      </c>
    </row>
    <row r="889" customFormat="false" ht="15" hidden="false" customHeight="false" outlineLevel="0" collapsed="false">
      <c r="A889" s="6" t="s">
        <v>854</v>
      </c>
      <c r="B889" s="6" t="s">
        <v>153</v>
      </c>
      <c r="C889" s="6" t="s">
        <v>556</v>
      </c>
      <c r="D889" s="9" t="n">
        <v>0</v>
      </c>
    </row>
    <row r="890" customFormat="false" ht="15" hidden="false" customHeight="false" outlineLevel="0" collapsed="false">
      <c r="A890" s="6" t="s">
        <v>854</v>
      </c>
      <c r="B890" s="6" t="s">
        <v>64</v>
      </c>
      <c r="C890" s="6" t="s">
        <v>557</v>
      </c>
      <c r="D890" s="9" t="n">
        <v>-3</v>
      </c>
    </row>
    <row r="891" customFormat="false" ht="15" hidden="false" customHeight="false" outlineLevel="0" collapsed="false">
      <c r="A891" s="6" t="s">
        <v>854</v>
      </c>
      <c r="B891" s="6" t="s">
        <v>205</v>
      </c>
      <c r="C891" s="6" t="s">
        <v>558</v>
      </c>
      <c r="D891" s="9" t="n">
        <v>27</v>
      </c>
    </row>
    <row r="892" customFormat="false" ht="15" hidden="false" customHeight="false" outlineLevel="0" collapsed="false">
      <c r="A892" s="6" t="s">
        <v>854</v>
      </c>
      <c r="B892" s="6" t="s">
        <v>559</v>
      </c>
      <c r="C892" s="6" t="s">
        <v>560</v>
      </c>
      <c r="D892" s="9" t="n">
        <v>0</v>
      </c>
    </row>
    <row r="893" customFormat="false" ht="15" hidden="false" customHeight="false" outlineLevel="0" collapsed="false">
      <c r="A893" s="6" t="s">
        <v>854</v>
      </c>
      <c r="B893" s="6" t="s">
        <v>77</v>
      </c>
      <c r="C893" s="6" t="s">
        <v>561</v>
      </c>
      <c r="D893" s="9" t="n">
        <v>962</v>
      </c>
    </row>
    <row r="894" customFormat="false" ht="15" hidden="false" customHeight="false" outlineLevel="0" collapsed="false">
      <c r="A894" s="6" t="s">
        <v>854</v>
      </c>
      <c r="B894" s="6" t="s">
        <v>31</v>
      </c>
      <c r="C894" s="6" t="s">
        <v>562</v>
      </c>
      <c r="D894" s="9" t="n">
        <v>0</v>
      </c>
    </row>
    <row r="895" customFormat="false" ht="15" hidden="false" customHeight="false" outlineLevel="0" collapsed="false">
      <c r="A895" s="6" t="s">
        <v>854</v>
      </c>
      <c r="B895" s="6" t="s">
        <v>563</v>
      </c>
      <c r="C895" s="6" t="s">
        <v>564</v>
      </c>
      <c r="D895" s="9" t="n">
        <v>0</v>
      </c>
    </row>
    <row r="896" customFormat="false" ht="15" hidden="false" customHeight="false" outlineLevel="0" collapsed="false">
      <c r="A896" s="6" t="s">
        <v>854</v>
      </c>
      <c r="B896" s="6" t="s">
        <v>565</v>
      </c>
      <c r="C896" s="6" t="s">
        <v>566</v>
      </c>
      <c r="D896" s="9" t="n">
        <v>0</v>
      </c>
    </row>
    <row r="897" customFormat="false" ht="15" hidden="false" customHeight="false" outlineLevel="0" collapsed="false">
      <c r="A897" s="6" t="s">
        <v>854</v>
      </c>
      <c r="B897" s="6" t="s">
        <v>41</v>
      </c>
      <c r="C897" s="6" t="s">
        <v>567</v>
      </c>
      <c r="D897" s="9" t="n">
        <v>87</v>
      </c>
    </row>
    <row r="898" customFormat="false" ht="15" hidden="false" customHeight="false" outlineLevel="0" collapsed="false">
      <c r="A898" s="6" t="s">
        <v>854</v>
      </c>
      <c r="B898" s="6" t="s">
        <v>568</v>
      </c>
      <c r="C898" s="6" t="s">
        <v>569</v>
      </c>
      <c r="D898" s="9" t="n">
        <v>0</v>
      </c>
    </row>
    <row r="899" customFormat="false" ht="15" hidden="false" customHeight="false" outlineLevel="0" collapsed="false">
      <c r="A899" s="6" t="s">
        <v>854</v>
      </c>
      <c r="B899" s="6" t="s">
        <v>570</v>
      </c>
      <c r="C899" s="6" t="s">
        <v>571</v>
      </c>
      <c r="D899" s="9" t="n">
        <v>0</v>
      </c>
    </row>
    <row r="900" customFormat="false" ht="15" hidden="false" customHeight="false" outlineLevel="0" collapsed="false">
      <c r="A900" s="6" t="s">
        <v>854</v>
      </c>
      <c r="B900" s="6" t="s">
        <v>33</v>
      </c>
      <c r="C900" s="6" t="s">
        <v>572</v>
      </c>
      <c r="D900" s="9" t="n">
        <v>0</v>
      </c>
    </row>
    <row r="901" customFormat="false" ht="15" hidden="false" customHeight="false" outlineLevel="0" collapsed="false">
      <c r="A901" s="6" t="s">
        <v>854</v>
      </c>
      <c r="B901" s="6" t="s">
        <v>121</v>
      </c>
      <c r="C901" s="6" t="s">
        <v>573</v>
      </c>
      <c r="D901" s="9" t="n">
        <v>106</v>
      </c>
    </row>
    <row r="902" customFormat="false" ht="15" hidden="false" customHeight="false" outlineLevel="0" collapsed="false">
      <c r="A902" s="6" t="s">
        <v>854</v>
      </c>
      <c r="B902" s="6" t="s">
        <v>574</v>
      </c>
      <c r="C902" s="6" t="s">
        <v>575</v>
      </c>
      <c r="D902" s="9" t="n">
        <v>0</v>
      </c>
    </row>
    <row r="903" customFormat="false" ht="15" hidden="false" customHeight="false" outlineLevel="0" collapsed="false">
      <c r="A903" s="6" t="s">
        <v>854</v>
      </c>
      <c r="B903" s="6" t="s">
        <v>574</v>
      </c>
      <c r="C903" s="6" t="s">
        <v>576</v>
      </c>
      <c r="D903" s="9" t="n">
        <v>0</v>
      </c>
    </row>
    <row r="904" customFormat="false" ht="15" hidden="false" customHeight="false" outlineLevel="0" collapsed="false">
      <c r="A904" s="6" t="s">
        <v>854</v>
      </c>
      <c r="B904" s="6" t="s">
        <v>574</v>
      </c>
      <c r="C904" s="6" t="s">
        <v>577</v>
      </c>
      <c r="D904" s="9" t="n">
        <v>0</v>
      </c>
    </row>
    <row r="905" customFormat="false" ht="15" hidden="false" customHeight="false" outlineLevel="0" collapsed="false">
      <c r="A905" s="6" t="s">
        <v>854</v>
      </c>
      <c r="B905" s="6" t="s">
        <v>574</v>
      </c>
      <c r="C905" s="6" t="s">
        <v>578</v>
      </c>
      <c r="D905" s="9" t="n">
        <v>0</v>
      </c>
    </row>
    <row r="906" customFormat="false" ht="15" hidden="false" customHeight="false" outlineLevel="0" collapsed="false">
      <c r="A906" s="6" t="s">
        <v>854</v>
      </c>
      <c r="B906" s="6" t="s">
        <v>44</v>
      </c>
      <c r="C906" s="6" t="s">
        <v>579</v>
      </c>
      <c r="D906" s="9" t="n">
        <v>2132</v>
      </c>
    </row>
    <row r="907" customFormat="false" ht="15" hidden="false" customHeight="false" outlineLevel="0" collapsed="false">
      <c r="A907" s="6" t="s">
        <v>854</v>
      </c>
      <c r="B907" s="6" t="s">
        <v>17</v>
      </c>
      <c r="C907" s="6" t="s">
        <v>580</v>
      </c>
      <c r="D907" s="9" t="n">
        <v>648</v>
      </c>
    </row>
    <row r="908" customFormat="false" ht="15" hidden="false" customHeight="false" outlineLevel="0" collapsed="false">
      <c r="A908" s="6" t="s">
        <v>854</v>
      </c>
      <c r="B908" s="6" t="s">
        <v>17</v>
      </c>
      <c r="C908" s="6" t="s">
        <v>581</v>
      </c>
      <c r="D908" s="9" t="n">
        <v>797</v>
      </c>
    </row>
    <row r="909" customFormat="false" ht="15" hidden="false" customHeight="false" outlineLevel="0" collapsed="false">
      <c r="A909" s="6" t="s">
        <v>854</v>
      </c>
      <c r="B909" s="6" t="s">
        <v>17</v>
      </c>
      <c r="C909" s="6" t="s">
        <v>582</v>
      </c>
      <c r="D909" s="9" t="n">
        <v>589</v>
      </c>
    </row>
    <row r="910" customFormat="false" ht="15" hidden="false" customHeight="false" outlineLevel="0" collapsed="false">
      <c r="A910" s="6" t="s">
        <v>854</v>
      </c>
      <c r="B910" s="6" t="s">
        <v>17</v>
      </c>
      <c r="C910" s="6" t="s">
        <v>583</v>
      </c>
      <c r="D910" s="9" t="n">
        <v>514</v>
      </c>
    </row>
    <row r="911" customFormat="false" ht="15" hidden="false" customHeight="false" outlineLevel="0" collapsed="false">
      <c r="A911" s="6" t="s">
        <v>854</v>
      </c>
      <c r="B911" s="6" t="s">
        <v>17</v>
      </c>
      <c r="C911" s="6" t="s">
        <v>584</v>
      </c>
      <c r="D911" s="9" t="n">
        <v>2</v>
      </c>
    </row>
    <row r="912" customFormat="false" ht="15" hidden="false" customHeight="false" outlineLevel="0" collapsed="false">
      <c r="A912" s="6" t="s">
        <v>854</v>
      </c>
      <c r="B912" s="6" t="s">
        <v>27</v>
      </c>
      <c r="C912" s="6" t="s">
        <v>585</v>
      </c>
      <c r="D912" s="9" t="n">
        <v>545</v>
      </c>
    </row>
    <row r="913" customFormat="false" ht="15" hidden="false" customHeight="false" outlineLevel="0" collapsed="false">
      <c r="A913" s="6" t="s">
        <v>854</v>
      </c>
      <c r="B913" s="6" t="s">
        <v>27</v>
      </c>
      <c r="C913" s="6" t="s">
        <v>586</v>
      </c>
      <c r="D913" s="9" t="n">
        <v>621</v>
      </c>
    </row>
    <row r="914" customFormat="false" ht="15" hidden="false" customHeight="false" outlineLevel="0" collapsed="false">
      <c r="A914" s="6" t="s">
        <v>854</v>
      </c>
      <c r="B914" s="6" t="s">
        <v>27</v>
      </c>
      <c r="C914" s="6" t="s">
        <v>587</v>
      </c>
      <c r="D914" s="9" t="n">
        <v>601</v>
      </c>
    </row>
    <row r="915" customFormat="false" ht="15" hidden="false" customHeight="false" outlineLevel="0" collapsed="false">
      <c r="A915" s="6" t="s">
        <v>854</v>
      </c>
      <c r="B915" s="6" t="s">
        <v>27</v>
      </c>
      <c r="C915" s="6" t="s">
        <v>588</v>
      </c>
      <c r="D915" s="9" t="n">
        <v>224</v>
      </c>
    </row>
    <row r="916" customFormat="false" ht="15" hidden="false" customHeight="false" outlineLevel="0" collapsed="false">
      <c r="A916" s="6" t="s">
        <v>854</v>
      </c>
      <c r="B916" s="6" t="s">
        <v>589</v>
      </c>
      <c r="C916" s="6" t="s">
        <v>590</v>
      </c>
      <c r="D916" s="9" t="n">
        <v>0</v>
      </c>
    </row>
    <row r="917" customFormat="false" ht="15" hidden="false" customHeight="false" outlineLevel="0" collapsed="false">
      <c r="A917" s="6" t="s">
        <v>854</v>
      </c>
      <c r="B917" s="6" t="s">
        <v>199</v>
      </c>
      <c r="C917" s="6" t="s">
        <v>591</v>
      </c>
      <c r="D917" s="9" t="n">
        <v>1</v>
      </c>
    </row>
    <row r="918" customFormat="false" ht="15" hidden="false" customHeight="false" outlineLevel="0" collapsed="false">
      <c r="A918" s="6" t="s">
        <v>854</v>
      </c>
      <c r="B918" s="6" t="s">
        <v>592</v>
      </c>
      <c r="C918" s="6" t="s">
        <v>593</v>
      </c>
      <c r="D918" s="9" t="n">
        <v>0</v>
      </c>
    </row>
    <row r="919" customFormat="false" ht="15" hidden="false" customHeight="false" outlineLevel="0" collapsed="false">
      <c r="A919" s="6" t="s">
        <v>854</v>
      </c>
      <c r="B919" s="6" t="s">
        <v>594</v>
      </c>
      <c r="C919" s="6" t="s">
        <v>595</v>
      </c>
      <c r="D919" s="9" t="n">
        <v>0</v>
      </c>
    </row>
    <row r="920" customFormat="false" ht="15" hidden="false" customHeight="false" outlineLevel="0" collapsed="false">
      <c r="A920" s="6" t="s">
        <v>854</v>
      </c>
      <c r="B920" s="6" t="s">
        <v>596</v>
      </c>
      <c r="C920" s="6" t="s">
        <v>597</v>
      </c>
      <c r="D920" s="9" t="n">
        <v>0</v>
      </c>
    </row>
    <row r="921" customFormat="false" ht="15" hidden="false" customHeight="false" outlineLevel="0" collapsed="false">
      <c r="A921" s="6" t="s">
        <v>854</v>
      </c>
      <c r="B921" s="6" t="s">
        <v>151</v>
      </c>
      <c r="C921" s="6" t="s">
        <v>598</v>
      </c>
      <c r="D921" s="9" t="n">
        <v>194</v>
      </c>
    </row>
    <row r="922" customFormat="false" ht="15" hidden="false" customHeight="false" outlineLevel="0" collapsed="false">
      <c r="A922" s="6" t="s">
        <v>854</v>
      </c>
      <c r="B922" s="6" t="s">
        <v>195</v>
      </c>
      <c r="C922" s="6" t="s">
        <v>599</v>
      </c>
      <c r="D922" s="9" t="n">
        <v>2</v>
      </c>
    </row>
    <row r="923" customFormat="false" ht="15" hidden="false" customHeight="false" outlineLevel="0" collapsed="false">
      <c r="A923" s="6" t="s">
        <v>854</v>
      </c>
      <c r="B923" s="6" t="s">
        <v>195</v>
      </c>
      <c r="C923" s="6" t="s">
        <v>600</v>
      </c>
      <c r="D923" s="9" t="n">
        <v>0</v>
      </c>
    </row>
    <row r="924" customFormat="false" ht="15" hidden="false" customHeight="false" outlineLevel="0" collapsed="false">
      <c r="A924" s="6" t="s">
        <v>854</v>
      </c>
      <c r="B924" s="6" t="s">
        <v>215</v>
      </c>
      <c r="C924" s="6" t="s">
        <v>601</v>
      </c>
      <c r="D924" s="9" t="n">
        <v>0</v>
      </c>
    </row>
    <row r="925" customFormat="false" ht="15" hidden="false" customHeight="false" outlineLevel="0" collapsed="false">
      <c r="A925" s="6" t="s">
        <v>854</v>
      </c>
      <c r="B925" s="6" t="s">
        <v>215</v>
      </c>
      <c r="C925" s="6" t="s">
        <v>602</v>
      </c>
      <c r="D925" s="9" t="n">
        <v>0</v>
      </c>
    </row>
    <row r="926" customFormat="false" ht="15" hidden="false" customHeight="false" outlineLevel="0" collapsed="false">
      <c r="A926" s="6" t="s">
        <v>854</v>
      </c>
      <c r="B926" s="6" t="s">
        <v>215</v>
      </c>
      <c r="C926" s="6" t="s">
        <v>600</v>
      </c>
      <c r="D926" s="9" t="n">
        <v>0</v>
      </c>
    </row>
    <row r="927" customFormat="false" ht="15" hidden="false" customHeight="false" outlineLevel="0" collapsed="false">
      <c r="A927" s="6" t="s">
        <v>854</v>
      </c>
      <c r="B927" s="6" t="s">
        <v>128</v>
      </c>
      <c r="C927" s="6" t="s">
        <v>603</v>
      </c>
      <c r="D927" s="9" t="n">
        <v>1278</v>
      </c>
    </row>
    <row r="928" customFormat="false" ht="15" hidden="false" customHeight="false" outlineLevel="0" collapsed="false">
      <c r="A928" s="6" t="s">
        <v>854</v>
      </c>
      <c r="B928" s="6" t="s">
        <v>128</v>
      </c>
      <c r="C928" s="6" t="s">
        <v>604</v>
      </c>
      <c r="D928" s="9" t="n">
        <v>935</v>
      </c>
    </row>
    <row r="929" customFormat="false" ht="15" hidden="false" customHeight="false" outlineLevel="0" collapsed="false">
      <c r="A929" s="6" t="s">
        <v>854</v>
      </c>
      <c r="B929" s="6" t="s">
        <v>80</v>
      </c>
      <c r="C929" s="6" t="s">
        <v>603</v>
      </c>
      <c r="D929" s="9" t="n">
        <v>297</v>
      </c>
    </row>
    <row r="930" customFormat="false" ht="15" hidden="false" customHeight="false" outlineLevel="0" collapsed="false">
      <c r="A930" s="6" t="s">
        <v>854</v>
      </c>
      <c r="B930" s="6" t="s">
        <v>80</v>
      </c>
      <c r="C930" s="6" t="s">
        <v>604</v>
      </c>
      <c r="D930" s="9" t="n">
        <v>187</v>
      </c>
    </row>
    <row r="931" customFormat="false" ht="15" hidden="false" customHeight="false" outlineLevel="0" collapsed="false">
      <c r="A931" s="6" t="s">
        <v>854</v>
      </c>
      <c r="B931" s="6" t="s">
        <v>169</v>
      </c>
      <c r="C931" s="6" t="s">
        <v>605</v>
      </c>
      <c r="D931" s="9" t="n">
        <v>97</v>
      </c>
    </row>
    <row r="932" customFormat="false" ht="15" hidden="false" customHeight="false" outlineLevel="0" collapsed="false">
      <c r="A932" s="6" t="s">
        <v>854</v>
      </c>
      <c r="B932" s="6" t="s">
        <v>606</v>
      </c>
      <c r="C932" s="6" t="s">
        <v>607</v>
      </c>
      <c r="D932" s="9" t="n">
        <v>0</v>
      </c>
    </row>
    <row r="933" customFormat="false" ht="15" hidden="false" customHeight="false" outlineLevel="0" collapsed="false">
      <c r="A933" s="6" t="s">
        <v>854</v>
      </c>
      <c r="B933" s="6" t="s">
        <v>606</v>
      </c>
      <c r="C933" s="6" t="s">
        <v>608</v>
      </c>
      <c r="D933" s="9" t="n">
        <v>0</v>
      </c>
    </row>
    <row r="934" customFormat="false" ht="15" hidden="false" customHeight="false" outlineLevel="0" collapsed="false">
      <c r="A934" s="6" t="s">
        <v>854</v>
      </c>
      <c r="B934" s="6" t="s">
        <v>228</v>
      </c>
      <c r="C934" s="6" t="s">
        <v>609</v>
      </c>
      <c r="D934" s="9" t="n">
        <v>0</v>
      </c>
    </row>
    <row r="935" customFormat="false" ht="15" hidden="false" customHeight="false" outlineLevel="0" collapsed="false">
      <c r="A935" s="6" t="s">
        <v>854</v>
      </c>
      <c r="B935" s="6" t="s">
        <v>228</v>
      </c>
      <c r="C935" s="6" t="s">
        <v>610</v>
      </c>
      <c r="D935" s="9" t="n">
        <v>0</v>
      </c>
    </row>
    <row r="936" customFormat="false" ht="15" hidden="false" customHeight="false" outlineLevel="0" collapsed="false">
      <c r="A936" s="6" t="s">
        <v>854</v>
      </c>
      <c r="B936" s="6" t="s">
        <v>606</v>
      </c>
      <c r="C936" s="6" t="s">
        <v>611</v>
      </c>
      <c r="D936" s="9" t="n">
        <v>0</v>
      </c>
    </row>
    <row r="937" customFormat="false" ht="15" hidden="false" customHeight="false" outlineLevel="0" collapsed="false">
      <c r="A937" s="6" t="s">
        <v>854</v>
      </c>
      <c r="B937" s="6" t="s">
        <v>612</v>
      </c>
      <c r="C937" s="6" t="s">
        <v>609</v>
      </c>
      <c r="D937" s="9" t="n">
        <v>0</v>
      </c>
    </row>
    <row r="938" customFormat="false" ht="15" hidden="false" customHeight="false" outlineLevel="0" collapsed="false">
      <c r="A938" s="6" t="s">
        <v>854</v>
      </c>
      <c r="B938" s="6" t="s">
        <v>17</v>
      </c>
      <c r="C938" s="6" t="s">
        <v>613</v>
      </c>
      <c r="D938" s="9" t="n">
        <v>0</v>
      </c>
    </row>
    <row r="939" customFormat="false" ht="15" hidden="false" customHeight="false" outlineLevel="0" collapsed="false">
      <c r="A939" s="6" t="s">
        <v>854</v>
      </c>
      <c r="B939" s="6" t="s">
        <v>38</v>
      </c>
      <c r="C939" s="6" t="s">
        <v>614</v>
      </c>
      <c r="D939" s="9" t="n">
        <v>423</v>
      </c>
    </row>
    <row r="940" customFormat="false" ht="15" hidden="false" customHeight="false" outlineLevel="0" collapsed="false">
      <c r="A940" s="6" t="s">
        <v>854</v>
      </c>
      <c r="B940" s="6" t="s">
        <v>38</v>
      </c>
      <c r="C940" s="6" t="s">
        <v>615</v>
      </c>
      <c r="D940" s="9" t="n">
        <v>425</v>
      </c>
    </row>
    <row r="941" customFormat="false" ht="15" hidden="false" customHeight="false" outlineLevel="0" collapsed="false">
      <c r="A941" s="6" t="s">
        <v>854</v>
      </c>
      <c r="B941" s="6" t="s">
        <v>38</v>
      </c>
      <c r="C941" s="6" t="s">
        <v>616</v>
      </c>
      <c r="D941" s="9" t="n">
        <v>158</v>
      </c>
    </row>
    <row r="942" customFormat="false" ht="15" hidden="false" customHeight="false" outlineLevel="0" collapsed="false">
      <c r="A942" s="6" t="s">
        <v>854</v>
      </c>
      <c r="B942" s="6" t="s">
        <v>204</v>
      </c>
      <c r="C942" s="6" t="s">
        <v>617</v>
      </c>
      <c r="D942" s="9" t="n">
        <v>0</v>
      </c>
    </row>
    <row r="943" customFormat="false" ht="15" hidden="false" customHeight="false" outlineLevel="0" collapsed="false">
      <c r="A943" s="6" t="s">
        <v>854</v>
      </c>
      <c r="B943" s="6" t="s">
        <v>204</v>
      </c>
      <c r="C943" s="6" t="s">
        <v>618</v>
      </c>
      <c r="D943" s="9" t="n">
        <v>0</v>
      </c>
    </row>
    <row r="944" customFormat="false" ht="15" hidden="false" customHeight="false" outlineLevel="0" collapsed="false">
      <c r="A944" s="6" t="s">
        <v>854</v>
      </c>
      <c r="B944" s="6" t="s">
        <v>204</v>
      </c>
      <c r="C944" s="6" t="s">
        <v>619</v>
      </c>
      <c r="D944" s="9" t="n">
        <v>-5</v>
      </c>
    </row>
    <row r="945" customFormat="false" ht="15" hidden="false" customHeight="false" outlineLevel="0" collapsed="false">
      <c r="A945" s="6" t="s">
        <v>854</v>
      </c>
      <c r="B945" s="6" t="s">
        <v>180</v>
      </c>
      <c r="C945" s="6" t="s">
        <v>620</v>
      </c>
      <c r="D945" s="9" t="n">
        <v>-3</v>
      </c>
    </row>
    <row r="946" customFormat="false" ht="15" hidden="false" customHeight="false" outlineLevel="0" collapsed="false">
      <c r="A946" s="6" t="s">
        <v>854</v>
      </c>
      <c r="B946" s="6" t="s">
        <v>209</v>
      </c>
      <c r="C946" s="6" t="s">
        <v>502</v>
      </c>
      <c r="D946" s="9" t="n">
        <v>0</v>
      </c>
    </row>
    <row r="947" customFormat="false" ht="15" hidden="false" customHeight="false" outlineLevel="0" collapsed="false">
      <c r="A947" s="6" t="s">
        <v>854</v>
      </c>
      <c r="B947" s="6" t="s">
        <v>621</v>
      </c>
      <c r="C947" s="6" t="s">
        <v>622</v>
      </c>
      <c r="D947" s="9" t="n">
        <v>0</v>
      </c>
    </row>
    <row r="948" customFormat="false" ht="15" hidden="false" customHeight="false" outlineLevel="0" collapsed="false">
      <c r="A948" s="6" t="s">
        <v>854</v>
      </c>
      <c r="B948" s="6" t="s">
        <v>48</v>
      </c>
      <c r="C948" s="6" t="s">
        <v>623</v>
      </c>
      <c r="D948" s="9" t="n">
        <v>596</v>
      </c>
    </row>
    <row r="949" customFormat="false" ht="15" hidden="false" customHeight="false" outlineLevel="0" collapsed="false">
      <c r="A949" s="6" t="s">
        <v>854</v>
      </c>
      <c r="B949" s="6" t="s">
        <v>48</v>
      </c>
      <c r="C949" s="6" t="s">
        <v>624</v>
      </c>
      <c r="D949" s="9" t="n">
        <v>635</v>
      </c>
    </row>
    <row r="950" customFormat="false" ht="15" hidden="false" customHeight="false" outlineLevel="0" collapsed="false">
      <c r="A950" s="6" t="s">
        <v>854</v>
      </c>
      <c r="B950" s="6" t="s">
        <v>48</v>
      </c>
      <c r="C950" s="6" t="s">
        <v>625</v>
      </c>
      <c r="D950" s="9" t="n">
        <v>371</v>
      </c>
    </row>
    <row r="951" customFormat="false" ht="15" hidden="false" customHeight="false" outlineLevel="0" collapsed="false">
      <c r="A951" s="6" t="s">
        <v>854</v>
      </c>
      <c r="B951" s="6" t="s">
        <v>48</v>
      </c>
      <c r="C951" s="6" t="s">
        <v>626</v>
      </c>
      <c r="D951" s="9" t="n">
        <v>503</v>
      </c>
    </row>
    <row r="952" customFormat="false" ht="15" hidden="false" customHeight="false" outlineLevel="0" collapsed="false">
      <c r="A952" s="6" t="s">
        <v>854</v>
      </c>
      <c r="B952" s="6" t="s">
        <v>48</v>
      </c>
      <c r="C952" s="6" t="s">
        <v>627</v>
      </c>
      <c r="D952" s="9" t="n">
        <v>1</v>
      </c>
    </row>
    <row r="953" customFormat="false" ht="15" hidden="false" customHeight="false" outlineLevel="0" collapsed="false">
      <c r="A953" s="6" t="s">
        <v>854</v>
      </c>
      <c r="B953" s="6" t="s">
        <v>628</v>
      </c>
      <c r="C953" s="6" t="s">
        <v>629</v>
      </c>
      <c r="D953" s="9" t="n">
        <v>0</v>
      </c>
    </row>
    <row r="954" customFormat="false" ht="15" hidden="false" customHeight="false" outlineLevel="0" collapsed="false">
      <c r="A954" s="6" t="s">
        <v>854</v>
      </c>
      <c r="B954" s="6" t="s">
        <v>208</v>
      </c>
      <c r="C954" s="6" t="s">
        <v>630</v>
      </c>
      <c r="D954" s="9" t="n">
        <v>-3</v>
      </c>
    </row>
    <row r="955" customFormat="false" ht="15" hidden="false" customHeight="false" outlineLevel="0" collapsed="false">
      <c r="A955" s="6" t="s">
        <v>854</v>
      </c>
      <c r="B955" s="6" t="s">
        <v>631</v>
      </c>
      <c r="C955" s="6" t="s">
        <v>632</v>
      </c>
      <c r="D955" s="9" t="n">
        <v>0</v>
      </c>
    </row>
    <row r="956" customFormat="false" ht="15" hidden="false" customHeight="false" outlineLevel="0" collapsed="false">
      <c r="A956" s="6" t="s">
        <v>854</v>
      </c>
      <c r="B956" s="6" t="s">
        <v>633</v>
      </c>
      <c r="C956" s="6" t="s">
        <v>634</v>
      </c>
      <c r="D956" s="9" t="n">
        <v>0</v>
      </c>
    </row>
    <row r="957" customFormat="false" ht="15" hidden="false" customHeight="false" outlineLevel="0" collapsed="false">
      <c r="A957" s="6" t="s">
        <v>854</v>
      </c>
      <c r="B957" s="6" t="s">
        <v>635</v>
      </c>
      <c r="C957" s="6" t="s">
        <v>636</v>
      </c>
      <c r="D957" s="9" t="n">
        <v>0</v>
      </c>
    </row>
    <row r="958" customFormat="false" ht="15" hidden="false" customHeight="false" outlineLevel="0" collapsed="false">
      <c r="A958" s="6" t="s">
        <v>854</v>
      </c>
      <c r="B958" s="6" t="s">
        <v>221</v>
      </c>
      <c r="C958" s="6" t="s">
        <v>637</v>
      </c>
      <c r="D958" s="9" t="n">
        <v>0</v>
      </c>
    </row>
    <row r="959" customFormat="false" ht="15" hidden="false" customHeight="false" outlineLevel="0" collapsed="false">
      <c r="A959" s="6" t="s">
        <v>854</v>
      </c>
      <c r="B959" s="6" t="s">
        <v>638</v>
      </c>
      <c r="C959" s="6" t="s">
        <v>639</v>
      </c>
      <c r="D959" s="9" t="n">
        <v>0</v>
      </c>
    </row>
    <row r="960" customFormat="false" ht="15" hidden="false" customHeight="false" outlineLevel="0" collapsed="false">
      <c r="A960" s="6" t="s">
        <v>854</v>
      </c>
      <c r="B960" s="6" t="s">
        <v>640</v>
      </c>
      <c r="C960" s="6" t="s">
        <v>641</v>
      </c>
      <c r="D960" s="9" t="n">
        <v>0</v>
      </c>
    </row>
    <row r="961" customFormat="false" ht="15" hidden="false" customHeight="false" outlineLevel="0" collapsed="false">
      <c r="A961" s="6" t="s">
        <v>854</v>
      </c>
      <c r="B961" s="6" t="s">
        <v>216</v>
      </c>
      <c r="C961" s="6" t="s">
        <v>642</v>
      </c>
      <c r="D961" s="9" t="n">
        <v>34</v>
      </c>
    </row>
    <row r="962" customFormat="false" ht="15" hidden="false" customHeight="false" outlineLevel="0" collapsed="false">
      <c r="A962" s="6" t="s">
        <v>854</v>
      </c>
      <c r="B962" s="6" t="s">
        <v>643</v>
      </c>
      <c r="C962" s="6" t="s">
        <v>644</v>
      </c>
      <c r="D962" s="9" t="n">
        <v>0</v>
      </c>
    </row>
    <row r="963" customFormat="false" ht="15" hidden="false" customHeight="false" outlineLevel="0" collapsed="false">
      <c r="A963" s="6" t="s">
        <v>854</v>
      </c>
      <c r="B963" s="6" t="s">
        <v>645</v>
      </c>
      <c r="C963" s="6" t="s">
        <v>646</v>
      </c>
      <c r="D963" s="9" t="n">
        <v>0</v>
      </c>
    </row>
    <row r="964" customFormat="false" ht="15" hidden="false" customHeight="false" outlineLevel="0" collapsed="false">
      <c r="A964" s="6" t="s">
        <v>854</v>
      </c>
      <c r="B964" s="6" t="s">
        <v>174</v>
      </c>
      <c r="C964" s="6" t="s">
        <v>647</v>
      </c>
      <c r="D964" s="9" t="n">
        <v>0</v>
      </c>
    </row>
    <row r="965" customFormat="false" ht="15" hidden="false" customHeight="false" outlineLevel="0" collapsed="false">
      <c r="A965" s="6" t="s">
        <v>854</v>
      </c>
      <c r="B965" s="6" t="s">
        <v>174</v>
      </c>
      <c r="C965" s="6" t="s">
        <v>648</v>
      </c>
      <c r="D965" s="9" t="n">
        <v>0</v>
      </c>
    </row>
    <row r="966" customFormat="false" ht="15" hidden="false" customHeight="false" outlineLevel="0" collapsed="false">
      <c r="A966" s="6" t="s">
        <v>854</v>
      </c>
      <c r="B966" s="6" t="s">
        <v>174</v>
      </c>
      <c r="C966" s="6" t="s">
        <v>649</v>
      </c>
      <c r="D966" s="9" t="n">
        <v>0</v>
      </c>
    </row>
    <row r="967" customFormat="false" ht="15" hidden="false" customHeight="false" outlineLevel="0" collapsed="false">
      <c r="A967" s="6" t="s">
        <v>854</v>
      </c>
      <c r="B967" s="6" t="s">
        <v>174</v>
      </c>
      <c r="C967" s="6" t="s">
        <v>650</v>
      </c>
      <c r="D967" s="9" t="n">
        <v>6</v>
      </c>
    </row>
    <row r="968" customFormat="false" ht="15" hidden="false" customHeight="false" outlineLevel="0" collapsed="false">
      <c r="A968" s="6" t="s">
        <v>854</v>
      </c>
      <c r="B968" s="6" t="s">
        <v>174</v>
      </c>
      <c r="C968" s="6" t="s">
        <v>651</v>
      </c>
      <c r="D968" s="9" t="n">
        <v>3</v>
      </c>
    </row>
    <row r="969" customFormat="false" ht="15" hidden="false" customHeight="false" outlineLevel="0" collapsed="false">
      <c r="A969" s="6" t="s">
        <v>854</v>
      </c>
      <c r="B969" s="6" t="s">
        <v>174</v>
      </c>
      <c r="C969" s="6" t="s">
        <v>652</v>
      </c>
      <c r="D969" s="9" t="n">
        <v>1</v>
      </c>
    </row>
    <row r="970" customFormat="false" ht="15" hidden="false" customHeight="false" outlineLevel="0" collapsed="false">
      <c r="A970" s="6" t="s">
        <v>854</v>
      </c>
      <c r="B970" s="6" t="s">
        <v>174</v>
      </c>
      <c r="C970" s="6" t="s">
        <v>653</v>
      </c>
      <c r="D970" s="9" t="n">
        <v>-2</v>
      </c>
    </row>
    <row r="971" customFormat="false" ht="15" hidden="false" customHeight="false" outlineLevel="0" collapsed="false">
      <c r="A971" s="6" t="s">
        <v>854</v>
      </c>
      <c r="B971" s="6" t="s">
        <v>174</v>
      </c>
      <c r="C971" s="6" t="s">
        <v>654</v>
      </c>
      <c r="D971" s="9" t="n">
        <v>3</v>
      </c>
    </row>
    <row r="972" customFormat="false" ht="15" hidden="false" customHeight="false" outlineLevel="0" collapsed="false">
      <c r="A972" s="6" t="s">
        <v>854</v>
      </c>
      <c r="B972" s="6" t="s">
        <v>174</v>
      </c>
      <c r="C972" s="6" t="s">
        <v>655</v>
      </c>
      <c r="D972" s="9" t="n">
        <v>0</v>
      </c>
    </row>
    <row r="973" customFormat="false" ht="15" hidden="false" customHeight="false" outlineLevel="0" collapsed="false">
      <c r="A973" s="6" t="s">
        <v>854</v>
      </c>
      <c r="B973" s="6" t="s">
        <v>174</v>
      </c>
      <c r="C973" s="6" t="s">
        <v>656</v>
      </c>
      <c r="D973" s="9" t="n">
        <v>-5</v>
      </c>
    </row>
    <row r="974" customFormat="false" ht="15" hidden="false" customHeight="false" outlineLevel="0" collapsed="false">
      <c r="A974" s="6" t="s">
        <v>854</v>
      </c>
      <c r="B974" s="6" t="s">
        <v>174</v>
      </c>
      <c r="C974" s="6" t="s">
        <v>657</v>
      </c>
      <c r="D974" s="9" t="n">
        <v>-3</v>
      </c>
    </row>
    <row r="975" customFormat="false" ht="15" hidden="false" customHeight="false" outlineLevel="0" collapsed="false">
      <c r="A975" s="6" t="s">
        <v>854</v>
      </c>
      <c r="B975" s="6" t="s">
        <v>43</v>
      </c>
      <c r="C975" s="6" t="s">
        <v>658</v>
      </c>
      <c r="D975" s="9" t="n">
        <v>965</v>
      </c>
    </row>
    <row r="976" customFormat="false" ht="15" hidden="false" customHeight="false" outlineLevel="0" collapsed="false">
      <c r="A976" s="6" t="s">
        <v>854</v>
      </c>
      <c r="B976" s="6" t="s">
        <v>109</v>
      </c>
      <c r="C976" s="6" t="s">
        <v>659</v>
      </c>
      <c r="D976" s="9" t="n">
        <v>40</v>
      </c>
    </row>
    <row r="977" customFormat="false" ht="15" hidden="false" customHeight="false" outlineLevel="0" collapsed="false">
      <c r="A977" s="6" t="s">
        <v>854</v>
      </c>
      <c r="B977" s="6" t="s">
        <v>660</v>
      </c>
      <c r="C977" s="6" t="s">
        <v>661</v>
      </c>
      <c r="D977" s="9" t="n">
        <v>0</v>
      </c>
    </row>
    <row r="978" customFormat="false" ht="15" hidden="false" customHeight="false" outlineLevel="0" collapsed="false">
      <c r="A978" s="6" t="s">
        <v>854</v>
      </c>
      <c r="B978" s="6" t="s">
        <v>189</v>
      </c>
      <c r="C978" s="6" t="s">
        <v>662</v>
      </c>
      <c r="D978" s="9" t="n">
        <v>2</v>
      </c>
    </row>
    <row r="979" customFormat="false" ht="15" hidden="false" customHeight="false" outlineLevel="0" collapsed="false">
      <c r="A979" s="6" t="s">
        <v>854</v>
      </c>
      <c r="B979" s="6" t="s">
        <v>189</v>
      </c>
      <c r="C979" s="6" t="s">
        <v>663</v>
      </c>
      <c r="D979" s="9" t="n">
        <v>0</v>
      </c>
    </row>
    <row r="980" customFormat="false" ht="15" hidden="false" customHeight="false" outlineLevel="0" collapsed="false">
      <c r="A980" s="6" t="s">
        <v>854</v>
      </c>
      <c r="B980" s="6" t="s">
        <v>211</v>
      </c>
      <c r="C980" s="6" t="s">
        <v>664</v>
      </c>
      <c r="D980" s="9" t="n">
        <v>-1</v>
      </c>
    </row>
    <row r="981" customFormat="false" ht="15" hidden="false" customHeight="false" outlineLevel="0" collapsed="false">
      <c r="A981" s="6" t="s">
        <v>854</v>
      </c>
      <c r="B981" s="6" t="s">
        <v>665</v>
      </c>
      <c r="C981" s="6" t="s">
        <v>666</v>
      </c>
      <c r="D981" s="9" t="n">
        <v>0</v>
      </c>
    </row>
    <row r="982" customFormat="false" ht="15" hidden="false" customHeight="false" outlineLevel="0" collapsed="false">
      <c r="A982" s="6" t="s">
        <v>854</v>
      </c>
      <c r="B982" s="6" t="s">
        <v>200</v>
      </c>
      <c r="C982" s="6" t="s">
        <v>667</v>
      </c>
      <c r="D982" s="9" t="n">
        <v>-3</v>
      </c>
    </row>
    <row r="983" customFormat="false" ht="15" hidden="false" customHeight="false" outlineLevel="0" collapsed="false">
      <c r="A983" s="6" t="s">
        <v>854</v>
      </c>
      <c r="B983" s="6" t="s">
        <v>668</v>
      </c>
      <c r="C983" s="6" t="s">
        <v>669</v>
      </c>
      <c r="D983" s="9" t="n">
        <v>0</v>
      </c>
    </row>
    <row r="984" customFormat="false" ht="15" hidden="false" customHeight="false" outlineLevel="0" collapsed="false">
      <c r="A984" s="6" t="s">
        <v>854</v>
      </c>
      <c r="B984" s="6" t="s">
        <v>222</v>
      </c>
      <c r="C984" s="6" t="s">
        <v>670</v>
      </c>
      <c r="D984" s="9" t="n">
        <v>-2</v>
      </c>
    </row>
    <row r="985" customFormat="false" ht="15" hidden="false" customHeight="false" outlineLevel="0" collapsed="false">
      <c r="A985" s="6" t="s">
        <v>854</v>
      </c>
      <c r="B985" s="6" t="s">
        <v>671</v>
      </c>
      <c r="C985" s="6" t="s">
        <v>672</v>
      </c>
      <c r="D985" s="9" t="n">
        <v>0</v>
      </c>
    </row>
    <row r="986" customFormat="false" ht="15" hidden="false" customHeight="false" outlineLevel="0" collapsed="false">
      <c r="A986" s="6" t="s">
        <v>854</v>
      </c>
      <c r="B986" s="6" t="s">
        <v>42</v>
      </c>
      <c r="C986" s="6" t="s">
        <v>673</v>
      </c>
      <c r="D986" s="9" t="n">
        <v>1179</v>
      </c>
    </row>
    <row r="987" customFormat="false" ht="15" hidden="false" customHeight="false" outlineLevel="0" collapsed="false">
      <c r="A987" s="6" t="s">
        <v>854</v>
      </c>
      <c r="B987" s="6" t="s">
        <v>111</v>
      </c>
      <c r="C987" s="6" t="s">
        <v>674</v>
      </c>
      <c r="D987" s="9" t="n">
        <v>283</v>
      </c>
    </row>
    <row r="988" customFormat="false" ht="15" hidden="false" customHeight="false" outlineLevel="0" collapsed="false">
      <c r="A988" s="6" t="s">
        <v>854</v>
      </c>
      <c r="B988" s="6" t="s">
        <v>213</v>
      </c>
      <c r="C988" s="6" t="s">
        <v>675</v>
      </c>
      <c r="D988" s="9" t="n">
        <v>-3</v>
      </c>
    </row>
    <row r="989" customFormat="false" ht="15" hidden="false" customHeight="false" outlineLevel="0" collapsed="false">
      <c r="A989" s="6" t="s">
        <v>854</v>
      </c>
      <c r="B989" s="6" t="s">
        <v>160</v>
      </c>
      <c r="C989" s="6" t="s">
        <v>676</v>
      </c>
      <c r="D989" s="9" t="n">
        <v>0</v>
      </c>
    </row>
    <row r="990" customFormat="false" ht="15" hidden="false" customHeight="false" outlineLevel="0" collapsed="false">
      <c r="A990" s="6" t="s">
        <v>854</v>
      </c>
      <c r="B990" s="6" t="s">
        <v>160</v>
      </c>
      <c r="C990" s="6" t="s">
        <v>677</v>
      </c>
      <c r="D990" s="9" t="n">
        <v>5</v>
      </c>
    </row>
    <row r="991" customFormat="false" ht="15" hidden="false" customHeight="false" outlineLevel="0" collapsed="false">
      <c r="A991" s="6" t="s">
        <v>854</v>
      </c>
      <c r="B991" s="6" t="s">
        <v>160</v>
      </c>
      <c r="C991" s="6" t="s">
        <v>678</v>
      </c>
      <c r="D991" s="9" t="n">
        <v>4</v>
      </c>
    </row>
    <row r="992" customFormat="false" ht="15" hidden="false" customHeight="false" outlineLevel="0" collapsed="false">
      <c r="A992" s="6" t="s">
        <v>854</v>
      </c>
      <c r="B992" s="6" t="s">
        <v>160</v>
      </c>
      <c r="C992" s="6" t="s">
        <v>679</v>
      </c>
      <c r="D992" s="9" t="n">
        <v>4</v>
      </c>
    </row>
    <row r="993" customFormat="false" ht="15" hidden="false" customHeight="false" outlineLevel="0" collapsed="false">
      <c r="A993" s="6" t="s">
        <v>854</v>
      </c>
      <c r="B993" s="6" t="s">
        <v>160</v>
      </c>
      <c r="C993" s="6" t="s">
        <v>680</v>
      </c>
      <c r="D993" s="9" t="n">
        <v>0</v>
      </c>
    </row>
    <row r="994" customFormat="false" ht="15" hidden="false" customHeight="false" outlineLevel="0" collapsed="false">
      <c r="A994" s="6" t="s">
        <v>854</v>
      </c>
      <c r="B994" s="6" t="s">
        <v>28</v>
      </c>
      <c r="C994" s="6" t="s">
        <v>681</v>
      </c>
      <c r="D994" s="9" t="n">
        <v>4521</v>
      </c>
    </row>
    <row r="995" customFormat="false" ht="15" hidden="false" customHeight="false" outlineLevel="0" collapsed="false">
      <c r="A995" s="6" t="s">
        <v>854</v>
      </c>
      <c r="B995" s="6" t="s">
        <v>124</v>
      </c>
      <c r="C995" s="6" t="s">
        <v>598</v>
      </c>
      <c r="D995" s="9" t="n">
        <v>145</v>
      </c>
    </row>
    <row r="996" customFormat="false" ht="15" hidden="false" customHeight="false" outlineLevel="0" collapsed="false">
      <c r="A996" s="6" t="s">
        <v>854</v>
      </c>
      <c r="B996" s="6" t="s">
        <v>21</v>
      </c>
      <c r="C996" s="6" t="s">
        <v>682</v>
      </c>
      <c r="D996" s="9" t="n">
        <v>434</v>
      </c>
    </row>
    <row r="997" customFormat="false" ht="15" hidden="false" customHeight="false" outlineLevel="0" collapsed="false">
      <c r="A997" s="6" t="s">
        <v>854</v>
      </c>
      <c r="B997" s="6" t="s">
        <v>21</v>
      </c>
      <c r="C997" s="6" t="s">
        <v>683</v>
      </c>
      <c r="D997" s="9" t="n">
        <v>545</v>
      </c>
    </row>
    <row r="998" customFormat="false" ht="15" hidden="false" customHeight="false" outlineLevel="0" collapsed="false">
      <c r="A998" s="6" t="s">
        <v>854</v>
      </c>
      <c r="B998" s="6" t="s">
        <v>21</v>
      </c>
      <c r="C998" s="6" t="s">
        <v>684</v>
      </c>
      <c r="D998" s="9" t="n">
        <v>527</v>
      </c>
    </row>
    <row r="999" customFormat="false" ht="15" hidden="false" customHeight="false" outlineLevel="0" collapsed="false">
      <c r="A999" s="6" t="s">
        <v>854</v>
      </c>
      <c r="B999" s="6" t="s">
        <v>685</v>
      </c>
      <c r="C999" s="6" t="s">
        <v>686</v>
      </c>
      <c r="D999" s="9" t="n">
        <v>0</v>
      </c>
    </row>
    <row r="1000" customFormat="false" ht="15" hidden="false" customHeight="false" outlineLevel="0" collapsed="false">
      <c r="A1000" s="6" t="s">
        <v>854</v>
      </c>
      <c r="B1000" s="6" t="s">
        <v>72</v>
      </c>
      <c r="C1000" s="6" t="s">
        <v>687</v>
      </c>
      <c r="D1000" s="9" t="n">
        <v>359</v>
      </c>
    </row>
    <row r="1001" customFormat="false" ht="15" hidden="false" customHeight="false" outlineLevel="0" collapsed="false">
      <c r="A1001" s="6" t="s">
        <v>854</v>
      </c>
      <c r="B1001" s="6" t="s">
        <v>36</v>
      </c>
      <c r="C1001" s="6" t="s">
        <v>687</v>
      </c>
      <c r="D1001" s="9" t="n">
        <v>1204</v>
      </c>
    </row>
    <row r="1002" customFormat="false" ht="15" hidden="false" customHeight="false" outlineLevel="0" collapsed="false">
      <c r="A1002" s="6" t="s">
        <v>854</v>
      </c>
      <c r="B1002" s="6" t="s">
        <v>30</v>
      </c>
      <c r="C1002" s="6" t="s">
        <v>687</v>
      </c>
      <c r="D1002" s="9" t="n">
        <v>1760</v>
      </c>
    </row>
    <row r="1003" customFormat="false" ht="15" hidden="false" customHeight="false" outlineLevel="0" collapsed="false">
      <c r="A1003" s="6" t="s">
        <v>854</v>
      </c>
      <c r="B1003" s="6" t="s">
        <v>29</v>
      </c>
      <c r="C1003" s="6" t="s">
        <v>688</v>
      </c>
      <c r="D1003" s="9" t="n">
        <v>1499</v>
      </c>
    </row>
    <row r="1004" customFormat="false" ht="15" hidden="false" customHeight="false" outlineLevel="0" collapsed="false">
      <c r="A1004" s="6" t="s">
        <v>854</v>
      </c>
      <c r="B1004" s="6" t="s">
        <v>83</v>
      </c>
      <c r="C1004" s="6" t="s">
        <v>688</v>
      </c>
      <c r="D1004" s="9" t="n">
        <v>161</v>
      </c>
    </row>
    <row r="1005" customFormat="false" ht="15" hidden="false" customHeight="false" outlineLevel="0" collapsed="false">
      <c r="A1005" s="6" t="s">
        <v>854</v>
      </c>
      <c r="B1005" s="6" t="s">
        <v>136</v>
      </c>
      <c r="C1005" s="6" t="s">
        <v>689</v>
      </c>
      <c r="D1005" s="9" t="n">
        <v>15</v>
      </c>
    </row>
    <row r="1006" customFormat="false" ht="15" hidden="false" customHeight="false" outlineLevel="0" collapsed="false">
      <c r="A1006" s="6" t="s">
        <v>854</v>
      </c>
      <c r="B1006" s="6" t="s">
        <v>105</v>
      </c>
      <c r="C1006" s="6" t="s">
        <v>690</v>
      </c>
      <c r="D1006" s="9" t="n">
        <v>34</v>
      </c>
    </row>
    <row r="1007" customFormat="false" ht="15" hidden="false" customHeight="false" outlineLevel="0" collapsed="false">
      <c r="A1007" s="6" t="s">
        <v>854</v>
      </c>
      <c r="B1007" s="6" t="s">
        <v>98</v>
      </c>
      <c r="C1007" s="6" t="s">
        <v>690</v>
      </c>
      <c r="D1007" s="9" t="n">
        <v>45</v>
      </c>
    </row>
    <row r="1008" customFormat="false" ht="15" hidden="false" customHeight="false" outlineLevel="0" collapsed="false">
      <c r="A1008" s="6" t="s">
        <v>854</v>
      </c>
      <c r="B1008" s="6" t="s">
        <v>113</v>
      </c>
      <c r="C1008" s="6" t="s">
        <v>690</v>
      </c>
      <c r="D1008" s="9" t="n">
        <v>32</v>
      </c>
    </row>
    <row r="1009" customFormat="false" ht="15" hidden="false" customHeight="false" outlineLevel="0" collapsed="false">
      <c r="A1009" s="6" t="s">
        <v>854</v>
      </c>
      <c r="B1009" s="6" t="s">
        <v>157</v>
      </c>
      <c r="C1009" s="6" t="s">
        <v>691</v>
      </c>
      <c r="D1009" s="9" t="n">
        <v>8</v>
      </c>
    </row>
    <row r="1010" customFormat="false" ht="15" hidden="false" customHeight="false" outlineLevel="0" collapsed="false">
      <c r="A1010" s="6" t="s">
        <v>854</v>
      </c>
      <c r="B1010" s="6" t="s">
        <v>692</v>
      </c>
      <c r="C1010" s="6" t="s">
        <v>693</v>
      </c>
      <c r="D1010" s="9" t="n">
        <v>0</v>
      </c>
    </row>
    <row r="1011" customFormat="false" ht="15" hidden="false" customHeight="false" outlineLevel="0" collapsed="false">
      <c r="A1011" s="6" t="s">
        <v>854</v>
      </c>
      <c r="B1011" s="6" t="s">
        <v>694</v>
      </c>
      <c r="C1011" s="6" t="s">
        <v>693</v>
      </c>
      <c r="D1011" s="9" t="n">
        <v>0</v>
      </c>
    </row>
    <row r="1012" customFormat="false" ht="15" hidden="false" customHeight="false" outlineLevel="0" collapsed="false">
      <c r="A1012" s="6" t="s">
        <v>854</v>
      </c>
      <c r="B1012" s="6" t="s">
        <v>191</v>
      </c>
      <c r="C1012" s="6" t="s">
        <v>693</v>
      </c>
      <c r="D1012" s="9" t="n">
        <v>-1</v>
      </c>
    </row>
    <row r="1013" customFormat="false" ht="15" hidden="false" customHeight="false" outlineLevel="0" collapsed="false">
      <c r="A1013" s="6" t="s">
        <v>854</v>
      </c>
      <c r="B1013" s="6" t="s">
        <v>193</v>
      </c>
      <c r="C1013" s="6" t="s">
        <v>695</v>
      </c>
      <c r="D1013" s="9" t="n">
        <v>0</v>
      </c>
    </row>
    <row r="1014" customFormat="false" ht="15" hidden="false" customHeight="false" outlineLevel="0" collapsed="false">
      <c r="A1014" s="6" t="s">
        <v>854</v>
      </c>
      <c r="B1014" s="6" t="s">
        <v>192</v>
      </c>
      <c r="C1014" s="6" t="s">
        <v>693</v>
      </c>
      <c r="D1014" s="9" t="n">
        <v>-1</v>
      </c>
    </row>
    <row r="1015" customFormat="false" ht="15" hidden="false" customHeight="false" outlineLevel="0" collapsed="false">
      <c r="A1015" s="6" t="s">
        <v>854</v>
      </c>
      <c r="B1015" s="6" t="s">
        <v>126</v>
      </c>
      <c r="C1015" s="6" t="s">
        <v>696</v>
      </c>
      <c r="D1015" s="9" t="n">
        <v>44</v>
      </c>
    </row>
    <row r="1016" customFormat="false" ht="15" hidden="false" customHeight="false" outlineLevel="0" collapsed="false">
      <c r="A1016" s="6" t="s">
        <v>854</v>
      </c>
      <c r="B1016" s="6" t="s">
        <v>126</v>
      </c>
      <c r="C1016" s="6" t="s">
        <v>697</v>
      </c>
      <c r="D1016" s="9" t="n">
        <v>19</v>
      </c>
    </row>
    <row r="1017" customFormat="false" ht="15" hidden="false" customHeight="false" outlineLevel="0" collapsed="false">
      <c r="A1017" s="6" t="s">
        <v>854</v>
      </c>
      <c r="B1017" s="6" t="s">
        <v>126</v>
      </c>
      <c r="C1017" s="6" t="s">
        <v>698</v>
      </c>
      <c r="D1017" s="9" t="n">
        <v>-1</v>
      </c>
    </row>
    <row r="1018" customFormat="false" ht="15" hidden="false" customHeight="false" outlineLevel="0" collapsed="false">
      <c r="A1018" s="6" t="s">
        <v>854</v>
      </c>
      <c r="B1018" s="6" t="s">
        <v>165</v>
      </c>
      <c r="C1018" s="6" t="s">
        <v>699</v>
      </c>
      <c r="D1018" s="9" t="n">
        <v>-1</v>
      </c>
    </row>
    <row r="1019" customFormat="false" ht="15" hidden="false" customHeight="false" outlineLevel="0" collapsed="false">
      <c r="A1019" s="6" t="s">
        <v>854</v>
      </c>
      <c r="B1019" s="6" t="s">
        <v>165</v>
      </c>
      <c r="C1019" s="6" t="s">
        <v>700</v>
      </c>
      <c r="D1019" s="9" t="n">
        <v>-1</v>
      </c>
    </row>
    <row r="1020" customFormat="false" ht="15" hidden="false" customHeight="false" outlineLevel="0" collapsed="false">
      <c r="A1020" s="6" t="s">
        <v>854</v>
      </c>
      <c r="B1020" s="6" t="s">
        <v>165</v>
      </c>
      <c r="C1020" s="6" t="s">
        <v>701</v>
      </c>
      <c r="D1020" s="9" t="n">
        <v>-10</v>
      </c>
    </row>
    <row r="1021" customFormat="false" ht="15" hidden="false" customHeight="false" outlineLevel="0" collapsed="false">
      <c r="A1021" s="6" t="s">
        <v>854</v>
      </c>
      <c r="B1021" s="6" t="s">
        <v>165</v>
      </c>
      <c r="C1021" s="6" t="s">
        <v>702</v>
      </c>
      <c r="D1021" s="9" t="n">
        <v>0</v>
      </c>
    </row>
    <row r="1022" customFormat="false" ht="15" hidden="false" customHeight="false" outlineLevel="0" collapsed="false">
      <c r="A1022" s="6" t="s">
        <v>854</v>
      </c>
      <c r="B1022" s="6" t="s">
        <v>356</v>
      </c>
      <c r="C1022" s="6" t="s">
        <v>703</v>
      </c>
      <c r="D1022" s="9" t="n">
        <v>0</v>
      </c>
    </row>
    <row r="1023" customFormat="false" ht="15" hidden="false" customHeight="false" outlineLevel="0" collapsed="false">
      <c r="A1023" s="6" t="s">
        <v>854</v>
      </c>
      <c r="B1023" s="6" t="s">
        <v>704</v>
      </c>
      <c r="C1023" s="6" t="s">
        <v>705</v>
      </c>
      <c r="D1023" s="9" t="n">
        <v>0</v>
      </c>
    </row>
    <row r="1024" customFormat="false" ht="15" hidden="false" customHeight="false" outlineLevel="0" collapsed="false">
      <c r="A1024" s="6" t="s">
        <v>854</v>
      </c>
      <c r="B1024" s="6" t="s">
        <v>706</v>
      </c>
      <c r="C1024" s="6" t="s">
        <v>705</v>
      </c>
      <c r="D1024" s="9" t="n">
        <v>0</v>
      </c>
    </row>
    <row r="1025" customFormat="false" ht="15" hidden="false" customHeight="false" outlineLevel="0" collapsed="false">
      <c r="A1025" s="6" t="s">
        <v>854</v>
      </c>
      <c r="B1025" s="6" t="s">
        <v>707</v>
      </c>
      <c r="C1025" s="6" t="s">
        <v>705</v>
      </c>
      <c r="D1025" s="9" t="n">
        <v>0</v>
      </c>
    </row>
    <row r="1026" customFormat="false" ht="15" hidden="false" customHeight="false" outlineLevel="0" collapsed="false">
      <c r="A1026" s="6" t="s">
        <v>854</v>
      </c>
      <c r="B1026" s="6" t="s">
        <v>708</v>
      </c>
      <c r="C1026" s="6" t="s">
        <v>705</v>
      </c>
      <c r="D1026" s="9" t="n">
        <v>0</v>
      </c>
    </row>
    <row r="1027" customFormat="false" ht="15" hidden="false" customHeight="false" outlineLevel="0" collapsed="false">
      <c r="A1027" s="6" t="s">
        <v>854</v>
      </c>
      <c r="B1027" s="6" t="s">
        <v>53</v>
      </c>
      <c r="C1027" s="6" t="s">
        <v>709</v>
      </c>
      <c r="D1027" s="9" t="n">
        <v>796</v>
      </c>
    </row>
    <row r="1028" customFormat="false" ht="15" hidden="false" customHeight="false" outlineLevel="0" collapsed="false">
      <c r="A1028" s="6" t="s">
        <v>854</v>
      </c>
      <c r="B1028" s="6" t="s">
        <v>46</v>
      </c>
      <c r="C1028" s="6" t="s">
        <v>709</v>
      </c>
      <c r="D1028" s="9" t="n">
        <v>1200</v>
      </c>
    </row>
    <row r="1029" customFormat="false" ht="15" hidden="false" customHeight="false" outlineLevel="0" collapsed="false">
      <c r="A1029" s="6" t="s">
        <v>854</v>
      </c>
      <c r="B1029" s="6" t="s">
        <v>47</v>
      </c>
      <c r="C1029" s="6" t="s">
        <v>709</v>
      </c>
      <c r="D1029" s="9" t="n">
        <v>1251</v>
      </c>
    </row>
    <row r="1030" customFormat="false" ht="15" hidden="false" customHeight="false" outlineLevel="0" collapsed="false">
      <c r="A1030" s="6" t="s">
        <v>854</v>
      </c>
      <c r="B1030" s="6" t="s">
        <v>51</v>
      </c>
      <c r="C1030" s="6" t="s">
        <v>709</v>
      </c>
      <c r="D1030" s="9" t="n">
        <v>1150</v>
      </c>
    </row>
    <row r="1031" customFormat="false" ht="15" hidden="false" customHeight="false" outlineLevel="0" collapsed="false">
      <c r="A1031" s="6" t="s">
        <v>854</v>
      </c>
      <c r="B1031" s="6" t="s">
        <v>38</v>
      </c>
      <c r="C1031" s="6" t="s">
        <v>710</v>
      </c>
      <c r="D1031" s="9" t="n">
        <v>278</v>
      </c>
    </row>
    <row r="1032" customFormat="false" ht="15" hidden="false" customHeight="false" outlineLevel="0" collapsed="false">
      <c r="A1032" s="6" t="s">
        <v>854</v>
      </c>
      <c r="B1032" s="6" t="s">
        <v>711</v>
      </c>
      <c r="C1032" s="6" t="s">
        <v>712</v>
      </c>
      <c r="D1032" s="9" t="n">
        <v>0</v>
      </c>
    </row>
    <row r="1033" customFormat="false" ht="15" hidden="false" customHeight="false" outlineLevel="0" collapsed="false">
      <c r="A1033" s="6" t="s">
        <v>854</v>
      </c>
      <c r="B1033" s="6" t="s">
        <v>40</v>
      </c>
      <c r="C1033" s="6" t="s">
        <v>713</v>
      </c>
      <c r="D1033" s="9" t="n">
        <v>1089</v>
      </c>
    </row>
    <row r="1034" customFormat="false" ht="15" hidden="false" customHeight="false" outlineLevel="0" collapsed="false">
      <c r="A1034" s="6" t="s">
        <v>854</v>
      </c>
      <c r="B1034" s="6" t="s">
        <v>40</v>
      </c>
      <c r="C1034" s="6" t="s">
        <v>714</v>
      </c>
      <c r="D1034" s="9" t="n">
        <v>733</v>
      </c>
    </row>
    <row r="1035" customFormat="false" ht="15" hidden="false" customHeight="false" outlineLevel="0" collapsed="false">
      <c r="A1035" s="6" t="s">
        <v>854</v>
      </c>
      <c r="B1035" s="6" t="s">
        <v>40</v>
      </c>
      <c r="C1035" s="6" t="s">
        <v>715</v>
      </c>
      <c r="D1035" s="9" t="n">
        <v>833</v>
      </c>
    </row>
    <row r="1036" customFormat="false" ht="15" hidden="false" customHeight="false" outlineLevel="0" collapsed="false">
      <c r="A1036" s="6" t="s">
        <v>854</v>
      </c>
      <c r="B1036" s="6" t="s">
        <v>40</v>
      </c>
      <c r="C1036" s="6" t="s">
        <v>716</v>
      </c>
      <c r="D1036" s="9" t="n">
        <v>347</v>
      </c>
    </row>
    <row r="1037" customFormat="false" ht="15" hidden="false" customHeight="false" outlineLevel="0" collapsed="false">
      <c r="A1037" s="6" t="s">
        <v>854</v>
      </c>
      <c r="B1037" s="6" t="s">
        <v>40</v>
      </c>
      <c r="C1037" s="6" t="s">
        <v>717</v>
      </c>
      <c r="D1037" s="9" t="n">
        <v>0</v>
      </c>
    </row>
    <row r="1038" customFormat="false" ht="15" hidden="false" customHeight="false" outlineLevel="0" collapsed="false">
      <c r="A1038" s="6" t="s">
        <v>854</v>
      </c>
      <c r="B1038" s="6" t="s">
        <v>40</v>
      </c>
      <c r="C1038" s="6" t="s">
        <v>718</v>
      </c>
      <c r="D1038" s="9" t="n">
        <v>0</v>
      </c>
    </row>
    <row r="1039" customFormat="false" ht="15" hidden="false" customHeight="false" outlineLevel="0" collapsed="false">
      <c r="A1039" s="6" t="s">
        <v>854</v>
      </c>
      <c r="B1039" s="6" t="s">
        <v>56</v>
      </c>
      <c r="C1039" s="6" t="s">
        <v>719</v>
      </c>
      <c r="D1039" s="9" t="n">
        <v>1818</v>
      </c>
    </row>
    <row r="1040" customFormat="false" ht="15" hidden="false" customHeight="false" outlineLevel="0" collapsed="false">
      <c r="A1040" s="6" t="s">
        <v>854</v>
      </c>
      <c r="B1040" s="6" t="s">
        <v>171</v>
      </c>
      <c r="C1040" s="6" t="s">
        <v>720</v>
      </c>
      <c r="D1040" s="9" t="n">
        <v>84</v>
      </c>
    </row>
    <row r="1041" customFormat="false" ht="15" hidden="false" customHeight="false" outlineLevel="0" collapsed="false">
      <c r="A1041" s="6" t="s">
        <v>854</v>
      </c>
      <c r="B1041" s="6" t="s">
        <v>711</v>
      </c>
      <c r="C1041" s="6" t="s">
        <v>721</v>
      </c>
      <c r="D1041" s="9" t="n">
        <v>0</v>
      </c>
    </row>
    <row r="1042" customFormat="false" ht="15" hidden="false" customHeight="false" outlineLevel="0" collapsed="false">
      <c r="A1042" s="6" t="s">
        <v>854</v>
      </c>
      <c r="B1042" s="6" t="s">
        <v>25</v>
      </c>
      <c r="C1042" s="6" t="s">
        <v>722</v>
      </c>
      <c r="D1042" s="9" t="n">
        <v>1231</v>
      </c>
    </row>
    <row r="1043" customFormat="false" ht="15" hidden="false" customHeight="false" outlineLevel="0" collapsed="false">
      <c r="A1043" s="6" t="s">
        <v>854</v>
      </c>
      <c r="B1043" s="6" t="s">
        <v>25</v>
      </c>
      <c r="C1043" s="6" t="s">
        <v>723</v>
      </c>
      <c r="D1043" s="9" t="n">
        <v>2788</v>
      </c>
    </row>
    <row r="1044" customFormat="false" ht="15" hidden="false" customHeight="false" outlineLevel="0" collapsed="false">
      <c r="A1044" s="6" t="s">
        <v>854</v>
      </c>
      <c r="B1044" s="6" t="s">
        <v>25</v>
      </c>
      <c r="C1044" s="6" t="s">
        <v>724</v>
      </c>
      <c r="D1044" s="9" t="n">
        <v>2670</v>
      </c>
    </row>
    <row r="1045" customFormat="false" ht="15" hidden="false" customHeight="false" outlineLevel="0" collapsed="false">
      <c r="A1045" s="6" t="s">
        <v>854</v>
      </c>
      <c r="B1045" s="6" t="s">
        <v>25</v>
      </c>
      <c r="C1045" s="6" t="s">
        <v>725</v>
      </c>
      <c r="D1045" s="9" t="n">
        <v>2302</v>
      </c>
    </row>
    <row r="1046" customFormat="false" ht="15" hidden="false" customHeight="false" outlineLevel="0" collapsed="false">
      <c r="A1046" s="6" t="s">
        <v>854</v>
      </c>
      <c r="B1046" s="6" t="s">
        <v>25</v>
      </c>
      <c r="C1046" s="6" t="s">
        <v>726</v>
      </c>
      <c r="D1046" s="9" t="n">
        <v>360</v>
      </c>
    </row>
    <row r="1047" customFormat="false" ht="15" hidden="false" customHeight="false" outlineLevel="0" collapsed="false">
      <c r="A1047" s="6" t="s">
        <v>854</v>
      </c>
      <c r="B1047" s="6" t="s">
        <v>19</v>
      </c>
      <c r="C1047" s="6" t="s">
        <v>727</v>
      </c>
      <c r="D1047" s="9" t="n">
        <v>0</v>
      </c>
    </row>
    <row r="1048" customFormat="false" ht="15" hidden="false" customHeight="false" outlineLevel="0" collapsed="false">
      <c r="A1048" s="6" t="s">
        <v>854</v>
      </c>
      <c r="B1048" s="6" t="s">
        <v>173</v>
      </c>
      <c r="C1048" s="6" t="s">
        <v>728</v>
      </c>
      <c r="D1048" s="9" t="n">
        <v>0</v>
      </c>
    </row>
    <row r="1049" customFormat="false" ht="15" hidden="false" customHeight="false" outlineLevel="0" collapsed="false">
      <c r="A1049" s="6" t="s">
        <v>854</v>
      </c>
      <c r="B1049" s="6" t="s">
        <v>90</v>
      </c>
      <c r="C1049" s="6" t="s">
        <v>729</v>
      </c>
      <c r="D1049" s="9" t="n">
        <v>1303</v>
      </c>
    </row>
    <row r="1050" customFormat="false" ht="15" hidden="false" customHeight="false" outlineLevel="0" collapsed="false">
      <c r="A1050" s="6" t="s">
        <v>854</v>
      </c>
      <c r="B1050" s="6" t="s">
        <v>135</v>
      </c>
      <c r="C1050" s="6" t="s">
        <v>729</v>
      </c>
      <c r="D1050" s="9" t="n">
        <v>2021</v>
      </c>
    </row>
    <row r="1051" customFormat="false" ht="15" hidden="false" customHeight="false" outlineLevel="0" collapsed="false">
      <c r="A1051" s="6" t="s">
        <v>854</v>
      </c>
      <c r="B1051" s="6" t="s">
        <v>149</v>
      </c>
      <c r="C1051" s="6" t="s">
        <v>729</v>
      </c>
      <c r="D1051" s="9" t="n">
        <v>1840</v>
      </c>
    </row>
    <row r="1052" customFormat="false" ht="15" hidden="false" customHeight="false" outlineLevel="0" collapsed="false">
      <c r="A1052" s="6" t="s">
        <v>854</v>
      </c>
      <c r="B1052" s="6" t="s">
        <v>150</v>
      </c>
      <c r="C1052" s="6" t="s">
        <v>729</v>
      </c>
      <c r="D1052" s="9" t="n">
        <v>1128</v>
      </c>
    </row>
    <row r="1053" customFormat="false" ht="15" hidden="false" customHeight="false" outlineLevel="0" collapsed="false">
      <c r="A1053" s="6" t="s">
        <v>854</v>
      </c>
      <c r="B1053" s="6" t="s">
        <v>214</v>
      </c>
      <c r="C1053" s="6" t="s">
        <v>730</v>
      </c>
      <c r="D1053" s="9" t="n">
        <v>0</v>
      </c>
    </row>
    <row r="1054" customFormat="false" ht="15" hidden="false" customHeight="false" outlineLevel="0" collapsed="false">
      <c r="A1054" s="6" t="s">
        <v>854</v>
      </c>
      <c r="B1054" s="6" t="s">
        <v>145</v>
      </c>
      <c r="C1054" s="6" t="s">
        <v>731</v>
      </c>
      <c r="D1054" s="9" t="n">
        <v>140</v>
      </c>
    </row>
    <row r="1055" customFormat="false" ht="15" hidden="false" customHeight="false" outlineLevel="0" collapsed="false">
      <c r="A1055" s="6" t="s">
        <v>854</v>
      </c>
      <c r="B1055" s="6" t="s">
        <v>732</v>
      </c>
      <c r="C1055" s="6" t="s">
        <v>733</v>
      </c>
      <c r="D1055" s="9" t="n">
        <v>0</v>
      </c>
    </row>
    <row r="1056" customFormat="false" ht="15" hidden="false" customHeight="false" outlineLevel="0" collapsed="false">
      <c r="A1056" s="6" t="s">
        <v>854</v>
      </c>
      <c r="B1056" s="6" t="s">
        <v>734</v>
      </c>
      <c r="C1056" s="6" t="s">
        <v>733</v>
      </c>
      <c r="D1056" s="9" t="n">
        <v>0</v>
      </c>
    </row>
    <row r="1057" customFormat="false" ht="15" hidden="false" customHeight="false" outlineLevel="0" collapsed="false">
      <c r="A1057" s="6" t="s">
        <v>854</v>
      </c>
      <c r="B1057" s="6" t="s">
        <v>735</v>
      </c>
      <c r="C1057" s="6" t="s">
        <v>733</v>
      </c>
      <c r="D1057" s="9" t="n">
        <v>0</v>
      </c>
    </row>
    <row r="1058" customFormat="false" ht="15" hidden="false" customHeight="false" outlineLevel="0" collapsed="false">
      <c r="A1058" s="6" t="s">
        <v>854</v>
      </c>
      <c r="B1058" s="6" t="s">
        <v>71</v>
      </c>
      <c r="C1058" s="6" t="s">
        <v>736</v>
      </c>
      <c r="D1058" s="9" t="n">
        <v>968</v>
      </c>
    </row>
    <row r="1059" customFormat="false" ht="15" hidden="false" customHeight="false" outlineLevel="0" collapsed="false">
      <c r="A1059" s="6" t="s">
        <v>854</v>
      </c>
      <c r="B1059" s="6" t="s">
        <v>45</v>
      </c>
      <c r="C1059" s="6" t="s">
        <v>737</v>
      </c>
      <c r="D1059" s="9" t="n">
        <v>3203</v>
      </c>
    </row>
    <row r="1060" customFormat="false" ht="15" hidden="false" customHeight="false" outlineLevel="0" collapsed="false">
      <c r="A1060" s="6" t="s">
        <v>854</v>
      </c>
      <c r="B1060" s="6" t="s">
        <v>68</v>
      </c>
      <c r="C1060" s="6" t="s">
        <v>737</v>
      </c>
      <c r="D1060" s="9" t="n">
        <v>2756</v>
      </c>
    </row>
    <row r="1061" customFormat="false" ht="15" hidden="false" customHeight="false" outlineLevel="0" collapsed="false">
      <c r="A1061" s="6" t="s">
        <v>854</v>
      </c>
      <c r="B1061" s="6" t="s">
        <v>67</v>
      </c>
      <c r="C1061" s="6" t="s">
        <v>737</v>
      </c>
      <c r="D1061" s="9" t="n">
        <v>1749</v>
      </c>
    </row>
    <row r="1062" customFormat="false" ht="15" hidden="false" customHeight="false" outlineLevel="0" collapsed="false">
      <c r="A1062" s="6" t="s">
        <v>854</v>
      </c>
      <c r="B1062" s="6" t="s">
        <v>104</v>
      </c>
      <c r="C1062" s="6" t="s">
        <v>737</v>
      </c>
      <c r="D1062" s="9" t="n">
        <v>980</v>
      </c>
    </row>
    <row r="1063" customFormat="false" ht="15" hidden="false" customHeight="false" outlineLevel="0" collapsed="false">
      <c r="A1063" s="6" t="s">
        <v>854</v>
      </c>
      <c r="B1063" s="6" t="s">
        <v>161</v>
      </c>
      <c r="C1063" s="6" t="s">
        <v>738</v>
      </c>
      <c r="D1063" s="9" t="n">
        <v>0</v>
      </c>
    </row>
    <row r="1064" customFormat="false" ht="15" hidden="false" customHeight="false" outlineLevel="0" collapsed="false">
      <c r="A1064" s="6" t="s">
        <v>854</v>
      </c>
      <c r="B1064" s="6" t="s">
        <v>161</v>
      </c>
      <c r="C1064" s="6" t="s">
        <v>739</v>
      </c>
      <c r="D1064" s="9" t="n">
        <v>13</v>
      </c>
    </row>
    <row r="1065" customFormat="false" ht="15" hidden="false" customHeight="false" outlineLevel="0" collapsed="false">
      <c r="A1065" s="6" t="s">
        <v>854</v>
      </c>
      <c r="B1065" s="6" t="s">
        <v>161</v>
      </c>
      <c r="C1065" s="6" t="s">
        <v>740</v>
      </c>
      <c r="D1065" s="9" t="n">
        <v>6</v>
      </c>
    </row>
    <row r="1066" customFormat="false" ht="15" hidden="false" customHeight="false" outlineLevel="0" collapsed="false">
      <c r="A1066" s="6" t="s">
        <v>854</v>
      </c>
      <c r="B1066" s="6" t="s">
        <v>161</v>
      </c>
      <c r="C1066" s="6" t="s">
        <v>741</v>
      </c>
      <c r="D1066" s="9" t="n">
        <v>15</v>
      </c>
    </row>
    <row r="1067" customFormat="false" ht="15" hidden="false" customHeight="false" outlineLevel="0" collapsed="false">
      <c r="A1067" s="6" t="s">
        <v>854</v>
      </c>
      <c r="B1067" s="6" t="s">
        <v>141</v>
      </c>
      <c r="C1067" s="6" t="s">
        <v>742</v>
      </c>
      <c r="D1067" s="9" t="n">
        <v>7</v>
      </c>
    </row>
    <row r="1068" customFormat="false" ht="15" hidden="false" customHeight="false" outlineLevel="0" collapsed="false">
      <c r="A1068" s="6" t="s">
        <v>854</v>
      </c>
      <c r="B1068" s="6" t="s">
        <v>141</v>
      </c>
      <c r="C1068" s="6" t="s">
        <v>743</v>
      </c>
      <c r="D1068" s="9" t="n">
        <v>8</v>
      </c>
    </row>
    <row r="1069" customFormat="false" ht="15" hidden="false" customHeight="false" outlineLevel="0" collapsed="false">
      <c r="A1069" s="6" t="s">
        <v>854</v>
      </c>
      <c r="B1069" s="6" t="s">
        <v>141</v>
      </c>
      <c r="C1069" s="6" t="s">
        <v>744</v>
      </c>
      <c r="D1069" s="9" t="n">
        <v>26</v>
      </c>
    </row>
    <row r="1070" customFormat="false" ht="15" hidden="false" customHeight="false" outlineLevel="0" collapsed="false">
      <c r="A1070" s="6" t="s">
        <v>854</v>
      </c>
      <c r="B1070" s="6" t="s">
        <v>141</v>
      </c>
      <c r="C1070" s="6" t="s">
        <v>745</v>
      </c>
      <c r="D1070" s="9" t="n">
        <v>13</v>
      </c>
    </row>
    <row r="1071" customFormat="false" ht="15" hidden="false" customHeight="false" outlineLevel="0" collapsed="false">
      <c r="A1071" s="6" t="s">
        <v>854</v>
      </c>
      <c r="B1071" s="6" t="s">
        <v>134</v>
      </c>
      <c r="C1071" s="6" t="s">
        <v>526</v>
      </c>
      <c r="D1071" s="9" t="n">
        <v>0</v>
      </c>
    </row>
    <row r="1072" customFormat="false" ht="15" hidden="false" customHeight="false" outlineLevel="0" collapsed="false">
      <c r="A1072" s="6" t="s">
        <v>854</v>
      </c>
      <c r="B1072" s="6" t="s">
        <v>134</v>
      </c>
      <c r="C1072" s="6" t="s">
        <v>525</v>
      </c>
      <c r="D1072" s="9" t="n">
        <v>11</v>
      </c>
    </row>
    <row r="1073" customFormat="false" ht="15" hidden="false" customHeight="false" outlineLevel="0" collapsed="false">
      <c r="A1073" s="6" t="s">
        <v>854</v>
      </c>
      <c r="B1073" s="6" t="s">
        <v>134</v>
      </c>
      <c r="C1073" s="6" t="s">
        <v>527</v>
      </c>
      <c r="D1073" s="9" t="n">
        <v>3</v>
      </c>
    </row>
    <row r="1074" customFormat="false" ht="15" hidden="false" customHeight="false" outlineLevel="0" collapsed="false">
      <c r="A1074" s="6" t="s">
        <v>854</v>
      </c>
      <c r="B1074" s="6" t="s">
        <v>134</v>
      </c>
      <c r="C1074" s="6" t="s">
        <v>524</v>
      </c>
      <c r="D1074" s="9" t="n">
        <v>2</v>
      </c>
    </row>
    <row r="1075" customFormat="false" ht="15" hidden="false" customHeight="false" outlineLevel="0" collapsed="false">
      <c r="A1075" s="6" t="s">
        <v>854</v>
      </c>
      <c r="B1075" s="6" t="s">
        <v>134</v>
      </c>
      <c r="C1075" s="6" t="s">
        <v>746</v>
      </c>
      <c r="D1075" s="9" t="n">
        <v>0</v>
      </c>
    </row>
    <row r="1076" customFormat="false" ht="15" hidden="false" customHeight="false" outlineLevel="0" collapsed="false">
      <c r="A1076" s="6" t="s">
        <v>854</v>
      </c>
      <c r="B1076" s="6" t="s">
        <v>125</v>
      </c>
      <c r="C1076" s="6" t="s">
        <v>747</v>
      </c>
      <c r="D1076" s="9" t="n">
        <v>0</v>
      </c>
    </row>
    <row r="1077" customFormat="false" ht="15" hidden="false" customHeight="false" outlineLevel="0" collapsed="false">
      <c r="A1077" s="6" t="s">
        <v>854</v>
      </c>
      <c r="B1077" s="6" t="s">
        <v>125</v>
      </c>
      <c r="C1077" s="6" t="s">
        <v>748</v>
      </c>
      <c r="D1077" s="9" t="n">
        <v>26</v>
      </c>
    </row>
    <row r="1078" customFormat="false" ht="15" hidden="false" customHeight="false" outlineLevel="0" collapsed="false">
      <c r="A1078" s="6" t="s">
        <v>854</v>
      </c>
      <c r="B1078" s="6" t="s">
        <v>125</v>
      </c>
      <c r="C1078" s="6" t="s">
        <v>749</v>
      </c>
      <c r="D1078" s="9" t="n">
        <v>22</v>
      </c>
    </row>
    <row r="1079" customFormat="false" ht="15" hidden="false" customHeight="false" outlineLevel="0" collapsed="false">
      <c r="A1079" s="6" t="s">
        <v>854</v>
      </c>
      <c r="B1079" s="6" t="s">
        <v>125</v>
      </c>
      <c r="C1079" s="6" t="s">
        <v>750</v>
      </c>
      <c r="D1079" s="9" t="n">
        <v>0</v>
      </c>
    </row>
    <row r="1080" customFormat="false" ht="15" hidden="false" customHeight="false" outlineLevel="0" collapsed="false">
      <c r="A1080" s="6" t="s">
        <v>854</v>
      </c>
      <c r="B1080" s="6" t="s">
        <v>140</v>
      </c>
      <c r="C1080" s="6" t="s">
        <v>751</v>
      </c>
      <c r="D1080" s="9" t="n">
        <v>0</v>
      </c>
    </row>
    <row r="1081" customFormat="false" ht="15" hidden="false" customHeight="false" outlineLevel="0" collapsed="false">
      <c r="A1081" s="6" t="s">
        <v>854</v>
      </c>
      <c r="B1081" s="6" t="s">
        <v>140</v>
      </c>
      <c r="C1081" s="6" t="s">
        <v>752</v>
      </c>
      <c r="D1081" s="9" t="n">
        <v>24</v>
      </c>
    </row>
    <row r="1082" customFormat="false" ht="15" hidden="false" customHeight="false" outlineLevel="0" collapsed="false">
      <c r="A1082" s="6" t="s">
        <v>854</v>
      </c>
      <c r="B1082" s="6" t="s">
        <v>140</v>
      </c>
      <c r="C1082" s="6" t="s">
        <v>753</v>
      </c>
      <c r="D1082" s="9" t="n">
        <v>21</v>
      </c>
    </row>
    <row r="1083" customFormat="false" ht="15" hidden="false" customHeight="false" outlineLevel="0" collapsed="false">
      <c r="A1083" s="6" t="s">
        <v>854</v>
      </c>
      <c r="B1083" s="6" t="s">
        <v>140</v>
      </c>
      <c r="C1083" s="6" t="s">
        <v>754</v>
      </c>
      <c r="D1083" s="9" t="n">
        <v>11</v>
      </c>
    </row>
    <row r="1084" customFormat="false" ht="15" hidden="false" customHeight="false" outlineLevel="0" collapsed="false">
      <c r="A1084" s="6" t="s">
        <v>854</v>
      </c>
      <c r="B1084" s="6" t="s">
        <v>181</v>
      </c>
      <c r="C1084" s="6" t="s">
        <v>755</v>
      </c>
      <c r="D1084" s="9" t="n">
        <v>-2</v>
      </c>
    </row>
    <row r="1085" customFormat="false" ht="15" hidden="false" customHeight="false" outlineLevel="0" collapsed="false">
      <c r="A1085" s="6" t="s">
        <v>854</v>
      </c>
      <c r="B1085" s="6" t="s">
        <v>202</v>
      </c>
      <c r="C1085" s="6" t="s">
        <v>755</v>
      </c>
      <c r="D1085" s="9" t="n">
        <v>-1</v>
      </c>
    </row>
    <row r="1086" customFormat="false" ht="15" hidden="false" customHeight="false" outlineLevel="0" collapsed="false">
      <c r="A1086" s="6" t="s">
        <v>854</v>
      </c>
      <c r="B1086" s="6" t="s">
        <v>203</v>
      </c>
      <c r="C1086" s="6" t="s">
        <v>755</v>
      </c>
      <c r="D1086" s="9" t="n">
        <v>-1</v>
      </c>
    </row>
    <row r="1087" customFormat="false" ht="15" hidden="false" customHeight="false" outlineLevel="0" collapsed="false">
      <c r="A1087" s="6" t="s">
        <v>854</v>
      </c>
      <c r="B1087" s="6" t="s">
        <v>201</v>
      </c>
      <c r="C1087" s="6" t="s">
        <v>755</v>
      </c>
      <c r="D1087" s="9" t="n">
        <v>-1</v>
      </c>
    </row>
    <row r="1088" customFormat="false" ht="15" hidden="false" customHeight="false" outlineLevel="0" collapsed="false">
      <c r="A1088" s="6" t="s">
        <v>854</v>
      </c>
      <c r="B1088" s="6" t="s">
        <v>155</v>
      </c>
      <c r="C1088" s="6" t="s">
        <v>756</v>
      </c>
      <c r="D1088" s="9" t="n">
        <v>14</v>
      </c>
    </row>
    <row r="1089" customFormat="false" ht="15" hidden="false" customHeight="false" outlineLevel="0" collapsed="false">
      <c r="A1089" s="6" t="s">
        <v>854</v>
      </c>
      <c r="B1089" s="6" t="s">
        <v>155</v>
      </c>
      <c r="C1089" s="6" t="s">
        <v>757</v>
      </c>
      <c r="D1089" s="9" t="n">
        <v>20</v>
      </c>
    </row>
    <row r="1090" customFormat="false" ht="15" hidden="false" customHeight="false" outlineLevel="0" collapsed="false">
      <c r="A1090" s="6" t="s">
        <v>854</v>
      </c>
      <c r="B1090" s="6" t="s">
        <v>155</v>
      </c>
      <c r="C1090" s="6" t="s">
        <v>758</v>
      </c>
      <c r="D1090" s="9" t="n">
        <v>31</v>
      </c>
    </row>
    <row r="1091" customFormat="false" ht="15" hidden="false" customHeight="false" outlineLevel="0" collapsed="false">
      <c r="A1091" s="6" t="s">
        <v>854</v>
      </c>
      <c r="B1091" s="6" t="s">
        <v>155</v>
      </c>
      <c r="C1091" s="6" t="s">
        <v>759</v>
      </c>
      <c r="D1091" s="9" t="n">
        <v>13</v>
      </c>
    </row>
    <row r="1092" customFormat="false" ht="15" hidden="false" customHeight="false" outlineLevel="0" collapsed="false">
      <c r="A1092" s="6" t="s">
        <v>854</v>
      </c>
      <c r="B1092" s="6" t="s">
        <v>155</v>
      </c>
      <c r="C1092" s="6" t="s">
        <v>760</v>
      </c>
      <c r="D1092" s="9" t="n">
        <v>4</v>
      </c>
    </row>
    <row r="1093" customFormat="false" ht="15" hidden="false" customHeight="false" outlineLevel="0" collapsed="false">
      <c r="A1093" s="6" t="s">
        <v>854</v>
      </c>
      <c r="B1093" s="6" t="s">
        <v>173</v>
      </c>
      <c r="C1093" s="6" t="s">
        <v>761</v>
      </c>
      <c r="D1093" s="9" t="n">
        <v>-2</v>
      </c>
    </row>
    <row r="1094" customFormat="false" ht="15" hidden="false" customHeight="false" outlineLevel="0" collapsed="false">
      <c r="A1094" s="6" t="s">
        <v>854</v>
      </c>
      <c r="B1094" s="6" t="s">
        <v>206</v>
      </c>
      <c r="C1094" s="6" t="s">
        <v>762</v>
      </c>
      <c r="D1094" s="9" t="n">
        <v>0</v>
      </c>
    </row>
    <row r="1095" customFormat="false" ht="15" hidden="false" customHeight="false" outlineLevel="0" collapsed="false">
      <c r="A1095" s="6" t="s">
        <v>854</v>
      </c>
      <c r="B1095" s="6" t="s">
        <v>206</v>
      </c>
      <c r="C1095" s="6" t="s">
        <v>763</v>
      </c>
      <c r="D1095" s="9" t="n">
        <v>-2</v>
      </c>
    </row>
    <row r="1096" customFormat="false" ht="15" hidden="false" customHeight="false" outlineLevel="0" collapsed="false">
      <c r="A1096" s="6" t="s">
        <v>854</v>
      </c>
      <c r="B1096" s="6" t="s">
        <v>764</v>
      </c>
      <c r="C1096" s="6" t="s">
        <v>765</v>
      </c>
      <c r="D1096" s="9" t="n">
        <v>0</v>
      </c>
    </row>
    <row r="1097" customFormat="false" ht="15" hidden="false" customHeight="false" outlineLevel="0" collapsed="false">
      <c r="A1097" s="6" t="s">
        <v>854</v>
      </c>
      <c r="B1097" s="6" t="s">
        <v>764</v>
      </c>
      <c r="C1097" s="6" t="s">
        <v>766</v>
      </c>
      <c r="D1097" s="9" t="n">
        <v>0</v>
      </c>
    </row>
    <row r="1098" customFormat="false" ht="15" hidden="false" customHeight="false" outlineLevel="0" collapsed="false">
      <c r="A1098" s="6" t="s">
        <v>854</v>
      </c>
      <c r="B1098" s="6" t="s">
        <v>767</v>
      </c>
      <c r="C1098" s="6" t="s">
        <v>768</v>
      </c>
      <c r="D1098" s="9" t="n">
        <v>0</v>
      </c>
    </row>
    <row r="1099" customFormat="false" ht="15" hidden="false" customHeight="false" outlineLevel="0" collapsed="false">
      <c r="A1099" s="6" t="s">
        <v>854</v>
      </c>
      <c r="B1099" s="6" t="s">
        <v>767</v>
      </c>
      <c r="C1099" s="6" t="s">
        <v>769</v>
      </c>
      <c r="D1099" s="9" t="n">
        <v>0</v>
      </c>
    </row>
    <row r="1100" customFormat="false" ht="15" hidden="false" customHeight="false" outlineLevel="0" collapsed="false">
      <c r="A1100" s="6" t="s">
        <v>854</v>
      </c>
      <c r="B1100" s="6" t="s">
        <v>770</v>
      </c>
      <c r="C1100" s="6" t="s">
        <v>771</v>
      </c>
      <c r="D1100" s="9" t="n">
        <v>0</v>
      </c>
    </row>
    <row r="1101" customFormat="false" ht="15" hidden="false" customHeight="false" outlineLevel="0" collapsed="false">
      <c r="A1101" s="6" t="s">
        <v>854</v>
      </c>
      <c r="B1101" s="6" t="s">
        <v>770</v>
      </c>
      <c r="C1101" s="6" t="s">
        <v>772</v>
      </c>
      <c r="D1101" s="9" t="n">
        <v>0</v>
      </c>
    </row>
    <row r="1102" customFormat="false" ht="15" hidden="false" customHeight="false" outlineLevel="0" collapsed="false">
      <c r="A1102" s="6" t="s">
        <v>854</v>
      </c>
      <c r="B1102" s="6" t="s">
        <v>773</v>
      </c>
      <c r="C1102" s="6" t="s">
        <v>774</v>
      </c>
      <c r="D1102" s="9" t="n">
        <v>0</v>
      </c>
    </row>
    <row r="1103" customFormat="false" ht="15" hidden="false" customHeight="false" outlineLevel="0" collapsed="false">
      <c r="A1103" s="6" t="s">
        <v>854</v>
      </c>
      <c r="B1103" s="6" t="s">
        <v>773</v>
      </c>
      <c r="C1103" s="6" t="s">
        <v>775</v>
      </c>
      <c r="D1103" s="9" t="n">
        <v>0</v>
      </c>
    </row>
    <row r="1104" customFormat="false" ht="15" hidden="false" customHeight="false" outlineLevel="0" collapsed="false">
      <c r="A1104" s="6" t="s">
        <v>854</v>
      </c>
      <c r="B1104" s="6" t="s">
        <v>773</v>
      </c>
      <c r="C1104" s="6" t="s">
        <v>776</v>
      </c>
      <c r="D1104" s="9" t="n">
        <v>0</v>
      </c>
    </row>
    <row r="1105" customFormat="false" ht="15" hidden="false" customHeight="false" outlineLevel="0" collapsed="false">
      <c r="A1105" s="6" t="s">
        <v>854</v>
      </c>
      <c r="B1105" s="6" t="s">
        <v>122</v>
      </c>
      <c r="C1105" s="6" t="s">
        <v>777</v>
      </c>
      <c r="D1105" s="9" t="n">
        <v>180</v>
      </c>
    </row>
    <row r="1106" customFormat="false" ht="15" hidden="false" customHeight="false" outlineLevel="0" collapsed="false">
      <c r="A1106" s="6" t="s">
        <v>854</v>
      </c>
      <c r="B1106" s="6" t="s">
        <v>106</v>
      </c>
      <c r="C1106" s="6" t="s">
        <v>777</v>
      </c>
      <c r="D1106" s="9" t="n">
        <v>258</v>
      </c>
    </row>
    <row r="1107" customFormat="false" ht="15" hidden="false" customHeight="false" outlineLevel="0" collapsed="false">
      <c r="A1107" s="6" t="s">
        <v>854</v>
      </c>
      <c r="B1107" s="6" t="s">
        <v>110</v>
      </c>
      <c r="C1107" s="6" t="s">
        <v>777</v>
      </c>
      <c r="D1107" s="9" t="n">
        <v>246</v>
      </c>
    </row>
    <row r="1108" customFormat="false" ht="15" hidden="false" customHeight="false" outlineLevel="0" collapsed="false">
      <c r="A1108" s="6" t="s">
        <v>854</v>
      </c>
      <c r="B1108" s="6" t="s">
        <v>138</v>
      </c>
      <c r="C1108" s="6" t="s">
        <v>777</v>
      </c>
      <c r="D1108" s="9" t="n">
        <v>76</v>
      </c>
    </row>
    <row r="1109" customFormat="false" ht="15" hidden="false" customHeight="false" outlineLevel="0" collapsed="false">
      <c r="A1109" s="6" t="s">
        <v>854</v>
      </c>
      <c r="B1109" s="6" t="s">
        <v>129</v>
      </c>
      <c r="C1109" s="6" t="s">
        <v>778</v>
      </c>
      <c r="D1109" s="9" t="n">
        <v>244</v>
      </c>
    </row>
    <row r="1110" customFormat="false" ht="15" hidden="false" customHeight="false" outlineLevel="0" collapsed="false">
      <c r="A1110" s="6" t="s">
        <v>854</v>
      </c>
      <c r="B1110" s="6" t="s">
        <v>114</v>
      </c>
      <c r="C1110" s="6" t="s">
        <v>778</v>
      </c>
      <c r="D1110" s="9" t="n">
        <v>419</v>
      </c>
    </row>
    <row r="1111" customFormat="false" ht="15" hidden="false" customHeight="false" outlineLevel="0" collapsed="false">
      <c r="A1111" s="6" t="s">
        <v>854</v>
      </c>
      <c r="B1111" s="6" t="s">
        <v>92</v>
      </c>
      <c r="C1111" s="6" t="s">
        <v>778</v>
      </c>
      <c r="D1111" s="9" t="n">
        <v>395</v>
      </c>
    </row>
    <row r="1112" customFormat="false" ht="15" hidden="false" customHeight="false" outlineLevel="0" collapsed="false">
      <c r="A1112" s="6" t="s">
        <v>854</v>
      </c>
      <c r="B1112" s="6" t="s">
        <v>187</v>
      </c>
      <c r="C1112" s="6" t="s">
        <v>778</v>
      </c>
      <c r="D1112" s="9" t="n">
        <v>62</v>
      </c>
    </row>
    <row r="1113" customFormat="false" ht="15" hidden="false" customHeight="false" outlineLevel="0" collapsed="false">
      <c r="A1113" s="6" t="s">
        <v>854</v>
      </c>
      <c r="B1113" s="6" t="s">
        <v>779</v>
      </c>
      <c r="C1113" s="6" t="s">
        <v>780</v>
      </c>
      <c r="D1113" s="9" t="n">
        <v>0</v>
      </c>
    </row>
    <row r="1114" customFormat="false" ht="15" hidden="false" customHeight="false" outlineLevel="0" collapsed="false">
      <c r="A1114" s="6" t="s">
        <v>854</v>
      </c>
      <c r="B1114" s="6" t="s">
        <v>779</v>
      </c>
      <c r="C1114" s="6" t="s">
        <v>781</v>
      </c>
      <c r="D1114" s="9" t="n">
        <v>0</v>
      </c>
    </row>
    <row r="1115" customFormat="false" ht="15" hidden="false" customHeight="false" outlineLevel="0" collapsed="false">
      <c r="A1115" s="6" t="s">
        <v>854</v>
      </c>
      <c r="B1115" s="6" t="s">
        <v>79</v>
      </c>
      <c r="C1115" s="6" t="s">
        <v>782</v>
      </c>
      <c r="D1115" s="9" t="n">
        <v>830</v>
      </c>
    </row>
    <row r="1116" customFormat="false" ht="15" hidden="false" customHeight="false" outlineLevel="0" collapsed="false">
      <c r="A1116" s="6" t="s">
        <v>854</v>
      </c>
      <c r="B1116" s="6" t="s">
        <v>23</v>
      </c>
      <c r="C1116" s="6" t="s">
        <v>783</v>
      </c>
      <c r="D1116" s="9" t="n">
        <v>561</v>
      </c>
    </row>
    <row r="1117" customFormat="false" ht="15" hidden="false" customHeight="false" outlineLevel="0" collapsed="false">
      <c r="A1117" s="6" t="s">
        <v>854</v>
      </c>
      <c r="B1117" s="6" t="s">
        <v>102</v>
      </c>
      <c r="C1117" s="6" t="s">
        <v>784</v>
      </c>
      <c r="D1117" s="9" t="n">
        <v>299</v>
      </c>
    </row>
    <row r="1118" customFormat="false" ht="15" hidden="false" customHeight="false" outlineLevel="0" collapsed="false">
      <c r="A1118" s="6" t="s">
        <v>854</v>
      </c>
      <c r="B1118" s="6" t="s">
        <v>23</v>
      </c>
      <c r="C1118" s="6" t="s">
        <v>785</v>
      </c>
      <c r="D1118" s="9" t="n">
        <v>98</v>
      </c>
    </row>
    <row r="1119" customFormat="false" ht="15" hidden="false" customHeight="false" outlineLevel="0" collapsed="false">
      <c r="A1119" s="6" t="s">
        <v>854</v>
      </c>
      <c r="B1119" s="6" t="s">
        <v>786</v>
      </c>
      <c r="C1119" s="6" t="s">
        <v>787</v>
      </c>
      <c r="D1119" s="9" t="n">
        <v>0</v>
      </c>
    </row>
    <row r="1120" customFormat="false" ht="15" hidden="false" customHeight="false" outlineLevel="0" collapsed="false">
      <c r="A1120" s="6" t="s">
        <v>854</v>
      </c>
      <c r="B1120" s="6" t="s">
        <v>788</v>
      </c>
      <c r="C1120" s="6" t="s">
        <v>789</v>
      </c>
      <c r="D1120" s="9" t="n">
        <v>0</v>
      </c>
    </row>
    <row r="1121" customFormat="false" ht="15" hidden="false" customHeight="false" outlineLevel="0" collapsed="false">
      <c r="A1121" s="6" t="s">
        <v>854</v>
      </c>
      <c r="B1121" s="6" t="s">
        <v>788</v>
      </c>
      <c r="C1121" s="6" t="s">
        <v>790</v>
      </c>
      <c r="D1121" s="9" t="n">
        <v>0</v>
      </c>
    </row>
    <row r="1122" customFormat="false" ht="15" hidden="false" customHeight="false" outlineLevel="0" collapsed="false">
      <c r="A1122" s="6" t="s">
        <v>854</v>
      </c>
      <c r="B1122" s="6" t="s">
        <v>788</v>
      </c>
      <c r="C1122" s="6" t="s">
        <v>791</v>
      </c>
      <c r="D1122" s="9" t="n">
        <v>0</v>
      </c>
    </row>
    <row r="1123" customFormat="false" ht="15" hidden="false" customHeight="false" outlineLevel="0" collapsed="false">
      <c r="A1123" s="6" t="s">
        <v>854</v>
      </c>
      <c r="B1123" s="6" t="s">
        <v>788</v>
      </c>
      <c r="C1123" s="6" t="s">
        <v>792</v>
      </c>
      <c r="D1123" s="9" t="n">
        <v>0</v>
      </c>
    </row>
    <row r="1124" customFormat="false" ht="15" hidden="false" customHeight="false" outlineLevel="0" collapsed="false">
      <c r="A1124" s="6" t="s">
        <v>854</v>
      </c>
      <c r="B1124" s="6" t="s">
        <v>788</v>
      </c>
      <c r="C1124" s="6" t="s">
        <v>793</v>
      </c>
      <c r="D1124" s="9" t="n">
        <v>0</v>
      </c>
    </row>
    <row r="1125" customFormat="false" ht="15" hidden="false" customHeight="false" outlineLevel="0" collapsed="false">
      <c r="A1125" s="6" t="s">
        <v>854</v>
      </c>
      <c r="B1125" s="6" t="s">
        <v>794</v>
      </c>
      <c r="C1125" s="6" t="s">
        <v>795</v>
      </c>
      <c r="D1125" s="9" t="n">
        <v>0</v>
      </c>
    </row>
    <row r="1126" customFormat="false" ht="15" hidden="false" customHeight="false" outlineLevel="0" collapsed="false">
      <c r="A1126" s="6" t="s">
        <v>854</v>
      </c>
      <c r="B1126" s="6" t="s">
        <v>794</v>
      </c>
      <c r="C1126" s="6" t="s">
        <v>796</v>
      </c>
      <c r="D1126" s="9" t="n">
        <v>0</v>
      </c>
    </row>
    <row r="1127" customFormat="false" ht="15" hidden="false" customHeight="false" outlineLevel="0" collapsed="false">
      <c r="A1127" s="6" t="s">
        <v>854</v>
      </c>
      <c r="B1127" s="6" t="s">
        <v>794</v>
      </c>
      <c r="C1127" s="6" t="s">
        <v>797</v>
      </c>
      <c r="D1127" s="9" t="n">
        <v>0</v>
      </c>
    </row>
    <row r="1128" customFormat="false" ht="15" hidden="false" customHeight="false" outlineLevel="0" collapsed="false">
      <c r="A1128" s="6" t="s">
        <v>854</v>
      </c>
      <c r="B1128" s="6" t="s">
        <v>794</v>
      </c>
      <c r="C1128" s="6" t="s">
        <v>798</v>
      </c>
      <c r="D1128" s="9" t="n">
        <v>0</v>
      </c>
    </row>
    <row r="1129" customFormat="false" ht="15" hidden="false" customHeight="false" outlineLevel="0" collapsed="false">
      <c r="A1129" s="6" t="s">
        <v>854</v>
      </c>
      <c r="B1129" s="6" t="s">
        <v>794</v>
      </c>
      <c r="C1129" s="6" t="s">
        <v>799</v>
      </c>
      <c r="D1129" s="9" t="n">
        <v>0</v>
      </c>
    </row>
    <row r="1130" customFormat="false" ht="15" hidden="false" customHeight="false" outlineLevel="0" collapsed="false">
      <c r="A1130" s="6" t="s">
        <v>854</v>
      </c>
      <c r="B1130" s="6" t="s">
        <v>800</v>
      </c>
      <c r="C1130" s="6" t="s">
        <v>801</v>
      </c>
      <c r="D1130" s="9" t="n">
        <v>0</v>
      </c>
    </row>
    <row r="1131" customFormat="false" ht="15" hidden="false" customHeight="false" outlineLevel="0" collapsed="false">
      <c r="A1131" s="6" t="s">
        <v>854</v>
      </c>
      <c r="B1131" s="6" t="s">
        <v>800</v>
      </c>
      <c r="C1131" s="6" t="s">
        <v>802</v>
      </c>
      <c r="D1131" s="9" t="n">
        <v>0</v>
      </c>
    </row>
    <row r="1132" customFormat="false" ht="15" hidden="false" customHeight="false" outlineLevel="0" collapsed="false">
      <c r="A1132" s="6" t="s">
        <v>854</v>
      </c>
      <c r="B1132" s="6" t="s">
        <v>800</v>
      </c>
      <c r="C1132" s="6" t="s">
        <v>803</v>
      </c>
      <c r="D1132" s="9" t="n">
        <v>0</v>
      </c>
    </row>
    <row r="1133" customFormat="false" ht="15" hidden="false" customHeight="false" outlineLevel="0" collapsed="false">
      <c r="A1133" s="6" t="s">
        <v>854</v>
      </c>
      <c r="B1133" s="6" t="s">
        <v>800</v>
      </c>
      <c r="C1133" s="6" t="s">
        <v>804</v>
      </c>
      <c r="D1133" s="9" t="n">
        <v>0</v>
      </c>
    </row>
    <row r="1134" customFormat="false" ht="15" hidden="false" customHeight="false" outlineLevel="0" collapsed="false">
      <c r="A1134" s="6" t="s">
        <v>854</v>
      </c>
      <c r="B1134" s="6" t="s">
        <v>800</v>
      </c>
      <c r="C1134" s="6" t="s">
        <v>805</v>
      </c>
      <c r="D1134" s="9" t="n">
        <v>0</v>
      </c>
    </row>
    <row r="1135" customFormat="false" ht="15" hidden="false" customHeight="false" outlineLevel="0" collapsed="false">
      <c r="A1135" s="6" t="s">
        <v>854</v>
      </c>
      <c r="B1135" s="6" t="s">
        <v>133</v>
      </c>
      <c r="C1135" s="6" t="s">
        <v>806</v>
      </c>
      <c r="D1135" s="9" t="n">
        <v>217</v>
      </c>
    </row>
    <row r="1136" customFormat="false" ht="15" hidden="false" customHeight="false" outlineLevel="0" collapsed="false">
      <c r="A1136" s="6" t="s">
        <v>854</v>
      </c>
      <c r="B1136" s="6" t="s">
        <v>807</v>
      </c>
      <c r="C1136" s="6" t="s">
        <v>808</v>
      </c>
      <c r="D1136" s="9" t="n">
        <v>0</v>
      </c>
    </row>
    <row r="1137" customFormat="false" ht="15" hidden="false" customHeight="false" outlineLevel="0" collapsed="false">
      <c r="A1137" s="6" t="s">
        <v>854</v>
      </c>
      <c r="B1137" s="6" t="s">
        <v>809</v>
      </c>
      <c r="C1137" s="6" t="s">
        <v>810</v>
      </c>
      <c r="D1137" s="9" t="n">
        <v>0</v>
      </c>
    </row>
    <row r="1138" customFormat="false" ht="15" hidden="false" customHeight="false" outlineLevel="0" collapsed="false">
      <c r="A1138" s="6" t="s">
        <v>854</v>
      </c>
      <c r="B1138" s="6" t="s">
        <v>811</v>
      </c>
      <c r="C1138" s="6" t="s">
        <v>812</v>
      </c>
      <c r="D1138" s="9" t="n">
        <v>0</v>
      </c>
    </row>
    <row r="1139" customFormat="false" ht="15" hidden="false" customHeight="false" outlineLevel="0" collapsed="false">
      <c r="A1139" s="6" t="s">
        <v>854</v>
      </c>
      <c r="B1139" s="6" t="s">
        <v>813</v>
      </c>
      <c r="C1139" s="6" t="s">
        <v>814</v>
      </c>
      <c r="D1139" s="9" t="n">
        <v>0</v>
      </c>
    </row>
    <row r="1140" customFormat="false" ht="15" hidden="false" customHeight="false" outlineLevel="0" collapsed="false">
      <c r="A1140" s="6" t="s">
        <v>854</v>
      </c>
      <c r="B1140" s="6" t="s">
        <v>120</v>
      </c>
      <c r="C1140" s="6" t="s">
        <v>815</v>
      </c>
      <c r="D1140" s="9" t="n">
        <v>382</v>
      </c>
    </row>
    <row r="1141" customFormat="false" ht="15" hidden="false" customHeight="false" outlineLevel="0" collapsed="false">
      <c r="A1141" s="6" t="s">
        <v>854</v>
      </c>
      <c r="B1141" s="6" t="s">
        <v>120</v>
      </c>
      <c r="C1141" s="6" t="s">
        <v>816</v>
      </c>
      <c r="D1141" s="9" t="n">
        <v>532</v>
      </c>
    </row>
    <row r="1142" customFormat="false" ht="15" hidden="false" customHeight="false" outlineLevel="0" collapsed="false">
      <c r="A1142" s="6" t="s">
        <v>854</v>
      </c>
      <c r="B1142" s="6" t="s">
        <v>120</v>
      </c>
      <c r="C1142" s="6" t="s">
        <v>817</v>
      </c>
      <c r="D1142" s="9" t="n">
        <v>262</v>
      </c>
    </row>
    <row r="1143" customFormat="false" ht="15" hidden="false" customHeight="false" outlineLevel="0" collapsed="false">
      <c r="A1143" s="6" t="s">
        <v>854</v>
      </c>
      <c r="B1143" s="6" t="s">
        <v>120</v>
      </c>
      <c r="C1143" s="6" t="s">
        <v>818</v>
      </c>
      <c r="D1143" s="9" t="n">
        <v>350</v>
      </c>
    </row>
    <row r="1144" customFormat="false" ht="15" hidden="false" customHeight="false" outlineLevel="0" collapsed="false">
      <c r="A1144" s="6" t="s">
        <v>854</v>
      </c>
      <c r="B1144" s="6" t="s">
        <v>112</v>
      </c>
      <c r="C1144" s="6" t="s">
        <v>819</v>
      </c>
      <c r="D1144" s="9" t="n">
        <v>1235</v>
      </c>
    </row>
    <row r="1145" customFormat="false" ht="15" hidden="false" customHeight="false" outlineLevel="0" collapsed="false">
      <c r="A1145" s="6" t="s">
        <v>854</v>
      </c>
      <c r="B1145" s="6" t="s">
        <v>60</v>
      </c>
      <c r="C1145" s="6" t="s">
        <v>820</v>
      </c>
      <c r="D1145" s="9" t="n">
        <v>1790</v>
      </c>
    </row>
    <row r="1146" customFormat="false" ht="15" hidden="false" customHeight="false" outlineLevel="0" collapsed="false">
      <c r="A1146" s="6" t="s">
        <v>854</v>
      </c>
      <c r="B1146" s="6" t="s">
        <v>61</v>
      </c>
      <c r="C1146" s="6" t="s">
        <v>821</v>
      </c>
      <c r="D1146" s="9" t="n">
        <v>1556</v>
      </c>
    </row>
    <row r="1147" customFormat="false" ht="15" hidden="false" customHeight="false" outlineLevel="0" collapsed="false">
      <c r="A1147" s="6" t="s">
        <v>854</v>
      </c>
      <c r="B1147" s="6" t="s">
        <v>70</v>
      </c>
      <c r="C1147" s="6" t="s">
        <v>822</v>
      </c>
      <c r="D1147" s="9" t="n">
        <v>1134</v>
      </c>
    </row>
    <row r="1148" customFormat="false" ht="15" hidden="false" customHeight="false" outlineLevel="0" collapsed="false">
      <c r="A1148" s="6" t="s">
        <v>854</v>
      </c>
      <c r="B1148" s="6" t="s">
        <v>823</v>
      </c>
      <c r="C1148" s="6" t="s">
        <v>824</v>
      </c>
      <c r="D1148" s="9" t="n">
        <v>0</v>
      </c>
    </row>
    <row r="1149" customFormat="false" ht="15" hidden="false" customHeight="false" outlineLevel="0" collapsed="false">
      <c r="A1149" s="6" t="s">
        <v>854</v>
      </c>
      <c r="B1149" s="6" t="s">
        <v>825</v>
      </c>
      <c r="C1149" s="6" t="s">
        <v>826</v>
      </c>
      <c r="D1149" s="9" t="n">
        <v>0</v>
      </c>
    </row>
    <row r="1150" customFormat="false" ht="15" hidden="false" customHeight="false" outlineLevel="0" collapsed="false">
      <c r="A1150" s="6" t="s">
        <v>854</v>
      </c>
      <c r="B1150" s="6" t="s">
        <v>827</v>
      </c>
      <c r="C1150" s="6" t="s">
        <v>828</v>
      </c>
      <c r="D1150" s="9" t="n">
        <v>0</v>
      </c>
    </row>
    <row r="1151" customFormat="false" ht="15" hidden="false" customHeight="false" outlineLevel="0" collapsed="false">
      <c r="A1151" s="6" t="s">
        <v>854</v>
      </c>
      <c r="B1151" s="6" t="s">
        <v>103</v>
      </c>
      <c r="C1151" s="6" t="s">
        <v>829</v>
      </c>
      <c r="D1151" s="9" t="n">
        <v>935</v>
      </c>
    </row>
    <row r="1152" customFormat="false" ht="15" hidden="false" customHeight="false" outlineLevel="0" collapsed="false">
      <c r="A1152" s="6" t="s">
        <v>854</v>
      </c>
      <c r="B1152" s="6" t="s">
        <v>103</v>
      </c>
      <c r="C1152" s="6" t="s">
        <v>830</v>
      </c>
      <c r="D1152" s="9" t="n">
        <v>802</v>
      </c>
    </row>
    <row r="1153" customFormat="false" ht="15" hidden="false" customHeight="false" outlineLevel="0" collapsed="false">
      <c r="A1153" s="6" t="s">
        <v>854</v>
      </c>
      <c r="B1153" s="6" t="s">
        <v>103</v>
      </c>
      <c r="C1153" s="6" t="s">
        <v>831</v>
      </c>
      <c r="D1153" s="9" t="n">
        <v>588</v>
      </c>
    </row>
    <row r="1154" customFormat="false" ht="15" hidden="false" customHeight="false" outlineLevel="0" collapsed="false">
      <c r="A1154" s="6" t="s">
        <v>854</v>
      </c>
      <c r="B1154" s="6" t="s">
        <v>103</v>
      </c>
      <c r="C1154" s="6" t="s">
        <v>832</v>
      </c>
      <c r="D1154" s="9" t="n">
        <v>464</v>
      </c>
    </row>
    <row r="1155" customFormat="false" ht="15" hidden="false" customHeight="false" outlineLevel="0" collapsed="false">
      <c r="A1155" s="6" t="s">
        <v>854</v>
      </c>
      <c r="B1155" s="6" t="s">
        <v>81</v>
      </c>
      <c r="C1155" s="6" t="s">
        <v>833</v>
      </c>
      <c r="D1155" s="9" t="n">
        <v>257</v>
      </c>
    </row>
    <row r="1156" customFormat="false" ht="15" hidden="false" customHeight="false" outlineLevel="0" collapsed="false">
      <c r="A1156" s="6" t="s">
        <v>854</v>
      </c>
      <c r="B1156" s="6" t="s">
        <v>115</v>
      </c>
      <c r="C1156" s="6" t="s">
        <v>833</v>
      </c>
      <c r="D1156" s="9" t="n">
        <v>95</v>
      </c>
    </row>
    <row r="1157" customFormat="false" ht="15" hidden="false" customHeight="false" outlineLevel="0" collapsed="false">
      <c r="A1157" s="6" t="s">
        <v>854</v>
      </c>
      <c r="B1157" s="6" t="s">
        <v>81</v>
      </c>
      <c r="C1157" s="6" t="s">
        <v>834</v>
      </c>
      <c r="D1157" s="9" t="n">
        <v>239</v>
      </c>
    </row>
    <row r="1158" customFormat="false" ht="15" hidden="false" customHeight="false" outlineLevel="0" collapsed="false">
      <c r="A1158" s="6" t="s">
        <v>854</v>
      </c>
      <c r="B1158" s="6" t="s">
        <v>96</v>
      </c>
      <c r="C1158" s="6" t="s">
        <v>834</v>
      </c>
      <c r="D1158" s="9" t="n">
        <v>328</v>
      </c>
    </row>
    <row r="1159" customFormat="false" ht="15" hidden="false" customHeight="false" outlineLevel="0" collapsed="false">
      <c r="A1159" s="6" t="s">
        <v>854</v>
      </c>
      <c r="B1159" s="6" t="s">
        <v>73</v>
      </c>
      <c r="C1159" s="6" t="s">
        <v>835</v>
      </c>
      <c r="D1159" s="9" t="n">
        <v>1663</v>
      </c>
    </row>
    <row r="1160" customFormat="false" ht="15" hidden="false" customHeight="false" outlineLevel="0" collapsed="false">
      <c r="A1160" s="6" t="s">
        <v>854</v>
      </c>
      <c r="B1160" s="6" t="s">
        <v>132</v>
      </c>
      <c r="C1160" s="6" t="s">
        <v>836</v>
      </c>
      <c r="D1160" s="9" t="n">
        <v>111</v>
      </c>
    </row>
    <row r="1161" customFormat="false" ht="15" hidden="false" customHeight="false" outlineLevel="0" collapsed="false">
      <c r="A1161" s="6" t="s">
        <v>854</v>
      </c>
      <c r="B1161" s="6" t="s">
        <v>837</v>
      </c>
      <c r="C1161" s="6" t="s">
        <v>838</v>
      </c>
      <c r="D1161" s="9" t="n">
        <v>0</v>
      </c>
    </row>
    <row r="1162" customFormat="false" ht="15" hidden="false" customHeight="false" outlineLevel="0" collapsed="false">
      <c r="A1162" s="6" t="s">
        <v>854</v>
      </c>
      <c r="B1162" s="6" t="s">
        <v>194</v>
      </c>
      <c r="C1162" s="6" t="s">
        <v>379</v>
      </c>
      <c r="D1162" s="9" t="n">
        <v>28</v>
      </c>
    </row>
    <row r="1163" customFormat="false" ht="15" hidden="false" customHeight="false" outlineLevel="0" collapsed="false">
      <c r="A1163" s="6" t="s">
        <v>854</v>
      </c>
      <c r="B1163" s="6" t="s">
        <v>97</v>
      </c>
      <c r="C1163" s="6" t="s">
        <v>839</v>
      </c>
      <c r="D1163" s="9" t="n">
        <v>922</v>
      </c>
    </row>
    <row r="1164" customFormat="false" ht="15" hidden="false" customHeight="false" outlineLevel="0" collapsed="false">
      <c r="A1164" s="6" t="s">
        <v>854</v>
      </c>
      <c r="B1164" s="6" t="s">
        <v>13</v>
      </c>
      <c r="C1164" s="6" t="s">
        <v>840</v>
      </c>
      <c r="D1164" s="9" t="n">
        <v>869</v>
      </c>
    </row>
    <row r="1165" customFormat="false" ht="15" hidden="false" customHeight="false" outlineLevel="0" collapsed="false">
      <c r="A1165" s="6" t="s">
        <v>854</v>
      </c>
      <c r="B1165" s="6" t="s">
        <v>13</v>
      </c>
      <c r="C1165" s="6" t="s">
        <v>841</v>
      </c>
      <c r="D1165" s="9" t="n">
        <v>941</v>
      </c>
    </row>
    <row r="1166" customFormat="false" ht="15" hidden="false" customHeight="false" outlineLevel="0" collapsed="false">
      <c r="A1166" s="6" t="s">
        <v>854</v>
      </c>
      <c r="B1166" s="6" t="s">
        <v>13</v>
      </c>
      <c r="C1166" s="6" t="s">
        <v>842</v>
      </c>
      <c r="D1166" s="9" t="n">
        <v>1045</v>
      </c>
    </row>
    <row r="1167" customFormat="false" ht="15" hidden="false" customHeight="false" outlineLevel="0" collapsed="false">
      <c r="A1167" s="6" t="s">
        <v>854</v>
      </c>
      <c r="B1167" s="6" t="s">
        <v>14</v>
      </c>
      <c r="C1167" s="6" t="s">
        <v>843</v>
      </c>
      <c r="D1167" s="9" t="n">
        <v>890</v>
      </c>
    </row>
    <row r="1168" customFormat="false" ht="15" hidden="false" customHeight="false" outlineLevel="0" collapsed="false">
      <c r="A1168" s="6" t="s">
        <v>854</v>
      </c>
      <c r="B1168" s="6" t="s">
        <v>15</v>
      </c>
      <c r="C1168" s="6" t="s">
        <v>843</v>
      </c>
      <c r="D1168" s="9" t="n">
        <v>969</v>
      </c>
    </row>
    <row r="1169" customFormat="false" ht="15" hidden="false" customHeight="false" outlineLevel="0" collapsed="false">
      <c r="A1169" s="6" t="s">
        <v>854</v>
      </c>
      <c r="B1169" s="6" t="s">
        <v>16</v>
      </c>
      <c r="C1169" s="6" t="s">
        <v>843</v>
      </c>
      <c r="D1169" s="9" t="n">
        <v>990</v>
      </c>
    </row>
    <row r="1170" customFormat="false" ht="15" hidden="false" customHeight="false" outlineLevel="0" collapsed="false">
      <c r="A1170" s="6" t="s">
        <v>854</v>
      </c>
      <c r="B1170" s="6" t="s">
        <v>14</v>
      </c>
      <c r="C1170" s="6" t="s">
        <v>844</v>
      </c>
      <c r="D1170" s="9" t="n">
        <v>886</v>
      </c>
    </row>
    <row r="1171" customFormat="false" ht="15" hidden="false" customHeight="false" outlineLevel="0" collapsed="false">
      <c r="A1171" s="6" t="s">
        <v>854</v>
      </c>
      <c r="B1171" s="6" t="s">
        <v>15</v>
      </c>
      <c r="C1171" s="6" t="s">
        <v>844</v>
      </c>
      <c r="D1171" s="9" t="n">
        <v>1056</v>
      </c>
    </row>
    <row r="1172" customFormat="false" ht="15" hidden="false" customHeight="false" outlineLevel="0" collapsed="false">
      <c r="A1172" s="6" t="s">
        <v>854</v>
      </c>
      <c r="B1172" s="6" t="s">
        <v>16</v>
      </c>
      <c r="C1172" s="6" t="s">
        <v>844</v>
      </c>
      <c r="D1172" s="9" t="n">
        <v>1132</v>
      </c>
    </row>
    <row r="1173" customFormat="false" ht="15" hidden="false" customHeight="false" outlineLevel="0" collapsed="false">
      <c r="A1173" s="6" t="s">
        <v>854</v>
      </c>
      <c r="B1173" s="6" t="s">
        <v>18</v>
      </c>
      <c r="C1173" s="6" t="s">
        <v>845</v>
      </c>
      <c r="D1173" s="9" t="n">
        <v>0</v>
      </c>
    </row>
    <row r="1174" customFormat="false" ht="15" hidden="false" customHeight="false" outlineLevel="0" collapsed="false">
      <c r="A1174" s="6" t="s">
        <v>854</v>
      </c>
      <c r="B1174" s="6" t="s">
        <v>107</v>
      </c>
      <c r="C1174" s="6" t="s">
        <v>846</v>
      </c>
      <c r="D1174" s="9" t="n">
        <v>40</v>
      </c>
    </row>
    <row r="1175" customFormat="false" ht="15" hidden="false" customHeight="false" outlineLevel="0" collapsed="false">
      <c r="A1175" s="6" t="s">
        <v>854</v>
      </c>
      <c r="B1175" s="6" t="s">
        <v>107</v>
      </c>
      <c r="C1175" s="6" t="s">
        <v>847</v>
      </c>
      <c r="D1175" s="9" t="n">
        <v>47</v>
      </c>
    </row>
    <row r="1176" customFormat="false" ht="15" hidden="false" customHeight="false" outlineLevel="0" collapsed="false">
      <c r="A1176" s="6" t="s">
        <v>854</v>
      </c>
      <c r="B1176" s="6" t="s">
        <v>119</v>
      </c>
      <c r="C1176" s="6" t="s">
        <v>848</v>
      </c>
      <c r="D1176" s="9" t="n">
        <v>583</v>
      </c>
    </row>
    <row r="1177" customFormat="false" ht="15" hidden="false" customHeight="false" outlineLevel="0" collapsed="false">
      <c r="A1177" s="6" t="s">
        <v>854</v>
      </c>
      <c r="B1177" s="6" t="s">
        <v>39</v>
      </c>
      <c r="C1177" s="6" t="s">
        <v>849</v>
      </c>
      <c r="D1177" s="9" t="n">
        <v>0</v>
      </c>
    </row>
    <row r="1178" customFormat="false" ht="15" hidden="false" customHeight="false" outlineLevel="0" collapsed="false">
      <c r="A1178" s="6" t="s">
        <v>854</v>
      </c>
      <c r="B1178" s="6" t="s">
        <v>39</v>
      </c>
      <c r="C1178" s="6" t="s">
        <v>850</v>
      </c>
      <c r="D1178" s="9" t="n">
        <v>0</v>
      </c>
    </row>
    <row r="1179" customFormat="false" ht="15" hidden="false" customHeight="false" outlineLevel="0" collapsed="false">
      <c r="A1179" s="6" t="s">
        <v>854</v>
      </c>
      <c r="B1179" s="6" t="s">
        <v>39</v>
      </c>
      <c r="C1179" s="6" t="s">
        <v>851</v>
      </c>
      <c r="D1179" s="9" t="n">
        <v>0</v>
      </c>
    </row>
    <row r="1180" customFormat="false" ht="15" hidden="false" customHeight="false" outlineLevel="0" collapsed="false">
      <c r="A1180" s="6" t="s">
        <v>854</v>
      </c>
      <c r="B1180" s="6" t="s">
        <v>39</v>
      </c>
      <c r="C1180" s="6" t="s">
        <v>852</v>
      </c>
      <c r="D1180" s="9" t="n">
        <v>0</v>
      </c>
    </row>
    <row r="1181" customFormat="false" ht="15" hidden="false" customHeight="false" outlineLevel="0" collapsed="false">
      <c r="A1181" s="6" t="s">
        <v>854</v>
      </c>
      <c r="B1181" s="6" t="s">
        <v>39</v>
      </c>
      <c r="C1181" s="6" t="s">
        <v>853</v>
      </c>
      <c r="D1181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2" t="s">
        <v>856</v>
      </c>
    </row>
    <row r="2" customFormat="false" ht="15" hidden="false" customHeight="false" outlineLevel="0" collapsed="false">
      <c r="A2" s="15" t="s">
        <v>234</v>
      </c>
      <c r="B2" s="15" t="s">
        <v>235</v>
      </c>
      <c r="C2" s="15" t="s">
        <v>236</v>
      </c>
      <c r="D2" s="15" t="s">
        <v>237</v>
      </c>
    </row>
    <row r="3" customFormat="false" ht="15" hidden="false" customHeight="false" outlineLevel="0" collapsed="false">
      <c r="A3" s="6" t="s">
        <v>238</v>
      </c>
      <c r="B3" s="6" t="s">
        <v>57</v>
      </c>
      <c r="C3" s="6" t="s">
        <v>239</v>
      </c>
      <c r="D3" s="9" t="n">
        <v>16354.5</v>
      </c>
    </row>
    <row r="4" customFormat="false" ht="15" hidden="false" customHeight="false" outlineLevel="0" collapsed="false">
      <c r="A4" s="6" t="s">
        <v>238</v>
      </c>
      <c r="B4" s="6" t="s">
        <v>57</v>
      </c>
      <c r="C4" s="6" t="s">
        <v>240</v>
      </c>
      <c r="D4" s="9" t="n">
        <v>18338.8</v>
      </c>
    </row>
    <row r="5" customFormat="false" ht="15" hidden="false" customHeight="false" outlineLevel="0" collapsed="false">
      <c r="A5" s="6" t="s">
        <v>238</v>
      </c>
      <c r="B5" s="6" t="s">
        <v>241</v>
      </c>
      <c r="C5" s="6" t="s">
        <v>242</v>
      </c>
      <c r="D5" s="9" t="n">
        <v>0</v>
      </c>
    </row>
    <row r="6" customFormat="false" ht="15" hidden="false" customHeight="false" outlineLevel="0" collapsed="false">
      <c r="A6" s="6" t="s">
        <v>238</v>
      </c>
      <c r="B6" s="6" t="s">
        <v>243</v>
      </c>
      <c r="C6" s="6" t="s">
        <v>244</v>
      </c>
      <c r="D6" s="9" t="n">
        <v>0</v>
      </c>
    </row>
    <row r="7" customFormat="false" ht="15" hidden="false" customHeight="false" outlineLevel="0" collapsed="false">
      <c r="A7" s="6" t="s">
        <v>238</v>
      </c>
      <c r="B7" s="6" t="s">
        <v>245</v>
      </c>
      <c r="C7" s="6" t="s">
        <v>246</v>
      </c>
      <c r="D7" s="9" t="n">
        <v>0</v>
      </c>
    </row>
    <row r="8" customFormat="false" ht="15" hidden="false" customHeight="false" outlineLevel="0" collapsed="false">
      <c r="A8" s="6" t="s">
        <v>238</v>
      </c>
      <c r="B8" s="6" t="s">
        <v>247</v>
      </c>
      <c r="C8" s="6" t="s">
        <v>248</v>
      </c>
      <c r="D8" s="9" t="n">
        <v>0</v>
      </c>
    </row>
    <row r="9" customFormat="false" ht="15" hidden="false" customHeight="false" outlineLevel="0" collapsed="false">
      <c r="A9" s="6" t="s">
        <v>238</v>
      </c>
      <c r="B9" s="6" t="s">
        <v>249</v>
      </c>
      <c r="C9" s="6" t="s">
        <v>250</v>
      </c>
      <c r="D9" s="9" t="n">
        <v>0</v>
      </c>
    </row>
    <row r="10" customFormat="false" ht="15" hidden="false" customHeight="false" outlineLevel="0" collapsed="false">
      <c r="A10" s="6" t="s">
        <v>238</v>
      </c>
      <c r="B10" s="6" t="s">
        <v>118</v>
      </c>
      <c r="C10" s="6" t="s">
        <v>251</v>
      </c>
      <c r="D10" s="9" t="n">
        <v>2224.3</v>
      </c>
    </row>
    <row r="11" customFormat="false" ht="15" hidden="false" customHeight="false" outlineLevel="0" collapsed="false">
      <c r="A11" s="6" t="s">
        <v>238</v>
      </c>
      <c r="B11" s="6" t="s">
        <v>66</v>
      </c>
      <c r="C11" s="6" t="s">
        <v>252</v>
      </c>
      <c r="D11" s="9" t="n">
        <v>23901.8</v>
      </c>
    </row>
    <row r="12" customFormat="false" ht="15" hidden="false" customHeight="false" outlineLevel="0" collapsed="false">
      <c r="A12" s="6" t="s">
        <v>238</v>
      </c>
      <c r="B12" s="6" t="s">
        <v>857</v>
      </c>
      <c r="C12" s="6" t="s">
        <v>858</v>
      </c>
      <c r="D12" s="9" t="n">
        <v>0</v>
      </c>
    </row>
    <row r="13" customFormat="false" ht="15" hidden="false" customHeight="false" outlineLevel="0" collapsed="false">
      <c r="A13" s="6" t="s">
        <v>238</v>
      </c>
      <c r="B13" s="6" t="s">
        <v>94</v>
      </c>
      <c r="C13" s="6" t="s">
        <v>253</v>
      </c>
      <c r="D13" s="9" t="n">
        <v>211.3</v>
      </c>
    </row>
    <row r="14" customFormat="false" ht="15" hidden="false" customHeight="false" outlineLevel="0" collapsed="false">
      <c r="A14" s="6" t="s">
        <v>238</v>
      </c>
      <c r="B14" s="6" t="s">
        <v>94</v>
      </c>
      <c r="C14" s="6" t="s">
        <v>254</v>
      </c>
      <c r="D14" s="9" t="n">
        <v>828.6</v>
      </c>
    </row>
    <row r="15" customFormat="false" ht="15" hidden="false" customHeight="false" outlineLevel="0" collapsed="false">
      <c r="A15" s="6" t="s">
        <v>238</v>
      </c>
      <c r="B15" s="6" t="s">
        <v>94</v>
      </c>
      <c r="C15" s="6" t="s">
        <v>255</v>
      </c>
      <c r="D15" s="9" t="n">
        <v>878.7</v>
      </c>
    </row>
    <row r="16" customFormat="false" ht="15" hidden="false" customHeight="false" outlineLevel="0" collapsed="false">
      <c r="A16" s="6" t="s">
        <v>238</v>
      </c>
      <c r="B16" s="6" t="s">
        <v>116</v>
      </c>
      <c r="C16" s="6" t="s">
        <v>256</v>
      </c>
      <c r="D16" s="9" t="n">
        <v>229.3</v>
      </c>
    </row>
    <row r="17" customFormat="false" ht="15" hidden="false" customHeight="false" outlineLevel="0" collapsed="false">
      <c r="A17" s="6" t="s">
        <v>238</v>
      </c>
      <c r="B17" s="6" t="s">
        <v>116</v>
      </c>
      <c r="C17" s="6" t="s">
        <v>257</v>
      </c>
      <c r="D17" s="9" t="n">
        <v>-194.3</v>
      </c>
    </row>
    <row r="18" customFormat="false" ht="15" hidden="false" customHeight="false" outlineLevel="0" collapsed="false">
      <c r="A18" s="6" t="s">
        <v>238</v>
      </c>
      <c r="B18" s="6" t="s">
        <v>158</v>
      </c>
      <c r="C18" s="6" t="s">
        <v>258</v>
      </c>
      <c r="D18" s="9" t="n">
        <v>530.1</v>
      </c>
    </row>
    <row r="19" customFormat="false" ht="15" hidden="false" customHeight="false" outlineLevel="0" collapsed="false">
      <c r="A19" s="6" t="s">
        <v>238</v>
      </c>
      <c r="B19" s="6" t="s">
        <v>143</v>
      </c>
      <c r="C19" s="6" t="s">
        <v>259</v>
      </c>
      <c r="D19" s="9" t="n">
        <v>262.3</v>
      </c>
    </row>
    <row r="20" customFormat="false" ht="15" hidden="false" customHeight="false" outlineLevel="0" collapsed="false">
      <c r="A20" s="6" t="s">
        <v>238</v>
      </c>
      <c r="B20" s="6" t="s">
        <v>143</v>
      </c>
      <c r="C20" s="6" t="s">
        <v>260</v>
      </c>
      <c r="D20" s="9" t="n">
        <v>498.4</v>
      </c>
    </row>
    <row r="21" customFormat="false" ht="15" hidden="false" customHeight="false" outlineLevel="0" collapsed="false">
      <c r="A21" s="6" t="s">
        <v>238</v>
      </c>
      <c r="B21" s="6" t="s">
        <v>143</v>
      </c>
      <c r="C21" s="6" t="s">
        <v>261</v>
      </c>
      <c r="D21" s="9" t="n">
        <v>814.5</v>
      </c>
    </row>
    <row r="22" customFormat="false" ht="15" hidden="false" customHeight="false" outlineLevel="0" collapsed="false">
      <c r="A22" s="6" t="s">
        <v>238</v>
      </c>
      <c r="B22" s="6" t="s">
        <v>223</v>
      </c>
      <c r="C22" s="6" t="s">
        <v>262</v>
      </c>
      <c r="D22" s="9" t="n">
        <v>-31.9</v>
      </c>
    </row>
    <row r="23" customFormat="false" ht="15" hidden="false" customHeight="false" outlineLevel="0" collapsed="false">
      <c r="A23" s="6" t="s">
        <v>238</v>
      </c>
      <c r="B23" s="6" t="s">
        <v>84</v>
      </c>
      <c r="C23" s="6" t="s">
        <v>253</v>
      </c>
      <c r="D23" s="9" t="n">
        <v>844.6</v>
      </c>
    </row>
    <row r="24" customFormat="false" ht="15" hidden="false" customHeight="false" outlineLevel="0" collapsed="false">
      <c r="A24" s="6" t="s">
        <v>238</v>
      </c>
      <c r="B24" s="6" t="s">
        <v>84</v>
      </c>
      <c r="C24" s="6" t="s">
        <v>263</v>
      </c>
      <c r="D24" s="9" t="n">
        <v>1259.8</v>
      </c>
    </row>
    <row r="25" customFormat="false" ht="15" hidden="false" customHeight="false" outlineLevel="0" collapsed="false">
      <c r="A25" s="6" t="s">
        <v>238</v>
      </c>
      <c r="B25" s="6" t="s">
        <v>84</v>
      </c>
      <c r="C25" s="6" t="s">
        <v>264</v>
      </c>
      <c r="D25" s="9" t="n">
        <v>1815.3</v>
      </c>
    </row>
    <row r="26" customFormat="false" ht="15" hidden="false" customHeight="false" outlineLevel="0" collapsed="false">
      <c r="A26" s="6" t="s">
        <v>238</v>
      </c>
      <c r="B26" s="6" t="s">
        <v>95</v>
      </c>
      <c r="C26" s="6" t="s">
        <v>265</v>
      </c>
      <c r="D26" s="9" t="n">
        <v>-107.1</v>
      </c>
    </row>
    <row r="27" customFormat="false" ht="15" hidden="false" customHeight="false" outlineLevel="0" collapsed="false">
      <c r="A27" s="6" t="s">
        <v>238</v>
      </c>
      <c r="B27" s="6" t="s">
        <v>95</v>
      </c>
      <c r="C27" s="6" t="s">
        <v>266</v>
      </c>
      <c r="D27" s="9" t="n">
        <v>-84.8</v>
      </c>
    </row>
    <row r="28" customFormat="false" ht="15" hidden="false" customHeight="false" outlineLevel="0" collapsed="false">
      <c r="A28" s="6" t="s">
        <v>238</v>
      </c>
      <c r="B28" s="6" t="s">
        <v>95</v>
      </c>
      <c r="C28" s="6" t="s">
        <v>267</v>
      </c>
      <c r="D28" s="9" t="n">
        <v>0</v>
      </c>
    </row>
    <row r="29" customFormat="false" ht="15" hidden="false" customHeight="false" outlineLevel="0" collapsed="false">
      <c r="A29" s="6" t="s">
        <v>238</v>
      </c>
      <c r="B29" s="6" t="s">
        <v>152</v>
      </c>
      <c r="C29" s="6" t="s">
        <v>268</v>
      </c>
      <c r="D29" s="9" t="n">
        <v>452.4</v>
      </c>
    </row>
    <row r="30" customFormat="false" ht="15" hidden="false" customHeight="false" outlineLevel="0" collapsed="false">
      <c r="A30" s="6" t="s">
        <v>238</v>
      </c>
      <c r="B30" s="6" t="s">
        <v>152</v>
      </c>
      <c r="C30" s="6" t="s">
        <v>269</v>
      </c>
      <c r="D30" s="9" t="n">
        <v>1447.9</v>
      </c>
    </row>
    <row r="31" customFormat="false" ht="15" hidden="false" customHeight="false" outlineLevel="0" collapsed="false">
      <c r="A31" s="6" t="s">
        <v>238</v>
      </c>
      <c r="B31" s="6" t="s">
        <v>152</v>
      </c>
      <c r="C31" s="6" t="s">
        <v>270</v>
      </c>
      <c r="D31" s="9" t="n">
        <v>1546.5</v>
      </c>
    </row>
    <row r="32" customFormat="false" ht="15" hidden="false" customHeight="false" outlineLevel="0" collapsed="false">
      <c r="A32" s="6" t="s">
        <v>238</v>
      </c>
      <c r="B32" s="6" t="s">
        <v>148</v>
      </c>
      <c r="C32" s="6" t="s">
        <v>276</v>
      </c>
      <c r="D32" s="9" t="n">
        <v>-539</v>
      </c>
    </row>
    <row r="33" customFormat="false" ht="15" hidden="false" customHeight="false" outlineLevel="0" collapsed="false">
      <c r="A33" s="6" t="s">
        <v>238</v>
      </c>
      <c r="B33" s="6" t="s">
        <v>148</v>
      </c>
      <c r="C33" s="6" t="s">
        <v>277</v>
      </c>
      <c r="D33" s="9" t="n">
        <v>-276.4</v>
      </c>
    </row>
    <row r="34" customFormat="false" ht="15" hidden="false" customHeight="false" outlineLevel="0" collapsed="false">
      <c r="A34" s="6" t="s">
        <v>238</v>
      </c>
      <c r="B34" s="6" t="s">
        <v>148</v>
      </c>
      <c r="C34" s="6" t="s">
        <v>278</v>
      </c>
      <c r="D34" s="9" t="n">
        <v>-173.2</v>
      </c>
    </row>
    <row r="35" customFormat="false" ht="15" hidden="false" customHeight="false" outlineLevel="0" collapsed="false">
      <c r="A35" s="6" t="s">
        <v>238</v>
      </c>
      <c r="B35" s="6" t="s">
        <v>148</v>
      </c>
      <c r="C35" s="6" t="s">
        <v>279</v>
      </c>
      <c r="D35" s="9" t="n">
        <v>-270</v>
      </c>
    </row>
    <row r="36" customFormat="false" ht="15" hidden="false" customHeight="false" outlineLevel="0" collapsed="false">
      <c r="A36" s="6" t="s">
        <v>238</v>
      </c>
      <c r="B36" s="6" t="s">
        <v>230</v>
      </c>
      <c r="C36" s="6" t="s">
        <v>281</v>
      </c>
      <c r="D36" s="9" t="n">
        <v>0</v>
      </c>
    </row>
    <row r="37" customFormat="false" ht="15" hidden="false" customHeight="false" outlineLevel="0" collapsed="false">
      <c r="A37" s="6" t="s">
        <v>238</v>
      </c>
      <c r="B37" s="6" t="s">
        <v>230</v>
      </c>
      <c r="C37" s="6" t="s">
        <v>282</v>
      </c>
      <c r="D37" s="9" t="n">
        <v>0</v>
      </c>
    </row>
    <row r="38" customFormat="false" ht="15" hidden="false" customHeight="false" outlineLevel="0" collapsed="false">
      <c r="A38" s="6" t="s">
        <v>238</v>
      </c>
      <c r="B38" s="6" t="s">
        <v>230</v>
      </c>
      <c r="C38" s="6" t="s">
        <v>283</v>
      </c>
      <c r="D38" s="9" t="n">
        <v>0</v>
      </c>
    </row>
    <row r="39" customFormat="false" ht="15" hidden="false" customHeight="false" outlineLevel="0" collapsed="false">
      <c r="A39" s="6" t="s">
        <v>238</v>
      </c>
      <c r="B39" s="6" t="s">
        <v>230</v>
      </c>
      <c r="C39" s="6" t="s">
        <v>284</v>
      </c>
      <c r="D39" s="9" t="n">
        <v>-215.4</v>
      </c>
    </row>
    <row r="40" customFormat="false" ht="15" hidden="false" customHeight="false" outlineLevel="0" collapsed="false">
      <c r="A40" s="6" t="s">
        <v>238</v>
      </c>
      <c r="B40" s="6" t="s">
        <v>230</v>
      </c>
      <c r="C40" s="6" t="s">
        <v>285</v>
      </c>
      <c r="D40" s="9" t="n">
        <v>0</v>
      </c>
    </row>
    <row r="41" customFormat="false" ht="15" hidden="false" customHeight="false" outlineLevel="0" collapsed="false">
      <c r="A41" s="6" t="s">
        <v>238</v>
      </c>
      <c r="B41" s="6" t="s">
        <v>54</v>
      </c>
      <c r="C41" s="6" t="s">
        <v>288</v>
      </c>
      <c r="D41" s="9" t="n">
        <v>-524.2</v>
      </c>
    </row>
    <row r="42" customFormat="false" ht="15" hidden="false" customHeight="false" outlineLevel="0" collapsed="false">
      <c r="A42" s="6" t="s">
        <v>238</v>
      </c>
      <c r="B42" s="6" t="s">
        <v>54</v>
      </c>
      <c r="C42" s="6" t="s">
        <v>289</v>
      </c>
      <c r="D42" s="9" t="n">
        <v>1877.2</v>
      </c>
    </row>
    <row r="43" customFormat="false" ht="15" hidden="false" customHeight="false" outlineLevel="0" collapsed="false">
      <c r="A43" s="6" t="s">
        <v>238</v>
      </c>
      <c r="B43" s="6" t="s">
        <v>54</v>
      </c>
      <c r="C43" s="6" t="s">
        <v>290</v>
      </c>
      <c r="D43" s="9" t="n">
        <v>1093.8</v>
      </c>
    </row>
    <row r="44" customFormat="false" ht="15" hidden="false" customHeight="false" outlineLevel="0" collapsed="false">
      <c r="A44" s="6" t="s">
        <v>238</v>
      </c>
      <c r="B44" s="6" t="s">
        <v>54</v>
      </c>
      <c r="C44" s="6" t="s">
        <v>291</v>
      </c>
      <c r="D44" s="9" t="n">
        <v>3584.9</v>
      </c>
    </row>
    <row r="45" customFormat="false" ht="15" hidden="false" customHeight="false" outlineLevel="0" collapsed="false">
      <c r="A45" s="6" t="s">
        <v>238</v>
      </c>
      <c r="B45" s="6" t="s">
        <v>54</v>
      </c>
      <c r="C45" s="6" t="s">
        <v>292</v>
      </c>
      <c r="D45" s="9" t="n">
        <v>0</v>
      </c>
    </row>
    <row r="46" customFormat="false" ht="15" hidden="false" customHeight="false" outlineLevel="0" collapsed="false">
      <c r="A46" s="6" t="s">
        <v>238</v>
      </c>
      <c r="B46" s="6" t="s">
        <v>32</v>
      </c>
      <c r="C46" s="6" t="s">
        <v>293</v>
      </c>
      <c r="D46" s="9" t="n">
        <v>8511.5</v>
      </c>
    </row>
    <row r="47" customFormat="false" ht="15" hidden="false" customHeight="false" outlineLevel="0" collapsed="false">
      <c r="A47" s="6" t="s">
        <v>238</v>
      </c>
      <c r="B47" s="6" t="s">
        <v>32</v>
      </c>
      <c r="C47" s="6" t="s">
        <v>294</v>
      </c>
      <c r="D47" s="9" t="n">
        <v>22569.3</v>
      </c>
    </row>
    <row r="48" customFormat="false" ht="15" hidden="false" customHeight="false" outlineLevel="0" collapsed="false">
      <c r="A48" s="6" t="s">
        <v>238</v>
      </c>
      <c r="B48" s="6" t="s">
        <v>32</v>
      </c>
      <c r="C48" s="6" t="s">
        <v>295</v>
      </c>
      <c r="D48" s="9" t="n">
        <v>16016.5</v>
      </c>
    </row>
    <row r="49" customFormat="false" ht="15" hidden="false" customHeight="false" outlineLevel="0" collapsed="false">
      <c r="A49" s="6" t="s">
        <v>238</v>
      </c>
      <c r="B49" s="6" t="s">
        <v>32</v>
      </c>
      <c r="C49" s="6" t="s">
        <v>296</v>
      </c>
      <c r="D49" s="9" t="n">
        <v>21722.1</v>
      </c>
    </row>
    <row r="50" customFormat="false" ht="15" hidden="false" customHeight="false" outlineLevel="0" collapsed="false">
      <c r="A50" s="6" t="s">
        <v>238</v>
      </c>
      <c r="B50" s="6" t="s">
        <v>32</v>
      </c>
      <c r="C50" s="6" t="s">
        <v>297</v>
      </c>
      <c r="D50" s="9" t="n">
        <v>4137.7</v>
      </c>
    </row>
    <row r="51" customFormat="false" ht="15" hidden="false" customHeight="false" outlineLevel="0" collapsed="false">
      <c r="A51" s="6" t="s">
        <v>238</v>
      </c>
      <c r="B51" s="6" t="s">
        <v>224</v>
      </c>
      <c r="C51" s="6" t="s">
        <v>859</v>
      </c>
      <c r="D51" s="9" t="n">
        <v>-178.6</v>
      </c>
    </row>
    <row r="52" customFormat="false" ht="15" hidden="false" customHeight="false" outlineLevel="0" collapsed="false">
      <c r="A52" s="6" t="s">
        <v>238</v>
      </c>
      <c r="B52" s="6" t="s">
        <v>177</v>
      </c>
      <c r="C52" s="6" t="s">
        <v>860</v>
      </c>
      <c r="D52" s="9" t="n">
        <v>0</v>
      </c>
    </row>
    <row r="53" customFormat="false" ht="15" hidden="false" customHeight="false" outlineLevel="0" collapsed="false">
      <c r="A53" s="6" t="s">
        <v>238</v>
      </c>
      <c r="B53" s="6" t="s">
        <v>177</v>
      </c>
      <c r="C53" s="6" t="s">
        <v>299</v>
      </c>
      <c r="D53" s="9" t="n">
        <v>-266.2</v>
      </c>
    </row>
    <row r="54" customFormat="false" ht="15" hidden="false" customHeight="false" outlineLevel="0" collapsed="false">
      <c r="A54" s="6" t="s">
        <v>238</v>
      </c>
      <c r="B54" s="6" t="s">
        <v>177</v>
      </c>
      <c r="C54" s="6" t="s">
        <v>861</v>
      </c>
      <c r="D54" s="9" t="n">
        <v>0</v>
      </c>
    </row>
    <row r="55" customFormat="false" ht="15" hidden="false" customHeight="false" outlineLevel="0" collapsed="false">
      <c r="A55" s="6" t="s">
        <v>238</v>
      </c>
      <c r="B55" s="6" t="s">
        <v>177</v>
      </c>
      <c r="C55" s="6" t="s">
        <v>300</v>
      </c>
      <c r="D55" s="9" t="n">
        <v>0</v>
      </c>
    </row>
    <row r="56" customFormat="false" ht="15" hidden="false" customHeight="false" outlineLevel="0" collapsed="false">
      <c r="A56" s="6" t="s">
        <v>238</v>
      </c>
      <c r="B56" s="6" t="s">
        <v>75</v>
      </c>
      <c r="C56" s="6" t="s">
        <v>301</v>
      </c>
      <c r="D56" s="9" t="n">
        <v>3204.5</v>
      </c>
    </row>
    <row r="57" customFormat="false" ht="15" hidden="false" customHeight="false" outlineLevel="0" collapsed="false">
      <c r="A57" s="6" t="s">
        <v>238</v>
      </c>
      <c r="B57" s="6" t="s">
        <v>75</v>
      </c>
      <c r="C57" s="6" t="s">
        <v>302</v>
      </c>
      <c r="D57" s="9" t="n">
        <v>3527.4</v>
      </c>
    </row>
    <row r="58" customFormat="false" ht="15" hidden="false" customHeight="false" outlineLevel="0" collapsed="false">
      <c r="A58" s="6" t="s">
        <v>238</v>
      </c>
      <c r="B58" s="6" t="s">
        <v>75</v>
      </c>
      <c r="C58" s="6" t="s">
        <v>303</v>
      </c>
      <c r="D58" s="9" t="n">
        <v>2639.1</v>
      </c>
    </row>
    <row r="59" customFormat="false" ht="15" hidden="false" customHeight="false" outlineLevel="0" collapsed="false">
      <c r="A59" s="6" t="s">
        <v>238</v>
      </c>
      <c r="B59" s="6" t="s">
        <v>75</v>
      </c>
      <c r="C59" s="6" t="s">
        <v>304</v>
      </c>
      <c r="D59" s="9" t="n">
        <v>938.9</v>
      </c>
    </row>
    <row r="60" customFormat="false" ht="15" hidden="false" customHeight="false" outlineLevel="0" collapsed="false">
      <c r="A60" s="6" t="s">
        <v>238</v>
      </c>
      <c r="B60" s="6" t="s">
        <v>75</v>
      </c>
      <c r="C60" s="6" t="s">
        <v>305</v>
      </c>
      <c r="D60" s="9" t="n">
        <v>-47.9</v>
      </c>
    </row>
    <row r="61" customFormat="false" ht="15" hidden="false" customHeight="false" outlineLevel="0" collapsed="false">
      <c r="A61" s="6" t="s">
        <v>238</v>
      </c>
      <c r="B61" s="6" t="s">
        <v>19</v>
      </c>
      <c r="C61" s="6" t="s">
        <v>306</v>
      </c>
      <c r="D61" s="9" t="n">
        <v>48676.6</v>
      </c>
    </row>
    <row r="62" customFormat="false" ht="15" hidden="false" customHeight="false" outlineLevel="0" collapsed="false">
      <c r="A62" s="6" t="s">
        <v>238</v>
      </c>
      <c r="B62" s="6" t="s">
        <v>19</v>
      </c>
      <c r="C62" s="6" t="s">
        <v>307</v>
      </c>
      <c r="D62" s="9" t="n">
        <v>47355.1</v>
      </c>
    </row>
    <row r="63" customFormat="false" ht="15" hidden="false" customHeight="false" outlineLevel="0" collapsed="false">
      <c r="A63" s="6" t="s">
        <v>238</v>
      </c>
      <c r="B63" s="6" t="s">
        <v>19</v>
      </c>
      <c r="C63" s="6" t="s">
        <v>308</v>
      </c>
      <c r="D63" s="9" t="n">
        <v>64731</v>
      </c>
    </row>
    <row r="64" customFormat="false" ht="15" hidden="false" customHeight="false" outlineLevel="0" collapsed="false">
      <c r="A64" s="6" t="s">
        <v>238</v>
      </c>
      <c r="B64" s="6" t="s">
        <v>19</v>
      </c>
      <c r="C64" s="6" t="s">
        <v>309</v>
      </c>
      <c r="D64" s="9" t="n">
        <v>19076</v>
      </c>
    </row>
    <row r="65" customFormat="false" ht="15" hidden="false" customHeight="false" outlineLevel="0" collapsed="false">
      <c r="A65" s="6" t="s">
        <v>238</v>
      </c>
      <c r="B65" s="6" t="s">
        <v>162</v>
      </c>
      <c r="C65" s="6" t="s">
        <v>311</v>
      </c>
      <c r="D65" s="9" t="n">
        <v>-63.6</v>
      </c>
    </row>
    <row r="66" customFormat="false" ht="15" hidden="false" customHeight="false" outlineLevel="0" collapsed="false">
      <c r="A66" s="6" t="s">
        <v>238</v>
      </c>
      <c r="B66" s="6" t="s">
        <v>162</v>
      </c>
      <c r="C66" s="6" t="s">
        <v>313</v>
      </c>
      <c r="D66" s="9" t="n">
        <v>-60.4</v>
      </c>
    </row>
    <row r="67" customFormat="false" ht="15" hidden="false" customHeight="false" outlineLevel="0" collapsed="false">
      <c r="A67" s="6" t="s">
        <v>238</v>
      </c>
      <c r="B67" s="6" t="s">
        <v>190</v>
      </c>
      <c r="C67" s="6" t="s">
        <v>314</v>
      </c>
      <c r="D67" s="9" t="n">
        <v>0</v>
      </c>
    </row>
    <row r="68" customFormat="false" ht="15" hidden="false" customHeight="false" outlineLevel="0" collapsed="false">
      <c r="A68" s="6" t="s">
        <v>238</v>
      </c>
      <c r="B68" s="6" t="s">
        <v>315</v>
      </c>
      <c r="C68" s="6" t="s">
        <v>316</v>
      </c>
      <c r="D68" s="9" t="n">
        <v>0</v>
      </c>
    </row>
    <row r="69" customFormat="false" ht="15" hidden="false" customHeight="false" outlineLevel="0" collapsed="false">
      <c r="A69" s="6" t="s">
        <v>238</v>
      </c>
      <c r="B69" s="6" t="s">
        <v>315</v>
      </c>
      <c r="C69" s="6" t="s">
        <v>317</v>
      </c>
      <c r="D69" s="9" t="n">
        <v>0</v>
      </c>
    </row>
    <row r="70" customFormat="false" ht="15" hidden="false" customHeight="false" outlineLevel="0" collapsed="false">
      <c r="A70" s="6" t="s">
        <v>238</v>
      </c>
      <c r="B70" s="6" t="s">
        <v>315</v>
      </c>
      <c r="C70" s="6" t="s">
        <v>318</v>
      </c>
      <c r="D70" s="9" t="n">
        <v>0</v>
      </c>
    </row>
    <row r="71" customFormat="false" ht="15" hidden="false" customHeight="false" outlineLevel="0" collapsed="false">
      <c r="A71" s="6" t="s">
        <v>238</v>
      </c>
      <c r="B71" s="6" t="s">
        <v>315</v>
      </c>
      <c r="C71" s="6" t="s">
        <v>319</v>
      </c>
      <c r="D71" s="9" t="n">
        <v>0</v>
      </c>
    </row>
    <row r="72" customFormat="false" ht="15" hidden="false" customHeight="false" outlineLevel="0" collapsed="false">
      <c r="A72" s="6" t="s">
        <v>238</v>
      </c>
      <c r="B72" s="6" t="s">
        <v>176</v>
      </c>
      <c r="C72" s="6" t="s">
        <v>862</v>
      </c>
      <c r="D72" s="9" t="n">
        <v>0</v>
      </c>
    </row>
    <row r="73" customFormat="false" ht="15" hidden="false" customHeight="false" outlineLevel="0" collapsed="false">
      <c r="A73" s="6" t="s">
        <v>238</v>
      </c>
      <c r="B73" s="6" t="s">
        <v>176</v>
      </c>
      <c r="C73" s="6" t="s">
        <v>320</v>
      </c>
      <c r="D73" s="9" t="n">
        <v>162.5</v>
      </c>
    </row>
    <row r="74" customFormat="false" ht="15" hidden="false" customHeight="false" outlineLevel="0" collapsed="false">
      <c r="A74" s="6" t="s">
        <v>238</v>
      </c>
      <c r="B74" s="6" t="s">
        <v>176</v>
      </c>
      <c r="C74" s="6" t="s">
        <v>321</v>
      </c>
      <c r="D74" s="9" t="n">
        <v>0</v>
      </c>
    </row>
    <row r="75" customFormat="false" ht="15" hidden="false" customHeight="false" outlineLevel="0" collapsed="false">
      <c r="A75" s="6" t="s">
        <v>238</v>
      </c>
      <c r="B75" s="6" t="s">
        <v>176</v>
      </c>
      <c r="C75" s="6" t="s">
        <v>863</v>
      </c>
      <c r="D75" s="9" t="n">
        <v>0</v>
      </c>
    </row>
    <row r="76" customFormat="false" ht="15" hidden="false" customHeight="false" outlineLevel="0" collapsed="false">
      <c r="A76" s="6" t="s">
        <v>238</v>
      </c>
      <c r="B76" s="6" t="s">
        <v>175</v>
      </c>
      <c r="C76" s="6" t="s">
        <v>322</v>
      </c>
      <c r="D76" s="9" t="n">
        <v>0</v>
      </c>
    </row>
    <row r="77" customFormat="false" ht="15" hidden="false" customHeight="false" outlineLevel="0" collapsed="false">
      <c r="A77" s="6" t="s">
        <v>238</v>
      </c>
      <c r="B77" s="6" t="s">
        <v>175</v>
      </c>
      <c r="C77" s="6" t="s">
        <v>323</v>
      </c>
      <c r="D77" s="9" t="n">
        <v>0</v>
      </c>
    </row>
    <row r="78" customFormat="false" ht="15" hidden="false" customHeight="false" outlineLevel="0" collapsed="false">
      <c r="A78" s="6" t="s">
        <v>238</v>
      </c>
      <c r="B78" s="6" t="s">
        <v>175</v>
      </c>
      <c r="C78" s="6" t="s">
        <v>324</v>
      </c>
      <c r="D78" s="9" t="n">
        <v>0</v>
      </c>
    </row>
    <row r="79" customFormat="false" ht="15" hidden="false" customHeight="false" outlineLevel="0" collapsed="false">
      <c r="A79" s="6" t="s">
        <v>238</v>
      </c>
      <c r="B79" s="6" t="s">
        <v>175</v>
      </c>
      <c r="C79" s="6" t="s">
        <v>325</v>
      </c>
      <c r="D79" s="9" t="n">
        <v>0</v>
      </c>
    </row>
    <row r="80" customFormat="false" ht="15" hidden="false" customHeight="false" outlineLevel="0" collapsed="false">
      <c r="A80" s="6" t="s">
        <v>238</v>
      </c>
      <c r="B80" s="6" t="s">
        <v>326</v>
      </c>
      <c r="C80" s="6" t="s">
        <v>327</v>
      </c>
      <c r="D80" s="9" t="n">
        <v>0</v>
      </c>
    </row>
    <row r="81" customFormat="false" ht="15" hidden="false" customHeight="false" outlineLevel="0" collapsed="false">
      <c r="A81" s="6" t="s">
        <v>238</v>
      </c>
      <c r="B81" s="6" t="s">
        <v>864</v>
      </c>
      <c r="C81" s="6" t="s">
        <v>327</v>
      </c>
      <c r="D81" s="9" t="n">
        <v>0</v>
      </c>
    </row>
    <row r="82" customFormat="false" ht="15" hidden="false" customHeight="false" outlineLevel="0" collapsed="false">
      <c r="A82" s="6" t="s">
        <v>238</v>
      </c>
      <c r="B82" s="6" t="s">
        <v>50</v>
      </c>
      <c r="C82" s="6" t="s">
        <v>329</v>
      </c>
      <c r="D82" s="9" t="n">
        <v>-1715.2</v>
      </c>
    </row>
    <row r="83" customFormat="false" ht="15" hidden="false" customHeight="false" outlineLevel="0" collapsed="false">
      <c r="A83" s="6" t="s">
        <v>238</v>
      </c>
      <c r="B83" s="6" t="s">
        <v>127</v>
      </c>
      <c r="C83" s="6" t="s">
        <v>330</v>
      </c>
      <c r="D83" s="9" t="n">
        <v>-81.9</v>
      </c>
    </row>
    <row r="84" customFormat="false" ht="15" hidden="false" customHeight="false" outlineLevel="0" collapsed="false">
      <c r="A84" s="6" t="s">
        <v>238</v>
      </c>
      <c r="B84" s="6" t="s">
        <v>127</v>
      </c>
      <c r="C84" s="6" t="s">
        <v>331</v>
      </c>
      <c r="D84" s="9" t="n">
        <v>159.8</v>
      </c>
    </row>
    <row r="85" customFormat="false" ht="15" hidden="false" customHeight="false" outlineLevel="0" collapsed="false">
      <c r="A85" s="6" t="s">
        <v>238</v>
      </c>
      <c r="B85" s="6" t="s">
        <v>127</v>
      </c>
      <c r="C85" s="6" t="s">
        <v>332</v>
      </c>
      <c r="D85" s="9" t="n">
        <v>401.3</v>
      </c>
    </row>
    <row r="86" customFormat="false" ht="15" hidden="false" customHeight="false" outlineLevel="0" collapsed="false">
      <c r="A86" s="6" t="s">
        <v>238</v>
      </c>
      <c r="B86" s="6" t="s">
        <v>127</v>
      </c>
      <c r="C86" s="6" t="s">
        <v>333</v>
      </c>
      <c r="D86" s="9" t="n">
        <v>249.8</v>
      </c>
    </row>
    <row r="87" customFormat="false" ht="15" hidden="false" customHeight="false" outlineLevel="0" collapsed="false">
      <c r="A87" s="6" t="s">
        <v>238</v>
      </c>
      <c r="B87" s="6" t="s">
        <v>127</v>
      </c>
      <c r="C87" s="6" t="s">
        <v>334</v>
      </c>
      <c r="D87" s="9" t="n">
        <v>-81.9</v>
      </c>
    </row>
    <row r="88" customFormat="false" ht="15" hidden="false" customHeight="false" outlineLevel="0" collapsed="false">
      <c r="A88" s="6" t="s">
        <v>238</v>
      </c>
      <c r="B88" s="6" t="s">
        <v>93</v>
      </c>
      <c r="C88" s="6" t="s">
        <v>335</v>
      </c>
      <c r="D88" s="9" t="n">
        <v>3399.2</v>
      </c>
    </row>
    <row r="89" customFormat="false" ht="15" hidden="false" customHeight="false" outlineLevel="0" collapsed="false">
      <c r="A89" s="6" t="s">
        <v>238</v>
      </c>
      <c r="B89" s="6" t="s">
        <v>93</v>
      </c>
      <c r="C89" s="6" t="s">
        <v>336</v>
      </c>
      <c r="D89" s="9" t="n">
        <v>2409.5</v>
      </c>
    </row>
    <row r="90" customFormat="false" ht="15" hidden="false" customHeight="false" outlineLevel="0" collapsed="false">
      <c r="A90" s="6" t="s">
        <v>238</v>
      </c>
      <c r="B90" s="6" t="s">
        <v>99</v>
      </c>
      <c r="C90" s="6" t="s">
        <v>337</v>
      </c>
      <c r="D90" s="9" t="n">
        <v>1829.6</v>
      </c>
    </row>
    <row r="91" customFormat="false" ht="15" hidden="false" customHeight="false" outlineLevel="0" collapsed="false">
      <c r="A91" s="6" t="s">
        <v>238</v>
      </c>
      <c r="B91" s="6" t="s">
        <v>99</v>
      </c>
      <c r="C91" s="6" t="s">
        <v>338</v>
      </c>
      <c r="D91" s="9" t="n">
        <v>1877.7</v>
      </c>
    </row>
    <row r="92" customFormat="false" ht="15" hidden="false" customHeight="false" outlineLevel="0" collapsed="false">
      <c r="A92" s="6" t="s">
        <v>238</v>
      </c>
      <c r="B92" s="6" t="s">
        <v>35</v>
      </c>
      <c r="C92" s="6" t="s">
        <v>339</v>
      </c>
      <c r="D92" s="9" t="n">
        <v>123767.5</v>
      </c>
    </row>
    <row r="93" customFormat="false" ht="15" hidden="false" customHeight="false" outlineLevel="0" collapsed="false">
      <c r="A93" s="6" t="s">
        <v>238</v>
      </c>
      <c r="B93" s="6" t="s">
        <v>34</v>
      </c>
      <c r="C93" s="6" t="s">
        <v>339</v>
      </c>
      <c r="D93" s="9" t="n">
        <v>152480.8</v>
      </c>
    </row>
    <row r="94" customFormat="false" ht="15" hidden="false" customHeight="false" outlineLevel="0" collapsed="false">
      <c r="A94" s="6" t="s">
        <v>238</v>
      </c>
      <c r="B94" s="6" t="s">
        <v>182</v>
      </c>
      <c r="C94" s="6" t="s">
        <v>865</v>
      </c>
      <c r="D94" s="9" t="n">
        <v>-207.2</v>
      </c>
    </row>
    <row r="95" customFormat="false" ht="15" hidden="false" customHeight="false" outlineLevel="0" collapsed="false">
      <c r="A95" s="6" t="s">
        <v>238</v>
      </c>
      <c r="B95" s="6" t="s">
        <v>172</v>
      </c>
      <c r="C95" s="6" t="s">
        <v>343</v>
      </c>
      <c r="D95" s="9" t="n">
        <v>0</v>
      </c>
    </row>
    <row r="96" customFormat="false" ht="15" hidden="false" customHeight="false" outlineLevel="0" collapsed="false">
      <c r="A96" s="6" t="s">
        <v>238</v>
      </c>
      <c r="B96" s="6" t="s">
        <v>172</v>
      </c>
      <c r="C96" s="6" t="s">
        <v>344</v>
      </c>
      <c r="D96" s="9" t="n">
        <v>1249.8</v>
      </c>
    </row>
    <row r="97" customFormat="false" ht="15" hidden="false" customHeight="false" outlineLevel="0" collapsed="false">
      <c r="A97" s="6" t="s">
        <v>238</v>
      </c>
      <c r="B97" s="6" t="s">
        <v>172</v>
      </c>
      <c r="C97" s="6" t="s">
        <v>345</v>
      </c>
      <c r="D97" s="9" t="n">
        <v>0</v>
      </c>
    </row>
    <row r="98" customFormat="false" ht="15" hidden="false" customHeight="false" outlineLevel="0" collapsed="false">
      <c r="A98" s="6" t="s">
        <v>238</v>
      </c>
      <c r="B98" s="6" t="s">
        <v>172</v>
      </c>
      <c r="C98" s="6" t="s">
        <v>346</v>
      </c>
      <c r="D98" s="9" t="n">
        <v>0</v>
      </c>
    </row>
    <row r="99" customFormat="false" ht="15" hidden="false" customHeight="false" outlineLevel="0" collapsed="false">
      <c r="A99" s="6" t="s">
        <v>238</v>
      </c>
      <c r="B99" s="6" t="s">
        <v>347</v>
      </c>
      <c r="C99" s="6" t="s">
        <v>348</v>
      </c>
      <c r="D99" s="9" t="n">
        <v>0</v>
      </c>
    </row>
    <row r="100" customFormat="false" ht="15" hidden="false" customHeight="false" outlineLevel="0" collapsed="false">
      <c r="A100" s="6" t="s">
        <v>238</v>
      </c>
      <c r="B100" s="6" t="s">
        <v>347</v>
      </c>
      <c r="C100" s="6" t="s">
        <v>349</v>
      </c>
      <c r="D100" s="9" t="n">
        <v>0</v>
      </c>
    </row>
    <row r="101" customFormat="false" ht="15" hidden="false" customHeight="false" outlineLevel="0" collapsed="false">
      <c r="A101" s="6" t="s">
        <v>238</v>
      </c>
      <c r="B101" s="6" t="s">
        <v>352</v>
      </c>
      <c r="C101" s="6" t="s">
        <v>866</v>
      </c>
      <c r="D101" s="9" t="n">
        <v>0</v>
      </c>
    </row>
    <row r="102" customFormat="false" ht="15" hidden="false" customHeight="false" outlineLevel="0" collapsed="false">
      <c r="A102" s="6" t="s">
        <v>238</v>
      </c>
      <c r="B102" s="6" t="s">
        <v>352</v>
      </c>
      <c r="C102" s="6" t="s">
        <v>867</v>
      </c>
      <c r="D102" s="9" t="n">
        <v>0</v>
      </c>
    </row>
    <row r="103" customFormat="false" ht="15" hidden="false" customHeight="false" outlineLevel="0" collapsed="false">
      <c r="A103" s="6" t="s">
        <v>238</v>
      </c>
      <c r="B103" s="6" t="s">
        <v>172</v>
      </c>
      <c r="C103" s="6" t="s">
        <v>355</v>
      </c>
      <c r="D103" s="9" t="n">
        <v>0</v>
      </c>
    </row>
    <row r="104" customFormat="false" ht="15" hidden="false" customHeight="false" outlineLevel="0" collapsed="false">
      <c r="A104" s="6" t="s">
        <v>238</v>
      </c>
      <c r="B104" s="6" t="s">
        <v>356</v>
      </c>
      <c r="C104" s="6" t="s">
        <v>357</v>
      </c>
      <c r="D104" s="9" t="n">
        <v>0</v>
      </c>
    </row>
    <row r="105" customFormat="false" ht="15" hidden="false" customHeight="false" outlineLevel="0" collapsed="false">
      <c r="A105" s="6" t="s">
        <v>238</v>
      </c>
      <c r="B105" s="6" t="s">
        <v>356</v>
      </c>
      <c r="C105" s="6" t="s">
        <v>358</v>
      </c>
      <c r="D105" s="9" t="n">
        <v>0</v>
      </c>
    </row>
    <row r="106" customFormat="false" ht="15" hidden="false" customHeight="false" outlineLevel="0" collapsed="false">
      <c r="A106" s="6" t="s">
        <v>238</v>
      </c>
      <c r="B106" s="6" t="s">
        <v>163</v>
      </c>
      <c r="C106" s="6" t="s">
        <v>364</v>
      </c>
      <c r="D106" s="9" t="n">
        <v>104.7</v>
      </c>
    </row>
    <row r="107" customFormat="false" ht="15" hidden="false" customHeight="false" outlineLevel="0" collapsed="false">
      <c r="A107" s="6" t="s">
        <v>238</v>
      </c>
      <c r="B107" s="6" t="s">
        <v>163</v>
      </c>
      <c r="C107" s="6" t="s">
        <v>366</v>
      </c>
      <c r="D107" s="9" t="n">
        <v>0</v>
      </c>
    </row>
    <row r="108" customFormat="false" ht="15" hidden="false" customHeight="false" outlineLevel="0" collapsed="false">
      <c r="A108" s="6" t="s">
        <v>238</v>
      </c>
      <c r="B108" s="6" t="s">
        <v>163</v>
      </c>
      <c r="C108" s="6" t="s">
        <v>367</v>
      </c>
      <c r="D108" s="9" t="n">
        <v>-5.5</v>
      </c>
    </row>
    <row r="109" customFormat="false" ht="15" hidden="false" customHeight="false" outlineLevel="0" collapsed="false">
      <c r="A109" s="6" t="s">
        <v>238</v>
      </c>
      <c r="B109" s="6" t="s">
        <v>163</v>
      </c>
      <c r="C109" s="6" t="s">
        <v>368</v>
      </c>
      <c r="D109" s="9" t="n">
        <v>0</v>
      </c>
    </row>
    <row r="110" customFormat="false" ht="15" hidden="false" customHeight="false" outlineLevel="0" collapsed="false">
      <c r="A110" s="6" t="s">
        <v>238</v>
      </c>
      <c r="B110" s="6" t="s">
        <v>91</v>
      </c>
      <c r="C110" s="6" t="s">
        <v>369</v>
      </c>
      <c r="D110" s="9" t="n">
        <v>-128.4</v>
      </c>
    </row>
    <row r="111" customFormat="false" ht="15" hidden="false" customHeight="false" outlineLevel="0" collapsed="false">
      <c r="A111" s="6" t="s">
        <v>238</v>
      </c>
      <c r="B111" s="6" t="s">
        <v>91</v>
      </c>
      <c r="C111" s="6" t="s">
        <v>370</v>
      </c>
      <c r="D111" s="9" t="n">
        <v>1185.2</v>
      </c>
    </row>
    <row r="112" customFormat="false" ht="15" hidden="false" customHeight="false" outlineLevel="0" collapsed="false">
      <c r="A112" s="6" t="s">
        <v>238</v>
      </c>
      <c r="B112" s="6" t="s">
        <v>91</v>
      </c>
      <c r="C112" s="6" t="s">
        <v>371</v>
      </c>
      <c r="D112" s="9" t="n">
        <v>3060.8</v>
      </c>
    </row>
    <row r="113" customFormat="false" ht="15" hidden="false" customHeight="false" outlineLevel="0" collapsed="false">
      <c r="A113" s="6" t="s">
        <v>238</v>
      </c>
      <c r="B113" s="6" t="s">
        <v>91</v>
      </c>
      <c r="C113" s="6" t="s">
        <v>372</v>
      </c>
      <c r="D113" s="9" t="n">
        <v>2922</v>
      </c>
    </row>
    <row r="114" customFormat="false" ht="15" hidden="false" customHeight="false" outlineLevel="0" collapsed="false">
      <c r="A114" s="6" t="s">
        <v>238</v>
      </c>
      <c r="B114" s="6" t="s">
        <v>91</v>
      </c>
      <c r="C114" s="6" t="s">
        <v>373</v>
      </c>
      <c r="D114" s="9" t="n">
        <v>5469.3</v>
      </c>
    </row>
    <row r="115" customFormat="false" ht="15" hidden="false" customHeight="false" outlineLevel="0" collapsed="false">
      <c r="A115" s="6" t="s">
        <v>238</v>
      </c>
      <c r="B115" s="6" t="s">
        <v>231</v>
      </c>
      <c r="C115" s="6" t="s">
        <v>376</v>
      </c>
      <c r="D115" s="9" t="n">
        <v>-135</v>
      </c>
    </row>
    <row r="116" customFormat="false" ht="15" hidden="false" customHeight="false" outlineLevel="0" collapsed="false">
      <c r="A116" s="6" t="s">
        <v>238</v>
      </c>
      <c r="B116" s="6" t="s">
        <v>231</v>
      </c>
      <c r="C116" s="6" t="s">
        <v>377</v>
      </c>
      <c r="D116" s="9" t="n">
        <v>0</v>
      </c>
    </row>
    <row r="117" customFormat="false" ht="15" hidden="false" customHeight="false" outlineLevel="0" collapsed="false">
      <c r="A117" s="6" t="s">
        <v>238</v>
      </c>
      <c r="B117" s="6" t="s">
        <v>231</v>
      </c>
      <c r="C117" s="6" t="s">
        <v>378</v>
      </c>
      <c r="D117" s="9" t="n">
        <v>0</v>
      </c>
    </row>
    <row r="118" customFormat="false" ht="15" hidden="false" customHeight="false" outlineLevel="0" collapsed="false">
      <c r="A118" s="6" t="s">
        <v>238</v>
      </c>
      <c r="B118" s="6" t="s">
        <v>108</v>
      </c>
      <c r="C118" s="6" t="s">
        <v>379</v>
      </c>
      <c r="D118" s="9" t="n">
        <v>3644.6</v>
      </c>
    </row>
    <row r="119" customFormat="false" ht="15" hidden="false" customHeight="false" outlineLevel="0" collapsed="false">
      <c r="A119" s="6" t="s">
        <v>238</v>
      </c>
      <c r="B119" s="6" t="s">
        <v>78</v>
      </c>
      <c r="C119" s="6" t="s">
        <v>380</v>
      </c>
      <c r="D119" s="9" t="n">
        <v>8230.7</v>
      </c>
    </row>
    <row r="120" customFormat="false" ht="15" hidden="false" customHeight="false" outlineLevel="0" collapsed="false">
      <c r="A120" s="6" t="s">
        <v>238</v>
      </c>
      <c r="B120" s="6" t="s">
        <v>130</v>
      </c>
      <c r="C120" s="6" t="s">
        <v>381</v>
      </c>
      <c r="D120" s="9" t="n">
        <v>1896.4</v>
      </c>
    </row>
    <row r="121" customFormat="false" ht="15" hidden="false" customHeight="false" outlineLevel="0" collapsed="false">
      <c r="A121" s="6" t="s">
        <v>238</v>
      </c>
      <c r="B121" s="6" t="s">
        <v>382</v>
      </c>
      <c r="C121" s="6" t="s">
        <v>383</v>
      </c>
      <c r="D121" s="9" t="n">
        <v>0</v>
      </c>
    </row>
    <row r="122" customFormat="false" ht="15" hidden="false" customHeight="false" outlineLevel="0" collapsed="false">
      <c r="A122" s="6" t="s">
        <v>238</v>
      </c>
      <c r="B122" s="6" t="s">
        <v>384</v>
      </c>
      <c r="C122" s="6" t="s">
        <v>385</v>
      </c>
      <c r="D122" s="9" t="n">
        <v>0</v>
      </c>
    </row>
    <row r="123" customFormat="false" ht="15" hidden="false" customHeight="false" outlineLevel="0" collapsed="false">
      <c r="A123" s="6" t="s">
        <v>238</v>
      </c>
      <c r="B123" s="6" t="s">
        <v>386</v>
      </c>
      <c r="C123" s="6" t="s">
        <v>387</v>
      </c>
      <c r="D123" s="9" t="n">
        <v>0</v>
      </c>
    </row>
    <row r="124" customFormat="false" ht="15" hidden="false" customHeight="false" outlineLevel="0" collapsed="false">
      <c r="A124" s="6" t="s">
        <v>238</v>
      </c>
      <c r="B124" s="6" t="s">
        <v>85</v>
      </c>
      <c r="C124" s="6" t="s">
        <v>388</v>
      </c>
      <c r="D124" s="9" t="n">
        <v>15737.5</v>
      </c>
    </row>
    <row r="125" customFormat="false" ht="15" hidden="false" customHeight="false" outlineLevel="0" collapsed="false">
      <c r="A125" s="6" t="s">
        <v>238</v>
      </c>
      <c r="B125" s="6" t="s">
        <v>154</v>
      </c>
      <c r="C125" s="6" t="s">
        <v>379</v>
      </c>
      <c r="D125" s="9" t="n">
        <v>314.7</v>
      </c>
    </row>
    <row r="126" customFormat="false" ht="15" hidden="false" customHeight="false" outlineLevel="0" collapsed="false">
      <c r="A126" s="6" t="s">
        <v>238</v>
      </c>
      <c r="B126" s="6" t="s">
        <v>74</v>
      </c>
      <c r="C126" s="6" t="s">
        <v>379</v>
      </c>
      <c r="D126" s="9" t="n">
        <v>4263.8</v>
      </c>
    </row>
    <row r="127" customFormat="false" ht="15" hidden="false" customHeight="false" outlineLevel="0" collapsed="false">
      <c r="A127" s="6" t="s">
        <v>238</v>
      </c>
      <c r="B127" s="6" t="s">
        <v>144</v>
      </c>
      <c r="C127" s="6" t="s">
        <v>389</v>
      </c>
      <c r="D127" s="9" t="n">
        <v>-23.1</v>
      </c>
    </row>
    <row r="128" customFormat="false" ht="15" hidden="false" customHeight="false" outlineLevel="0" collapsed="false">
      <c r="A128" s="6" t="s">
        <v>238</v>
      </c>
      <c r="B128" s="6" t="s">
        <v>144</v>
      </c>
      <c r="C128" s="6" t="s">
        <v>390</v>
      </c>
      <c r="D128" s="9" t="n">
        <v>1401.1</v>
      </c>
    </row>
    <row r="129" customFormat="false" ht="15" hidden="false" customHeight="false" outlineLevel="0" collapsed="false">
      <c r="A129" s="6" t="s">
        <v>238</v>
      </c>
      <c r="B129" s="6" t="s">
        <v>186</v>
      </c>
      <c r="C129" s="6" t="s">
        <v>391</v>
      </c>
      <c r="D129" s="9" t="n">
        <v>-57.8</v>
      </c>
    </row>
    <row r="130" customFormat="false" ht="15" hidden="false" customHeight="false" outlineLevel="0" collapsed="false">
      <c r="A130" s="6" t="s">
        <v>238</v>
      </c>
      <c r="B130" s="6" t="s">
        <v>62</v>
      </c>
      <c r="C130" s="6" t="s">
        <v>394</v>
      </c>
      <c r="D130" s="9" t="n">
        <v>9322</v>
      </c>
    </row>
    <row r="131" customFormat="false" ht="15" hidden="false" customHeight="false" outlineLevel="0" collapsed="false">
      <c r="A131" s="6" t="s">
        <v>238</v>
      </c>
      <c r="B131" s="6" t="s">
        <v>65</v>
      </c>
      <c r="C131" s="6" t="s">
        <v>395</v>
      </c>
      <c r="D131" s="9" t="n">
        <v>41072.9</v>
      </c>
    </row>
    <row r="132" customFormat="false" ht="15" hidden="false" customHeight="false" outlineLevel="0" collapsed="false">
      <c r="A132" s="6" t="s">
        <v>238</v>
      </c>
      <c r="B132" s="6" t="s">
        <v>131</v>
      </c>
      <c r="C132" s="6" t="s">
        <v>396</v>
      </c>
      <c r="D132" s="9" t="n">
        <v>4296.7</v>
      </c>
    </row>
    <row r="133" customFormat="false" ht="15" hidden="false" customHeight="false" outlineLevel="0" collapsed="false">
      <c r="A133" s="6" t="s">
        <v>238</v>
      </c>
      <c r="B133" s="6" t="s">
        <v>123</v>
      </c>
      <c r="C133" s="6" t="s">
        <v>398</v>
      </c>
      <c r="D133" s="9" t="n">
        <v>2616.2</v>
      </c>
    </row>
    <row r="134" customFormat="false" ht="15" hidden="false" customHeight="false" outlineLevel="0" collapsed="false">
      <c r="A134" s="6" t="s">
        <v>238</v>
      </c>
      <c r="B134" s="6" t="s">
        <v>76</v>
      </c>
      <c r="C134" s="6" t="s">
        <v>399</v>
      </c>
      <c r="D134" s="9" t="n">
        <v>-435.6</v>
      </c>
    </row>
    <row r="135" customFormat="false" ht="15" hidden="false" customHeight="false" outlineLevel="0" collapsed="false">
      <c r="A135" s="6" t="s">
        <v>238</v>
      </c>
      <c r="B135" s="6" t="s">
        <v>76</v>
      </c>
      <c r="C135" s="6" t="s">
        <v>400</v>
      </c>
      <c r="D135" s="9" t="n">
        <v>-392.6</v>
      </c>
    </row>
    <row r="136" customFormat="false" ht="15" hidden="false" customHeight="false" outlineLevel="0" collapsed="false">
      <c r="A136" s="6" t="s">
        <v>238</v>
      </c>
      <c r="B136" s="6" t="s">
        <v>76</v>
      </c>
      <c r="C136" s="6" t="s">
        <v>401</v>
      </c>
      <c r="D136" s="9" t="n">
        <v>-483.8</v>
      </c>
    </row>
    <row r="137" customFormat="false" ht="15" hidden="false" customHeight="false" outlineLevel="0" collapsed="false">
      <c r="A137" s="6" t="s">
        <v>238</v>
      </c>
      <c r="B137" s="6" t="s">
        <v>76</v>
      </c>
      <c r="C137" s="6" t="s">
        <v>402</v>
      </c>
      <c r="D137" s="9" t="n">
        <v>-616.2</v>
      </c>
    </row>
    <row r="138" customFormat="false" ht="15" hidden="false" customHeight="false" outlineLevel="0" collapsed="false">
      <c r="A138" s="6" t="s">
        <v>238</v>
      </c>
      <c r="B138" s="6" t="s">
        <v>76</v>
      </c>
      <c r="C138" s="6" t="s">
        <v>403</v>
      </c>
      <c r="D138" s="9" t="n">
        <v>-54.5</v>
      </c>
    </row>
    <row r="139" customFormat="false" ht="15" hidden="false" customHeight="false" outlineLevel="0" collapsed="false">
      <c r="A139" s="6" t="s">
        <v>238</v>
      </c>
      <c r="B139" s="6" t="s">
        <v>404</v>
      </c>
      <c r="C139" s="6" t="s">
        <v>405</v>
      </c>
      <c r="D139" s="9" t="n">
        <v>0</v>
      </c>
    </row>
    <row r="140" customFormat="false" ht="15" hidden="false" customHeight="false" outlineLevel="0" collapsed="false">
      <c r="A140" s="6" t="s">
        <v>238</v>
      </c>
      <c r="B140" s="6" t="s">
        <v>159</v>
      </c>
      <c r="C140" s="6" t="s">
        <v>407</v>
      </c>
      <c r="D140" s="9" t="n">
        <v>0</v>
      </c>
    </row>
    <row r="141" customFormat="false" ht="15" hidden="false" customHeight="false" outlineLevel="0" collapsed="false">
      <c r="A141" s="6" t="s">
        <v>238</v>
      </c>
      <c r="B141" s="6" t="s">
        <v>159</v>
      </c>
      <c r="C141" s="6" t="s">
        <v>408</v>
      </c>
      <c r="D141" s="9" t="n">
        <v>0</v>
      </c>
    </row>
    <row r="142" customFormat="false" ht="15" hidden="false" customHeight="false" outlineLevel="0" collapsed="false">
      <c r="A142" s="6" t="s">
        <v>238</v>
      </c>
      <c r="B142" s="6" t="s">
        <v>159</v>
      </c>
      <c r="C142" s="6" t="s">
        <v>409</v>
      </c>
      <c r="D142" s="9" t="n">
        <v>0</v>
      </c>
    </row>
    <row r="143" customFormat="false" ht="15" hidden="false" customHeight="false" outlineLevel="0" collapsed="false">
      <c r="A143" s="6" t="s">
        <v>238</v>
      </c>
      <c r="B143" s="6" t="s">
        <v>159</v>
      </c>
      <c r="C143" s="6" t="s">
        <v>410</v>
      </c>
      <c r="D143" s="9" t="n">
        <v>0</v>
      </c>
    </row>
    <row r="144" customFormat="false" ht="15" hidden="false" customHeight="false" outlineLevel="0" collapsed="false">
      <c r="A144" s="6" t="s">
        <v>238</v>
      </c>
      <c r="B144" s="6" t="s">
        <v>159</v>
      </c>
      <c r="C144" s="6" t="s">
        <v>411</v>
      </c>
      <c r="D144" s="9" t="n">
        <v>0</v>
      </c>
    </row>
    <row r="145" customFormat="false" ht="15" hidden="false" customHeight="false" outlineLevel="0" collapsed="false">
      <c r="A145" s="6" t="s">
        <v>238</v>
      </c>
      <c r="B145" s="6" t="s">
        <v>63</v>
      </c>
      <c r="C145" s="6" t="s">
        <v>412</v>
      </c>
      <c r="D145" s="9" t="n">
        <v>39121.1</v>
      </c>
    </row>
    <row r="146" customFormat="false" ht="15" hidden="false" customHeight="false" outlineLevel="0" collapsed="false">
      <c r="A146" s="6" t="s">
        <v>238</v>
      </c>
      <c r="B146" s="6" t="s">
        <v>117</v>
      </c>
      <c r="C146" s="6" t="s">
        <v>413</v>
      </c>
      <c r="D146" s="9" t="n">
        <v>2001.2</v>
      </c>
    </row>
    <row r="147" customFormat="false" ht="15" hidden="false" customHeight="false" outlineLevel="0" collapsed="false">
      <c r="A147" s="6" t="s">
        <v>238</v>
      </c>
      <c r="B147" s="6" t="s">
        <v>22</v>
      </c>
      <c r="C147" s="6" t="s">
        <v>414</v>
      </c>
      <c r="D147" s="9" t="n">
        <v>48785.8</v>
      </c>
    </row>
    <row r="148" customFormat="false" ht="15" hidden="false" customHeight="false" outlineLevel="0" collapsed="false">
      <c r="A148" s="6" t="s">
        <v>238</v>
      </c>
      <c r="B148" s="6" t="s">
        <v>22</v>
      </c>
      <c r="C148" s="6" t="s">
        <v>415</v>
      </c>
      <c r="D148" s="9" t="n">
        <v>31014.7</v>
      </c>
    </row>
    <row r="149" customFormat="false" ht="15" hidden="false" customHeight="false" outlineLevel="0" collapsed="false">
      <c r="A149" s="6" t="s">
        <v>238</v>
      </c>
      <c r="B149" s="6" t="s">
        <v>22</v>
      </c>
      <c r="C149" s="6" t="s">
        <v>416</v>
      </c>
      <c r="D149" s="9" t="n">
        <v>47682.1</v>
      </c>
    </row>
    <row r="150" customFormat="false" ht="15" hidden="false" customHeight="false" outlineLevel="0" collapsed="false">
      <c r="A150" s="6" t="s">
        <v>238</v>
      </c>
      <c r="B150" s="6" t="s">
        <v>22</v>
      </c>
      <c r="C150" s="6" t="s">
        <v>417</v>
      </c>
      <c r="D150" s="9" t="n">
        <v>30955.6</v>
      </c>
    </row>
    <row r="151" customFormat="false" ht="15" hidden="false" customHeight="false" outlineLevel="0" collapsed="false">
      <c r="A151" s="6" t="s">
        <v>238</v>
      </c>
      <c r="B151" s="6" t="s">
        <v>22</v>
      </c>
      <c r="C151" s="6" t="s">
        <v>419</v>
      </c>
      <c r="D151" s="9" t="n">
        <v>1372.6</v>
      </c>
    </row>
    <row r="152" customFormat="false" ht="15" hidden="false" customHeight="false" outlineLevel="0" collapsed="false">
      <c r="A152" s="6" t="s">
        <v>238</v>
      </c>
      <c r="B152" s="6" t="s">
        <v>31</v>
      </c>
      <c r="C152" s="6" t="s">
        <v>420</v>
      </c>
      <c r="D152" s="9" t="n">
        <v>20905.3</v>
      </c>
    </row>
    <row r="153" customFormat="false" ht="15" hidden="false" customHeight="false" outlineLevel="0" collapsed="false">
      <c r="A153" s="6" t="s">
        <v>238</v>
      </c>
      <c r="B153" s="6" t="s">
        <v>31</v>
      </c>
      <c r="C153" s="6" t="s">
        <v>421</v>
      </c>
      <c r="D153" s="9" t="n">
        <v>29265.8</v>
      </c>
    </row>
    <row r="154" customFormat="false" ht="15" hidden="false" customHeight="false" outlineLevel="0" collapsed="false">
      <c r="A154" s="6" t="s">
        <v>238</v>
      </c>
      <c r="B154" s="6" t="s">
        <v>31</v>
      </c>
      <c r="C154" s="6" t="s">
        <v>422</v>
      </c>
      <c r="D154" s="9" t="n">
        <v>29255.5</v>
      </c>
    </row>
    <row r="155" customFormat="false" ht="15" hidden="false" customHeight="false" outlineLevel="0" collapsed="false">
      <c r="A155" s="6" t="s">
        <v>238</v>
      </c>
      <c r="B155" s="6" t="s">
        <v>31</v>
      </c>
      <c r="C155" s="6" t="s">
        <v>423</v>
      </c>
      <c r="D155" s="9" t="n">
        <v>19980.8</v>
      </c>
    </row>
    <row r="156" customFormat="false" ht="15" hidden="false" customHeight="false" outlineLevel="0" collapsed="false">
      <c r="A156" s="6" t="s">
        <v>238</v>
      </c>
      <c r="B156" s="6" t="s">
        <v>31</v>
      </c>
      <c r="C156" s="6" t="s">
        <v>424</v>
      </c>
      <c r="D156" s="9" t="n">
        <v>1929.6</v>
      </c>
    </row>
    <row r="157" customFormat="false" ht="15" hidden="false" customHeight="false" outlineLevel="0" collapsed="false">
      <c r="A157" s="6" t="s">
        <v>238</v>
      </c>
      <c r="B157" s="6" t="s">
        <v>18</v>
      </c>
      <c r="C157" s="6" t="s">
        <v>425</v>
      </c>
      <c r="D157" s="9" t="n">
        <v>35627</v>
      </c>
    </row>
    <row r="158" customFormat="false" ht="15" hidden="false" customHeight="false" outlineLevel="0" collapsed="false">
      <c r="A158" s="6" t="s">
        <v>238</v>
      </c>
      <c r="B158" s="6" t="s">
        <v>18</v>
      </c>
      <c r="C158" s="6" t="s">
        <v>426</v>
      </c>
      <c r="D158" s="9" t="n">
        <v>51924.5</v>
      </c>
    </row>
    <row r="159" customFormat="false" ht="15" hidden="false" customHeight="false" outlineLevel="0" collapsed="false">
      <c r="A159" s="6" t="s">
        <v>238</v>
      </c>
      <c r="B159" s="6" t="s">
        <v>18</v>
      </c>
      <c r="C159" s="6" t="s">
        <v>427</v>
      </c>
      <c r="D159" s="9" t="n">
        <v>62436.3</v>
      </c>
    </row>
    <row r="160" customFormat="false" ht="15" hidden="false" customHeight="false" outlineLevel="0" collapsed="false">
      <c r="A160" s="6" t="s">
        <v>238</v>
      </c>
      <c r="B160" s="6" t="s">
        <v>18</v>
      </c>
      <c r="C160" s="6" t="s">
        <v>428</v>
      </c>
      <c r="D160" s="9" t="n">
        <v>33192.2</v>
      </c>
    </row>
    <row r="161" customFormat="false" ht="15" hidden="false" customHeight="false" outlineLevel="0" collapsed="false">
      <c r="A161" s="6" t="s">
        <v>238</v>
      </c>
      <c r="B161" s="6" t="s">
        <v>156</v>
      </c>
      <c r="C161" s="6" t="s">
        <v>429</v>
      </c>
      <c r="D161" s="9" t="n">
        <v>266.4</v>
      </c>
    </row>
    <row r="162" customFormat="false" ht="15" hidden="false" customHeight="false" outlineLevel="0" collapsed="false">
      <c r="A162" s="6" t="s">
        <v>238</v>
      </c>
      <c r="B162" s="6" t="s">
        <v>89</v>
      </c>
      <c r="C162" s="6" t="s">
        <v>430</v>
      </c>
      <c r="D162" s="9" t="n">
        <v>11036.9</v>
      </c>
    </row>
    <row r="163" customFormat="false" ht="15" hidden="false" customHeight="false" outlineLevel="0" collapsed="false">
      <c r="A163" s="6" t="s">
        <v>238</v>
      </c>
      <c r="B163" s="6" t="s">
        <v>217</v>
      </c>
      <c r="C163" s="6" t="s">
        <v>431</v>
      </c>
      <c r="D163" s="9" t="n">
        <v>0</v>
      </c>
    </row>
    <row r="164" customFormat="false" ht="15" hidden="false" customHeight="false" outlineLevel="0" collapsed="false">
      <c r="A164" s="6" t="s">
        <v>238</v>
      </c>
      <c r="B164" s="6" t="s">
        <v>220</v>
      </c>
      <c r="C164" s="6" t="s">
        <v>432</v>
      </c>
      <c r="D164" s="9" t="n">
        <v>-25.1</v>
      </c>
    </row>
    <row r="165" customFormat="false" ht="15" hidden="false" customHeight="false" outlineLevel="0" collapsed="false">
      <c r="A165" s="6" t="s">
        <v>238</v>
      </c>
      <c r="B165" s="6" t="s">
        <v>433</v>
      </c>
      <c r="C165" s="6" t="s">
        <v>434</v>
      </c>
      <c r="D165" s="9" t="n">
        <v>0</v>
      </c>
    </row>
    <row r="166" customFormat="false" ht="15" hidden="false" customHeight="false" outlineLevel="0" collapsed="false">
      <c r="A166" s="6" t="s">
        <v>238</v>
      </c>
      <c r="B166" s="6" t="s">
        <v>435</v>
      </c>
      <c r="C166" s="6" t="s">
        <v>436</v>
      </c>
      <c r="D166" s="9" t="n">
        <v>0</v>
      </c>
    </row>
    <row r="167" customFormat="false" ht="15" hidden="false" customHeight="false" outlineLevel="0" collapsed="false">
      <c r="A167" s="6" t="s">
        <v>238</v>
      </c>
      <c r="B167" s="6" t="s">
        <v>437</v>
      </c>
      <c r="C167" s="6" t="s">
        <v>438</v>
      </c>
      <c r="D167" s="9" t="n">
        <v>0</v>
      </c>
    </row>
    <row r="168" customFormat="false" ht="15" hidden="false" customHeight="false" outlineLevel="0" collapsed="false">
      <c r="A168" s="6" t="s">
        <v>238</v>
      </c>
      <c r="B168" s="6" t="s">
        <v>146</v>
      </c>
      <c r="C168" s="6" t="s">
        <v>439</v>
      </c>
      <c r="D168" s="9" t="n">
        <v>-192.5</v>
      </c>
    </row>
    <row r="169" customFormat="false" ht="15" hidden="false" customHeight="false" outlineLevel="0" collapsed="false">
      <c r="A169" s="6" t="s">
        <v>238</v>
      </c>
      <c r="B169" s="6" t="s">
        <v>164</v>
      </c>
      <c r="C169" s="6" t="s">
        <v>439</v>
      </c>
      <c r="D169" s="9" t="n">
        <v>-256.6</v>
      </c>
    </row>
    <row r="170" customFormat="false" ht="15" hidden="false" customHeight="false" outlineLevel="0" collapsed="false">
      <c r="A170" s="6" t="s">
        <v>238</v>
      </c>
      <c r="B170" s="6" t="s">
        <v>168</v>
      </c>
      <c r="C170" s="6" t="s">
        <v>440</v>
      </c>
      <c r="D170" s="9" t="n">
        <v>0</v>
      </c>
    </row>
    <row r="171" customFormat="false" ht="15" hidden="false" customHeight="false" outlineLevel="0" collapsed="false">
      <c r="A171" s="6" t="s">
        <v>238</v>
      </c>
      <c r="B171" s="6" t="s">
        <v>168</v>
      </c>
      <c r="C171" s="6" t="s">
        <v>441</v>
      </c>
      <c r="D171" s="9" t="n">
        <v>216.1</v>
      </c>
    </row>
    <row r="172" customFormat="false" ht="15" hidden="false" customHeight="false" outlineLevel="0" collapsed="false">
      <c r="A172" s="6" t="s">
        <v>238</v>
      </c>
      <c r="B172" s="6" t="s">
        <v>168</v>
      </c>
      <c r="C172" s="6" t="s">
        <v>442</v>
      </c>
      <c r="D172" s="9" t="n">
        <v>213</v>
      </c>
    </row>
    <row r="173" customFormat="false" ht="15" hidden="false" customHeight="false" outlineLevel="0" collapsed="false">
      <c r="A173" s="6" t="s">
        <v>238</v>
      </c>
      <c r="B173" s="6" t="s">
        <v>168</v>
      </c>
      <c r="C173" s="6" t="s">
        <v>443</v>
      </c>
      <c r="D173" s="9" t="n">
        <v>-106.5</v>
      </c>
    </row>
    <row r="174" customFormat="false" ht="15" hidden="false" customHeight="false" outlineLevel="0" collapsed="false">
      <c r="A174" s="6" t="s">
        <v>238</v>
      </c>
      <c r="B174" s="6" t="s">
        <v>198</v>
      </c>
      <c r="C174" s="6" t="s">
        <v>444</v>
      </c>
      <c r="D174" s="9" t="n">
        <v>0</v>
      </c>
    </row>
    <row r="175" customFormat="false" ht="15" hidden="false" customHeight="false" outlineLevel="0" collapsed="false">
      <c r="A175" s="6" t="s">
        <v>238</v>
      </c>
      <c r="B175" s="6" t="s">
        <v>198</v>
      </c>
      <c r="C175" s="6" t="s">
        <v>868</v>
      </c>
      <c r="D175" s="9" t="n">
        <v>0</v>
      </c>
    </row>
    <row r="176" customFormat="false" ht="15" hidden="false" customHeight="false" outlineLevel="0" collapsed="false">
      <c r="A176" s="6" t="s">
        <v>238</v>
      </c>
      <c r="B176" s="6" t="s">
        <v>198</v>
      </c>
      <c r="C176" s="6" t="s">
        <v>445</v>
      </c>
      <c r="D176" s="9" t="n">
        <v>-116.7</v>
      </c>
    </row>
    <row r="177" customFormat="false" ht="15" hidden="false" customHeight="false" outlineLevel="0" collapsed="false">
      <c r="A177" s="6" t="s">
        <v>238</v>
      </c>
      <c r="B177" s="6" t="s">
        <v>198</v>
      </c>
      <c r="C177" s="6" t="s">
        <v>446</v>
      </c>
      <c r="D177" s="9" t="n">
        <v>-116.7</v>
      </c>
    </row>
    <row r="178" customFormat="false" ht="15" hidden="false" customHeight="false" outlineLevel="0" collapsed="false">
      <c r="A178" s="6" t="s">
        <v>238</v>
      </c>
      <c r="B178" s="6" t="s">
        <v>147</v>
      </c>
      <c r="C178" s="6" t="s">
        <v>447</v>
      </c>
      <c r="D178" s="9" t="n">
        <v>-295.5</v>
      </c>
    </row>
    <row r="179" customFormat="false" ht="15" hidden="false" customHeight="false" outlineLevel="0" collapsed="false">
      <c r="A179" s="6" t="s">
        <v>238</v>
      </c>
      <c r="B179" s="6" t="s">
        <v>147</v>
      </c>
      <c r="C179" s="6" t="s">
        <v>448</v>
      </c>
      <c r="D179" s="9" t="n">
        <v>-439.5</v>
      </c>
    </row>
    <row r="180" customFormat="false" ht="15" hidden="false" customHeight="false" outlineLevel="0" collapsed="false">
      <c r="A180" s="6" t="s">
        <v>238</v>
      </c>
      <c r="B180" s="6" t="s">
        <v>147</v>
      </c>
      <c r="C180" s="6" t="s">
        <v>449</v>
      </c>
      <c r="D180" s="9" t="n">
        <v>-177.3</v>
      </c>
    </row>
    <row r="181" customFormat="false" ht="15" hidden="false" customHeight="false" outlineLevel="0" collapsed="false">
      <c r="A181" s="6" t="s">
        <v>238</v>
      </c>
      <c r="B181" s="6" t="s">
        <v>147</v>
      </c>
      <c r="C181" s="6" t="s">
        <v>450</v>
      </c>
      <c r="D181" s="9" t="n">
        <v>-151.6</v>
      </c>
    </row>
    <row r="182" customFormat="false" ht="15" hidden="false" customHeight="false" outlineLevel="0" collapsed="false">
      <c r="A182" s="6" t="s">
        <v>238</v>
      </c>
      <c r="B182" s="6" t="s">
        <v>147</v>
      </c>
      <c r="C182" s="6" t="s">
        <v>451</v>
      </c>
      <c r="D182" s="9" t="n">
        <v>-144</v>
      </c>
    </row>
    <row r="183" customFormat="false" ht="15" hidden="false" customHeight="false" outlineLevel="0" collapsed="false">
      <c r="A183" s="6" t="s">
        <v>238</v>
      </c>
      <c r="B183" s="6" t="s">
        <v>33</v>
      </c>
      <c r="C183" s="6" t="s">
        <v>452</v>
      </c>
      <c r="D183" s="9" t="n">
        <v>27235.5</v>
      </c>
    </row>
    <row r="184" customFormat="false" ht="15" hidden="false" customHeight="false" outlineLevel="0" collapsed="false">
      <c r="A184" s="6" t="s">
        <v>238</v>
      </c>
      <c r="B184" s="6" t="s">
        <v>33</v>
      </c>
      <c r="C184" s="6" t="s">
        <v>453</v>
      </c>
      <c r="D184" s="9" t="n">
        <v>26730.1</v>
      </c>
    </row>
    <row r="185" customFormat="false" ht="15" hidden="false" customHeight="false" outlineLevel="0" collapsed="false">
      <c r="A185" s="6" t="s">
        <v>238</v>
      </c>
      <c r="B185" s="6" t="s">
        <v>33</v>
      </c>
      <c r="C185" s="6" t="s">
        <v>454</v>
      </c>
      <c r="D185" s="9" t="n">
        <v>15278.4</v>
      </c>
    </row>
    <row r="186" customFormat="false" ht="15" hidden="false" customHeight="false" outlineLevel="0" collapsed="false">
      <c r="A186" s="6" t="s">
        <v>238</v>
      </c>
      <c r="B186" s="6" t="s">
        <v>33</v>
      </c>
      <c r="C186" s="6" t="s">
        <v>455</v>
      </c>
      <c r="D186" s="9" t="n">
        <v>16625.5</v>
      </c>
    </row>
    <row r="187" customFormat="false" ht="15" hidden="false" customHeight="false" outlineLevel="0" collapsed="false">
      <c r="A187" s="6" t="s">
        <v>238</v>
      </c>
      <c r="B187" s="6" t="s">
        <v>33</v>
      </c>
      <c r="C187" s="6" t="s">
        <v>456</v>
      </c>
      <c r="D187" s="9" t="n">
        <v>4674.8</v>
      </c>
    </row>
    <row r="188" customFormat="false" ht="15" hidden="false" customHeight="false" outlineLevel="0" collapsed="false">
      <c r="A188" s="6" t="s">
        <v>238</v>
      </c>
      <c r="B188" s="6" t="s">
        <v>24</v>
      </c>
      <c r="C188" s="6" t="s">
        <v>457</v>
      </c>
      <c r="D188" s="9" t="n">
        <v>33027.9</v>
      </c>
    </row>
    <row r="189" customFormat="false" ht="15" hidden="false" customHeight="false" outlineLevel="0" collapsed="false">
      <c r="A189" s="6" t="s">
        <v>238</v>
      </c>
      <c r="B189" s="6" t="s">
        <v>24</v>
      </c>
      <c r="C189" s="6" t="s">
        <v>458</v>
      </c>
      <c r="D189" s="9" t="n">
        <v>51837</v>
      </c>
    </row>
    <row r="190" customFormat="false" ht="15" hidden="false" customHeight="false" outlineLevel="0" collapsed="false">
      <c r="A190" s="6" t="s">
        <v>238</v>
      </c>
      <c r="B190" s="6" t="s">
        <v>24</v>
      </c>
      <c r="C190" s="6" t="s">
        <v>459</v>
      </c>
      <c r="D190" s="9" t="n">
        <v>62928.1</v>
      </c>
    </row>
    <row r="191" customFormat="false" ht="15" hidden="false" customHeight="false" outlineLevel="0" collapsed="false">
      <c r="A191" s="6" t="s">
        <v>238</v>
      </c>
      <c r="B191" s="6" t="s">
        <v>24</v>
      </c>
      <c r="C191" s="6" t="s">
        <v>460</v>
      </c>
      <c r="D191" s="9" t="n">
        <v>42974.7</v>
      </c>
    </row>
    <row r="192" customFormat="false" ht="15" hidden="false" customHeight="false" outlineLevel="0" collapsed="false">
      <c r="A192" s="6" t="s">
        <v>238</v>
      </c>
      <c r="B192" s="6" t="s">
        <v>26</v>
      </c>
      <c r="C192" s="6" t="s">
        <v>461</v>
      </c>
      <c r="D192" s="9" t="n">
        <v>9530.7</v>
      </c>
    </row>
    <row r="193" customFormat="false" ht="15" hidden="false" customHeight="false" outlineLevel="0" collapsed="false">
      <c r="A193" s="6" t="s">
        <v>238</v>
      </c>
      <c r="B193" s="6" t="s">
        <v>26</v>
      </c>
      <c r="C193" s="6" t="s">
        <v>462</v>
      </c>
      <c r="D193" s="9" t="n">
        <v>24557.9</v>
      </c>
    </row>
    <row r="194" customFormat="false" ht="15" hidden="false" customHeight="false" outlineLevel="0" collapsed="false">
      <c r="A194" s="6" t="s">
        <v>238</v>
      </c>
      <c r="B194" s="6" t="s">
        <v>26</v>
      </c>
      <c r="C194" s="6" t="s">
        <v>463</v>
      </c>
      <c r="D194" s="9" t="n">
        <v>26344.9</v>
      </c>
    </row>
    <row r="195" customFormat="false" ht="15" hidden="false" customHeight="false" outlineLevel="0" collapsed="false">
      <c r="A195" s="6" t="s">
        <v>238</v>
      </c>
      <c r="B195" s="6" t="s">
        <v>26</v>
      </c>
      <c r="C195" s="6" t="s">
        <v>464</v>
      </c>
      <c r="D195" s="9" t="n">
        <v>19981.4</v>
      </c>
    </row>
    <row r="196" customFormat="false" ht="15" hidden="false" customHeight="false" outlineLevel="0" collapsed="false">
      <c r="A196" s="6" t="s">
        <v>238</v>
      </c>
      <c r="B196" s="6" t="s">
        <v>26</v>
      </c>
      <c r="C196" s="6" t="s">
        <v>465</v>
      </c>
      <c r="D196" s="9" t="n">
        <v>3060.3</v>
      </c>
    </row>
    <row r="197" customFormat="false" ht="15" hidden="false" customHeight="false" outlineLevel="0" collapsed="false">
      <c r="A197" s="6" t="s">
        <v>238</v>
      </c>
      <c r="B197" s="6" t="s">
        <v>142</v>
      </c>
      <c r="C197" s="6" t="s">
        <v>466</v>
      </c>
      <c r="D197" s="9" t="n">
        <v>0</v>
      </c>
    </row>
    <row r="198" customFormat="false" ht="15" hidden="false" customHeight="false" outlineLevel="0" collapsed="false">
      <c r="A198" s="6" t="s">
        <v>238</v>
      </c>
      <c r="B198" s="6" t="s">
        <v>142</v>
      </c>
      <c r="C198" s="6" t="s">
        <v>467</v>
      </c>
      <c r="D198" s="9" t="n">
        <v>243.1</v>
      </c>
    </row>
    <row r="199" customFormat="false" ht="15" hidden="false" customHeight="false" outlineLevel="0" collapsed="false">
      <c r="A199" s="6" t="s">
        <v>238</v>
      </c>
      <c r="B199" s="6" t="s">
        <v>142</v>
      </c>
      <c r="C199" s="6" t="s">
        <v>468</v>
      </c>
      <c r="D199" s="9" t="n">
        <v>152.7</v>
      </c>
    </row>
    <row r="200" customFormat="false" ht="15" hidden="false" customHeight="false" outlineLevel="0" collapsed="false">
      <c r="A200" s="6" t="s">
        <v>238</v>
      </c>
      <c r="B200" s="6" t="s">
        <v>142</v>
      </c>
      <c r="C200" s="6" t="s">
        <v>469</v>
      </c>
      <c r="D200" s="9" t="n">
        <v>0</v>
      </c>
    </row>
    <row r="201" customFormat="false" ht="15" hidden="false" customHeight="false" outlineLevel="0" collapsed="false">
      <c r="A201" s="6" t="s">
        <v>238</v>
      </c>
      <c r="B201" s="6" t="s">
        <v>100</v>
      </c>
      <c r="C201" s="6" t="s">
        <v>471</v>
      </c>
      <c r="D201" s="9" t="n">
        <v>354</v>
      </c>
    </row>
    <row r="202" customFormat="false" ht="15" hidden="false" customHeight="false" outlineLevel="0" collapsed="false">
      <c r="A202" s="6" t="s">
        <v>238</v>
      </c>
      <c r="B202" s="6" t="s">
        <v>100</v>
      </c>
      <c r="C202" s="6" t="s">
        <v>472</v>
      </c>
      <c r="D202" s="9" t="n">
        <v>832.4</v>
      </c>
    </row>
    <row r="203" customFormat="false" ht="15" hidden="false" customHeight="false" outlineLevel="0" collapsed="false">
      <c r="A203" s="6" t="s">
        <v>238</v>
      </c>
      <c r="B203" s="6" t="s">
        <v>100</v>
      </c>
      <c r="C203" s="6" t="s">
        <v>473</v>
      </c>
      <c r="D203" s="9" t="n">
        <v>671.6</v>
      </c>
    </row>
    <row r="204" customFormat="false" ht="15" hidden="false" customHeight="false" outlineLevel="0" collapsed="false">
      <c r="A204" s="6" t="s">
        <v>238</v>
      </c>
      <c r="B204" s="6" t="s">
        <v>100</v>
      </c>
      <c r="C204" s="6" t="s">
        <v>474</v>
      </c>
      <c r="D204" s="9" t="n">
        <v>1072.6</v>
      </c>
    </row>
    <row r="205" customFormat="false" ht="15" hidden="false" customHeight="false" outlineLevel="0" collapsed="false">
      <c r="A205" s="6" t="s">
        <v>238</v>
      </c>
      <c r="B205" s="6" t="s">
        <v>100</v>
      </c>
      <c r="C205" s="6" t="s">
        <v>475</v>
      </c>
      <c r="D205" s="9" t="n">
        <v>73.3</v>
      </c>
    </row>
    <row r="206" customFormat="false" ht="15" hidden="false" customHeight="false" outlineLevel="0" collapsed="false">
      <c r="A206" s="6" t="s">
        <v>238</v>
      </c>
      <c r="B206" s="6" t="s">
        <v>185</v>
      </c>
      <c r="C206" s="6" t="s">
        <v>869</v>
      </c>
      <c r="D206" s="9" t="n">
        <v>0</v>
      </c>
    </row>
    <row r="207" customFormat="false" ht="15" hidden="false" customHeight="false" outlineLevel="0" collapsed="false">
      <c r="A207" s="6" t="s">
        <v>238</v>
      </c>
      <c r="B207" s="6" t="s">
        <v>185</v>
      </c>
      <c r="C207" s="6" t="s">
        <v>476</v>
      </c>
      <c r="D207" s="9" t="n">
        <v>-96.8</v>
      </c>
    </row>
    <row r="208" customFormat="false" ht="15" hidden="false" customHeight="false" outlineLevel="0" collapsed="false">
      <c r="A208" s="6" t="s">
        <v>238</v>
      </c>
      <c r="B208" s="6" t="s">
        <v>185</v>
      </c>
      <c r="C208" s="6" t="s">
        <v>477</v>
      </c>
      <c r="D208" s="9" t="n">
        <v>0</v>
      </c>
    </row>
    <row r="209" customFormat="false" ht="15" hidden="false" customHeight="false" outlineLevel="0" collapsed="false">
      <c r="A209" s="6" t="s">
        <v>238</v>
      </c>
      <c r="B209" s="6" t="s">
        <v>185</v>
      </c>
      <c r="C209" s="6" t="s">
        <v>478</v>
      </c>
      <c r="D209" s="9" t="n">
        <v>-96.8</v>
      </c>
    </row>
    <row r="210" customFormat="false" ht="15" hidden="false" customHeight="false" outlineLevel="0" collapsed="false">
      <c r="A210" s="6" t="s">
        <v>238</v>
      </c>
      <c r="B210" s="6" t="s">
        <v>212</v>
      </c>
      <c r="C210" s="6" t="s">
        <v>480</v>
      </c>
      <c r="D210" s="9" t="n">
        <v>0</v>
      </c>
    </row>
    <row r="211" customFormat="false" ht="15" hidden="false" customHeight="false" outlineLevel="0" collapsed="false">
      <c r="A211" s="6" t="s">
        <v>238</v>
      </c>
      <c r="B211" s="6" t="s">
        <v>212</v>
      </c>
      <c r="C211" s="6" t="s">
        <v>481</v>
      </c>
      <c r="D211" s="9" t="n">
        <v>0</v>
      </c>
    </row>
    <row r="212" customFormat="false" ht="15" hidden="false" customHeight="false" outlineLevel="0" collapsed="false">
      <c r="A212" s="6" t="s">
        <v>238</v>
      </c>
      <c r="B212" s="6" t="s">
        <v>212</v>
      </c>
      <c r="C212" s="6" t="s">
        <v>870</v>
      </c>
      <c r="D212" s="9" t="n">
        <v>0</v>
      </c>
    </row>
    <row r="213" customFormat="false" ht="15" hidden="false" customHeight="false" outlineLevel="0" collapsed="false">
      <c r="A213" s="6" t="s">
        <v>238</v>
      </c>
      <c r="B213" s="6" t="s">
        <v>59</v>
      </c>
      <c r="C213" s="6" t="s">
        <v>482</v>
      </c>
      <c r="D213" s="9" t="n">
        <v>2567.5</v>
      </c>
    </row>
    <row r="214" customFormat="false" ht="15" hidden="false" customHeight="false" outlineLevel="0" collapsed="false">
      <c r="A214" s="6" t="s">
        <v>238</v>
      </c>
      <c r="B214" s="6" t="s">
        <v>59</v>
      </c>
      <c r="C214" s="6" t="s">
        <v>483</v>
      </c>
      <c r="D214" s="9" t="n">
        <v>2067.3</v>
      </c>
    </row>
    <row r="215" customFormat="false" ht="15" hidden="false" customHeight="false" outlineLevel="0" collapsed="false">
      <c r="A215" s="6" t="s">
        <v>238</v>
      </c>
      <c r="B215" s="6" t="s">
        <v>59</v>
      </c>
      <c r="C215" s="6" t="s">
        <v>484</v>
      </c>
      <c r="D215" s="9" t="n">
        <v>3475.1</v>
      </c>
    </row>
    <row r="216" customFormat="false" ht="15" hidden="false" customHeight="false" outlineLevel="0" collapsed="false">
      <c r="A216" s="6" t="s">
        <v>238</v>
      </c>
      <c r="B216" s="6" t="s">
        <v>59</v>
      </c>
      <c r="C216" s="6" t="s">
        <v>485</v>
      </c>
      <c r="D216" s="9" t="n">
        <v>-67.6</v>
      </c>
    </row>
    <row r="217" customFormat="false" ht="15" hidden="false" customHeight="false" outlineLevel="0" collapsed="false">
      <c r="A217" s="6" t="s">
        <v>238</v>
      </c>
      <c r="B217" s="6" t="s">
        <v>59</v>
      </c>
      <c r="C217" s="6" t="s">
        <v>486</v>
      </c>
      <c r="D217" s="9" t="n">
        <v>-131.1</v>
      </c>
    </row>
    <row r="218" customFormat="false" ht="15" hidden="false" customHeight="false" outlineLevel="0" collapsed="false">
      <c r="A218" s="6" t="s">
        <v>238</v>
      </c>
      <c r="B218" s="6" t="s">
        <v>139</v>
      </c>
      <c r="C218" s="6" t="s">
        <v>487</v>
      </c>
      <c r="D218" s="9" t="n">
        <v>163.8</v>
      </c>
    </row>
    <row r="219" customFormat="false" ht="15" hidden="false" customHeight="false" outlineLevel="0" collapsed="false">
      <c r="A219" s="6" t="s">
        <v>238</v>
      </c>
      <c r="B219" s="6" t="s">
        <v>139</v>
      </c>
      <c r="C219" s="6" t="s">
        <v>488</v>
      </c>
      <c r="D219" s="9" t="n">
        <v>829</v>
      </c>
    </row>
    <row r="220" customFormat="false" ht="15" hidden="false" customHeight="false" outlineLevel="0" collapsed="false">
      <c r="A220" s="6" t="s">
        <v>238</v>
      </c>
      <c r="B220" s="6" t="s">
        <v>139</v>
      </c>
      <c r="C220" s="6" t="s">
        <v>489</v>
      </c>
      <c r="D220" s="9" t="n">
        <v>2060.7</v>
      </c>
    </row>
    <row r="221" customFormat="false" ht="15" hidden="false" customHeight="false" outlineLevel="0" collapsed="false">
      <c r="A221" s="6" t="s">
        <v>238</v>
      </c>
      <c r="B221" s="6" t="s">
        <v>139</v>
      </c>
      <c r="C221" s="6" t="s">
        <v>490</v>
      </c>
      <c r="D221" s="9" t="n">
        <v>1622.9</v>
      </c>
    </row>
    <row r="222" customFormat="false" ht="15" hidden="false" customHeight="false" outlineLevel="0" collapsed="false">
      <c r="A222" s="6" t="s">
        <v>238</v>
      </c>
      <c r="B222" s="6" t="s">
        <v>37</v>
      </c>
      <c r="C222" s="6" t="s">
        <v>491</v>
      </c>
      <c r="D222" s="9" t="n">
        <v>22591.8</v>
      </c>
    </row>
    <row r="223" customFormat="false" ht="15" hidden="false" customHeight="false" outlineLevel="0" collapsed="false">
      <c r="A223" s="6" t="s">
        <v>238</v>
      </c>
      <c r="B223" s="6" t="s">
        <v>37</v>
      </c>
      <c r="C223" s="6" t="s">
        <v>492</v>
      </c>
      <c r="D223" s="9" t="n">
        <v>21661.6</v>
      </c>
    </row>
    <row r="224" customFormat="false" ht="15" hidden="false" customHeight="false" outlineLevel="0" collapsed="false">
      <c r="A224" s="6" t="s">
        <v>238</v>
      </c>
      <c r="B224" s="6" t="s">
        <v>37</v>
      </c>
      <c r="C224" s="6" t="s">
        <v>493</v>
      </c>
      <c r="D224" s="9" t="n">
        <v>10075.8</v>
      </c>
    </row>
    <row r="225" customFormat="false" ht="15" hidden="false" customHeight="false" outlineLevel="0" collapsed="false">
      <c r="A225" s="6" t="s">
        <v>238</v>
      </c>
      <c r="B225" s="6" t="s">
        <v>37</v>
      </c>
      <c r="C225" s="6" t="s">
        <v>494</v>
      </c>
      <c r="D225" s="9" t="n">
        <v>12792.9</v>
      </c>
    </row>
    <row r="226" customFormat="false" ht="15" hidden="false" customHeight="false" outlineLevel="0" collapsed="false">
      <c r="A226" s="6" t="s">
        <v>238</v>
      </c>
      <c r="B226" s="6" t="s">
        <v>49</v>
      </c>
      <c r="C226" s="6" t="s">
        <v>495</v>
      </c>
      <c r="D226" s="9" t="n">
        <v>5553.6</v>
      </c>
    </row>
    <row r="227" customFormat="false" ht="15" hidden="false" customHeight="false" outlineLevel="0" collapsed="false">
      <c r="A227" s="6" t="s">
        <v>238</v>
      </c>
      <c r="B227" s="6" t="s">
        <v>49</v>
      </c>
      <c r="C227" s="6" t="s">
        <v>496</v>
      </c>
      <c r="D227" s="9" t="n">
        <v>8613.6</v>
      </c>
    </row>
    <row r="228" customFormat="false" ht="15" hidden="false" customHeight="false" outlineLevel="0" collapsed="false">
      <c r="A228" s="6" t="s">
        <v>238</v>
      </c>
      <c r="B228" s="6" t="s">
        <v>49</v>
      </c>
      <c r="C228" s="6" t="s">
        <v>497</v>
      </c>
      <c r="D228" s="9" t="n">
        <v>5945</v>
      </c>
    </row>
    <row r="229" customFormat="false" ht="15" hidden="false" customHeight="false" outlineLevel="0" collapsed="false">
      <c r="A229" s="6" t="s">
        <v>238</v>
      </c>
      <c r="B229" s="6" t="s">
        <v>49</v>
      </c>
      <c r="C229" s="6" t="s">
        <v>498</v>
      </c>
      <c r="D229" s="9" t="n">
        <v>2595.5</v>
      </c>
    </row>
    <row r="230" customFormat="false" ht="15" hidden="false" customHeight="false" outlineLevel="0" collapsed="false">
      <c r="A230" s="6" t="s">
        <v>238</v>
      </c>
      <c r="B230" s="6" t="s">
        <v>49</v>
      </c>
      <c r="C230" s="6" t="s">
        <v>499</v>
      </c>
      <c r="D230" s="9" t="n">
        <v>832.7</v>
      </c>
    </row>
    <row r="231" customFormat="false" ht="15" hidden="false" customHeight="false" outlineLevel="0" collapsed="false">
      <c r="A231" s="6" t="s">
        <v>238</v>
      </c>
      <c r="B231" s="6" t="s">
        <v>49</v>
      </c>
      <c r="C231" s="6" t="s">
        <v>500</v>
      </c>
      <c r="D231" s="9" t="n">
        <v>136.7</v>
      </c>
    </row>
    <row r="232" customFormat="false" ht="15" hidden="false" customHeight="false" outlineLevel="0" collapsed="false">
      <c r="A232" s="6" t="s">
        <v>238</v>
      </c>
      <c r="B232" s="6" t="s">
        <v>87</v>
      </c>
      <c r="C232" s="6" t="s">
        <v>501</v>
      </c>
      <c r="D232" s="9" t="n">
        <v>3240.5</v>
      </c>
    </row>
    <row r="233" customFormat="false" ht="15" hidden="false" customHeight="false" outlineLevel="0" collapsed="false">
      <c r="A233" s="6" t="s">
        <v>238</v>
      </c>
      <c r="B233" s="6" t="s">
        <v>167</v>
      </c>
      <c r="C233" s="6" t="s">
        <v>502</v>
      </c>
      <c r="D233" s="9" t="n">
        <v>1237.6</v>
      </c>
    </row>
    <row r="234" customFormat="false" ht="15" hidden="false" customHeight="false" outlineLevel="0" collapsed="false">
      <c r="A234" s="6" t="s">
        <v>238</v>
      </c>
      <c r="B234" s="6" t="s">
        <v>64</v>
      </c>
      <c r="C234" s="6" t="s">
        <v>503</v>
      </c>
      <c r="D234" s="9" t="n">
        <v>-798.9</v>
      </c>
    </row>
    <row r="235" customFormat="false" ht="15" hidden="false" customHeight="false" outlineLevel="0" collapsed="false">
      <c r="A235" s="6" t="s">
        <v>238</v>
      </c>
      <c r="B235" s="6" t="s">
        <v>64</v>
      </c>
      <c r="C235" s="6" t="s">
        <v>504</v>
      </c>
      <c r="D235" s="9" t="n">
        <v>984</v>
      </c>
    </row>
    <row r="236" customFormat="false" ht="15" hidden="false" customHeight="false" outlineLevel="0" collapsed="false">
      <c r="A236" s="6" t="s">
        <v>238</v>
      </c>
      <c r="B236" s="6" t="s">
        <v>64</v>
      </c>
      <c r="C236" s="6" t="s">
        <v>505</v>
      </c>
      <c r="D236" s="9" t="n">
        <v>1267.9</v>
      </c>
    </row>
    <row r="237" customFormat="false" ht="15" hidden="false" customHeight="false" outlineLevel="0" collapsed="false">
      <c r="A237" s="6" t="s">
        <v>238</v>
      </c>
      <c r="B237" s="6" t="s">
        <v>64</v>
      </c>
      <c r="C237" s="6" t="s">
        <v>506</v>
      </c>
      <c r="D237" s="9" t="n">
        <v>6289.8</v>
      </c>
    </row>
    <row r="238" customFormat="false" ht="15" hidden="false" customHeight="false" outlineLevel="0" collapsed="false">
      <c r="A238" s="6" t="s">
        <v>238</v>
      </c>
      <c r="B238" s="6" t="s">
        <v>64</v>
      </c>
      <c r="C238" s="6" t="s">
        <v>507</v>
      </c>
      <c r="D238" s="9" t="n">
        <v>6806.8</v>
      </c>
    </row>
    <row r="239" customFormat="false" ht="15" hidden="false" customHeight="false" outlineLevel="0" collapsed="false">
      <c r="A239" s="6" t="s">
        <v>238</v>
      </c>
      <c r="B239" s="6" t="s">
        <v>64</v>
      </c>
      <c r="C239" s="6" t="s">
        <v>508</v>
      </c>
      <c r="D239" s="9" t="n">
        <v>8044.1</v>
      </c>
    </row>
    <row r="240" customFormat="false" ht="15" hidden="false" customHeight="false" outlineLevel="0" collapsed="false">
      <c r="A240" s="6" t="s">
        <v>238</v>
      </c>
      <c r="B240" s="6" t="s">
        <v>88</v>
      </c>
      <c r="C240" s="6" t="s">
        <v>509</v>
      </c>
      <c r="D240" s="9" t="n">
        <v>2051.7</v>
      </c>
    </row>
    <row r="241" customFormat="false" ht="15" hidden="false" customHeight="false" outlineLevel="0" collapsed="false">
      <c r="A241" s="6" t="s">
        <v>238</v>
      </c>
      <c r="B241" s="6" t="s">
        <v>88</v>
      </c>
      <c r="C241" s="6" t="s">
        <v>510</v>
      </c>
      <c r="D241" s="9" t="n">
        <v>4452.2</v>
      </c>
    </row>
    <row r="242" customFormat="false" ht="15" hidden="false" customHeight="false" outlineLevel="0" collapsed="false">
      <c r="A242" s="6" t="s">
        <v>238</v>
      </c>
      <c r="B242" s="6" t="s">
        <v>88</v>
      </c>
      <c r="C242" s="6" t="s">
        <v>511</v>
      </c>
      <c r="D242" s="9" t="n">
        <v>3738.1</v>
      </c>
    </row>
    <row r="243" customFormat="false" ht="15" hidden="false" customHeight="false" outlineLevel="0" collapsed="false">
      <c r="A243" s="6" t="s">
        <v>238</v>
      </c>
      <c r="B243" s="6" t="s">
        <v>137</v>
      </c>
      <c r="C243" s="6" t="s">
        <v>512</v>
      </c>
      <c r="D243" s="9" t="n">
        <v>3227.7</v>
      </c>
    </row>
    <row r="244" customFormat="false" ht="15" hidden="false" customHeight="false" outlineLevel="0" collapsed="false">
      <c r="A244" s="6" t="s">
        <v>238</v>
      </c>
      <c r="B244" s="6" t="s">
        <v>871</v>
      </c>
      <c r="C244" s="6" t="s">
        <v>872</v>
      </c>
      <c r="D244" s="9" t="n">
        <v>0</v>
      </c>
    </row>
    <row r="245" customFormat="false" ht="15" hidden="false" customHeight="false" outlineLevel="0" collapsed="false">
      <c r="A245" s="6" t="s">
        <v>238</v>
      </c>
      <c r="B245" s="6" t="s">
        <v>227</v>
      </c>
      <c r="C245" s="6" t="s">
        <v>517</v>
      </c>
      <c r="D245" s="9" t="n">
        <v>-81.9</v>
      </c>
    </row>
    <row r="246" customFormat="false" ht="15" hidden="false" customHeight="false" outlineLevel="0" collapsed="false">
      <c r="A246" s="6" t="s">
        <v>238</v>
      </c>
      <c r="B246" s="6" t="s">
        <v>179</v>
      </c>
      <c r="C246" s="6" t="s">
        <v>521</v>
      </c>
      <c r="D246" s="9" t="n">
        <v>0</v>
      </c>
    </row>
    <row r="247" customFormat="false" ht="15" hidden="false" customHeight="false" outlineLevel="0" collapsed="false">
      <c r="A247" s="6" t="s">
        <v>238</v>
      </c>
      <c r="B247" s="6" t="s">
        <v>179</v>
      </c>
      <c r="C247" s="6" t="s">
        <v>522</v>
      </c>
      <c r="D247" s="9" t="n">
        <v>0</v>
      </c>
    </row>
    <row r="248" customFormat="false" ht="15" hidden="false" customHeight="false" outlineLevel="0" collapsed="false">
      <c r="A248" s="6" t="s">
        <v>238</v>
      </c>
      <c r="B248" s="6" t="s">
        <v>179</v>
      </c>
      <c r="C248" s="6" t="s">
        <v>523</v>
      </c>
      <c r="D248" s="9" t="n">
        <v>0</v>
      </c>
    </row>
    <row r="249" customFormat="false" ht="15" hidden="false" customHeight="false" outlineLevel="0" collapsed="false">
      <c r="A249" s="6" t="s">
        <v>238</v>
      </c>
      <c r="B249" s="6" t="s">
        <v>166</v>
      </c>
      <c r="C249" s="6" t="s">
        <v>526</v>
      </c>
      <c r="D249" s="9" t="n">
        <v>0</v>
      </c>
    </row>
    <row r="250" customFormat="false" ht="15" hidden="false" customHeight="false" outlineLevel="0" collapsed="false">
      <c r="A250" s="6" t="s">
        <v>238</v>
      </c>
      <c r="B250" s="6" t="s">
        <v>205</v>
      </c>
      <c r="C250" s="6" t="s">
        <v>528</v>
      </c>
      <c r="D250" s="9" t="n">
        <v>630.7</v>
      </c>
    </row>
    <row r="251" customFormat="false" ht="15" hidden="false" customHeight="false" outlineLevel="0" collapsed="false">
      <c r="A251" s="6" t="s">
        <v>238</v>
      </c>
      <c r="B251" s="6" t="s">
        <v>55</v>
      </c>
      <c r="C251" s="6" t="s">
        <v>529</v>
      </c>
      <c r="D251" s="9" t="n">
        <v>3014.9</v>
      </c>
    </row>
    <row r="252" customFormat="false" ht="15" hidden="false" customHeight="false" outlineLevel="0" collapsed="false">
      <c r="A252" s="6" t="s">
        <v>238</v>
      </c>
      <c r="B252" s="6" t="s">
        <v>55</v>
      </c>
      <c r="C252" s="6" t="s">
        <v>530</v>
      </c>
      <c r="D252" s="9" t="n">
        <v>2674.1</v>
      </c>
    </row>
    <row r="253" customFormat="false" ht="15" hidden="false" customHeight="false" outlineLevel="0" collapsed="false">
      <c r="A253" s="6" t="s">
        <v>238</v>
      </c>
      <c r="B253" s="6" t="s">
        <v>55</v>
      </c>
      <c r="C253" s="6" t="s">
        <v>531</v>
      </c>
      <c r="D253" s="9" t="n">
        <v>3646.7</v>
      </c>
    </row>
    <row r="254" customFormat="false" ht="15" hidden="false" customHeight="false" outlineLevel="0" collapsed="false">
      <c r="A254" s="6" t="s">
        <v>238</v>
      </c>
      <c r="B254" s="6" t="s">
        <v>183</v>
      </c>
      <c r="C254" s="6" t="s">
        <v>873</v>
      </c>
      <c r="D254" s="9" t="n">
        <v>-204.8</v>
      </c>
    </row>
    <row r="255" customFormat="false" ht="15" hidden="false" customHeight="false" outlineLevel="0" collapsed="false">
      <c r="A255" s="6" t="s">
        <v>238</v>
      </c>
      <c r="B255" s="6" t="s">
        <v>52</v>
      </c>
      <c r="C255" s="6" t="s">
        <v>532</v>
      </c>
      <c r="D255" s="9" t="n">
        <v>2774.1</v>
      </c>
    </row>
    <row r="256" customFormat="false" ht="15" hidden="false" customHeight="false" outlineLevel="0" collapsed="false">
      <c r="A256" s="6" t="s">
        <v>238</v>
      </c>
      <c r="B256" s="6" t="s">
        <v>52</v>
      </c>
      <c r="C256" s="6" t="s">
        <v>533</v>
      </c>
      <c r="D256" s="9" t="n">
        <v>16961.5</v>
      </c>
    </row>
    <row r="257" customFormat="false" ht="15" hidden="false" customHeight="false" outlineLevel="0" collapsed="false">
      <c r="A257" s="6" t="s">
        <v>238</v>
      </c>
      <c r="B257" s="6" t="s">
        <v>52</v>
      </c>
      <c r="C257" s="6" t="s">
        <v>534</v>
      </c>
      <c r="D257" s="9" t="n">
        <v>20666.2</v>
      </c>
    </row>
    <row r="258" customFormat="false" ht="15" hidden="false" customHeight="false" outlineLevel="0" collapsed="false">
      <c r="A258" s="6" t="s">
        <v>238</v>
      </c>
      <c r="B258" s="6" t="s">
        <v>52</v>
      </c>
      <c r="C258" s="6" t="s">
        <v>535</v>
      </c>
      <c r="D258" s="9" t="n">
        <v>21496.9</v>
      </c>
    </row>
    <row r="259" customFormat="false" ht="15" hidden="false" customHeight="false" outlineLevel="0" collapsed="false">
      <c r="A259" s="6" t="s">
        <v>238</v>
      </c>
      <c r="B259" s="6" t="s">
        <v>52</v>
      </c>
      <c r="C259" s="6" t="s">
        <v>536</v>
      </c>
      <c r="D259" s="9" t="n">
        <v>8076.4</v>
      </c>
    </row>
    <row r="260" customFormat="false" ht="15" hidden="false" customHeight="false" outlineLevel="0" collapsed="false">
      <c r="A260" s="6" t="s">
        <v>238</v>
      </c>
      <c r="B260" s="6" t="s">
        <v>537</v>
      </c>
      <c r="C260" s="6" t="s">
        <v>538</v>
      </c>
      <c r="D260" s="9" t="n">
        <v>0</v>
      </c>
    </row>
    <row r="261" customFormat="false" ht="15" hidden="false" customHeight="false" outlineLevel="0" collapsed="false">
      <c r="A261" s="6" t="s">
        <v>238</v>
      </c>
      <c r="B261" s="6" t="s">
        <v>544</v>
      </c>
      <c r="C261" s="6" t="s">
        <v>545</v>
      </c>
      <c r="D261" s="9" t="n">
        <v>0</v>
      </c>
    </row>
    <row r="262" customFormat="false" ht="15" hidden="false" customHeight="false" outlineLevel="0" collapsed="false">
      <c r="A262" s="6" t="s">
        <v>238</v>
      </c>
      <c r="B262" s="6" t="s">
        <v>874</v>
      </c>
      <c r="C262" s="6" t="s">
        <v>875</v>
      </c>
      <c r="D262" s="9" t="n">
        <v>0</v>
      </c>
    </row>
    <row r="263" customFormat="false" ht="15" hidden="false" customHeight="false" outlineLevel="0" collapsed="false">
      <c r="A263" s="6" t="s">
        <v>238</v>
      </c>
      <c r="B263" s="6" t="s">
        <v>184</v>
      </c>
      <c r="C263" s="6" t="s">
        <v>549</v>
      </c>
      <c r="D263" s="9" t="n">
        <v>114</v>
      </c>
    </row>
    <row r="264" customFormat="false" ht="15" hidden="false" customHeight="false" outlineLevel="0" collapsed="false">
      <c r="A264" s="6" t="s">
        <v>238</v>
      </c>
      <c r="B264" s="6" t="s">
        <v>184</v>
      </c>
      <c r="C264" s="6" t="s">
        <v>550</v>
      </c>
      <c r="D264" s="9" t="n">
        <v>-121.7</v>
      </c>
    </row>
    <row r="265" customFormat="false" ht="15" hidden="false" customHeight="false" outlineLevel="0" collapsed="false">
      <c r="A265" s="6" t="s">
        <v>238</v>
      </c>
      <c r="B265" s="6" t="s">
        <v>184</v>
      </c>
      <c r="C265" s="6" t="s">
        <v>551</v>
      </c>
      <c r="D265" s="9" t="n">
        <v>122.2</v>
      </c>
    </row>
    <row r="266" customFormat="false" ht="15" hidden="false" customHeight="false" outlineLevel="0" collapsed="false">
      <c r="A266" s="6" t="s">
        <v>238</v>
      </c>
      <c r="B266" s="6" t="s">
        <v>153</v>
      </c>
      <c r="C266" s="6" t="s">
        <v>555</v>
      </c>
      <c r="D266" s="9" t="n">
        <v>0</v>
      </c>
    </row>
    <row r="267" customFormat="false" ht="15" hidden="false" customHeight="false" outlineLevel="0" collapsed="false">
      <c r="A267" s="6" t="s">
        <v>238</v>
      </c>
      <c r="B267" s="6" t="s">
        <v>153</v>
      </c>
      <c r="C267" s="6" t="s">
        <v>556</v>
      </c>
      <c r="D267" s="9" t="n">
        <v>0</v>
      </c>
    </row>
    <row r="268" customFormat="false" ht="15" hidden="false" customHeight="false" outlineLevel="0" collapsed="false">
      <c r="A268" s="6" t="s">
        <v>238</v>
      </c>
      <c r="B268" s="6" t="s">
        <v>64</v>
      </c>
      <c r="C268" s="6" t="s">
        <v>557</v>
      </c>
      <c r="D268" s="9" t="n">
        <v>0</v>
      </c>
    </row>
    <row r="269" customFormat="false" ht="15" hidden="false" customHeight="false" outlineLevel="0" collapsed="false">
      <c r="A269" s="6" t="s">
        <v>238</v>
      </c>
      <c r="B269" s="6" t="s">
        <v>205</v>
      </c>
      <c r="C269" s="6" t="s">
        <v>558</v>
      </c>
      <c r="D269" s="9" t="n">
        <v>1528.5</v>
      </c>
    </row>
    <row r="270" customFormat="false" ht="15" hidden="false" customHeight="false" outlineLevel="0" collapsed="false">
      <c r="A270" s="6" t="s">
        <v>238</v>
      </c>
      <c r="B270" s="6" t="s">
        <v>559</v>
      </c>
      <c r="C270" s="6" t="s">
        <v>560</v>
      </c>
      <c r="D270" s="9" t="n">
        <v>0</v>
      </c>
    </row>
    <row r="271" customFormat="false" ht="15" hidden="false" customHeight="false" outlineLevel="0" collapsed="false">
      <c r="A271" s="6" t="s">
        <v>238</v>
      </c>
      <c r="B271" s="6" t="s">
        <v>77</v>
      </c>
      <c r="C271" s="6" t="s">
        <v>561</v>
      </c>
      <c r="D271" s="9" t="n">
        <v>18182.5</v>
      </c>
    </row>
    <row r="272" customFormat="false" ht="15" hidden="false" customHeight="false" outlineLevel="0" collapsed="false">
      <c r="A272" s="6" t="s">
        <v>238</v>
      </c>
      <c r="B272" s="6" t="s">
        <v>563</v>
      </c>
      <c r="C272" s="6" t="s">
        <v>564</v>
      </c>
      <c r="D272" s="9" t="n">
        <v>0</v>
      </c>
    </row>
    <row r="273" customFormat="false" ht="15" hidden="false" customHeight="false" outlineLevel="0" collapsed="false">
      <c r="A273" s="6" t="s">
        <v>238</v>
      </c>
      <c r="B273" s="6" t="s">
        <v>565</v>
      </c>
      <c r="C273" s="6" t="s">
        <v>566</v>
      </c>
      <c r="D273" s="9" t="n">
        <v>0</v>
      </c>
    </row>
    <row r="274" customFormat="false" ht="15" hidden="false" customHeight="false" outlineLevel="0" collapsed="false">
      <c r="A274" s="6" t="s">
        <v>238</v>
      </c>
      <c r="B274" s="6" t="s">
        <v>41</v>
      </c>
      <c r="C274" s="6" t="s">
        <v>567</v>
      </c>
      <c r="D274" s="9" t="n">
        <v>30593.7</v>
      </c>
    </row>
    <row r="275" customFormat="false" ht="15" hidden="false" customHeight="false" outlineLevel="0" collapsed="false">
      <c r="A275" s="6" t="s">
        <v>238</v>
      </c>
      <c r="B275" s="6" t="s">
        <v>568</v>
      </c>
      <c r="C275" s="6" t="s">
        <v>569</v>
      </c>
      <c r="D275" s="9" t="n">
        <v>0</v>
      </c>
    </row>
    <row r="276" customFormat="false" ht="15" hidden="false" customHeight="false" outlineLevel="0" collapsed="false">
      <c r="A276" s="6" t="s">
        <v>238</v>
      </c>
      <c r="B276" s="6" t="s">
        <v>570</v>
      </c>
      <c r="C276" s="6" t="s">
        <v>571</v>
      </c>
      <c r="D276" s="9" t="n">
        <v>0</v>
      </c>
    </row>
    <row r="277" customFormat="false" ht="15" hidden="false" customHeight="false" outlineLevel="0" collapsed="false">
      <c r="A277" s="6" t="s">
        <v>238</v>
      </c>
      <c r="B277" s="6" t="s">
        <v>33</v>
      </c>
      <c r="C277" s="6" t="s">
        <v>572</v>
      </c>
      <c r="D277" s="9" t="n">
        <v>0</v>
      </c>
    </row>
    <row r="278" customFormat="false" ht="15" hidden="false" customHeight="false" outlineLevel="0" collapsed="false">
      <c r="A278" s="6" t="s">
        <v>238</v>
      </c>
      <c r="B278" s="6" t="s">
        <v>121</v>
      </c>
      <c r="C278" s="6" t="s">
        <v>573</v>
      </c>
      <c r="D278" s="9" t="n">
        <v>2453.1</v>
      </c>
    </row>
    <row r="279" customFormat="false" ht="15" hidden="false" customHeight="false" outlineLevel="0" collapsed="false">
      <c r="A279" s="6" t="s">
        <v>238</v>
      </c>
      <c r="B279" s="6" t="s">
        <v>44</v>
      </c>
      <c r="C279" s="6" t="s">
        <v>579</v>
      </c>
      <c r="D279" s="9" t="n">
        <v>44688.8</v>
      </c>
    </row>
    <row r="280" customFormat="false" ht="15" hidden="false" customHeight="false" outlineLevel="0" collapsed="false">
      <c r="A280" s="6" t="s">
        <v>238</v>
      </c>
      <c r="B280" s="6" t="s">
        <v>17</v>
      </c>
      <c r="C280" s="6" t="s">
        <v>580</v>
      </c>
      <c r="D280" s="9" t="n">
        <v>25746.7</v>
      </c>
    </row>
    <row r="281" customFormat="false" ht="15" hidden="false" customHeight="false" outlineLevel="0" collapsed="false">
      <c r="A281" s="6" t="s">
        <v>238</v>
      </c>
      <c r="B281" s="6" t="s">
        <v>17</v>
      </c>
      <c r="C281" s="6" t="s">
        <v>581</v>
      </c>
      <c r="D281" s="9" t="n">
        <v>32031.2</v>
      </c>
    </row>
    <row r="282" customFormat="false" ht="15" hidden="false" customHeight="false" outlineLevel="0" collapsed="false">
      <c r="A282" s="6" t="s">
        <v>238</v>
      </c>
      <c r="B282" s="6" t="s">
        <v>17</v>
      </c>
      <c r="C282" s="6" t="s">
        <v>582</v>
      </c>
      <c r="D282" s="9" t="n">
        <v>22928.6</v>
      </c>
    </row>
    <row r="283" customFormat="false" ht="15" hidden="false" customHeight="false" outlineLevel="0" collapsed="false">
      <c r="A283" s="6" t="s">
        <v>238</v>
      </c>
      <c r="B283" s="6" t="s">
        <v>17</v>
      </c>
      <c r="C283" s="6" t="s">
        <v>583</v>
      </c>
      <c r="D283" s="9" t="n">
        <v>16329.4</v>
      </c>
    </row>
    <row r="284" customFormat="false" ht="15" hidden="false" customHeight="false" outlineLevel="0" collapsed="false">
      <c r="A284" s="6" t="s">
        <v>238</v>
      </c>
      <c r="B284" s="6" t="s">
        <v>17</v>
      </c>
      <c r="C284" s="6" t="s">
        <v>584</v>
      </c>
      <c r="D284" s="9" t="n">
        <v>0</v>
      </c>
    </row>
    <row r="285" customFormat="false" ht="15" hidden="false" customHeight="false" outlineLevel="0" collapsed="false">
      <c r="A285" s="6" t="s">
        <v>238</v>
      </c>
      <c r="B285" s="6" t="s">
        <v>27</v>
      </c>
      <c r="C285" s="6" t="s">
        <v>585</v>
      </c>
      <c r="D285" s="9" t="n">
        <v>24780</v>
      </c>
    </row>
    <row r="286" customFormat="false" ht="15" hidden="false" customHeight="false" outlineLevel="0" collapsed="false">
      <c r="A286" s="6" t="s">
        <v>238</v>
      </c>
      <c r="B286" s="6" t="s">
        <v>27</v>
      </c>
      <c r="C286" s="6" t="s">
        <v>586</v>
      </c>
      <c r="D286" s="9" t="n">
        <v>38572.1</v>
      </c>
    </row>
    <row r="287" customFormat="false" ht="15" hidden="false" customHeight="false" outlineLevel="0" collapsed="false">
      <c r="A287" s="6" t="s">
        <v>238</v>
      </c>
      <c r="B287" s="6" t="s">
        <v>27</v>
      </c>
      <c r="C287" s="6" t="s">
        <v>587</v>
      </c>
      <c r="D287" s="9" t="n">
        <v>36046.1</v>
      </c>
    </row>
    <row r="288" customFormat="false" ht="15" hidden="false" customHeight="false" outlineLevel="0" collapsed="false">
      <c r="A288" s="6" t="s">
        <v>238</v>
      </c>
      <c r="B288" s="6" t="s">
        <v>27</v>
      </c>
      <c r="C288" s="6" t="s">
        <v>588</v>
      </c>
      <c r="D288" s="9" t="n">
        <v>2479.1</v>
      </c>
    </row>
    <row r="289" customFormat="false" ht="15" hidden="false" customHeight="false" outlineLevel="0" collapsed="false">
      <c r="A289" s="6" t="s">
        <v>238</v>
      </c>
      <c r="B289" s="6" t="s">
        <v>589</v>
      </c>
      <c r="C289" s="6" t="s">
        <v>876</v>
      </c>
      <c r="D289" s="9" t="n">
        <v>0</v>
      </c>
    </row>
    <row r="290" customFormat="false" ht="15" hidden="false" customHeight="false" outlineLevel="0" collapsed="false">
      <c r="A290" s="6" t="s">
        <v>238</v>
      </c>
      <c r="B290" s="6" t="s">
        <v>199</v>
      </c>
      <c r="C290" s="6" t="s">
        <v>591</v>
      </c>
      <c r="D290" s="9" t="n">
        <v>257.2</v>
      </c>
    </row>
    <row r="291" customFormat="false" ht="15" hidden="false" customHeight="false" outlineLevel="0" collapsed="false">
      <c r="A291" s="6" t="s">
        <v>238</v>
      </c>
      <c r="B291" s="6" t="s">
        <v>592</v>
      </c>
      <c r="C291" s="6" t="s">
        <v>593</v>
      </c>
      <c r="D291" s="9" t="n">
        <v>0</v>
      </c>
    </row>
    <row r="292" customFormat="false" ht="15" hidden="false" customHeight="false" outlineLevel="0" collapsed="false">
      <c r="A292" s="6" t="s">
        <v>238</v>
      </c>
      <c r="B292" s="6" t="s">
        <v>594</v>
      </c>
      <c r="C292" s="6" t="s">
        <v>595</v>
      </c>
      <c r="D292" s="9" t="n">
        <v>0</v>
      </c>
    </row>
    <row r="293" customFormat="false" ht="15" hidden="false" customHeight="false" outlineLevel="0" collapsed="false">
      <c r="A293" s="6" t="s">
        <v>238</v>
      </c>
      <c r="B293" s="6" t="s">
        <v>596</v>
      </c>
      <c r="C293" s="6" t="s">
        <v>597</v>
      </c>
      <c r="D293" s="9" t="n">
        <v>0</v>
      </c>
    </row>
    <row r="294" customFormat="false" ht="15" hidden="false" customHeight="false" outlineLevel="0" collapsed="false">
      <c r="A294" s="6" t="s">
        <v>238</v>
      </c>
      <c r="B294" s="6" t="s">
        <v>151</v>
      </c>
      <c r="C294" s="6" t="s">
        <v>598</v>
      </c>
      <c r="D294" s="9" t="n">
        <v>3548.1</v>
      </c>
    </row>
    <row r="295" customFormat="false" ht="15" hidden="false" customHeight="false" outlineLevel="0" collapsed="false">
      <c r="A295" s="6" t="s">
        <v>238</v>
      </c>
      <c r="B295" s="6" t="s">
        <v>195</v>
      </c>
      <c r="C295" s="6" t="s">
        <v>600</v>
      </c>
      <c r="D295" s="9" t="n">
        <v>0</v>
      </c>
    </row>
    <row r="296" customFormat="false" ht="15" hidden="false" customHeight="false" outlineLevel="0" collapsed="false">
      <c r="A296" s="6" t="s">
        <v>238</v>
      </c>
      <c r="B296" s="6" t="s">
        <v>215</v>
      </c>
      <c r="C296" s="6" t="s">
        <v>601</v>
      </c>
      <c r="D296" s="9" t="n">
        <v>0</v>
      </c>
    </row>
    <row r="297" customFormat="false" ht="15" hidden="false" customHeight="false" outlineLevel="0" collapsed="false">
      <c r="A297" s="6" t="s">
        <v>238</v>
      </c>
      <c r="B297" s="6" t="s">
        <v>215</v>
      </c>
      <c r="C297" s="6" t="s">
        <v>602</v>
      </c>
      <c r="D297" s="9" t="n">
        <v>-58.3</v>
      </c>
    </row>
    <row r="298" customFormat="false" ht="15" hidden="false" customHeight="false" outlineLevel="0" collapsed="false">
      <c r="A298" s="6" t="s">
        <v>238</v>
      </c>
      <c r="B298" s="6" t="s">
        <v>215</v>
      </c>
      <c r="C298" s="6" t="s">
        <v>600</v>
      </c>
      <c r="D298" s="9" t="n">
        <v>0</v>
      </c>
    </row>
    <row r="299" customFormat="false" ht="15" hidden="false" customHeight="false" outlineLevel="0" collapsed="false">
      <c r="A299" s="6" t="s">
        <v>238</v>
      </c>
      <c r="B299" s="6" t="s">
        <v>128</v>
      </c>
      <c r="C299" s="6" t="s">
        <v>603</v>
      </c>
      <c r="D299" s="9" t="n">
        <v>79514</v>
      </c>
    </row>
    <row r="300" customFormat="false" ht="15" hidden="false" customHeight="false" outlineLevel="0" collapsed="false">
      <c r="A300" s="6" t="s">
        <v>238</v>
      </c>
      <c r="B300" s="6" t="s">
        <v>128</v>
      </c>
      <c r="C300" s="6" t="s">
        <v>604</v>
      </c>
      <c r="D300" s="9" t="n">
        <v>48296.9</v>
      </c>
    </row>
    <row r="301" customFormat="false" ht="15" hidden="false" customHeight="false" outlineLevel="0" collapsed="false">
      <c r="A301" s="6" t="s">
        <v>238</v>
      </c>
      <c r="B301" s="6" t="s">
        <v>80</v>
      </c>
      <c r="C301" s="6" t="s">
        <v>603</v>
      </c>
      <c r="D301" s="9" t="n">
        <v>12620.7</v>
      </c>
    </row>
    <row r="302" customFormat="false" ht="15" hidden="false" customHeight="false" outlineLevel="0" collapsed="false">
      <c r="A302" s="6" t="s">
        <v>238</v>
      </c>
      <c r="B302" s="6" t="s">
        <v>80</v>
      </c>
      <c r="C302" s="6" t="s">
        <v>604</v>
      </c>
      <c r="D302" s="9" t="n">
        <v>8507</v>
      </c>
    </row>
    <row r="303" customFormat="false" ht="15" hidden="false" customHeight="false" outlineLevel="0" collapsed="false">
      <c r="A303" s="6" t="s">
        <v>238</v>
      </c>
      <c r="B303" s="6" t="s">
        <v>169</v>
      </c>
      <c r="C303" s="6" t="s">
        <v>605</v>
      </c>
      <c r="D303" s="9" t="n">
        <v>387.7</v>
      </c>
    </row>
    <row r="304" customFormat="false" ht="15" hidden="false" customHeight="false" outlineLevel="0" collapsed="false">
      <c r="A304" s="6" t="s">
        <v>238</v>
      </c>
      <c r="B304" s="6" t="s">
        <v>228</v>
      </c>
      <c r="C304" s="6" t="s">
        <v>877</v>
      </c>
      <c r="D304" s="9" t="n">
        <v>0</v>
      </c>
    </row>
    <row r="305" customFormat="false" ht="15" hidden="false" customHeight="false" outlineLevel="0" collapsed="false">
      <c r="A305" s="6" t="s">
        <v>238</v>
      </c>
      <c r="B305" s="6" t="s">
        <v>207</v>
      </c>
      <c r="C305" s="6" t="s">
        <v>878</v>
      </c>
      <c r="D305" s="9" t="n">
        <v>-90.1</v>
      </c>
    </row>
    <row r="306" customFormat="false" ht="15" hidden="false" customHeight="false" outlineLevel="0" collapsed="false">
      <c r="A306" s="6" t="s">
        <v>238</v>
      </c>
      <c r="B306" s="6" t="s">
        <v>38</v>
      </c>
      <c r="C306" s="6" t="s">
        <v>614</v>
      </c>
      <c r="D306" s="9" t="n">
        <v>24292.6</v>
      </c>
    </row>
    <row r="307" customFormat="false" ht="15" hidden="false" customHeight="false" outlineLevel="0" collapsed="false">
      <c r="A307" s="6" t="s">
        <v>238</v>
      </c>
      <c r="B307" s="6" t="s">
        <v>38</v>
      </c>
      <c r="C307" s="6" t="s">
        <v>615</v>
      </c>
      <c r="D307" s="9" t="n">
        <v>24529.5</v>
      </c>
    </row>
    <row r="308" customFormat="false" ht="15" hidden="false" customHeight="false" outlineLevel="0" collapsed="false">
      <c r="A308" s="6" t="s">
        <v>238</v>
      </c>
      <c r="B308" s="6" t="s">
        <v>38</v>
      </c>
      <c r="C308" s="6" t="s">
        <v>616</v>
      </c>
      <c r="D308" s="9" t="n">
        <v>8198.4</v>
      </c>
    </row>
    <row r="309" customFormat="false" ht="15" hidden="false" customHeight="false" outlineLevel="0" collapsed="false">
      <c r="A309" s="6" t="s">
        <v>238</v>
      </c>
      <c r="B309" s="6" t="s">
        <v>204</v>
      </c>
      <c r="C309" s="6" t="s">
        <v>617</v>
      </c>
      <c r="D309" s="9" t="n">
        <v>-101.3</v>
      </c>
    </row>
    <row r="310" customFormat="false" ht="15" hidden="false" customHeight="false" outlineLevel="0" collapsed="false">
      <c r="A310" s="6" t="s">
        <v>238</v>
      </c>
      <c r="B310" s="6" t="s">
        <v>204</v>
      </c>
      <c r="C310" s="6" t="s">
        <v>618</v>
      </c>
      <c r="D310" s="9" t="n">
        <v>0</v>
      </c>
    </row>
    <row r="311" customFormat="false" ht="15" hidden="false" customHeight="false" outlineLevel="0" collapsed="false">
      <c r="A311" s="6" t="s">
        <v>238</v>
      </c>
      <c r="B311" s="6" t="s">
        <v>204</v>
      </c>
      <c r="C311" s="6" t="s">
        <v>619</v>
      </c>
      <c r="D311" s="9" t="n">
        <v>-48.1</v>
      </c>
    </row>
    <row r="312" customFormat="false" ht="15" hidden="false" customHeight="false" outlineLevel="0" collapsed="false">
      <c r="A312" s="6" t="s">
        <v>238</v>
      </c>
      <c r="B312" s="6" t="s">
        <v>209</v>
      </c>
      <c r="C312" s="6" t="s">
        <v>502</v>
      </c>
      <c r="D312" s="9" t="n">
        <v>-81.2</v>
      </c>
    </row>
    <row r="313" customFormat="false" ht="15" hidden="false" customHeight="false" outlineLevel="0" collapsed="false">
      <c r="A313" s="6" t="s">
        <v>238</v>
      </c>
      <c r="B313" s="6" t="s">
        <v>48</v>
      </c>
      <c r="C313" s="6" t="s">
        <v>623</v>
      </c>
      <c r="D313" s="9" t="n">
        <v>13864.9</v>
      </c>
    </row>
    <row r="314" customFormat="false" ht="15" hidden="false" customHeight="false" outlineLevel="0" collapsed="false">
      <c r="A314" s="6" t="s">
        <v>238</v>
      </c>
      <c r="B314" s="6" t="s">
        <v>48</v>
      </c>
      <c r="C314" s="6" t="s">
        <v>624</v>
      </c>
      <c r="D314" s="9" t="n">
        <v>12526</v>
      </c>
    </row>
    <row r="315" customFormat="false" ht="15" hidden="false" customHeight="false" outlineLevel="0" collapsed="false">
      <c r="A315" s="6" t="s">
        <v>238</v>
      </c>
      <c r="B315" s="6" t="s">
        <v>48</v>
      </c>
      <c r="C315" s="6" t="s">
        <v>625</v>
      </c>
      <c r="D315" s="9" t="n">
        <v>8507.3</v>
      </c>
    </row>
    <row r="316" customFormat="false" ht="15" hidden="false" customHeight="false" outlineLevel="0" collapsed="false">
      <c r="A316" s="6" t="s">
        <v>238</v>
      </c>
      <c r="B316" s="6" t="s">
        <v>48</v>
      </c>
      <c r="C316" s="6" t="s">
        <v>626</v>
      </c>
      <c r="D316" s="9" t="n">
        <v>9655.5</v>
      </c>
    </row>
    <row r="317" customFormat="false" ht="15" hidden="false" customHeight="false" outlineLevel="0" collapsed="false">
      <c r="A317" s="6" t="s">
        <v>238</v>
      </c>
      <c r="B317" s="6" t="s">
        <v>628</v>
      </c>
      <c r="C317" s="6" t="s">
        <v>629</v>
      </c>
      <c r="D317" s="9" t="n">
        <v>0</v>
      </c>
    </row>
    <row r="318" customFormat="false" ht="15" hidden="false" customHeight="false" outlineLevel="0" collapsed="false">
      <c r="A318" s="6" t="s">
        <v>238</v>
      </c>
      <c r="B318" s="6" t="s">
        <v>221</v>
      </c>
      <c r="C318" s="6" t="s">
        <v>637</v>
      </c>
      <c r="D318" s="9" t="n">
        <v>-24.4</v>
      </c>
    </row>
    <row r="319" customFormat="false" ht="15" hidden="false" customHeight="false" outlineLevel="0" collapsed="false">
      <c r="A319" s="6" t="s">
        <v>238</v>
      </c>
      <c r="B319" s="6" t="s">
        <v>638</v>
      </c>
      <c r="C319" s="6" t="s">
        <v>639</v>
      </c>
      <c r="D319" s="9" t="n">
        <v>0</v>
      </c>
    </row>
    <row r="320" customFormat="false" ht="15" hidden="false" customHeight="false" outlineLevel="0" collapsed="false">
      <c r="A320" s="6" t="s">
        <v>238</v>
      </c>
      <c r="B320" s="6" t="s">
        <v>640</v>
      </c>
      <c r="C320" s="6" t="s">
        <v>641</v>
      </c>
      <c r="D320" s="9" t="n">
        <v>0</v>
      </c>
    </row>
    <row r="321" customFormat="false" ht="15" hidden="false" customHeight="false" outlineLevel="0" collapsed="false">
      <c r="A321" s="6" t="s">
        <v>238</v>
      </c>
      <c r="B321" s="6" t="s">
        <v>216</v>
      </c>
      <c r="C321" s="6" t="s">
        <v>642</v>
      </c>
      <c r="D321" s="9" t="n">
        <v>279.9</v>
      </c>
    </row>
    <row r="322" customFormat="false" ht="15" hidden="false" customHeight="false" outlineLevel="0" collapsed="false">
      <c r="A322" s="6" t="s">
        <v>238</v>
      </c>
      <c r="B322" s="6" t="s">
        <v>643</v>
      </c>
      <c r="C322" s="6" t="s">
        <v>644</v>
      </c>
      <c r="D322" s="9" t="n">
        <v>0</v>
      </c>
    </row>
    <row r="323" customFormat="false" ht="15" hidden="false" customHeight="false" outlineLevel="0" collapsed="false">
      <c r="A323" s="6" t="s">
        <v>238</v>
      </c>
      <c r="B323" s="6" t="s">
        <v>645</v>
      </c>
      <c r="C323" s="6" t="s">
        <v>646</v>
      </c>
      <c r="D323" s="9" t="n">
        <v>0</v>
      </c>
    </row>
    <row r="324" customFormat="false" ht="15" hidden="false" customHeight="false" outlineLevel="0" collapsed="false">
      <c r="A324" s="6" t="s">
        <v>238</v>
      </c>
      <c r="B324" s="6" t="s">
        <v>174</v>
      </c>
      <c r="C324" s="6" t="s">
        <v>647</v>
      </c>
      <c r="D324" s="9" t="n">
        <v>0</v>
      </c>
    </row>
    <row r="325" customFormat="false" ht="15" hidden="false" customHeight="false" outlineLevel="0" collapsed="false">
      <c r="A325" s="6" t="s">
        <v>238</v>
      </c>
      <c r="B325" s="6" t="s">
        <v>174</v>
      </c>
      <c r="C325" s="6" t="s">
        <v>648</v>
      </c>
      <c r="D325" s="9" t="n">
        <v>-73</v>
      </c>
    </row>
    <row r="326" customFormat="false" ht="15" hidden="false" customHeight="false" outlineLevel="0" collapsed="false">
      <c r="A326" s="6" t="s">
        <v>238</v>
      </c>
      <c r="B326" s="6" t="s">
        <v>174</v>
      </c>
      <c r="C326" s="6" t="s">
        <v>649</v>
      </c>
      <c r="D326" s="9" t="n">
        <v>-36.5</v>
      </c>
    </row>
    <row r="327" customFormat="false" ht="15" hidden="false" customHeight="false" outlineLevel="0" collapsed="false">
      <c r="A327" s="6" t="s">
        <v>238</v>
      </c>
      <c r="B327" s="6" t="s">
        <v>174</v>
      </c>
      <c r="C327" s="6" t="s">
        <v>651</v>
      </c>
      <c r="D327" s="9" t="n">
        <v>0</v>
      </c>
    </row>
    <row r="328" customFormat="false" ht="15" hidden="false" customHeight="false" outlineLevel="0" collapsed="false">
      <c r="A328" s="6" t="s">
        <v>238</v>
      </c>
      <c r="B328" s="6" t="s">
        <v>174</v>
      </c>
      <c r="C328" s="6" t="s">
        <v>879</v>
      </c>
      <c r="D328" s="9" t="n">
        <v>0</v>
      </c>
    </row>
    <row r="329" customFormat="false" ht="15" hidden="false" customHeight="false" outlineLevel="0" collapsed="false">
      <c r="A329" s="6" t="s">
        <v>238</v>
      </c>
      <c r="B329" s="6" t="s">
        <v>174</v>
      </c>
      <c r="C329" s="6" t="s">
        <v>652</v>
      </c>
      <c r="D329" s="9" t="n">
        <v>-32.7</v>
      </c>
    </row>
    <row r="330" customFormat="false" ht="15" hidden="false" customHeight="false" outlineLevel="0" collapsed="false">
      <c r="A330" s="6" t="s">
        <v>238</v>
      </c>
      <c r="B330" s="6" t="s">
        <v>174</v>
      </c>
      <c r="C330" s="6" t="s">
        <v>654</v>
      </c>
      <c r="D330" s="9" t="n">
        <v>-36.5</v>
      </c>
    </row>
    <row r="331" customFormat="false" ht="15" hidden="false" customHeight="false" outlineLevel="0" collapsed="false">
      <c r="A331" s="6" t="s">
        <v>238</v>
      </c>
      <c r="B331" s="6" t="s">
        <v>174</v>
      </c>
      <c r="C331" s="6" t="s">
        <v>657</v>
      </c>
      <c r="D331" s="9" t="n">
        <v>-36.5</v>
      </c>
    </row>
    <row r="332" customFormat="false" ht="15" hidden="false" customHeight="false" outlineLevel="0" collapsed="false">
      <c r="A332" s="6" t="s">
        <v>238</v>
      </c>
      <c r="B332" s="6" t="s">
        <v>43</v>
      </c>
      <c r="C332" s="6" t="s">
        <v>658</v>
      </c>
      <c r="D332" s="9" t="n">
        <v>20707.1</v>
      </c>
    </row>
    <row r="333" customFormat="false" ht="15" hidden="false" customHeight="false" outlineLevel="0" collapsed="false">
      <c r="A333" s="6" t="s">
        <v>238</v>
      </c>
      <c r="B333" s="6" t="s">
        <v>109</v>
      </c>
      <c r="C333" s="6" t="s">
        <v>659</v>
      </c>
      <c r="D333" s="9" t="n">
        <v>1185.3</v>
      </c>
    </row>
    <row r="334" customFormat="false" ht="15" hidden="false" customHeight="false" outlineLevel="0" collapsed="false">
      <c r="A334" s="6" t="s">
        <v>238</v>
      </c>
      <c r="B334" s="6" t="s">
        <v>660</v>
      </c>
      <c r="C334" s="6" t="s">
        <v>661</v>
      </c>
      <c r="D334" s="9" t="n">
        <v>0</v>
      </c>
    </row>
    <row r="335" customFormat="false" ht="15" hidden="false" customHeight="false" outlineLevel="0" collapsed="false">
      <c r="A335" s="6" t="s">
        <v>238</v>
      </c>
      <c r="B335" s="6" t="s">
        <v>189</v>
      </c>
      <c r="C335" s="6" t="s">
        <v>662</v>
      </c>
      <c r="D335" s="9" t="n">
        <v>-49.1</v>
      </c>
    </row>
    <row r="336" customFormat="false" ht="15" hidden="false" customHeight="false" outlineLevel="0" collapsed="false">
      <c r="A336" s="6" t="s">
        <v>238</v>
      </c>
      <c r="B336" s="6" t="s">
        <v>211</v>
      </c>
      <c r="C336" s="6" t="s">
        <v>664</v>
      </c>
      <c r="D336" s="9" t="n">
        <v>-147.8</v>
      </c>
    </row>
    <row r="337" customFormat="false" ht="15" hidden="false" customHeight="false" outlineLevel="0" collapsed="false">
      <c r="A337" s="6" t="s">
        <v>238</v>
      </c>
      <c r="B337" s="6" t="s">
        <v>665</v>
      </c>
      <c r="C337" s="6" t="s">
        <v>666</v>
      </c>
      <c r="D337" s="9" t="n">
        <v>0</v>
      </c>
    </row>
    <row r="338" customFormat="false" ht="15" hidden="false" customHeight="false" outlineLevel="0" collapsed="false">
      <c r="A338" s="6" t="s">
        <v>238</v>
      </c>
      <c r="B338" s="6" t="s">
        <v>200</v>
      </c>
      <c r="C338" s="6" t="s">
        <v>667</v>
      </c>
      <c r="D338" s="9" t="n">
        <v>24.3</v>
      </c>
    </row>
    <row r="339" customFormat="false" ht="15" hidden="false" customHeight="false" outlineLevel="0" collapsed="false">
      <c r="A339" s="6" t="s">
        <v>238</v>
      </c>
      <c r="B339" s="6" t="s">
        <v>668</v>
      </c>
      <c r="C339" s="6" t="s">
        <v>669</v>
      </c>
      <c r="D339" s="9" t="n">
        <v>0</v>
      </c>
    </row>
    <row r="340" customFormat="false" ht="15" hidden="false" customHeight="false" outlineLevel="0" collapsed="false">
      <c r="A340" s="6" t="s">
        <v>238</v>
      </c>
      <c r="B340" s="6" t="s">
        <v>222</v>
      </c>
      <c r="C340" s="6" t="s">
        <v>670</v>
      </c>
      <c r="D340" s="9" t="n">
        <v>-60.8</v>
      </c>
    </row>
    <row r="341" customFormat="false" ht="15" hidden="false" customHeight="false" outlineLevel="0" collapsed="false">
      <c r="A341" s="6" t="s">
        <v>238</v>
      </c>
      <c r="B341" s="6" t="s">
        <v>671</v>
      </c>
      <c r="C341" s="6" t="s">
        <v>672</v>
      </c>
      <c r="D341" s="9" t="n">
        <v>0</v>
      </c>
    </row>
    <row r="342" customFormat="false" ht="15" hidden="false" customHeight="false" outlineLevel="0" collapsed="false">
      <c r="A342" s="6" t="s">
        <v>238</v>
      </c>
      <c r="B342" s="6" t="s">
        <v>42</v>
      </c>
      <c r="C342" s="6" t="s">
        <v>673</v>
      </c>
      <c r="D342" s="9" t="n">
        <v>37711.2</v>
      </c>
    </row>
    <row r="343" customFormat="false" ht="15" hidden="false" customHeight="false" outlineLevel="0" collapsed="false">
      <c r="A343" s="6" t="s">
        <v>238</v>
      </c>
      <c r="B343" s="6" t="s">
        <v>111</v>
      </c>
      <c r="C343" s="6" t="s">
        <v>674</v>
      </c>
      <c r="D343" s="9" t="n">
        <v>7064.7</v>
      </c>
    </row>
    <row r="344" customFormat="false" ht="15" hidden="false" customHeight="false" outlineLevel="0" collapsed="false">
      <c r="A344" s="6" t="s">
        <v>238</v>
      </c>
      <c r="B344" s="6" t="s">
        <v>160</v>
      </c>
      <c r="C344" s="6" t="s">
        <v>676</v>
      </c>
      <c r="D344" s="9" t="n">
        <v>0</v>
      </c>
    </row>
    <row r="345" customFormat="false" ht="15" hidden="false" customHeight="false" outlineLevel="0" collapsed="false">
      <c r="A345" s="6" t="s">
        <v>238</v>
      </c>
      <c r="B345" s="6" t="s">
        <v>160</v>
      </c>
      <c r="C345" s="6" t="s">
        <v>677</v>
      </c>
      <c r="D345" s="9" t="n">
        <v>790.4</v>
      </c>
    </row>
    <row r="346" customFormat="false" ht="15" hidden="false" customHeight="false" outlineLevel="0" collapsed="false">
      <c r="A346" s="6" t="s">
        <v>238</v>
      </c>
      <c r="B346" s="6" t="s">
        <v>160</v>
      </c>
      <c r="C346" s="6" t="s">
        <v>678</v>
      </c>
      <c r="D346" s="9" t="n">
        <v>975.3</v>
      </c>
    </row>
    <row r="347" customFormat="false" ht="15" hidden="false" customHeight="false" outlineLevel="0" collapsed="false">
      <c r="A347" s="6" t="s">
        <v>238</v>
      </c>
      <c r="B347" s="6" t="s">
        <v>160</v>
      </c>
      <c r="C347" s="6" t="s">
        <v>679</v>
      </c>
      <c r="D347" s="9" t="n">
        <v>975.3</v>
      </c>
    </row>
    <row r="348" customFormat="false" ht="15" hidden="false" customHeight="false" outlineLevel="0" collapsed="false">
      <c r="A348" s="6" t="s">
        <v>238</v>
      </c>
      <c r="B348" s="6" t="s">
        <v>160</v>
      </c>
      <c r="C348" s="6" t="s">
        <v>680</v>
      </c>
      <c r="D348" s="9" t="n">
        <v>0</v>
      </c>
    </row>
    <row r="349" customFormat="false" ht="15" hidden="false" customHeight="false" outlineLevel="0" collapsed="false">
      <c r="A349" s="6" t="s">
        <v>238</v>
      </c>
      <c r="B349" s="6" t="s">
        <v>28</v>
      </c>
      <c r="C349" s="6" t="s">
        <v>681</v>
      </c>
      <c r="D349" s="9" t="n">
        <v>245794.8</v>
      </c>
    </row>
    <row r="350" customFormat="false" ht="15" hidden="false" customHeight="false" outlineLevel="0" collapsed="false">
      <c r="A350" s="6" t="s">
        <v>238</v>
      </c>
      <c r="B350" s="6" t="s">
        <v>124</v>
      </c>
      <c r="C350" s="6" t="s">
        <v>598</v>
      </c>
      <c r="D350" s="9" t="n">
        <v>13023.1</v>
      </c>
    </row>
    <row r="351" customFormat="false" ht="15" hidden="false" customHeight="false" outlineLevel="0" collapsed="false">
      <c r="A351" s="6" t="s">
        <v>238</v>
      </c>
      <c r="B351" s="6" t="s">
        <v>21</v>
      </c>
      <c r="C351" s="6" t="s">
        <v>682</v>
      </c>
      <c r="D351" s="9" t="n">
        <v>-258.6</v>
      </c>
    </row>
    <row r="352" customFormat="false" ht="15" hidden="false" customHeight="false" outlineLevel="0" collapsed="false">
      <c r="A352" s="6" t="s">
        <v>238</v>
      </c>
      <c r="B352" s="6" t="s">
        <v>21</v>
      </c>
      <c r="C352" s="6" t="s">
        <v>683</v>
      </c>
      <c r="D352" s="9" t="n">
        <v>-153</v>
      </c>
    </row>
    <row r="353" customFormat="false" ht="15" hidden="false" customHeight="false" outlineLevel="0" collapsed="false">
      <c r="A353" s="6" t="s">
        <v>238</v>
      </c>
      <c r="B353" s="6" t="s">
        <v>21</v>
      </c>
      <c r="C353" s="6" t="s">
        <v>684</v>
      </c>
      <c r="D353" s="9" t="n">
        <v>-102.9</v>
      </c>
    </row>
    <row r="354" customFormat="false" ht="15" hidden="false" customHeight="false" outlineLevel="0" collapsed="false">
      <c r="A354" s="6" t="s">
        <v>238</v>
      </c>
      <c r="B354" s="6" t="s">
        <v>685</v>
      </c>
      <c r="C354" s="6" t="s">
        <v>686</v>
      </c>
      <c r="D354" s="9" t="n">
        <v>0</v>
      </c>
    </row>
    <row r="355" customFormat="false" ht="15" hidden="false" customHeight="false" outlineLevel="0" collapsed="false">
      <c r="A355" s="6" t="s">
        <v>238</v>
      </c>
      <c r="B355" s="6" t="s">
        <v>72</v>
      </c>
      <c r="C355" s="6" t="s">
        <v>687</v>
      </c>
      <c r="D355" s="9" t="n">
        <v>24607.7</v>
      </c>
    </row>
    <row r="356" customFormat="false" ht="15" hidden="false" customHeight="false" outlineLevel="0" collapsed="false">
      <c r="A356" s="6" t="s">
        <v>238</v>
      </c>
      <c r="B356" s="6" t="s">
        <v>36</v>
      </c>
      <c r="C356" s="6" t="s">
        <v>687</v>
      </c>
      <c r="D356" s="9" t="n">
        <v>75572.3</v>
      </c>
    </row>
    <row r="357" customFormat="false" ht="15" hidden="false" customHeight="false" outlineLevel="0" collapsed="false">
      <c r="A357" s="6" t="s">
        <v>238</v>
      </c>
      <c r="B357" s="6" t="s">
        <v>30</v>
      </c>
      <c r="C357" s="6" t="s">
        <v>687</v>
      </c>
      <c r="D357" s="9" t="n">
        <v>110437.7</v>
      </c>
    </row>
    <row r="358" customFormat="false" ht="15" hidden="false" customHeight="false" outlineLevel="0" collapsed="false">
      <c r="A358" s="6" t="s">
        <v>238</v>
      </c>
      <c r="B358" s="6" t="s">
        <v>29</v>
      </c>
      <c r="C358" s="6" t="s">
        <v>688</v>
      </c>
      <c r="D358" s="9" t="n">
        <v>83552.7</v>
      </c>
    </row>
    <row r="359" customFormat="false" ht="15" hidden="false" customHeight="false" outlineLevel="0" collapsed="false">
      <c r="A359" s="6" t="s">
        <v>238</v>
      </c>
      <c r="B359" s="6" t="s">
        <v>83</v>
      </c>
      <c r="C359" s="6" t="s">
        <v>688</v>
      </c>
      <c r="D359" s="9" t="n">
        <v>8894.8</v>
      </c>
    </row>
    <row r="360" customFormat="false" ht="15" hidden="false" customHeight="false" outlineLevel="0" collapsed="false">
      <c r="A360" s="6" t="s">
        <v>238</v>
      </c>
      <c r="B360" s="6" t="s">
        <v>136</v>
      </c>
      <c r="C360" s="6" t="s">
        <v>689</v>
      </c>
      <c r="D360" s="9" t="n">
        <v>25.9</v>
      </c>
    </row>
    <row r="361" customFormat="false" ht="15" hidden="false" customHeight="false" outlineLevel="0" collapsed="false">
      <c r="A361" s="6" t="s">
        <v>238</v>
      </c>
      <c r="B361" s="6" t="s">
        <v>105</v>
      </c>
      <c r="C361" s="6" t="s">
        <v>690</v>
      </c>
      <c r="D361" s="9" t="n">
        <v>68.2</v>
      </c>
    </row>
    <row r="362" customFormat="false" ht="15" hidden="false" customHeight="false" outlineLevel="0" collapsed="false">
      <c r="A362" s="6" t="s">
        <v>238</v>
      </c>
      <c r="B362" s="6" t="s">
        <v>98</v>
      </c>
      <c r="C362" s="6" t="s">
        <v>690</v>
      </c>
      <c r="D362" s="9" t="n">
        <v>203.1</v>
      </c>
    </row>
    <row r="363" customFormat="false" ht="15" hidden="false" customHeight="false" outlineLevel="0" collapsed="false">
      <c r="A363" s="6" t="s">
        <v>238</v>
      </c>
      <c r="B363" s="6" t="s">
        <v>113</v>
      </c>
      <c r="C363" s="6" t="s">
        <v>690</v>
      </c>
      <c r="D363" s="9" t="n">
        <v>132.3</v>
      </c>
    </row>
    <row r="364" customFormat="false" ht="15" hidden="false" customHeight="false" outlineLevel="0" collapsed="false">
      <c r="A364" s="6" t="s">
        <v>238</v>
      </c>
      <c r="B364" s="6" t="s">
        <v>157</v>
      </c>
      <c r="C364" s="6" t="s">
        <v>691</v>
      </c>
      <c r="D364" s="9" t="n">
        <v>17</v>
      </c>
    </row>
    <row r="365" customFormat="false" ht="15" hidden="false" customHeight="false" outlineLevel="0" collapsed="false">
      <c r="A365" s="6" t="s">
        <v>238</v>
      </c>
      <c r="B365" s="6" t="s">
        <v>191</v>
      </c>
      <c r="C365" s="6" t="s">
        <v>693</v>
      </c>
      <c r="D365" s="9" t="n">
        <v>0</v>
      </c>
    </row>
    <row r="366" customFormat="false" ht="15" hidden="false" customHeight="false" outlineLevel="0" collapsed="false">
      <c r="A366" s="6" t="s">
        <v>238</v>
      </c>
      <c r="B366" s="6" t="s">
        <v>193</v>
      </c>
      <c r="C366" s="6" t="s">
        <v>695</v>
      </c>
      <c r="D366" s="9" t="n">
        <v>-131.1</v>
      </c>
    </row>
    <row r="367" customFormat="false" ht="15" hidden="false" customHeight="false" outlineLevel="0" collapsed="false">
      <c r="A367" s="6" t="s">
        <v>238</v>
      </c>
      <c r="B367" s="6" t="s">
        <v>880</v>
      </c>
      <c r="C367" s="6" t="s">
        <v>881</v>
      </c>
      <c r="D367" s="9" t="n">
        <v>0</v>
      </c>
    </row>
    <row r="368" customFormat="false" ht="15" hidden="false" customHeight="false" outlineLevel="0" collapsed="false">
      <c r="A368" s="6" t="s">
        <v>238</v>
      </c>
      <c r="B368" s="6" t="s">
        <v>192</v>
      </c>
      <c r="C368" s="6" t="s">
        <v>693</v>
      </c>
      <c r="D368" s="9" t="n">
        <v>0</v>
      </c>
    </row>
    <row r="369" customFormat="false" ht="15" hidden="false" customHeight="false" outlineLevel="0" collapsed="false">
      <c r="A369" s="6" t="s">
        <v>238</v>
      </c>
      <c r="B369" s="6" t="s">
        <v>126</v>
      </c>
      <c r="C369" s="6" t="s">
        <v>696</v>
      </c>
      <c r="D369" s="9" t="n">
        <v>3110.5</v>
      </c>
    </row>
    <row r="370" customFormat="false" ht="15" hidden="false" customHeight="false" outlineLevel="0" collapsed="false">
      <c r="A370" s="6" t="s">
        <v>238</v>
      </c>
      <c r="B370" s="6" t="s">
        <v>126</v>
      </c>
      <c r="C370" s="6" t="s">
        <v>697</v>
      </c>
      <c r="D370" s="9" t="n">
        <v>1394.5</v>
      </c>
    </row>
    <row r="371" customFormat="false" ht="15" hidden="false" customHeight="false" outlineLevel="0" collapsed="false">
      <c r="A371" s="6" t="s">
        <v>238</v>
      </c>
      <c r="B371" s="6" t="s">
        <v>126</v>
      </c>
      <c r="C371" s="6" t="s">
        <v>698</v>
      </c>
      <c r="D371" s="9" t="n">
        <v>0</v>
      </c>
    </row>
    <row r="372" customFormat="false" ht="15" hidden="false" customHeight="false" outlineLevel="0" collapsed="false">
      <c r="A372" s="6" t="s">
        <v>238</v>
      </c>
      <c r="B372" s="6" t="s">
        <v>165</v>
      </c>
      <c r="C372" s="6" t="s">
        <v>700</v>
      </c>
      <c r="D372" s="9" t="n">
        <v>-179.7</v>
      </c>
    </row>
    <row r="373" customFormat="false" ht="15" hidden="false" customHeight="false" outlineLevel="0" collapsed="false">
      <c r="A373" s="6" t="s">
        <v>238</v>
      </c>
      <c r="B373" s="6" t="s">
        <v>165</v>
      </c>
      <c r="C373" s="6" t="s">
        <v>701</v>
      </c>
      <c r="D373" s="9" t="n">
        <v>-1290</v>
      </c>
    </row>
    <row r="374" customFormat="false" ht="15" hidden="false" customHeight="false" outlineLevel="0" collapsed="false">
      <c r="A374" s="6" t="s">
        <v>238</v>
      </c>
      <c r="B374" s="6" t="s">
        <v>165</v>
      </c>
      <c r="C374" s="6" t="s">
        <v>702</v>
      </c>
      <c r="D374" s="9" t="n">
        <v>-92.1</v>
      </c>
    </row>
    <row r="375" customFormat="false" ht="15" hidden="false" customHeight="false" outlineLevel="0" collapsed="false">
      <c r="A375" s="6" t="s">
        <v>238</v>
      </c>
      <c r="B375" s="6" t="s">
        <v>210</v>
      </c>
      <c r="C375" s="6" t="s">
        <v>882</v>
      </c>
      <c r="D375" s="9" t="n">
        <v>-77.8</v>
      </c>
    </row>
    <row r="376" customFormat="false" ht="15" hidden="false" customHeight="false" outlineLevel="0" collapsed="false">
      <c r="A376" s="6" t="s">
        <v>238</v>
      </c>
      <c r="B376" s="6" t="s">
        <v>356</v>
      </c>
      <c r="C376" s="6" t="s">
        <v>703</v>
      </c>
      <c r="D376" s="9" t="n">
        <v>0</v>
      </c>
    </row>
    <row r="377" customFormat="false" ht="15" hidden="false" customHeight="false" outlineLevel="0" collapsed="false">
      <c r="A377" s="6" t="s">
        <v>238</v>
      </c>
      <c r="B377" s="6" t="s">
        <v>704</v>
      </c>
      <c r="C377" s="6" t="s">
        <v>705</v>
      </c>
      <c r="D377" s="9" t="n">
        <v>0</v>
      </c>
    </row>
    <row r="378" customFormat="false" ht="15" hidden="false" customHeight="false" outlineLevel="0" collapsed="false">
      <c r="A378" s="6" t="s">
        <v>238</v>
      </c>
      <c r="B378" s="6" t="s">
        <v>706</v>
      </c>
      <c r="C378" s="6" t="s">
        <v>705</v>
      </c>
      <c r="D378" s="9" t="n">
        <v>0</v>
      </c>
    </row>
    <row r="379" customFormat="false" ht="15" hidden="false" customHeight="false" outlineLevel="0" collapsed="false">
      <c r="A379" s="6" t="s">
        <v>238</v>
      </c>
      <c r="B379" s="6" t="s">
        <v>707</v>
      </c>
      <c r="C379" s="6" t="s">
        <v>705</v>
      </c>
      <c r="D379" s="9" t="n">
        <v>0</v>
      </c>
    </row>
    <row r="380" customFormat="false" ht="15" hidden="false" customHeight="false" outlineLevel="0" collapsed="false">
      <c r="A380" s="6" t="s">
        <v>238</v>
      </c>
      <c r="B380" s="6" t="s">
        <v>708</v>
      </c>
      <c r="C380" s="6" t="s">
        <v>705</v>
      </c>
      <c r="D380" s="9" t="n">
        <v>0</v>
      </c>
    </row>
    <row r="381" customFormat="false" ht="15" hidden="false" customHeight="false" outlineLevel="0" collapsed="false">
      <c r="A381" s="6" t="s">
        <v>238</v>
      </c>
      <c r="B381" s="6" t="s">
        <v>53</v>
      </c>
      <c r="C381" s="6" t="s">
        <v>709</v>
      </c>
      <c r="D381" s="9" t="n">
        <v>15624.9</v>
      </c>
    </row>
    <row r="382" customFormat="false" ht="15" hidden="false" customHeight="false" outlineLevel="0" collapsed="false">
      <c r="A382" s="6" t="s">
        <v>238</v>
      </c>
      <c r="B382" s="6" t="s">
        <v>46</v>
      </c>
      <c r="C382" s="6" t="s">
        <v>709</v>
      </c>
      <c r="D382" s="9" t="n">
        <v>28682.6</v>
      </c>
    </row>
    <row r="383" customFormat="false" ht="15" hidden="false" customHeight="false" outlineLevel="0" collapsed="false">
      <c r="A383" s="6" t="s">
        <v>238</v>
      </c>
      <c r="B383" s="6" t="s">
        <v>47</v>
      </c>
      <c r="C383" s="6" t="s">
        <v>709</v>
      </c>
      <c r="D383" s="9" t="n">
        <v>31161.7</v>
      </c>
    </row>
    <row r="384" customFormat="false" ht="15" hidden="false" customHeight="false" outlineLevel="0" collapsed="false">
      <c r="A384" s="6" t="s">
        <v>238</v>
      </c>
      <c r="B384" s="6" t="s">
        <v>51</v>
      </c>
      <c r="C384" s="6" t="s">
        <v>709</v>
      </c>
      <c r="D384" s="9" t="n">
        <v>28253.3</v>
      </c>
    </row>
    <row r="385" customFormat="false" ht="15" hidden="false" customHeight="false" outlineLevel="0" collapsed="false">
      <c r="A385" s="6" t="s">
        <v>238</v>
      </c>
      <c r="B385" s="6" t="s">
        <v>38</v>
      </c>
      <c r="C385" s="6" t="s">
        <v>710</v>
      </c>
      <c r="D385" s="9" t="n">
        <v>17427.9</v>
      </c>
    </row>
    <row r="386" customFormat="false" ht="15" hidden="false" customHeight="false" outlineLevel="0" collapsed="false">
      <c r="A386" s="6" t="s">
        <v>238</v>
      </c>
      <c r="B386" s="6" t="s">
        <v>711</v>
      </c>
      <c r="C386" s="6" t="s">
        <v>712</v>
      </c>
      <c r="D386" s="9" t="n">
        <v>0</v>
      </c>
    </row>
    <row r="387" customFormat="false" ht="15" hidden="false" customHeight="false" outlineLevel="0" collapsed="false">
      <c r="A387" s="6" t="s">
        <v>238</v>
      </c>
      <c r="B387" s="6" t="s">
        <v>40</v>
      </c>
      <c r="C387" s="6" t="s">
        <v>713</v>
      </c>
      <c r="D387" s="9" t="n">
        <v>17905.6</v>
      </c>
    </row>
    <row r="388" customFormat="false" ht="15" hidden="false" customHeight="false" outlineLevel="0" collapsed="false">
      <c r="A388" s="6" t="s">
        <v>238</v>
      </c>
      <c r="B388" s="6" t="s">
        <v>40</v>
      </c>
      <c r="C388" s="6" t="s">
        <v>714</v>
      </c>
      <c r="D388" s="9" t="n">
        <v>11781.5</v>
      </c>
    </row>
    <row r="389" customFormat="false" ht="15" hidden="false" customHeight="false" outlineLevel="0" collapsed="false">
      <c r="A389" s="6" t="s">
        <v>238</v>
      </c>
      <c r="B389" s="6" t="s">
        <v>40</v>
      </c>
      <c r="C389" s="6" t="s">
        <v>715</v>
      </c>
      <c r="D389" s="9" t="n">
        <v>15088</v>
      </c>
    </row>
    <row r="390" customFormat="false" ht="15" hidden="false" customHeight="false" outlineLevel="0" collapsed="false">
      <c r="A390" s="6" t="s">
        <v>238</v>
      </c>
      <c r="B390" s="6" t="s">
        <v>40</v>
      </c>
      <c r="C390" s="6" t="s">
        <v>716</v>
      </c>
      <c r="D390" s="9" t="n">
        <v>5925.1</v>
      </c>
    </row>
    <row r="391" customFormat="false" ht="15" hidden="false" customHeight="false" outlineLevel="0" collapsed="false">
      <c r="A391" s="6" t="s">
        <v>238</v>
      </c>
      <c r="B391" s="6" t="s">
        <v>40</v>
      </c>
      <c r="C391" s="6" t="s">
        <v>717</v>
      </c>
      <c r="D391" s="9" t="n">
        <v>0</v>
      </c>
    </row>
    <row r="392" customFormat="false" ht="15" hidden="false" customHeight="false" outlineLevel="0" collapsed="false">
      <c r="A392" s="6" t="s">
        <v>238</v>
      </c>
      <c r="B392" s="6" t="s">
        <v>40</v>
      </c>
      <c r="C392" s="6" t="s">
        <v>718</v>
      </c>
      <c r="D392" s="9" t="n">
        <v>0</v>
      </c>
    </row>
    <row r="393" customFormat="false" ht="15" hidden="false" customHeight="false" outlineLevel="0" collapsed="false">
      <c r="A393" s="6" t="s">
        <v>238</v>
      </c>
      <c r="B393" s="6" t="s">
        <v>56</v>
      </c>
      <c r="C393" s="6" t="s">
        <v>719</v>
      </c>
      <c r="D393" s="9" t="n">
        <v>49012.5</v>
      </c>
    </row>
    <row r="394" customFormat="false" ht="15" hidden="false" customHeight="false" outlineLevel="0" collapsed="false">
      <c r="A394" s="6" t="s">
        <v>238</v>
      </c>
      <c r="B394" s="6" t="s">
        <v>171</v>
      </c>
      <c r="C394" s="6" t="s">
        <v>720</v>
      </c>
      <c r="D394" s="9" t="n">
        <v>1774.1</v>
      </c>
    </row>
    <row r="395" customFormat="false" ht="15" hidden="false" customHeight="false" outlineLevel="0" collapsed="false">
      <c r="A395" s="6" t="s">
        <v>238</v>
      </c>
      <c r="B395" s="6" t="s">
        <v>711</v>
      </c>
      <c r="C395" s="6" t="s">
        <v>721</v>
      </c>
      <c r="D395" s="9" t="n">
        <v>0</v>
      </c>
    </row>
    <row r="396" customFormat="false" ht="15" hidden="false" customHeight="false" outlineLevel="0" collapsed="false">
      <c r="A396" s="6" t="s">
        <v>238</v>
      </c>
      <c r="B396" s="6" t="s">
        <v>25</v>
      </c>
      <c r="C396" s="6" t="s">
        <v>722</v>
      </c>
      <c r="D396" s="9" t="n">
        <v>25822.3</v>
      </c>
    </row>
    <row r="397" customFormat="false" ht="15" hidden="false" customHeight="false" outlineLevel="0" collapsed="false">
      <c r="A397" s="6" t="s">
        <v>238</v>
      </c>
      <c r="B397" s="6" t="s">
        <v>25</v>
      </c>
      <c r="C397" s="6" t="s">
        <v>723</v>
      </c>
      <c r="D397" s="9" t="n">
        <v>67409.5</v>
      </c>
    </row>
    <row r="398" customFormat="false" ht="15" hidden="false" customHeight="false" outlineLevel="0" collapsed="false">
      <c r="A398" s="6" t="s">
        <v>238</v>
      </c>
      <c r="B398" s="6" t="s">
        <v>25</v>
      </c>
      <c r="C398" s="6" t="s">
        <v>724</v>
      </c>
      <c r="D398" s="9" t="n">
        <v>71655.7</v>
      </c>
    </row>
    <row r="399" customFormat="false" ht="15" hidden="false" customHeight="false" outlineLevel="0" collapsed="false">
      <c r="A399" s="6" t="s">
        <v>238</v>
      </c>
      <c r="B399" s="6" t="s">
        <v>25</v>
      </c>
      <c r="C399" s="6" t="s">
        <v>725</v>
      </c>
      <c r="D399" s="9" t="n">
        <v>52766.9</v>
      </c>
    </row>
    <row r="400" customFormat="false" ht="15" hidden="false" customHeight="false" outlineLevel="0" collapsed="false">
      <c r="A400" s="6" t="s">
        <v>238</v>
      </c>
      <c r="B400" s="6" t="s">
        <v>25</v>
      </c>
      <c r="C400" s="6" t="s">
        <v>726</v>
      </c>
      <c r="D400" s="9" t="n">
        <v>5272.3</v>
      </c>
    </row>
    <row r="401" customFormat="false" ht="15" hidden="false" customHeight="false" outlineLevel="0" collapsed="false">
      <c r="A401" s="6" t="s">
        <v>238</v>
      </c>
      <c r="B401" s="6" t="s">
        <v>19</v>
      </c>
      <c r="C401" s="6" t="s">
        <v>727</v>
      </c>
      <c r="D401" s="9" t="n">
        <v>0</v>
      </c>
    </row>
    <row r="402" customFormat="false" ht="15" hidden="false" customHeight="false" outlineLevel="0" collapsed="false">
      <c r="A402" s="6" t="s">
        <v>238</v>
      </c>
      <c r="B402" s="6" t="s">
        <v>173</v>
      </c>
      <c r="C402" s="6" t="s">
        <v>728</v>
      </c>
      <c r="D402" s="9" t="n">
        <v>-208.4</v>
      </c>
    </row>
    <row r="403" customFormat="false" ht="15" hidden="false" customHeight="false" outlineLevel="0" collapsed="false">
      <c r="A403" s="6" t="s">
        <v>238</v>
      </c>
      <c r="B403" s="6" t="s">
        <v>90</v>
      </c>
      <c r="C403" s="6" t="s">
        <v>729</v>
      </c>
      <c r="D403" s="9" t="n">
        <v>22856</v>
      </c>
    </row>
    <row r="404" customFormat="false" ht="15" hidden="false" customHeight="false" outlineLevel="0" collapsed="false">
      <c r="A404" s="6" t="s">
        <v>238</v>
      </c>
      <c r="B404" s="6" t="s">
        <v>135</v>
      </c>
      <c r="C404" s="6" t="s">
        <v>729</v>
      </c>
      <c r="D404" s="9" t="n">
        <v>27547.4</v>
      </c>
    </row>
    <row r="405" customFormat="false" ht="15" hidden="false" customHeight="false" outlineLevel="0" collapsed="false">
      <c r="A405" s="6" t="s">
        <v>238</v>
      </c>
      <c r="B405" s="6" t="s">
        <v>149</v>
      </c>
      <c r="C405" s="6" t="s">
        <v>729</v>
      </c>
      <c r="D405" s="9" t="n">
        <v>25451.8</v>
      </c>
    </row>
    <row r="406" customFormat="false" ht="15" hidden="false" customHeight="false" outlineLevel="0" collapsed="false">
      <c r="A406" s="6" t="s">
        <v>238</v>
      </c>
      <c r="B406" s="6" t="s">
        <v>150</v>
      </c>
      <c r="C406" s="6" t="s">
        <v>729</v>
      </c>
      <c r="D406" s="9" t="n">
        <v>15302.1</v>
      </c>
    </row>
    <row r="407" customFormat="false" ht="15" hidden="false" customHeight="false" outlineLevel="0" collapsed="false">
      <c r="A407" s="6" t="s">
        <v>238</v>
      </c>
      <c r="B407" s="6" t="s">
        <v>214</v>
      </c>
      <c r="C407" s="6" t="s">
        <v>730</v>
      </c>
      <c r="D407" s="9" t="n">
        <v>-58.3</v>
      </c>
    </row>
    <row r="408" customFormat="false" ht="15" hidden="false" customHeight="false" outlineLevel="0" collapsed="false">
      <c r="A408" s="6" t="s">
        <v>238</v>
      </c>
      <c r="B408" s="6" t="s">
        <v>145</v>
      </c>
      <c r="C408" s="6" t="s">
        <v>731</v>
      </c>
      <c r="D408" s="9" t="n">
        <v>574.5</v>
      </c>
    </row>
    <row r="409" customFormat="false" ht="15" hidden="false" customHeight="false" outlineLevel="0" collapsed="false">
      <c r="A409" s="6" t="s">
        <v>238</v>
      </c>
      <c r="B409" s="6" t="s">
        <v>732</v>
      </c>
      <c r="C409" s="6" t="s">
        <v>733</v>
      </c>
      <c r="D409" s="9" t="n">
        <v>0</v>
      </c>
    </row>
    <row r="410" customFormat="false" ht="15" hidden="false" customHeight="false" outlineLevel="0" collapsed="false">
      <c r="A410" s="6" t="s">
        <v>238</v>
      </c>
      <c r="B410" s="6" t="s">
        <v>734</v>
      </c>
      <c r="C410" s="6" t="s">
        <v>733</v>
      </c>
      <c r="D410" s="9" t="n">
        <v>0</v>
      </c>
    </row>
    <row r="411" customFormat="false" ht="15" hidden="false" customHeight="false" outlineLevel="0" collapsed="false">
      <c r="A411" s="6" t="s">
        <v>238</v>
      </c>
      <c r="B411" s="6" t="s">
        <v>883</v>
      </c>
      <c r="C411" s="6" t="s">
        <v>733</v>
      </c>
      <c r="D411" s="9" t="n">
        <v>0</v>
      </c>
    </row>
    <row r="412" customFormat="false" ht="15" hidden="false" customHeight="false" outlineLevel="0" collapsed="false">
      <c r="A412" s="6" t="s">
        <v>238</v>
      </c>
      <c r="B412" s="6" t="s">
        <v>735</v>
      </c>
      <c r="C412" s="6" t="s">
        <v>733</v>
      </c>
      <c r="D412" s="9" t="n">
        <v>0</v>
      </c>
    </row>
    <row r="413" customFormat="false" ht="15" hidden="false" customHeight="false" outlineLevel="0" collapsed="false">
      <c r="A413" s="6" t="s">
        <v>238</v>
      </c>
      <c r="B413" s="6" t="s">
        <v>71</v>
      </c>
      <c r="C413" s="6" t="s">
        <v>736</v>
      </c>
      <c r="D413" s="9" t="n">
        <v>19108.9</v>
      </c>
    </row>
    <row r="414" customFormat="false" ht="15" hidden="false" customHeight="false" outlineLevel="0" collapsed="false">
      <c r="A414" s="6" t="s">
        <v>238</v>
      </c>
      <c r="B414" s="6" t="s">
        <v>45</v>
      </c>
      <c r="C414" s="6" t="s">
        <v>737</v>
      </c>
      <c r="D414" s="9" t="n">
        <v>12016.1</v>
      </c>
    </row>
    <row r="415" customFormat="false" ht="15" hidden="false" customHeight="false" outlineLevel="0" collapsed="false">
      <c r="A415" s="6" t="s">
        <v>238</v>
      </c>
      <c r="B415" s="6" t="s">
        <v>68</v>
      </c>
      <c r="C415" s="6" t="s">
        <v>737</v>
      </c>
      <c r="D415" s="9" t="n">
        <v>18650.2</v>
      </c>
    </row>
    <row r="416" customFormat="false" ht="15" hidden="false" customHeight="false" outlineLevel="0" collapsed="false">
      <c r="A416" s="6" t="s">
        <v>238</v>
      </c>
      <c r="B416" s="6" t="s">
        <v>67</v>
      </c>
      <c r="C416" s="6" t="s">
        <v>737</v>
      </c>
      <c r="D416" s="9" t="n">
        <v>8468.2</v>
      </c>
    </row>
    <row r="417" customFormat="false" ht="15" hidden="false" customHeight="false" outlineLevel="0" collapsed="false">
      <c r="A417" s="6" t="s">
        <v>238</v>
      </c>
      <c r="B417" s="6" t="s">
        <v>104</v>
      </c>
      <c r="C417" s="6" t="s">
        <v>737</v>
      </c>
      <c r="D417" s="9" t="n">
        <v>7156.9</v>
      </c>
    </row>
    <row r="418" customFormat="false" ht="15" hidden="false" customHeight="false" outlineLevel="0" collapsed="false">
      <c r="A418" s="6" t="s">
        <v>238</v>
      </c>
      <c r="B418" s="6" t="s">
        <v>161</v>
      </c>
      <c r="C418" s="6" t="s">
        <v>738</v>
      </c>
      <c r="D418" s="9" t="n">
        <v>0</v>
      </c>
    </row>
    <row r="419" customFormat="false" ht="15" hidden="false" customHeight="false" outlineLevel="0" collapsed="false">
      <c r="A419" s="6" t="s">
        <v>238</v>
      </c>
      <c r="B419" s="6" t="s">
        <v>161</v>
      </c>
      <c r="C419" s="6" t="s">
        <v>739</v>
      </c>
      <c r="D419" s="9" t="n">
        <v>598.2</v>
      </c>
    </row>
    <row r="420" customFormat="false" ht="15" hidden="false" customHeight="false" outlineLevel="0" collapsed="false">
      <c r="A420" s="6" t="s">
        <v>238</v>
      </c>
      <c r="B420" s="6" t="s">
        <v>161</v>
      </c>
      <c r="C420" s="6" t="s">
        <v>740</v>
      </c>
      <c r="D420" s="9" t="n">
        <v>821.7</v>
      </c>
    </row>
    <row r="421" customFormat="false" ht="15" hidden="false" customHeight="false" outlineLevel="0" collapsed="false">
      <c r="A421" s="6" t="s">
        <v>238</v>
      </c>
      <c r="B421" s="6" t="s">
        <v>161</v>
      </c>
      <c r="C421" s="6" t="s">
        <v>741</v>
      </c>
      <c r="D421" s="9" t="n">
        <v>524.4</v>
      </c>
    </row>
    <row r="422" customFormat="false" ht="15" hidden="false" customHeight="false" outlineLevel="0" collapsed="false">
      <c r="A422" s="6" t="s">
        <v>238</v>
      </c>
      <c r="B422" s="6" t="s">
        <v>141</v>
      </c>
      <c r="C422" s="6" t="s">
        <v>742</v>
      </c>
      <c r="D422" s="9" t="n">
        <v>239.2</v>
      </c>
    </row>
    <row r="423" customFormat="false" ht="15" hidden="false" customHeight="false" outlineLevel="0" collapsed="false">
      <c r="A423" s="6" t="s">
        <v>238</v>
      </c>
      <c r="B423" s="6" t="s">
        <v>141</v>
      </c>
      <c r="C423" s="6" t="s">
        <v>743</v>
      </c>
      <c r="D423" s="9" t="n">
        <v>679.4</v>
      </c>
    </row>
    <row r="424" customFormat="false" ht="15" hidden="false" customHeight="false" outlineLevel="0" collapsed="false">
      <c r="A424" s="6" t="s">
        <v>238</v>
      </c>
      <c r="B424" s="6" t="s">
        <v>141</v>
      </c>
      <c r="C424" s="6" t="s">
        <v>744</v>
      </c>
      <c r="D424" s="9" t="n">
        <v>832.1</v>
      </c>
    </row>
    <row r="425" customFormat="false" ht="15" hidden="false" customHeight="false" outlineLevel="0" collapsed="false">
      <c r="A425" s="6" t="s">
        <v>238</v>
      </c>
      <c r="B425" s="6" t="s">
        <v>141</v>
      </c>
      <c r="C425" s="6" t="s">
        <v>745</v>
      </c>
      <c r="D425" s="9" t="n">
        <v>1200.5</v>
      </c>
    </row>
    <row r="426" customFormat="false" ht="15" hidden="false" customHeight="false" outlineLevel="0" collapsed="false">
      <c r="A426" s="6" t="s">
        <v>238</v>
      </c>
      <c r="B426" s="6" t="s">
        <v>134</v>
      </c>
      <c r="C426" s="6" t="s">
        <v>526</v>
      </c>
      <c r="D426" s="9" t="n">
        <v>0</v>
      </c>
    </row>
    <row r="427" customFormat="false" ht="15" hidden="false" customHeight="false" outlineLevel="0" collapsed="false">
      <c r="A427" s="6" t="s">
        <v>238</v>
      </c>
      <c r="B427" s="6" t="s">
        <v>134</v>
      </c>
      <c r="C427" s="6" t="s">
        <v>525</v>
      </c>
      <c r="D427" s="9" t="n">
        <v>1593.7</v>
      </c>
    </row>
    <row r="428" customFormat="false" ht="15" hidden="false" customHeight="false" outlineLevel="0" collapsed="false">
      <c r="A428" s="6" t="s">
        <v>238</v>
      </c>
      <c r="B428" s="6" t="s">
        <v>134</v>
      </c>
      <c r="C428" s="6" t="s">
        <v>527</v>
      </c>
      <c r="D428" s="9" t="n">
        <v>1077</v>
      </c>
    </row>
    <row r="429" customFormat="false" ht="15" hidden="false" customHeight="false" outlineLevel="0" collapsed="false">
      <c r="A429" s="6" t="s">
        <v>238</v>
      </c>
      <c r="B429" s="6" t="s">
        <v>134</v>
      </c>
      <c r="C429" s="6" t="s">
        <v>524</v>
      </c>
      <c r="D429" s="9" t="n">
        <v>819.1</v>
      </c>
    </row>
    <row r="430" customFormat="false" ht="15" hidden="false" customHeight="false" outlineLevel="0" collapsed="false">
      <c r="A430" s="6" t="s">
        <v>238</v>
      </c>
      <c r="B430" s="6" t="s">
        <v>134</v>
      </c>
      <c r="C430" s="6" t="s">
        <v>746</v>
      </c>
      <c r="D430" s="9" t="n">
        <v>0</v>
      </c>
    </row>
    <row r="431" customFormat="false" ht="15" hidden="false" customHeight="false" outlineLevel="0" collapsed="false">
      <c r="A431" s="6" t="s">
        <v>238</v>
      </c>
      <c r="B431" s="6" t="s">
        <v>125</v>
      </c>
      <c r="C431" s="6" t="s">
        <v>747</v>
      </c>
      <c r="D431" s="9" t="n">
        <v>0</v>
      </c>
    </row>
    <row r="432" customFormat="false" ht="15" hidden="false" customHeight="false" outlineLevel="0" collapsed="false">
      <c r="A432" s="6" t="s">
        <v>238</v>
      </c>
      <c r="B432" s="6" t="s">
        <v>125</v>
      </c>
      <c r="C432" s="6" t="s">
        <v>748</v>
      </c>
      <c r="D432" s="9" t="n">
        <v>446.9</v>
      </c>
    </row>
    <row r="433" customFormat="false" ht="15" hidden="false" customHeight="false" outlineLevel="0" collapsed="false">
      <c r="A433" s="6" t="s">
        <v>238</v>
      </c>
      <c r="B433" s="6" t="s">
        <v>125</v>
      </c>
      <c r="C433" s="6" t="s">
        <v>749</v>
      </c>
      <c r="D433" s="9" t="n">
        <v>1356.3</v>
      </c>
    </row>
    <row r="434" customFormat="false" ht="15" hidden="false" customHeight="false" outlineLevel="0" collapsed="false">
      <c r="A434" s="6" t="s">
        <v>238</v>
      </c>
      <c r="B434" s="6" t="s">
        <v>125</v>
      </c>
      <c r="C434" s="6" t="s">
        <v>750</v>
      </c>
      <c r="D434" s="9" t="n">
        <v>0</v>
      </c>
    </row>
    <row r="435" customFormat="false" ht="15" hidden="false" customHeight="false" outlineLevel="0" collapsed="false">
      <c r="A435" s="6" t="s">
        <v>238</v>
      </c>
      <c r="B435" s="6" t="s">
        <v>140</v>
      </c>
      <c r="C435" s="6" t="s">
        <v>751</v>
      </c>
      <c r="D435" s="9" t="n">
        <v>0</v>
      </c>
    </row>
    <row r="436" customFormat="false" ht="15" hidden="false" customHeight="false" outlineLevel="0" collapsed="false">
      <c r="A436" s="6" t="s">
        <v>238</v>
      </c>
      <c r="B436" s="6" t="s">
        <v>140</v>
      </c>
      <c r="C436" s="6" t="s">
        <v>752</v>
      </c>
      <c r="D436" s="9" t="n">
        <v>1427.4</v>
      </c>
    </row>
    <row r="437" customFormat="false" ht="15" hidden="false" customHeight="false" outlineLevel="0" collapsed="false">
      <c r="A437" s="6" t="s">
        <v>238</v>
      </c>
      <c r="B437" s="6" t="s">
        <v>140</v>
      </c>
      <c r="C437" s="6" t="s">
        <v>753</v>
      </c>
      <c r="D437" s="9" t="n">
        <v>820.2</v>
      </c>
    </row>
    <row r="438" customFormat="false" ht="15" hidden="false" customHeight="false" outlineLevel="0" collapsed="false">
      <c r="A438" s="6" t="s">
        <v>238</v>
      </c>
      <c r="B438" s="6" t="s">
        <v>140</v>
      </c>
      <c r="C438" s="6" t="s">
        <v>754</v>
      </c>
      <c r="D438" s="9" t="n">
        <v>823.6</v>
      </c>
    </row>
    <row r="439" customFormat="false" ht="15" hidden="false" customHeight="false" outlineLevel="0" collapsed="false">
      <c r="A439" s="6" t="s">
        <v>238</v>
      </c>
      <c r="B439" s="6" t="s">
        <v>155</v>
      </c>
      <c r="C439" s="6" t="s">
        <v>756</v>
      </c>
      <c r="D439" s="9" t="n">
        <v>1473.5</v>
      </c>
    </row>
    <row r="440" customFormat="false" ht="15" hidden="false" customHeight="false" outlineLevel="0" collapsed="false">
      <c r="A440" s="6" t="s">
        <v>238</v>
      </c>
      <c r="B440" s="6" t="s">
        <v>155</v>
      </c>
      <c r="C440" s="6" t="s">
        <v>757</v>
      </c>
      <c r="D440" s="9" t="n">
        <v>2675</v>
      </c>
    </row>
    <row r="441" customFormat="false" ht="15" hidden="false" customHeight="false" outlineLevel="0" collapsed="false">
      <c r="A441" s="6" t="s">
        <v>238</v>
      </c>
      <c r="B441" s="6" t="s">
        <v>155</v>
      </c>
      <c r="C441" s="6" t="s">
        <v>758</v>
      </c>
      <c r="D441" s="9" t="n">
        <v>2962.7</v>
      </c>
    </row>
    <row r="442" customFormat="false" ht="15" hidden="false" customHeight="false" outlineLevel="0" collapsed="false">
      <c r="A442" s="6" t="s">
        <v>238</v>
      </c>
      <c r="B442" s="6" t="s">
        <v>155</v>
      </c>
      <c r="C442" s="6" t="s">
        <v>759</v>
      </c>
      <c r="D442" s="9" t="n">
        <v>1735.5</v>
      </c>
    </row>
    <row r="443" customFormat="false" ht="15" hidden="false" customHeight="false" outlineLevel="0" collapsed="false">
      <c r="A443" s="6" t="s">
        <v>238</v>
      </c>
      <c r="B443" s="6" t="s">
        <v>155</v>
      </c>
      <c r="C443" s="6" t="s">
        <v>760</v>
      </c>
      <c r="D443" s="9" t="n">
        <v>1451</v>
      </c>
    </row>
    <row r="444" customFormat="false" ht="15" hidden="false" customHeight="false" outlineLevel="0" collapsed="false">
      <c r="A444" s="6" t="s">
        <v>238</v>
      </c>
      <c r="B444" s="6" t="s">
        <v>206</v>
      </c>
      <c r="C444" s="6" t="s">
        <v>762</v>
      </c>
      <c r="D444" s="9" t="n">
        <v>-94.2</v>
      </c>
    </row>
    <row r="445" customFormat="false" ht="15" hidden="false" customHeight="false" outlineLevel="0" collapsed="false">
      <c r="A445" s="6" t="s">
        <v>238</v>
      </c>
      <c r="B445" s="6" t="s">
        <v>197</v>
      </c>
      <c r="C445" s="6" t="s">
        <v>884</v>
      </c>
      <c r="D445" s="9" t="n">
        <v>-118.8</v>
      </c>
    </row>
    <row r="446" customFormat="false" ht="15" hidden="false" customHeight="false" outlineLevel="0" collapsed="false">
      <c r="A446" s="6" t="s">
        <v>238</v>
      </c>
      <c r="B446" s="6" t="s">
        <v>196</v>
      </c>
      <c r="C446" s="6" t="s">
        <v>884</v>
      </c>
      <c r="D446" s="9" t="n">
        <v>-118.8</v>
      </c>
    </row>
    <row r="447" customFormat="false" ht="15" hidden="false" customHeight="false" outlineLevel="0" collapsed="false">
      <c r="A447" s="6" t="s">
        <v>238</v>
      </c>
      <c r="B447" s="6" t="s">
        <v>122</v>
      </c>
      <c r="C447" s="6" t="s">
        <v>777</v>
      </c>
      <c r="D447" s="9" t="n">
        <v>3300.4</v>
      </c>
    </row>
    <row r="448" customFormat="false" ht="15" hidden="false" customHeight="false" outlineLevel="0" collapsed="false">
      <c r="A448" s="6" t="s">
        <v>238</v>
      </c>
      <c r="B448" s="6" t="s">
        <v>106</v>
      </c>
      <c r="C448" s="6" t="s">
        <v>777</v>
      </c>
      <c r="D448" s="9" t="n">
        <v>4690.8</v>
      </c>
    </row>
    <row r="449" customFormat="false" ht="15" hidden="false" customHeight="false" outlineLevel="0" collapsed="false">
      <c r="A449" s="6" t="s">
        <v>238</v>
      </c>
      <c r="B449" s="6" t="s">
        <v>110</v>
      </c>
      <c r="C449" s="6" t="s">
        <v>777</v>
      </c>
      <c r="D449" s="9" t="n">
        <v>4476.9</v>
      </c>
    </row>
    <row r="450" customFormat="false" ht="15" hidden="false" customHeight="false" outlineLevel="0" collapsed="false">
      <c r="A450" s="6" t="s">
        <v>238</v>
      </c>
      <c r="B450" s="6" t="s">
        <v>138</v>
      </c>
      <c r="C450" s="6" t="s">
        <v>777</v>
      </c>
      <c r="D450" s="9" t="n">
        <v>993.8</v>
      </c>
    </row>
    <row r="451" customFormat="false" ht="15" hidden="false" customHeight="false" outlineLevel="0" collapsed="false">
      <c r="A451" s="6" t="s">
        <v>238</v>
      </c>
      <c r="B451" s="6" t="s">
        <v>129</v>
      </c>
      <c r="C451" s="6" t="s">
        <v>778</v>
      </c>
      <c r="D451" s="9" t="n">
        <v>5400.6</v>
      </c>
    </row>
    <row r="452" customFormat="false" ht="15" hidden="false" customHeight="false" outlineLevel="0" collapsed="false">
      <c r="A452" s="6" t="s">
        <v>238</v>
      </c>
      <c r="B452" s="6" t="s">
        <v>114</v>
      </c>
      <c r="C452" s="6" t="s">
        <v>778</v>
      </c>
      <c r="D452" s="9" t="n">
        <v>9579</v>
      </c>
    </row>
    <row r="453" customFormat="false" ht="15" hidden="false" customHeight="false" outlineLevel="0" collapsed="false">
      <c r="A453" s="6" t="s">
        <v>238</v>
      </c>
      <c r="B453" s="6" t="s">
        <v>92</v>
      </c>
      <c r="C453" s="6" t="s">
        <v>778</v>
      </c>
      <c r="D453" s="9" t="n">
        <v>7189.1</v>
      </c>
    </row>
    <row r="454" customFormat="false" ht="15" hidden="false" customHeight="false" outlineLevel="0" collapsed="false">
      <c r="A454" s="6" t="s">
        <v>238</v>
      </c>
      <c r="B454" s="6" t="s">
        <v>187</v>
      </c>
      <c r="C454" s="6" t="s">
        <v>778</v>
      </c>
      <c r="D454" s="9" t="n">
        <v>1600</v>
      </c>
    </row>
    <row r="455" customFormat="false" ht="15" hidden="false" customHeight="false" outlineLevel="0" collapsed="false">
      <c r="A455" s="6" t="s">
        <v>238</v>
      </c>
      <c r="B455" s="6" t="s">
        <v>779</v>
      </c>
      <c r="C455" s="6" t="s">
        <v>780</v>
      </c>
      <c r="D455" s="9" t="n">
        <v>0</v>
      </c>
    </row>
    <row r="456" customFormat="false" ht="15" hidden="false" customHeight="false" outlineLevel="0" collapsed="false">
      <c r="A456" s="6" t="s">
        <v>238</v>
      </c>
      <c r="B456" s="6" t="s">
        <v>779</v>
      </c>
      <c r="C456" s="6" t="s">
        <v>781</v>
      </c>
      <c r="D456" s="9" t="n">
        <v>0</v>
      </c>
    </row>
    <row r="457" customFormat="false" ht="15" hidden="false" customHeight="false" outlineLevel="0" collapsed="false">
      <c r="A457" s="6" t="s">
        <v>238</v>
      </c>
      <c r="B457" s="6" t="s">
        <v>885</v>
      </c>
      <c r="C457" s="6" t="s">
        <v>886</v>
      </c>
      <c r="D457" s="9" t="n">
        <v>0</v>
      </c>
    </row>
    <row r="458" customFormat="false" ht="15" hidden="false" customHeight="false" outlineLevel="0" collapsed="false">
      <c r="A458" s="6" t="s">
        <v>238</v>
      </c>
      <c r="B458" s="6" t="s">
        <v>885</v>
      </c>
      <c r="C458" s="6" t="s">
        <v>887</v>
      </c>
      <c r="D458" s="9" t="n">
        <v>0</v>
      </c>
    </row>
    <row r="459" customFormat="false" ht="15" hidden="false" customHeight="false" outlineLevel="0" collapsed="false">
      <c r="A459" s="6" t="s">
        <v>238</v>
      </c>
      <c r="B459" s="6" t="s">
        <v>885</v>
      </c>
      <c r="C459" s="6" t="s">
        <v>888</v>
      </c>
      <c r="D459" s="9" t="n">
        <v>0</v>
      </c>
    </row>
    <row r="460" customFormat="false" ht="15" hidden="false" customHeight="false" outlineLevel="0" collapsed="false">
      <c r="A460" s="6" t="s">
        <v>238</v>
      </c>
      <c r="B460" s="6" t="s">
        <v>79</v>
      </c>
      <c r="C460" s="6" t="s">
        <v>782</v>
      </c>
      <c r="D460" s="9" t="n">
        <v>26677.6</v>
      </c>
    </row>
    <row r="461" customFormat="false" ht="15" hidden="false" customHeight="false" outlineLevel="0" collapsed="false">
      <c r="A461" s="6" t="s">
        <v>238</v>
      </c>
      <c r="B461" s="6" t="s">
        <v>23</v>
      </c>
      <c r="C461" s="6" t="s">
        <v>783</v>
      </c>
      <c r="D461" s="9" t="n">
        <v>82238.6</v>
      </c>
    </row>
    <row r="462" customFormat="false" ht="15" hidden="false" customHeight="false" outlineLevel="0" collapsed="false">
      <c r="A462" s="6" t="s">
        <v>238</v>
      </c>
      <c r="B462" s="6" t="s">
        <v>102</v>
      </c>
      <c r="C462" s="6" t="s">
        <v>784</v>
      </c>
      <c r="D462" s="9" t="n">
        <v>10544.6</v>
      </c>
    </row>
    <row r="463" customFormat="false" ht="15" hidden="false" customHeight="false" outlineLevel="0" collapsed="false">
      <c r="A463" s="6" t="s">
        <v>238</v>
      </c>
      <c r="B463" s="6" t="s">
        <v>23</v>
      </c>
      <c r="C463" s="6" t="s">
        <v>785</v>
      </c>
      <c r="D463" s="9" t="n">
        <v>27476.6</v>
      </c>
    </row>
    <row r="464" customFormat="false" ht="15" hidden="false" customHeight="false" outlineLevel="0" collapsed="false">
      <c r="A464" s="6" t="s">
        <v>238</v>
      </c>
      <c r="B464" s="6" t="s">
        <v>788</v>
      </c>
      <c r="C464" s="6" t="s">
        <v>789</v>
      </c>
      <c r="D464" s="9" t="n">
        <v>0</v>
      </c>
    </row>
    <row r="465" customFormat="false" ht="15" hidden="false" customHeight="false" outlineLevel="0" collapsed="false">
      <c r="A465" s="6" t="s">
        <v>238</v>
      </c>
      <c r="B465" s="6" t="s">
        <v>788</v>
      </c>
      <c r="C465" s="6" t="s">
        <v>790</v>
      </c>
      <c r="D465" s="9" t="n">
        <v>0</v>
      </c>
    </row>
    <row r="466" customFormat="false" ht="15" hidden="false" customHeight="false" outlineLevel="0" collapsed="false">
      <c r="A466" s="6" t="s">
        <v>238</v>
      </c>
      <c r="B466" s="6" t="s">
        <v>788</v>
      </c>
      <c r="C466" s="6" t="s">
        <v>791</v>
      </c>
      <c r="D466" s="9" t="n">
        <v>0</v>
      </c>
    </row>
    <row r="467" customFormat="false" ht="15" hidden="false" customHeight="false" outlineLevel="0" collapsed="false">
      <c r="A467" s="6" t="s">
        <v>238</v>
      </c>
      <c r="B467" s="6" t="s">
        <v>788</v>
      </c>
      <c r="C467" s="6" t="s">
        <v>792</v>
      </c>
      <c r="D467" s="9" t="n">
        <v>0</v>
      </c>
    </row>
    <row r="468" customFormat="false" ht="15" hidden="false" customHeight="false" outlineLevel="0" collapsed="false">
      <c r="A468" s="6" t="s">
        <v>238</v>
      </c>
      <c r="B468" s="6" t="s">
        <v>788</v>
      </c>
      <c r="C468" s="6" t="s">
        <v>793</v>
      </c>
      <c r="D468" s="9" t="n">
        <v>0</v>
      </c>
    </row>
    <row r="469" customFormat="false" ht="15" hidden="false" customHeight="false" outlineLevel="0" collapsed="false">
      <c r="A469" s="6" t="s">
        <v>238</v>
      </c>
      <c r="B469" s="6" t="s">
        <v>794</v>
      </c>
      <c r="C469" s="6" t="s">
        <v>795</v>
      </c>
      <c r="D469" s="9" t="n">
        <v>0</v>
      </c>
    </row>
    <row r="470" customFormat="false" ht="15" hidden="false" customHeight="false" outlineLevel="0" collapsed="false">
      <c r="A470" s="6" t="s">
        <v>238</v>
      </c>
      <c r="B470" s="6" t="s">
        <v>794</v>
      </c>
      <c r="C470" s="6" t="s">
        <v>796</v>
      </c>
      <c r="D470" s="9" t="n">
        <v>0</v>
      </c>
    </row>
    <row r="471" customFormat="false" ht="15" hidden="false" customHeight="false" outlineLevel="0" collapsed="false">
      <c r="A471" s="6" t="s">
        <v>238</v>
      </c>
      <c r="B471" s="6" t="s">
        <v>794</v>
      </c>
      <c r="C471" s="6" t="s">
        <v>797</v>
      </c>
      <c r="D471" s="9" t="n">
        <v>0</v>
      </c>
    </row>
    <row r="472" customFormat="false" ht="15" hidden="false" customHeight="false" outlineLevel="0" collapsed="false">
      <c r="A472" s="6" t="s">
        <v>238</v>
      </c>
      <c r="B472" s="6" t="s">
        <v>794</v>
      </c>
      <c r="C472" s="6" t="s">
        <v>798</v>
      </c>
      <c r="D472" s="9" t="n">
        <v>0</v>
      </c>
    </row>
    <row r="473" customFormat="false" ht="15" hidden="false" customHeight="false" outlineLevel="0" collapsed="false">
      <c r="A473" s="6" t="s">
        <v>238</v>
      </c>
      <c r="B473" s="6" t="s">
        <v>794</v>
      </c>
      <c r="C473" s="6" t="s">
        <v>799</v>
      </c>
      <c r="D473" s="9" t="n">
        <v>0</v>
      </c>
    </row>
    <row r="474" customFormat="false" ht="15" hidden="false" customHeight="false" outlineLevel="0" collapsed="false">
      <c r="A474" s="6" t="s">
        <v>238</v>
      </c>
      <c r="B474" s="6" t="s">
        <v>800</v>
      </c>
      <c r="C474" s="6" t="s">
        <v>801</v>
      </c>
      <c r="D474" s="9" t="n">
        <v>0</v>
      </c>
    </row>
    <row r="475" customFormat="false" ht="15" hidden="false" customHeight="false" outlineLevel="0" collapsed="false">
      <c r="A475" s="6" t="s">
        <v>238</v>
      </c>
      <c r="B475" s="6" t="s">
        <v>800</v>
      </c>
      <c r="C475" s="6" t="s">
        <v>802</v>
      </c>
      <c r="D475" s="9" t="n">
        <v>0</v>
      </c>
    </row>
    <row r="476" customFormat="false" ht="15" hidden="false" customHeight="false" outlineLevel="0" collapsed="false">
      <c r="A476" s="6" t="s">
        <v>238</v>
      </c>
      <c r="B476" s="6" t="s">
        <v>800</v>
      </c>
      <c r="C476" s="6" t="s">
        <v>803</v>
      </c>
      <c r="D476" s="9" t="n">
        <v>0</v>
      </c>
    </row>
    <row r="477" customFormat="false" ht="15" hidden="false" customHeight="false" outlineLevel="0" collapsed="false">
      <c r="A477" s="6" t="s">
        <v>238</v>
      </c>
      <c r="B477" s="6" t="s">
        <v>800</v>
      </c>
      <c r="C477" s="6" t="s">
        <v>804</v>
      </c>
      <c r="D477" s="9" t="n">
        <v>0</v>
      </c>
    </row>
    <row r="478" customFormat="false" ht="15" hidden="false" customHeight="false" outlineLevel="0" collapsed="false">
      <c r="A478" s="6" t="s">
        <v>238</v>
      </c>
      <c r="B478" s="6" t="s">
        <v>800</v>
      </c>
      <c r="C478" s="6" t="s">
        <v>805</v>
      </c>
      <c r="D478" s="9" t="n">
        <v>0</v>
      </c>
    </row>
    <row r="479" customFormat="false" ht="15" hidden="false" customHeight="false" outlineLevel="0" collapsed="false">
      <c r="A479" s="6" t="s">
        <v>238</v>
      </c>
      <c r="B479" s="6" t="s">
        <v>133</v>
      </c>
      <c r="C479" s="6" t="s">
        <v>806</v>
      </c>
      <c r="D479" s="9" t="n">
        <v>3912.8</v>
      </c>
    </row>
    <row r="480" customFormat="false" ht="15" hidden="false" customHeight="false" outlineLevel="0" collapsed="false">
      <c r="A480" s="6" t="s">
        <v>238</v>
      </c>
      <c r="B480" s="6" t="s">
        <v>807</v>
      </c>
      <c r="C480" s="6" t="s">
        <v>808</v>
      </c>
      <c r="D480" s="9" t="n">
        <v>0</v>
      </c>
    </row>
    <row r="481" customFormat="false" ht="15" hidden="false" customHeight="false" outlineLevel="0" collapsed="false">
      <c r="A481" s="6" t="s">
        <v>238</v>
      </c>
      <c r="B481" s="6" t="s">
        <v>809</v>
      </c>
      <c r="C481" s="6" t="s">
        <v>810</v>
      </c>
      <c r="D481" s="9" t="n">
        <v>0</v>
      </c>
    </row>
    <row r="482" customFormat="false" ht="15" hidden="false" customHeight="false" outlineLevel="0" collapsed="false">
      <c r="A482" s="6" t="s">
        <v>238</v>
      </c>
      <c r="B482" s="6" t="s">
        <v>811</v>
      </c>
      <c r="C482" s="6" t="s">
        <v>812</v>
      </c>
      <c r="D482" s="9" t="n">
        <v>0</v>
      </c>
    </row>
    <row r="483" customFormat="false" ht="15" hidden="false" customHeight="false" outlineLevel="0" collapsed="false">
      <c r="A483" s="6" t="s">
        <v>238</v>
      </c>
      <c r="B483" s="6" t="s">
        <v>813</v>
      </c>
      <c r="C483" s="6" t="s">
        <v>814</v>
      </c>
      <c r="D483" s="9" t="n">
        <v>0</v>
      </c>
    </row>
    <row r="484" customFormat="false" ht="15" hidden="false" customHeight="false" outlineLevel="0" collapsed="false">
      <c r="A484" s="6" t="s">
        <v>238</v>
      </c>
      <c r="B484" s="6" t="s">
        <v>120</v>
      </c>
      <c r="C484" s="6" t="s">
        <v>815</v>
      </c>
      <c r="D484" s="9" t="n">
        <v>11294.3</v>
      </c>
    </row>
    <row r="485" customFormat="false" ht="15" hidden="false" customHeight="false" outlineLevel="0" collapsed="false">
      <c r="A485" s="6" t="s">
        <v>238</v>
      </c>
      <c r="B485" s="6" t="s">
        <v>120</v>
      </c>
      <c r="C485" s="6" t="s">
        <v>816</v>
      </c>
      <c r="D485" s="9" t="n">
        <v>18111.4</v>
      </c>
    </row>
    <row r="486" customFormat="false" ht="15" hidden="false" customHeight="false" outlineLevel="0" collapsed="false">
      <c r="A486" s="6" t="s">
        <v>238</v>
      </c>
      <c r="B486" s="6" t="s">
        <v>120</v>
      </c>
      <c r="C486" s="6" t="s">
        <v>817</v>
      </c>
      <c r="D486" s="9" t="n">
        <v>11553.6</v>
      </c>
    </row>
    <row r="487" customFormat="false" ht="15" hidden="false" customHeight="false" outlineLevel="0" collapsed="false">
      <c r="A487" s="6" t="s">
        <v>238</v>
      </c>
      <c r="B487" s="6" t="s">
        <v>120</v>
      </c>
      <c r="C487" s="6" t="s">
        <v>818</v>
      </c>
      <c r="D487" s="9" t="n">
        <v>11543.6</v>
      </c>
    </row>
    <row r="488" customFormat="false" ht="15" hidden="false" customHeight="false" outlineLevel="0" collapsed="false">
      <c r="A488" s="6" t="s">
        <v>238</v>
      </c>
      <c r="B488" s="6" t="s">
        <v>112</v>
      </c>
      <c r="C488" s="6" t="s">
        <v>819</v>
      </c>
      <c r="D488" s="9" t="n">
        <v>10070.6</v>
      </c>
    </row>
    <row r="489" customFormat="false" ht="15" hidden="false" customHeight="false" outlineLevel="0" collapsed="false">
      <c r="A489" s="6" t="s">
        <v>238</v>
      </c>
      <c r="B489" s="6" t="s">
        <v>60</v>
      </c>
      <c r="C489" s="6" t="s">
        <v>820</v>
      </c>
      <c r="D489" s="9" t="n">
        <v>5942.1</v>
      </c>
    </row>
    <row r="490" customFormat="false" ht="15" hidden="false" customHeight="false" outlineLevel="0" collapsed="false">
      <c r="A490" s="6" t="s">
        <v>238</v>
      </c>
      <c r="B490" s="6" t="s">
        <v>61</v>
      </c>
      <c r="C490" s="6" t="s">
        <v>821</v>
      </c>
      <c r="D490" s="9" t="n">
        <v>3674.8</v>
      </c>
    </row>
    <row r="491" customFormat="false" ht="15" hidden="false" customHeight="false" outlineLevel="0" collapsed="false">
      <c r="A491" s="6" t="s">
        <v>238</v>
      </c>
      <c r="B491" s="6" t="s">
        <v>70</v>
      </c>
      <c r="C491" s="6" t="s">
        <v>822</v>
      </c>
      <c r="D491" s="9" t="n">
        <v>2916</v>
      </c>
    </row>
    <row r="492" customFormat="false" ht="15" hidden="false" customHeight="false" outlineLevel="0" collapsed="false">
      <c r="A492" s="6" t="s">
        <v>238</v>
      </c>
      <c r="B492" s="6" t="s">
        <v>823</v>
      </c>
      <c r="C492" s="6" t="s">
        <v>824</v>
      </c>
      <c r="D492" s="9" t="n">
        <v>0</v>
      </c>
    </row>
    <row r="493" customFormat="false" ht="15" hidden="false" customHeight="false" outlineLevel="0" collapsed="false">
      <c r="A493" s="6" t="s">
        <v>238</v>
      </c>
      <c r="B493" s="6" t="s">
        <v>889</v>
      </c>
      <c r="C493" s="6" t="s">
        <v>890</v>
      </c>
      <c r="D493" s="9" t="n">
        <v>0</v>
      </c>
    </row>
    <row r="494" customFormat="false" ht="15" hidden="false" customHeight="false" outlineLevel="0" collapsed="false">
      <c r="A494" s="6" t="s">
        <v>238</v>
      </c>
      <c r="B494" s="6" t="s">
        <v>825</v>
      </c>
      <c r="C494" s="6" t="s">
        <v>891</v>
      </c>
      <c r="D494" s="9" t="n">
        <v>0</v>
      </c>
    </row>
    <row r="495" customFormat="false" ht="15" hidden="false" customHeight="false" outlineLevel="0" collapsed="false">
      <c r="A495" s="6" t="s">
        <v>238</v>
      </c>
      <c r="B495" s="6" t="s">
        <v>825</v>
      </c>
      <c r="C495" s="6" t="s">
        <v>826</v>
      </c>
      <c r="D495" s="9" t="n">
        <v>0</v>
      </c>
    </row>
    <row r="496" customFormat="false" ht="15" hidden="false" customHeight="false" outlineLevel="0" collapsed="false">
      <c r="A496" s="6" t="s">
        <v>238</v>
      </c>
      <c r="B496" s="6" t="s">
        <v>825</v>
      </c>
      <c r="C496" s="6" t="s">
        <v>892</v>
      </c>
      <c r="D496" s="9" t="n">
        <v>0</v>
      </c>
    </row>
    <row r="497" customFormat="false" ht="15" hidden="false" customHeight="false" outlineLevel="0" collapsed="false">
      <c r="A497" s="6" t="s">
        <v>238</v>
      </c>
      <c r="B497" s="6" t="s">
        <v>825</v>
      </c>
      <c r="C497" s="6" t="s">
        <v>893</v>
      </c>
      <c r="D497" s="9" t="n">
        <v>0</v>
      </c>
    </row>
    <row r="498" customFormat="false" ht="15" hidden="false" customHeight="false" outlineLevel="0" collapsed="false">
      <c r="A498" s="6" t="s">
        <v>238</v>
      </c>
      <c r="B498" s="6" t="s">
        <v>825</v>
      </c>
      <c r="C498" s="6" t="s">
        <v>894</v>
      </c>
      <c r="D498" s="9" t="n">
        <v>0</v>
      </c>
    </row>
    <row r="499" customFormat="false" ht="15" hidden="false" customHeight="false" outlineLevel="0" collapsed="false">
      <c r="A499" s="6" t="s">
        <v>238</v>
      </c>
      <c r="B499" s="6" t="s">
        <v>103</v>
      </c>
      <c r="C499" s="6" t="s">
        <v>829</v>
      </c>
      <c r="D499" s="9" t="n">
        <v>45344.4</v>
      </c>
    </row>
    <row r="500" customFormat="false" ht="15" hidden="false" customHeight="false" outlineLevel="0" collapsed="false">
      <c r="A500" s="6" t="s">
        <v>238</v>
      </c>
      <c r="B500" s="6" t="s">
        <v>103</v>
      </c>
      <c r="C500" s="6" t="s">
        <v>830</v>
      </c>
      <c r="D500" s="9" t="n">
        <v>38940.6</v>
      </c>
    </row>
    <row r="501" customFormat="false" ht="15" hidden="false" customHeight="false" outlineLevel="0" collapsed="false">
      <c r="A501" s="6" t="s">
        <v>238</v>
      </c>
      <c r="B501" s="6" t="s">
        <v>103</v>
      </c>
      <c r="C501" s="6" t="s">
        <v>831</v>
      </c>
      <c r="D501" s="9" t="n">
        <v>30467.8</v>
      </c>
    </row>
    <row r="502" customFormat="false" ht="15" hidden="false" customHeight="false" outlineLevel="0" collapsed="false">
      <c r="A502" s="6" t="s">
        <v>238</v>
      </c>
      <c r="B502" s="6" t="s">
        <v>103</v>
      </c>
      <c r="C502" s="6" t="s">
        <v>832</v>
      </c>
      <c r="D502" s="9" t="n">
        <v>24681.3</v>
      </c>
    </row>
    <row r="503" customFormat="false" ht="15" hidden="false" customHeight="false" outlineLevel="0" collapsed="false">
      <c r="A503" s="6" t="s">
        <v>238</v>
      </c>
      <c r="B503" s="6" t="s">
        <v>81</v>
      </c>
      <c r="C503" s="6" t="s">
        <v>833</v>
      </c>
      <c r="D503" s="9" t="n">
        <v>737.4</v>
      </c>
    </row>
    <row r="504" customFormat="false" ht="15" hidden="false" customHeight="false" outlineLevel="0" collapsed="false">
      <c r="A504" s="6" t="s">
        <v>238</v>
      </c>
      <c r="B504" s="6" t="s">
        <v>115</v>
      </c>
      <c r="C504" s="6" t="s">
        <v>833</v>
      </c>
      <c r="D504" s="9" t="n">
        <v>-564.6</v>
      </c>
    </row>
    <row r="505" customFormat="false" ht="15" hidden="false" customHeight="false" outlineLevel="0" collapsed="false">
      <c r="A505" s="6" t="s">
        <v>238</v>
      </c>
      <c r="B505" s="6" t="s">
        <v>81</v>
      </c>
      <c r="C505" s="6" t="s">
        <v>834</v>
      </c>
      <c r="D505" s="9" t="n">
        <v>874.8</v>
      </c>
    </row>
    <row r="506" customFormat="false" ht="15" hidden="false" customHeight="false" outlineLevel="0" collapsed="false">
      <c r="A506" s="6" t="s">
        <v>238</v>
      </c>
      <c r="B506" s="6" t="s">
        <v>96</v>
      </c>
      <c r="C506" s="6" t="s">
        <v>834</v>
      </c>
      <c r="D506" s="9" t="n">
        <v>1978.2</v>
      </c>
    </row>
    <row r="507" customFormat="false" ht="15" hidden="false" customHeight="false" outlineLevel="0" collapsed="false">
      <c r="A507" s="6" t="s">
        <v>238</v>
      </c>
      <c r="B507" s="6" t="s">
        <v>73</v>
      </c>
      <c r="C507" s="6" t="s">
        <v>835</v>
      </c>
      <c r="D507" s="9" t="n">
        <v>22225.7</v>
      </c>
    </row>
    <row r="508" customFormat="false" ht="15" hidden="false" customHeight="false" outlineLevel="0" collapsed="false">
      <c r="A508" s="6" t="s">
        <v>238</v>
      </c>
      <c r="B508" s="6" t="s">
        <v>132</v>
      </c>
      <c r="C508" s="6" t="s">
        <v>836</v>
      </c>
      <c r="D508" s="9" t="n">
        <v>1987</v>
      </c>
    </row>
    <row r="509" customFormat="false" ht="15" hidden="false" customHeight="false" outlineLevel="0" collapsed="false">
      <c r="A509" s="6" t="s">
        <v>238</v>
      </c>
      <c r="B509" s="6" t="s">
        <v>20</v>
      </c>
      <c r="C509" s="6" t="s">
        <v>895</v>
      </c>
      <c r="D509" s="9" t="n">
        <v>23331.1</v>
      </c>
    </row>
    <row r="510" customFormat="false" ht="15" hidden="false" customHeight="false" outlineLevel="0" collapsed="false">
      <c r="A510" s="6" t="s">
        <v>238</v>
      </c>
      <c r="B510" s="6" t="s">
        <v>20</v>
      </c>
      <c r="C510" s="6" t="s">
        <v>896</v>
      </c>
      <c r="D510" s="9" t="n">
        <v>35342.4</v>
      </c>
    </row>
    <row r="511" customFormat="false" ht="15" hidden="false" customHeight="false" outlineLevel="0" collapsed="false">
      <c r="A511" s="6" t="s">
        <v>238</v>
      </c>
      <c r="B511" s="6" t="s">
        <v>20</v>
      </c>
      <c r="C511" s="6" t="s">
        <v>897</v>
      </c>
      <c r="D511" s="9" t="n">
        <v>26087.5</v>
      </c>
    </row>
    <row r="512" customFormat="false" ht="15" hidden="false" customHeight="false" outlineLevel="0" collapsed="false">
      <c r="A512" s="6" t="s">
        <v>238</v>
      </c>
      <c r="B512" s="6" t="s">
        <v>898</v>
      </c>
      <c r="C512" s="6" t="s">
        <v>899</v>
      </c>
      <c r="D512" s="9" t="n">
        <v>0</v>
      </c>
    </row>
    <row r="513" customFormat="false" ht="15" hidden="false" customHeight="false" outlineLevel="0" collapsed="false">
      <c r="A513" s="6" t="s">
        <v>238</v>
      </c>
      <c r="B513" s="6" t="s">
        <v>898</v>
      </c>
      <c r="C513" s="6" t="s">
        <v>900</v>
      </c>
      <c r="D513" s="9" t="n">
        <v>0</v>
      </c>
    </row>
    <row r="514" customFormat="false" ht="15" hidden="false" customHeight="false" outlineLevel="0" collapsed="false">
      <c r="A514" s="6" t="s">
        <v>238</v>
      </c>
      <c r="B514" s="6" t="s">
        <v>837</v>
      </c>
      <c r="C514" s="6" t="s">
        <v>838</v>
      </c>
      <c r="D514" s="9" t="n">
        <v>0</v>
      </c>
    </row>
    <row r="515" customFormat="false" ht="15" hidden="false" customHeight="false" outlineLevel="0" collapsed="false">
      <c r="A515" s="6" t="s">
        <v>238</v>
      </c>
      <c r="B515" s="6" t="s">
        <v>194</v>
      </c>
      <c r="C515" s="6" t="s">
        <v>379</v>
      </c>
      <c r="D515" s="9" t="n">
        <v>2509.6</v>
      </c>
    </row>
    <row r="516" customFormat="false" ht="15" hidden="false" customHeight="false" outlineLevel="0" collapsed="false">
      <c r="A516" s="6" t="s">
        <v>238</v>
      </c>
      <c r="B516" s="6" t="s">
        <v>97</v>
      </c>
      <c r="C516" s="6" t="s">
        <v>839</v>
      </c>
      <c r="D516" s="9" t="n">
        <v>66257.5</v>
      </c>
    </row>
    <row r="517" customFormat="false" ht="15" hidden="false" customHeight="false" outlineLevel="0" collapsed="false">
      <c r="A517" s="6" t="s">
        <v>238</v>
      </c>
      <c r="B517" s="6" t="s">
        <v>901</v>
      </c>
      <c r="C517" s="6" t="s">
        <v>902</v>
      </c>
      <c r="D517" s="9" t="n">
        <v>0</v>
      </c>
    </row>
    <row r="518" customFormat="false" ht="15" hidden="false" customHeight="false" outlineLevel="0" collapsed="false">
      <c r="A518" s="6" t="s">
        <v>238</v>
      </c>
      <c r="B518" s="6" t="s">
        <v>903</v>
      </c>
      <c r="C518" s="6" t="s">
        <v>904</v>
      </c>
      <c r="D518" s="9" t="n">
        <v>0</v>
      </c>
    </row>
    <row r="519" customFormat="false" ht="15" hidden="false" customHeight="false" outlineLevel="0" collapsed="false">
      <c r="A519" s="6" t="s">
        <v>238</v>
      </c>
      <c r="B519" s="6" t="s">
        <v>905</v>
      </c>
      <c r="C519" s="6" t="s">
        <v>906</v>
      </c>
      <c r="D519" s="9" t="n">
        <v>0</v>
      </c>
    </row>
    <row r="520" customFormat="false" ht="15" hidden="false" customHeight="false" outlineLevel="0" collapsed="false">
      <c r="A520" s="6" t="s">
        <v>238</v>
      </c>
      <c r="B520" s="6" t="s">
        <v>907</v>
      </c>
      <c r="C520" s="6" t="s">
        <v>908</v>
      </c>
      <c r="D520" s="9" t="n">
        <v>0</v>
      </c>
    </row>
    <row r="521" customFormat="false" ht="15" hidden="false" customHeight="false" outlineLevel="0" collapsed="false">
      <c r="A521" s="6" t="s">
        <v>238</v>
      </c>
      <c r="B521" s="6" t="s">
        <v>58</v>
      </c>
      <c r="C521" s="6" t="s">
        <v>909</v>
      </c>
      <c r="D521" s="9" t="n">
        <v>3068.9</v>
      </c>
    </row>
    <row r="522" customFormat="false" ht="15" hidden="false" customHeight="false" outlineLevel="0" collapsed="false">
      <c r="A522" s="6" t="s">
        <v>238</v>
      </c>
      <c r="B522" s="6" t="s">
        <v>58</v>
      </c>
      <c r="C522" s="6" t="s">
        <v>910</v>
      </c>
      <c r="D522" s="9" t="n">
        <v>3082.9</v>
      </c>
    </row>
    <row r="523" customFormat="false" ht="15" hidden="false" customHeight="false" outlineLevel="0" collapsed="false">
      <c r="A523" s="6" t="s">
        <v>238</v>
      </c>
      <c r="B523" s="6" t="s">
        <v>58</v>
      </c>
      <c r="C523" s="6" t="s">
        <v>911</v>
      </c>
      <c r="D523" s="9" t="n">
        <v>3629.4</v>
      </c>
    </row>
    <row r="524" customFormat="false" ht="15" hidden="false" customHeight="false" outlineLevel="0" collapsed="false">
      <c r="A524" s="6" t="s">
        <v>238</v>
      </c>
      <c r="B524" s="6" t="s">
        <v>58</v>
      </c>
      <c r="C524" s="6" t="s">
        <v>912</v>
      </c>
      <c r="D524" s="9" t="n">
        <v>3349.1</v>
      </c>
    </row>
    <row r="525" customFormat="false" ht="15" hidden="false" customHeight="false" outlineLevel="0" collapsed="false">
      <c r="A525" s="6" t="s">
        <v>238</v>
      </c>
      <c r="B525" s="6" t="s">
        <v>913</v>
      </c>
      <c r="C525" s="6" t="s">
        <v>914</v>
      </c>
      <c r="D525" s="9" t="n">
        <v>0</v>
      </c>
    </row>
    <row r="526" customFormat="false" ht="15" hidden="false" customHeight="false" outlineLevel="0" collapsed="false">
      <c r="A526" s="6" t="s">
        <v>238</v>
      </c>
      <c r="B526" s="6" t="s">
        <v>69</v>
      </c>
      <c r="C526" s="6" t="s">
        <v>915</v>
      </c>
      <c r="D526" s="9" t="n">
        <v>2203</v>
      </c>
    </row>
    <row r="527" customFormat="false" ht="15" hidden="false" customHeight="false" outlineLevel="0" collapsed="false">
      <c r="A527" s="6" t="s">
        <v>238</v>
      </c>
      <c r="B527" s="6" t="s">
        <v>69</v>
      </c>
      <c r="C527" s="6" t="s">
        <v>916</v>
      </c>
      <c r="D527" s="9" t="n">
        <v>4233.4</v>
      </c>
    </row>
    <row r="528" customFormat="false" ht="15" hidden="false" customHeight="false" outlineLevel="0" collapsed="false">
      <c r="A528" s="6" t="s">
        <v>238</v>
      </c>
      <c r="B528" s="6" t="s">
        <v>69</v>
      </c>
      <c r="C528" s="6" t="s">
        <v>917</v>
      </c>
      <c r="D528" s="9" t="n">
        <v>2908.5</v>
      </c>
    </row>
    <row r="529" customFormat="false" ht="15" hidden="false" customHeight="false" outlineLevel="0" collapsed="false">
      <c r="A529" s="6" t="s">
        <v>238</v>
      </c>
      <c r="B529" s="6" t="s">
        <v>82</v>
      </c>
      <c r="C529" s="6" t="s">
        <v>918</v>
      </c>
      <c r="D529" s="9" t="n">
        <v>2299.4</v>
      </c>
    </row>
    <row r="530" customFormat="false" ht="15" hidden="false" customHeight="false" outlineLevel="0" collapsed="false">
      <c r="A530" s="6" t="s">
        <v>238</v>
      </c>
      <c r="B530" s="6" t="s">
        <v>82</v>
      </c>
      <c r="C530" s="6" t="s">
        <v>919</v>
      </c>
      <c r="D530" s="9" t="n">
        <v>4131.8</v>
      </c>
    </row>
    <row r="531" customFormat="false" ht="15" hidden="false" customHeight="false" outlineLevel="0" collapsed="false">
      <c r="A531" s="6" t="s">
        <v>238</v>
      </c>
      <c r="B531" s="6" t="s">
        <v>101</v>
      </c>
      <c r="C531" s="6" t="s">
        <v>920</v>
      </c>
      <c r="D531" s="9" t="n">
        <v>3111.6</v>
      </c>
    </row>
    <row r="532" customFormat="false" ht="15" hidden="false" customHeight="false" outlineLevel="0" collapsed="false">
      <c r="A532" s="6" t="s">
        <v>238</v>
      </c>
      <c r="B532" s="6" t="s">
        <v>13</v>
      </c>
      <c r="C532" s="6" t="s">
        <v>840</v>
      </c>
      <c r="D532" s="9" t="n">
        <v>3938.8</v>
      </c>
    </row>
    <row r="533" customFormat="false" ht="15" hidden="false" customHeight="false" outlineLevel="0" collapsed="false">
      <c r="A533" s="6" t="s">
        <v>238</v>
      </c>
      <c r="B533" s="6" t="s">
        <v>13</v>
      </c>
      <c r="C533" s="6" t="s">
        <v>841</v>
      </c>
      <c r="D533" s="9" t="n">
        <v>12597.5</v>
      </c>
    </row>
    <row r="534" customFormat="false" ht="15" hidden="false" customHeight="false" outlineLevel="0" collapsed="false">
      <c r="A534" s="6" t="s">
        <v>238</v>
      </c>
      <c r="B534" s="6" t="s">
        <v>13</v>
      </c>
      <c r="C534" s="6" t="s">
        <v>842</v>
      </c>
      <c r="D534" s="9" t="n">
        <v>31090.3</v>
      </c>
    </row>
    <row r="535" customFormat="false" ht="15" hidden="false" customHeight="false" outlineLevel="0" collapsed="false">
      <c r="A535" s="6" t="s">
        <v>238</v>
      </c>
      <c r="B535" s="6" t="s">
        <v>14</v>
      </c>
      <c r="C535" s="6" t="s">
        <v>843</v>
      </c>
      <c r="D535" s="9" t="n">
        <v>3972.8</v>
      </c>
    </row>
    <row r="536" customFormat="false" ht="15" hidden="false" customHeight="false" outlineLevel="0" collapsed="false">
      <c r="A536" s="6" t="s">
        <v>238</v>
      </c>
      <c r="B536" s="6" t="s">
        <v>15</v>
      </c>
      <c r="C536" s="6" t="s">
        <v>843</v>
      </c>
      <c r="D536" s="9" t="n">
        <v>14442.3</v>
      </c>
    </row>
    <row r="537" customFormat="false" ht="15" hidden="false" customHeight="false" outlineLevel="0" collapsed="false">
      <c r="A537" s="6" t="s">
        <v>238</v>
      </c>
      <c r="B537" s="6" t="s">
        <v>16</v>
      </c>
      <c r="C537" s="6" t="s">
        <v>843</v>
      </c>
      <c r="D537" s="9" t="n">
        <v>23568.3</v>
      </c>
    </row>
    <row r="538" customFormat="false" ht="15" hidden="false" customHeight="false" outlineLevel="0" collapsed="false">
      <c r="A538" s="6" t="s">
        <v>238</v>
      </c>
      <c r="B538" s="6" t="s">
        <v>14</v>
      </c>
      <c r="C538" s="6" t="s">
        <v>844</v>
      </c>
      <c r="D538" s="9" t="n">
        <v>7547.1</v>
      </c>
    </row>
    <row r="539" customFormat="false" ht="15" hidden="false" customHeight="false" outlineLevel="0" collapsed="false">
      <c r="A539" s="6" t="s">
        <v>238</v>
      </c>
      <c r="B539" s="6" t="s">
        <v>15</v>
      </c>
      <c r="C539" s="6" t="s">
        <v>844</v>
      </c>
      <c r="D539" s="9" t="n">
        <v>37871.7</v>
      </c>
    </row>
    <row r="540" customFormat="false" ht="15" hidden="false" customHeight="false" outlineLevel="0" collapsed="false">
      <c r="A540" s="6" t="s">
        <v>238</v>
      </c>
      <c r="B540" s="6" t="s">
        <v>16</v>
      </c>
      <c r="C540" s="6" t="s">
        <v>844</v>
      </c>
      <c r="D540" s="9" t="n">
        <v>55166.1</v>
      </c>
    </row>
    <row r="541" customFormat="false" ht="15" hidden="false" customHeight="false" outlineLevel="0" collapsed="false">
      <c r="A541" s="6" t="s">
        <v>238</v>
      </c>
      <c r="B541" s="6" t="s">
        <v>921</v>
      </c>
      <c r="C541" s="6" t="s">
        <v>922</v>
      </c>
      <c r="D541" s="9" t="n">
        <v>0</v>
      </c>
    </row>
    <row r="542" customFormat="false" ht="15" hidden="false" customHeight="false" outlineLevel="0" collapsed="false">
      <c r="A542" s="6" t="s">
        <v>238</v>
      </c>
      <c r="B542" s="6" t="s">
        <v>923</v>
      </c>
      <c r="C542" s="6" t="s">
        <v>924</v>
      </c>
      <c r="D542" s="9" t="n">
        <v>0</v>
      </c>
    </row>
    <row r="543" customFormat="false" ht="15" hidden="false" customHeight="false" outlineLevel="0" collapsed="false">
      <c r="A543" s="6" t="s">
        <v>238</v>
      </c>
      <c r="B543" s="6" t="s">
        <v>925</v>
      </c>
      <c r="C543" s="6" t="s">
        <v>569</v>
      </c>
      <c r="D543" s="9" t="n">
        <v>0</v>
      </c>
    </row>
    <row r="544" customFormat="false" ht="15" hidden="false" customHeight="false" outlineLevel="0" collapsed="false">
      <c r="A544" s="6" t="s">
        <v>238</v>
      </c>
      <c r="B544" s="6" t="s">
        <v>86</v>
      </c>
      <c r="C544" s="6" t="s">
        <v>926</v>
      </c>
      <c r="D544" s="9" t="n">
        <v>5635.8</v>
      </c>
    </row>
    <row r="545" customFormat="false" ht="15" hidden="false" customHeight="false" outlineLevel="0" collapsed="false">
      <c r="A545" s="6" t="s">
        <v>238</v>
      </c>
      <c r="B545" s="6" t="s">
        <v>927</v>
      </c>
      <c r="C545" s="6" t="s">
        <v>928</v>
      </c>
      <c r="D545" s="9" t="n">
        <v>0</v>
      </c>
    </row>
    <row r="546" customFormat="false" ht="15" hidden="false" customHeight="false" outlineLevel="0" collapsed="false">
      <c r="A546" s="6" t="s">
        <v>238</v>
      </c>
      <c r="B546" s="6" t="s">
        <v>107</v>
      </c>
      <c r="C546" s="6" t="s">
        <v>846</v>
      </c>
      <c r="D546" s="9" t="n">
        <v>1293.3</v>
      </c>
    </row>
    <row r="547" customFormat="false" ht="15" hidden="false" customHeight="false" outlineLevel="0" collapsed="false">
      <c r="A547" s="6" t="s">
        <v>238</v>
      </c>
      <c r="B547" s="6" t="s">
        <v>107</v>
      </c>
      <c r="C547" s="6" t="s">
        <v>847</v>
      </c>
      <c r="D547" s="9" t="n">
        <v>1278</v>
      </c>
    </row>
    <row r="548" customFormat="false" ht="15" hidden="false" customHeight="false" outlineLevel="0" collapsed="false">
      <c r="A548" s="6" t="s">
        <v>238</v>
      </c>
      <c r="B548" s="6" t="s">
        <v>929</v>
      </c>
      <c r="C548" s="6" t="s">
        <v>930</v>
      </c>
      <c r="D548" s="9" t="n">
        <v>0</v>
      </c>
    </row>
    <row r="549" customFormat="false" ht="15" hidden="false" customHeight="false" outlineLevel="0" collapsed="false">
      <c r="A549" s="6" t="s">
        <v>238</v>
      </c>
      <c r="B549" s="6" t="s">
        <v>119</v>
      </c>
      <c r="C549" s="6" t="s">
        <v>848</v>
      </c>
      <c r="D549" s="9" t="n">
        <v>10680.7</v>
      </c>
    </row>
    <row r="550" customFormat="false" ht="15" hidden="false" customHeight="false" outlineLevel="0" collapsed="false">
      <c r="A550" s="6" t="s">
        <v>238</v>
      </c>
      <c r="B550" s="6" t="s">
        <v>39</v>
      </c>
      <c r="C550" s="6" t="s">
        <v>849</v>
      </c>
      <c r="D550" s="9" t="n">
        <v>3043</v>
      </c>
    </row>
    <row r="551" customFormat="false" ht="15" hidden="false" customHeight="false" outlineLevel="0" collapsed="false">
      <c r="A551" s="6" t="s">
        <v>238</v>
      </c>
      <c r="B551" s="6" t="s">
        <v>39</v>
      </c>
      <c r="C551" s="6" t="s">
        <v>850</v>
      </c>
      <c r="D551" s="9" t="n">
        <v>3627.8</v>
      </c>
    </row>
    <row r="552" customFormat="false" ht="15" hidden="false" customHeight="false" outlineLevel="0" collapsed="false">
      <c r="A552" s="6" t="s">
        <v>238</v>
      </c>
      <c r="B552" s="6" t="s">
        <v>39</v>
      </c>
      <c r="C552" s="6" t="s">
        <v>851</v>
      </c>
      <c r="D552" s="9" t="n">
        <v>4687.8</v>
      </c>
    </row>
    <row r="553" customFormat="false" ht="15" hidden="false" customHeight="false" outlineLevel="0" collapsed="false">
      <c r="A553" s="6" t="s">
        <v>238</v>
      </c>
      <c r="B553" s="6" t="s">
        <v>39</v>
      </c>
      <c r="C553" s="6" t="s">
        <v>852</v>
      </c>
      <c r="D553" s="9" t="n">
        <v>7611.9</v>
      </c>
    </row>
    <row r="554" customFormat="false" ht="15" hidden="false" customHeight="false" outlineLevel="0" collapsed="false">
      <c r="A554" s="6" t="s">
        <v>238</v>
      </c>
      <c r="B554" s="6" t="s">
        <v>39</v>
      </c>
      <c r="C554" s="6" t="s">
        <v>853</v>
      </c>
      <c r="D554" s="9" t="n">
        <v>5400.5</v>
      </c>
    </row>
    <row r="555" customFormat="false" ht="15" hidden="false" customHeight="false" outlineLevel="0" collapsed="false">
      <c r="A555" s="6" t="s">
        <v>238</v>
      </c>
      <c r="B555" s="6" t="s">
        <v>39</v>
      </c>
      <c r="C555" s="6" t="s">
        <v>931</v>
      </c>
      <c r="D555" s="9" t="n">
        <v>2522.1</v>
      </c>
    </row>
    <row r="556" customFormat="false" ht="15" hidden="false" customHeight="false" outlineLevel="0" collapsed="false">
      <c r="A556" s="6" t="s">
        <v>854</v>
      </c>
      <c r="B556" s="6" t="s">
        <v>57</v>
      </c>
      <c r="C556" s="6" t="s">
        <v>239</v>
      </c>
      <c r="D556" s="9" t="n">
        <v>742</v>
      </c>
    </row>
    <row r="557" customFormat="false" ht="15" hidden="false" customHeight="false" outlineLevel="0" collapsed="false">
      <c r="A557" s="6" t="s">
        <v>854</v>
      </c>
      <c r="B557" s="6" t="s">
        <v>57</v>
      </c>
      <c r="C557" s="6" t="s">
        <v>240</v>
      </c>
      <c r="D557" s="9" t="n">
        <v>807</v>
      </c>
    </row>
    <row r="558" customFormat="false" ht="15" hidden="false" customHeight="false" outlineLevel="0" collapsed="false">
      <c r="A558" s="6" t="s">
        <v>854</v>
      </c>
      <c r="B558" s="6" t="s">
        <v>241</v>
      </c>
      <c r="C558" s="6" t="s">
        <v>242</v>
      </c>
      <c r="D558" s="9" t="n">
        <v>0</v>
      </c>
    </row>
    <row r="559" customFormat="false" ht="15" hidden="false" customHeight="false" outlineLevel="0" collapsed="false">
      <c r="A559" s="6" t="s">
        <v>854</v>
      </c>
      <c r="B559" s="6" t="s">
        <v>243</v>
      </c>
      <c r="C559" s="6" t="s">
        <v>244</v>
      </c>
      <c r="D559" s="9" t="n">
        <v>0</v>
      </c>
    </row>
    <row r="560" customFormat="false" ht="15" hidden="false" customHeight="false" outlineLevel="0" collapsed="false">
      <c r="A560" s="6" t="s">
        <v>854</v>
      </c>
      <c r="B560" s="6" t="s">
        <v>245</v>
      </c>
      <c r="C560" s="6" t="s">
        <v>246</v>
      </c>
      <c r="D560" s="9" t="n">
        <v>0</v>
      </c>
    </row>
    <row r="561" customFormat="false" ht="15" hidden="false" customHeight="false" outlineLevel="0" collapsed="false">
      <c r="A561" s="6" t="s">
        <v>854</v>
      </c>
      <c r="B561" s="6" t="s">
        <v>247</v>
      </c>
      <c r="C561" s="6" t="s">
        <v>248</v>
      </c>
      <c r="D561" s="9" t="n">
        <v>0</v>
      </c>
    </row>
    <row r="562" customFormat="false" ht="15" hidden="false" customHeight="false" outlineLevel="0" collapsed="false">
      <c r="A562" s="6" t="s">
        <v>854</v>
      </c>
      <c r="B562" s="6" t="s">
        <v>249</v>
      </c>
      <c r="C562" s="6" t="s">
        <v>250</v>
      </c>
      <c r="D562" s="9" t="n">
        <v>0</v>
      </c>
    </row>
    <row r="563" customFormat="false" ht="15" hidden="false" customHeight="false" outlineLevel="0" collapsed="false">
      <c r="A563" s="6" t="s">
        <v>854</v>
      </c>
      <c r="B563" s="6" t="s">
        <v>118</v>
      </c>
      <c r="C563" s="6" t="s">
        <v>251</v>
      </c>
      <c r="D563" s="9" t="n">
        <v>101</v>
      </c>
    </row>
    <row r="564" customFormat="false" ht="15" hidden="false" customHeight="false" outlineLevel="0" collapsed="false">
      <c r="A564" s="6" t="s">
        <v>854</v>
      </c>
      <c r="B564" s="6" t="s">
        <v>66</v>
      </c>
      <c r="C564" s="6" t="s">
        <v>252</v>
      </c>
      <c r="D564" s="9" t="n">
        <v>1332</v>
      </c>
    </row>
    <row r="565" customFormat="false" ht="15" hidden="false" customHeight="false" outlineLevel="0" collapsed="false">
      <c r="A565" s="6" t="s">
        <v>854</v>
      </c>
      <c r="B565" s="6" t="s">
        <v>857</v>
      </c>
      <c r="C565" s="6" t="s">
        <v>858</v>
      </c>
      <c r="D565" s="9" t="n">
        <v>0</v>
      </c>
    </row>
    <row r="566" customFormat="false" ht="15" hidden="false" customHeight="false" outlineLevel="0" collapsed="false">
      <c r="A566" s="6" t="s">
        <v>854</v>
      </c>
      <c r="B566" s="6" t="s">
        <v>94</v>
      </c>
      <c r="C566" s="6" t="s">
        <v>253</v>
      </c>
      <c r="D566" s="9" t="n">
        <v>7</v>
      </c>
    </row>
    <row r="567" customFormat="false" ht="15" hidden="false" customHeight="false" outlineLevel="0" collapsed="false">
      <c r="A567" s="6" t="s">
        <v>854</v>
      </c>
      <c r="B567" s="6" t="s">
        <v>94</v>
      </c>
      <c r="C567" s="6" t="s">
        <v>254</v>
      </c>
      <c r="D567" s="9" t="n">
        <v>28</v>
      </c>
    </row>
    <row r="568" customFormat="false" ht="15" hidden="false" customHeight="false" outlineLevel="0" collapsed="false">
      <c r="A568" s="6" t="s">
        <v>854</v>
      </c>
      <c r="B568" s="6" t="s">
        <v>94</v>
      </c>
      <c r="C568" s="6" t="s">
        <v>255</v>
      </c>
      <c r="D568" s="9" t="n">
        <v>30</v>
      </c>
    </row>
    <row r="569" customFormat="false" ht="15" hidden="false" customHeight="false" outlineLevel="0" collapsed="false">
      <c r="A569" s="6" t="s">
        <v>854</v>
      </c>
      <c r="B569" s="6" t="s">
        <v>116</v>
      </c>
      <c r="C569" s="6" t="s">
        <v>256</v>
      </c>
      <c r="D569" s="9" t="n">
        <v>8</v>
      </c>
    </row>
    <row r="570" customFormat="false" ht="15" hidden="false" customHeight="false" outlineLevel="0" collapsed="false">
      <c r="A570" s="6" t="s">
        <v>854</v>
      </c>
      <c r="B570" s="6" t="s">
        <v>116</v>
      </c>
      <c r="C570" s="6" t="s">
        <v>257</v>
      </c>
      <c r="D570" s="9" t="n">
        <v>-7</v>
      </c>
    </row>
    <row r="571" customFormat="false" ht="15" hidden="false" customHeight="false" outlineLevel="0" collapsed="false">
      <c r="A571" s="6" t="s">
        <v>854</v>
      </c>
      <c r="B571" s="6" t="s">
        <v>158</v>
      </c>
      <c r="C571" s="6" t="s">
        <v>258</v>
      </c>
      <c r="D571" s="9" t="n">
        <v>18</v>
      </c>
    </row>
    <row r="572" customFormat="false" ht="15" hidden="false" customHeight="false" outlineLevel="0" collapsed="false">
      <c r="A572" s="6" t="s">
        <v>854</v>
      </c>
      <c r="B572" s="6" t="s">
        <v>143</v>
      </c>
      <c r="C572" s="6" t="s">
        <v>259</v>
      </c>
      <c r="D572" s="9" t="n">
        <v>9</v>
      </c>
    </row>
    <row r="573" customFormat="false" ht="15" hidden="false" customHeight="false" outlineLevel="0" collapsed="false">
      <c r="A573" s="6" t="s">
        <v>854</v>
      </c>
      <c r="B573" s="6" t="s">
        <v>143</v>
      </c>
      <c r="C573" s="6" t="s">
        <v>260</v>
      </c>
      <c r="D573" s="9" t="n">
        <v>17</v>
      </c>
    </row>
    <row r="574" customFormat="false" ht="15" hidden="false" customHeight="false" outlineLevel="0" collapsed="false">
      <c r="A574" s="6" t="s">
        <v>854</v>
      </c>
      <c r="B574" s="6" t="s">
        <v>143</v>
      </c>
      <c r="C574" s="6" t="s">
        <v>261</v>
      </c>
      <c r="D574" s="9" t="n">
        <v>28</v>
      </c>
    </row>
    <row r="575" customFormat="false" ht="15" hidden="false" customHeight="false" outlineLevel="0" collapsed="false">
      <c r="A575" s="6" t="s">
        <v>854</v>
      </c>
      <c r="B575" s="6" t="s">
        <v>223</v>
      </c>
      <c r="C575" s="6" t="s">
        <v>262</v>
      </c>
      <c r="D575" s="9" t="n">
        <v>-1</v>
      </c>
    </row>
    <row r="576" customFormat="false" ht="15" hidden="false" customHeight="false" outlineLevel="0" collapsed="false">
      <c r="A576" s="6" t="s">
        <v>854</v>
      </c>
      <c r="B576" s="6" t="s">
        <v>84</v>
      </c>
      <c r="C576" s="6" t="s">
        <v>253</v>
      </c>
      <c r="D576" s="9" t="n">
        <v>37</v>
      </c>
    </row>
    <row r="577" customFormat="false" ht="15" hidden="false" customHeight="false" outlineLevel="0" collapsed="false">
      <c r="A577" s="6" t="s">
        <v>854</v>
      </c>
      <c r="B577" s="6" t="s">
        <v>84</v>
      </c>
      <c r="C577" s="6" t="s">
        <v>263</v>
      </c>
      <c r="D577" s="9" t="n">
        <v>57</v>
      </c>
    </row>
    <row r="578" customFormat="false" ht="15" hidden="false" customHeight="false" outlineLevel="0" collapsed="false">
      <c r="A578" s="6" t="s">
        <v>854</v>
      </c>
      <c r="B578" s="6" t="s">
        <v>84</v>
      </c>
      <c r="C578" s="6" t="s">
        <v>264</v>
      </c>
      <c r="D578" s="9" t="n">
        <v>82</v>
      </c>
    </row>
    <row r="579" customFormat="false" ht="15" hidden="false" customHeight="false" outlineLevel="0" collapsed="false">
      <c r="A579" s="6" t="s">
        <v>854</v>
      </c>
      <c r="B579" s="6" t="s">
        <v>95</v>
      </c>
      <c r="C579" s="6" t="s">
        <v>265</v>
      </c>
      <c r="D579" s="9" t="n">
        <v>-5</v>
      </c>
    </row>
    <row r="580" customFormat="false" ht="15" hidden="false" customHeight="false" outlineLevel="0" collapsed="false">
      <c r="A580" s="6" t="s">
        <v>854</v>
      </c>
      <c r="B580" s="6" t="s">
        <v>95</v>
      </c>
      <c r="C580" s="6" t="s">
        <v>266</v>
      </c>
      <c r="D580" s="9" t="n">
        <v>-4</v>
      </c>
    </row>
    <row r="581" customFormat="false" ht="15" hidden="false" customHeight="false" outlineLevel="0" collapsed="false">
      <c r="A581" s="6" t="s">
        <v>854</v>
      </c>
      <c r="B581" s="6" t="s">
        <v>95</v>
      </c>
      <c r="C581" s="6" t="s">
        <v>267</v>
      </c>
      <c r="D581" s="9" t="n">
        <v>0</v>
      </c>
    </row>
    <row r="582" customFormat="false" ht="15" hidden="false" customHeight="false" outlineLevel="0" collapsed="false">
      <c r="A582" s="6" t="s">
        <v>854</v>
      </c>
      <c r="B582" s="6" t="s">
        <v>152</v>
      </c>
      <c r="C582" s="6" t="s">
        <v>268</v>
      </c>
      <c r="D582" s="9" t="n">
        <v>20</v>
      </c>
    </row>
    <row r="583" customFormat="false" ht="15" hidden="false" customHeight="false" outlineLevel="0" collapsed="false">
      <c r="A583" s="6" t="s">
        <v>854</v>
      </c>
      <c r="B583" s="6" t="s">
        <v>152</v>
      </c>
      <c r="C583" s="6" t="s">
        <v>269</v>
      </c>
      <c r="D583" s="9" t="n">
        <v>64</v>
      </c>
    </row>
    <row r="584" customFormat="false" ht="15" hidden="false" customHeight="false" outlineLevel="0" collapsed="false">
      <c r="A584" s="6" t="s">
        <v>854</v>
      </c>
      <c r="B584" s="6" t="s">
        <v>152</v>
      </c>
      <c r="C584" s="6" t="s">
        <v>270</v>
      </c>
      <c r="D584" s="9" t="n">
        <v>68</v>
      </c>
    </row>
    <row r="585" customFormat="false" ht="15" hidden="false" customHeight="false" outlineLevel="0" collapsed="false">
      <c r="A585" s="6" t="s">
        <v>854</v>
      </c>
      <c r="B585" s="6" t="s">
        <v>148</v>
      </c>
      <c r="C585" s="6" t="s">
        <v>276</v>
      </c>
      <c r="D585" s="9" t="n">
        <v>-6</v>
      </c>
    </row>
    <row r="586" customFormat="false" ht="15" hidden="false" customHeight="false" outlineLevel="0" collapsed="false">
      <c r="A586" s="6" t="s">
        <v>854</v>
      </c>
      <c r="B586" s="6" t="s">
        <v>148</v>
      </c>
      <c r="C586" s="6" t="s">
        <v>277</v>
      </c>
      <c r="D586" s="9" t="n">
        <v>-3</v>
      </c>
    </row>
    <row r="587" customFormat="false" ht="15" hidden="false" customHeight="false" outlineLevel="0" collapsed="false">
      <c r="A587" s="6" t="s">
        <v>854</v>
      </c>
      <c r="B587" s="6" t="s">
        <v>148</v>
      </c>
      <c r="C587" s="6" t="s">
        <v>278</v>
      </c>
      <c r="D587" s="9" t="n">
        <v>-2</v>
      </c>
    </row>
    <row r="588" customFormat="false" ht="15" hidden="false" customHeight="false" outlineLevel="0" collapsed="false">
      <c r="A588" s="6" t="s">
        <v>854</v>
      </c>
      <c r="B588" s="6" t="s">
        <v>148</v>
      </c>
      <c r="C588" s="6" t="s">
        <v>279</v>
      </c>
      <c r="D588" s="9" t="n">
        <v>-3</v>
      </c>
    </row>
    <row r="589" customFormat="false" ht="15" hidden="false" customHeight="false" outlineLevel="0" collapsed="false">
      <c r="A589" s="6" t="s">
        <v>854</v>
      </c>
      <c r="B589" s="6" t="s">
        <v>230</v>
      </c>
      <c r="C589" s="6" t="s">
        <v>281</v>
      </c>
      <c r="D589" s="9" t="n">
        <v>0</v>
      </c>
    </row>
    <row r="590" customFormat="false" ht="15" hidden="false" customHeight="false" outlineLevel="0" collapsed="false">
      <c r="A590" s="6" t="s">
        <v>854</v>
      </c>
      <c r="B590" s="6" t="s">
        <v>230</v>
      </c>
      <c r="C590" s="6" t="s">
        <v>282</v>
      </c>
      <c r="D590" s="9" t="n">
        <v>0</v>
      </c>
    </row>
    <row r="591" customFormat="false" ht="15" hidden="false" customHeight="false" outlineLevel="0" collapsed="false">
      <c r="A591" s="6" t="s">
        <v>854</v>
      </c>
      <c r="B591" s="6" t="s">
        <v>230</v>
      </c>
      <c r="C591" s="6" t="s">
        <v>283</v>
      </c>
      <c r="D591" s="9" t="n">
        <v>0</v>
      </c>
    </row>
    <row r="592" customFormat="false" ht="15" hidden="false" customHeight="false" outlineLevel="0" collapsed="false">
      <c r="A592" s="6" t="s">
        <v>854</v>
      </c>
      <c r="B592" s="6" t="s">
        <v>230</v>
      </c>
      <c r="C592" s="6" t="s">
        <v>284</v>
      </c>
      <c r="D592" s="9" t="n">
        <v>-1</v>
      </c>
    </row>
    <row r="593" customFormat="false" ht="15" hidden="false" customHeight="false" outlineLevel="0" collapsed="false">
      <c r="A593" s="6" t="s">
        <v>854</v>
      </c>
      <c r="B593" s="6" t="s">
        <v>230</v>
      </c>
      <c r="C593" s="6" t="s">
        <v>285</v>
      </c>
      <c r="D593" s="9" t="n">
        <v>0</v>
      </c>
    </row>
    <row r="594" customFormat="false" ht="15" hidden="false" customHeight="false" outlineLevel="0" collapsed="false">
      <c r="A594" s="6" t="s">
        <v>854</v>
      </c>
      <c r="B594" s="6" t="s">
        <v>54</v>
      </c>
      <c r="C594" s="6" t="s">
        <v>288</v>
      </c>
      <c r="D594" s="9" t="n">
        <v>-4</v>
      </c>
    </row>
    <row r="595" customFormat="false" ht="15" hidden="false" customHeight="false" outlineLevel="0" collapsed="false">
      <c r="A595" s="6" t="s">
        <v>854</v>
      </c>
      <c r="B595" s="6" t="s">
        <v>54</v>
      </c>
      <c r="C595" s="6" t="s">
        <v>289</v>
      </c>
      <c r="D595" s="9" t="n">
        <v>14</v>
      </c>
    </row>
    <row r="596" customFormat="false" ht="15" hidden="false" customHeight="false" outlineLevel="0" collapsed="false">
      <c r="A596" s="6" t="s">
        <v>854</v>
      </c>
      <c r="B596" s="6" t="s">
        <v>54</v>
      </c>
      <c r="C596" s="6" t="s">
        <v>290</v>
      </c>
      <c r="D596" s="9" t="n">
        <v>8</v>
      </c>
    </row>
    <row r="597" customFormat="false" ht="15" hidden="false" customHeight="false" outlineLevel="0" collapsed="false">
      <c r="A597" s="6" t="s">
        <v>854</v>
      </c>
      <c r="B597" s="6" t="s">
        <v>54</v>
      </c>
      <c r="C597" s="6" t="s">
        <v>291</v>
      </c>
      <c r="D597" s="9" t="n">
        <v>27</v>
      </c>
    </row>
    <row r="598" customFormat="false" ht="15" hidden="false" customHeight="false" outlineLevel="0" collapsed="false">
      <c r="A598" s="6" t="s">
        <v>854</v>
      </c>
      <c r="B598" s="6" t="s">
        <v>54</v>
      </c>
      <c r="C598" s="6" t="s">
        <v>292</v>
      </c>
      <c r="D598" s="9" t="n">
        <v>0</v>
      </c>
    </row>
    <row r="599" customFormat="false" ht="15" hidden="false" customHeight="false" outlineLevel="0" collapsed="false">
      <c r="A599" s="6" t="s">
        <v>854</v>
      </c>
      <c r="B599" s="6" t="s">
        <v>32</v>
      </c>
      <c r="C599" s="6" t="s">
        <v>293</v>
      </c>
      <c r="D599" s="9" t="n">
        <v>92</v>
      </c>
    </row>
    <row r="600" customFormat="false" ht="15" hidden="false" customHeight="false" outlineLevel="0" collapsed="false">
      <c r="A600" s="6" t="s">
        <v>854</v>
      </c>
      <c r="B600" s="6" t="s">
        <v>32</v>
      </c>
      <c r="C600" s="6" t="s">
        <v>294</v>
      </c>
      <c r="D600" s="9" t="n">
        <v>249</v>
      </c>
    </row>
    <row r="601" customFormat="false" ht="15" hidden="false" customHeight="false" outlineLevel="0" collapsed="false">
      <c r="A601" s="6" t="s">
        <v>854</v>
      </c>
      <c r="B601" s="6" t="s">
        <v>32</v>
      </c>
      <c r="C601" s="6" t="s">
        <v>295</v>
      </c>
      <c r="D601" s="9" t="n">
        <v>177</v>
      </c>
    </row>
    <row r="602" customFormat="false" ht="15" hidden="false" customHeight="false" outlineLevel="0" collapsed="false">
      <c r="A602" s="6" t="s">
        <v>854</v>
      </c>
      <c r="B602" s="6" t="s">
        <v>32</v>
      </c>
      <c r="C602" s="6" t="s">
        <v>296</v>
      </c>
      <c r="D602" s="9" t="n">
        <v>241</v>
      </c>
    </row>
    <row r="603" customFormat="false" ht="15" hidden="false" customHeight="false" outlineLevel="0" collapsed="false">
      <c r="A603" s="6" t="s">
        <v>854</v>
      </c>
      <c r="B603" s="6" t="s">
        <v>32</v>
      </c>
      <c r="C603" s="6" t="s">
        <v>297</v>
      </c>
      <c r="D603" s="9" t="n">
        <v>46</v>
      </c>
    </row>
    <row r="604" customFormat="false" ht="15" hidden="false" customHeight="false" outlineLevel="0" collapsed="false">
      <c r="A604" s="6" t="s">
        <v>854</v>
      </c>
      <c r="B604" s="6" t="s">
        <v>224</v>
      </c>
      <c r="C604" s="6" t="s">
        <v>859</v>
      </c>
      <c r="D604" s="9" t="n">
        <v>-1</v>
      </c>
    </row>
    <row r="605" customFormat="false" ht="15" hidden="false" customHeight="false" outlineLevel="0" collapsed="false">
      <c r="A605" s="6" t="s">
        <v>854</v>
      </c>
      <c r="B605" s="6" t="s">
        <v>177</v>
      </c>
      <c r="C605" s="6" t="s">
        <v>860</v>
      </c>
      <c r="D605" s="9" t="n">
        <v>0</v>
      </c>
    </row>
    <row r="606" customFormat="false" ht="15" hidden="false" customHeight="false" outlineLevel="0" collapsed="false">
      <c r="A606" s="6" t="s">
        <v>854</v>
      </c>
      <c r="B606" s="6" t="s">
        <v>177</v>
      </c>
      <c r="C606" s="6" t="s">
        <v>299</v>
      </c>
      <c r="D606" s="9" t="n">
        <v>-1</v>
      </c>
    </row>
    <row r="607" customFormat="false" ht="15" hidden="false" customHeight="false" outlineLevel="0" collapsed="false">
      <c r="A607" s="6" t="s">
        <v>854</v>
      </c>
      <c r="B607" s="6" t="s">
        <v>177</v>
      </c>
      <c r="C607" s="6" t="s">
        <v>861</v>
      </c>
      <c r="D607" s="9" t="n">
        <v>0</v>
      </c>
    </row>
    <row r="608" customFormat="false" ht="15" hidden="false" customHeight="false" outlineLevel="0" collapsed="false">
      <c r="A608" s="6" t="s">
        <v>854</v>
      </c>
      <c r="B608" s="6" t="s">
        <v>177</v>
      </c>
      <c r="C608" s="6" t="s">
        <v>300</v>
      </c>
      <c r="D608" s="9" t="n">
        <v>0</v>
      </c>
    </row>
    <row r="609" customFormat="false" ht="15" hidden="false" customHeight="false" outlineLevel="0" collapsed="false">
      <c r="A609" s="6" t="s">
        <v>854</v>
      </c>
      <c r="B609" s="6" t="s">
        <v>75</v>
      </c>
      <c r="C609" s="6" t="s">
        <v>301</v>
      </c>
      <c r="D609" s="9" t="n">
        <v>123</v>
      </c>
    </row>
    <row r="610" customFormat="false" ht="15" hidden="false" customHeight="false" outlineLevel="0" collapsed="false">
      <c r="A610" s="6" t="s">
        <v>854</v>
      </c>
      <c r="B610" s="6" t="s">
        <v>75</v>
      </c>
      <c r="C610" s="6" t="s">
        <v>302</v>
      </c>
      <c r="D610" s="9" t="n">
        <v>138</v>
      </c>
    </row>
    <row r="611" customFormat="false" ht="15" hidden="false" customHeight="false" outlineLevel="0" collapsed="false">
      <c r="A611" s="6" t="s">
        <v>854</v>
      </c>
      <c r="B611" s="6" t="s">
        <v>75</v>
      </c>
      <c r="C611" s="6" t="s">
        <v>303</v>
      </c>
      <c r="D611" s="9" t="n">
        <v>102</v>
      </c>
    </row>
    <row r="612" customFormat="false" ht="15" hidden="false" customHeight="false" outlineLevel="0" collapsed="false">
      <c r="A612" s="6" t="s">
        <v>854</v>
      </c>
      <c r="B612" s="6" t="s">
        <v>75</v>
      </c>
      <c r="C612" s="6" t="s">
        <v>304</v>
      </c>
      <c r="D612" s="9" t="n">
        <v>37</v>
      </c>
    </row>
    <row r="613" customFormat="false" ht="15" hidden="false" customHeight="false" outlineLevel="0" collapsed="false">
      <c r="A613" s="6" t="s">
        <v>854</v>
      </c>
      <c r="B613" s="6" t="s">
        <v>75</v>
      </c>
      <c r="C613" s="6" t="s">
        <v>305</v>
      </c>
      <c r="D613" s="9" t="n">
        <v>-2</v>
      </c>
    </row>
    <row r="614" customFormat="false" ht="15" hidden="false" customHeight="false" outlineLevel="0" collapsed="false">
      <c r="A614" s="6" t="s">
        <v>854</v>
      </c>
      <c r="B614" s="6" t="s">
        <v>19</v>
      </c>
      <c r="C614" s="6" t="s">
        <v>306</v>
      </c>
      <c r="D614" s="9" t="n">
        <v>1476</v>
      </c>
    </row>
    <row r="615" customFormat="false" ht="15" hidden="false" customHeight="false" outlineLevel="0" collapsed="false">
      <c r="A615" s="6" t="s">
        <v>854</v>
      </c>
      <c r="B615" s="6" t="s">
        <v>19</v>
      </c>
      <c r="C615" s="6" t="s">
        <v>307</v>
      </c>
      <c r="D615" s="9" t="n">
        <v>1439</v>
      </c>
    </row>
    <row r="616" customFormat="false" ht="15" hidden="false" customHeight="false" outlineLevel="0" collapsed="false">
      <c r="A616" s="6" t="s">
        <v>854</v>
      </c>
      <c r="B616" s="6" t="s">
        <v>19</v>
      </c>
      <c r="C616" s="6" t="s">
        <v>308</v>
      </c>
      <c r="D616" s="9" t="n">
        <v>1964</v>
      </c>
    </row>
    <row r="617" customFormat="false" ht="15" hidden="false" customHeight="false" outlineLevel="0" collapsed="false">
      <c r="A617" s="6" t="s">
        <v>854</v>
      </c>
      <c r="B617" s="6" t="s">
        <v>19</v>
      </c>
      <c r="C617" s="6" t="s">
        <v>309</v>
      </c>
      <c r="D617" s="9" t="n">
        <v>579</v>
      </c>
    </row>
    <row r="618" customFormat="false" ht="15" hidden="false" customHeight="false" outlineLevel="0" collapsed="false">
      <c r="A618" s="6" t="s">
        <v>854</v>
      </c>
      <c r="B618" s="6" t="s">
        <v>162</v>
      </c>
      <c r="C618" s="6" t="s">
        <v>311</v>
      </c>
      <c r="D618" s="9" t="n">
        <v>-1</v>
      </c>
    </row>
    <row r="619" customFormat="false" ht="15" hidden="false" customHeight="false" outlineLevel="0" collapsed="false">
      <c r="A619" s="6" t="s">
        <v>854</v>
      </c>
      <c r="B619" s="6" t="s">
        <v>162</v>
      </c>
      <c r="C619" s="6" t="s">
        <v>313</v>
      </c>
      <c r="D619" s="9" t="n">
        <v>-1</v>
      </c>
    </row>
    <row r="620" customFormat="false" ht="15" hidden="false" customHeight="false" outlineLevel="0" collapsed="false">
      <c r="A620" s="6" t="s">
        <v>854</v>
      </c>
      <c r="B620" s="6" t="s">
        <v>190</v>
      </c>
      <c r="C620" s="6" t="s">
        <v>314</v>
      </c>
      <c r="D620" s="9" t="n">
        <v>0</v>
      </c>
    </row>
    <row r="621" customFormat="false" ht="15" hidden="false" customHeight="false" outlineLevel="0" collapsed="false">
      <c r="A621" s="6" t="s">
        <v>854</v>
      </c>
      <c r="B621" s="6" t="s">
        <v>315</v>
      </c>
      <c r="C621" s="6" t="s">
        <v>316</v>
      </c>
      <c r="D621" s="9" t="n">
        <v>0</v>
      </c>
    </row>
    <row r="622" customFormat="false" ht="15" hidden="false" customHeight="false" outlineLevel="0" collapsed="false">
      <c r="A622" s="6" t="s">
        <v>854</v>
      </c>
      <c r="B622" s="6" t="s">
        <v>315</v>
      </c>
      <c r="C622" s="6" t="s">
        <v>317</v>
      </c>
      <c r="D622" s="9" t="n">
        <v>0</v>
      </c>
    </row>
    <row r="623" customFormat="false" ht="15" hidden="false" customHeight="false" outlineLevel="0" collapsed="false">
      <c r="A623" s="6" t="s">
        <v>854</v>
      </c>
      <c r="B623" s="6" t="s">
        <v>315</v>
      </c>
      <c r="C623" s="6" t="s">
        <v>318</v>
      </c>
      <c r="D623" s="9" t="n">
        <v>0</v>
      </c>
    </row>
    <row r="624" customFormat="false" ht="15" hidden="false" customHeight="false" outlineLevel="0" collapsed="false">
      <c r="A624" s="6" t="s">
        <v>854</v>
      </c>
      <c r="B624" s="6" t="s">
        <v>315</v>
      </c>
      <c r="C624" s="6" t="s">
        <v>319</v>
      </c>
      <c r="D624" s="9" t="n">
        <v>0</v>
      </c>
    </row>
    <row r="625" customFormat="false" ht="15" hidden="false" customHeight="false" outlineLevel="0" collapsed="false">
      <c r="A625" s="6" t="s">
        <v>854</v>
      </c>
      <c r="B625" s="6" t="s">
        <v>176</v>
      </c>
      <c r="C625" s="6" t="s">
        <v>862</v>
      </c>
      <c r="D625" s="9" t="n">
        <v>-1</v>
      </c>
    </row>
    <row r="626" customFormat="false" ht="15" hidden="false" customHeight="false" outlineLevel="0" collapsed="false">
      <c r="A626" s="6" t="s">
        <v>854</v>
      </c>
      <c r="B626" s="6" t="s">
        <v>176</v>
      </c>
      <c r="C626" s="6" t="s">
        <v>320</v>
      </c>
      <c r="D626" s="9" t="n">
        <v>1</v>
      </c>
    </row>
    <row r="627" customFormat="false" ht="15" hidden="false" customHeight="false" outlineLevel="0" collapsed="false">
      <c r="A627" s="6" t="s">
        <v>854</v>
      </c>
      <c r="B627" s="6" t="s">
        <v>176</v>
      </c>
      <c r="C627" s="6" t="s">
        <v>321</v>
      </c>
      <c r="D627" s="9" t="n">
        <v>0</v>
      </c>
    </row>
    <row r="628" customFormat="false" ht="15" hidden="false" customHeight="false" outlineLevel="0" collapsed="false">
      <c r="A628" s="6" t="s">
        <v>854</v>
      </c>
      <c r="B628" s="6" t="s">
        <v>176</v>
      </c>
      <c r="C628" s="6" t="s">
        <v>863</v>
      </c>
      <c r="D628" s="9" t="n">
        <v>0</v>
      </c>
    </row>
    <row r="629" customFormat="false" ht="15" hidden="false" customHeight="false" outlineLevel="0" collapsed="false">
      <c r="A629" s="6" t="s">
        <v>854</v>
      </c>
      <c r="B629" s="6" t="s">
        <v>175</v>
      </c>
      <c r="C629" s="6" t="s">
        <v>323</v>
      </c>
      <c r="D629" s="9" t="n">
        <v>0</v>
      </c>
    </row>
    <row r="630" customFormat="false" ht="15" hidden="false" customHeight="false" outlineLevel="0" collapsed="false">
      <c r="A630" s="6" t="s">
        <v>854</v>
      </c>
      <c r="B630" s="6" t="s">
        <v>175</v>
      </c>
      <c r="C630" s="6" t="s">
        <v>324</v>
      </c>
      <c r="D630" s="9" t="n">
        <v>0</v>
      </c>
    </row>
    <row r="631" customFormat="false" ht="15" hidden="false" customHeight="false" outlineLevel="0" collapsed="false">
      <c r="A631" s="6" t="s">
        <v>854</v>
      </c>
      <c r="B631" s="6" t="s">
        <v>175</v>
      </c>
      <c r="C631" s="6" t="s">
        <v>325</v>
      </c>
      <c r="D631" s="9" t="n">
        <v>0</v>
      </c>
    </row>
    <row r="632" customFormat="false" ht="15" hidden="false" customHeight="false" outlineLevel="0" collapsed="false">
      <c r="A632" s="6" t="s">
        <v>854</v>
      </c>
      <c r="B632" s="6" t="s">
        <v>326</v>
      </c>
      <c r="C632" s="6" t="s">
        <v>327</v>
      </c>
      <c r="D632" s="9" t="n">
        <v>0</v>
      </c>
    </row>
    <row r="633" customFormat="false" ht="15" hidden="false" customHeight="false" outlineLevel="0" collapsed="false">
      <c r="A633" s="6" t="s">
        <v>854</v>
      </c>
      <c r="B633" s="6" t="s">
        <v>225</v>
      </c>
      <c r="C633" s="6" t="s">
        <v>327</v>
      </c>
      <c r="D633" s="9" t="n">
        <v>-1</v>
      </c>
    </row>
    <row r="634" customFormat="false" ht="15" hidden="false" customHeight="false" outlineLevel="0" collapsed="false">
      <c r="A634" s="6" t="s">
        <v>854</v>
      </c>
      <c r="B634" s="6" t="s">
        <v>864</v>
      </c>
      <c r="C634" s="6" t="s">
        <v>327</v>
      </c>
      <c r="D634" s="9" t="n">
        <v>0</v>
      </c>
    </row>
    <row r="635" customFormat="false" ht="15" hidden="false" customHeight="false" outlineLevel="0" collapsed="false">
      <c r="A635" s="6" t="s">
        <v>854</v>
      </c>
      <c r="B635" s="6" t="s">
        <v>50</v>
      </c>
      <c r="C635" s="6" t="s">
        <v>329</v>
      </c>
      <c r="D635" s="9" t="n">
        <v>-25</v>
      </c>
    </row>
    <row r="636" customFormat="false" ht="15" hidden="false" customHeight="false" outlineLevel="0" collapsed="false">
      <c r="A636" s="6" t="s">
        <v>854</v>
      </c>
      <c r="B636" s="6" t="s">
        <v>127</v>
      </c>
      <c r="C636" s="6" t="s">
        <v>330</v>
      </c>
      <c r="D636" s="9" t="n">
        <v>-1</v>
      </c>
    </row>
    <row r="637" customFormat="false" ht="15" hidden="false" customHeight="false" outlineLevel="0" collapsed="false">
      <c r="A637" s="6" t="s">
        <v>854</v>
      </c>
      <c r="B637" s="6" t="s">
        <v>127</v>
      </c>
      <c r="C637" s="6" t="s">
        <v>331</v>
      </c>
      <c r="D637" s="9" t="n">
        <v>2</v>
      </c>
    </row>
    <row r="638" customFormat="false" ht="15" hidden="false" customHeight="false" outlineLevel="0" collapsed="false">
      <c r="A638" s="6" t="s">
        <v>854</v>
      </c>
      <c r="B638" s="6" t="s">
        <v>127</v>
      </c>
      <c r="C638" s="6" t="s">
        <v>332</v>
      </c>
      <c r="D638" s="9" t="n">
        <v>5</v>
      </c>
    </row>
    <row r="639" customFormat="false" ht="15" hidden="false" customHeight="false" outlineLevel="0" collapsed="false">
      <c r="A639" s="6" t="s">
        <v>854</v>
      </c>
      <c r="B639" s="6" t="s">
        <v>127</v>
      </c>
      <c r="C639" s="6" t="s">
        <v>333</v>
      </c>
      <c r="D639" s="9" t="n">
        <v>3</v>
      </c>
    </row>
    <row r="640" customFormat="false" ht="15" hidden="false" customHeight="false" outlineLevel="0" collapsed="false">
      <c r="A640" s="6" t="s">
        <v>854</v>
      </c>
      <c r="B640" s="6" t="s">
        <v>127</v>
      </c>
      <c r="C640" s="6" t="s">
        <v>334</v>
      </c>
      <c r="D640" s="9" t="n">
        <v>-1</v>
      </c>
    </row>
    <row r="641" customFormat="false" ht="15" hidden="false" customHeight="false" outlineLevel="0" collapsed="false">
      <c r="A641" s="6" t="s">
        <v>854</v>
      </c>
      <c r="B641" s="6" t="s">
        <v>93</v>
      </c>
      <c r="C641" s="6" t="s">
        <v>335</v>
      </c>
      <c r="D641" s="9" t="n">
        <v>108</v>
      </c>
    </row>
    <row r="642" customFormat="false" ht="15" hidden="false" customHeight="false" outlineLevel="0" collapsed="false">
      <c r="A642" s="6" t="s">
        <v>854</v>
      </c>
      <c r="B642" s="6" t="s">
        <v>93</v>
      </c>
      <c r="C642" s="6" t="s">
        <v>336</v>
      </c>
      <c r="D642" s="9" t="n">
        <v>77</v>
      </c>
    </row>
    <row r="643" customFormat="false" ht="15" hidden="false" customHeight="false" outlineLevel="0" collapsed="false">
      <c r="A643" s="6" t="s">
        <v>854</v>
      </c>
      <c r="B643" s="6" t="s">
        <v>99</v>
      </c>
      <c r="C643" s="6" t="s">
        <v>337</v>
      </c>
      <c r="D643" s="9" t="n">
        <v>58</v>
      </c>
    </row>
    <row r="644" customFormat="false" ht="15" hidden="false" customHeight="false" outlineLevel="0" collapsed="false">
      <c r="A644" s="6" t="s">
        <v>854</v>
      </c>
      <c r="B644" s="6" t="s">
        <v>99</v>
      </c>
      <c r="C644" s="6" t="s">
        <v>338</v>
      </c>
      <c r="D644" s="9" t="n">
        <v>60</v>
      </c>
    </row>
    <row r="645" customFormat="false" ht="15" hidden="false" customHeight="false" outlineLevel="0" collapsed="false">
      <c r="A645" s="6" t="s">
        <v>854</v>
      </c>
      <c r="B645" s="6" t="s">
        <v>35</v>
      </c>
      <c r="C645" s="6" t="s">
        <v>339</v>
      </c>
      <c r="D645" s="9" t="n">
        <v>3316</v>
      </c>
    </row>
    <row r="646" customFormat="false" ht="15" hidden="false" customHeight="false" outlineLevel="0" collapsed="false">
      <c r="A646" s="6" t="s">
        <v>854</v>
      </c>
      <c r="B646" s="6" t="s">
        <v>34</v>
      </c>
      <c r="C646" s="6" t="s">
        <v>339</v>
      </c>
      <c r="D646" s="9" t="n">
        <v>4087</v>
      </c>
    </row>
    <row r="647" customFormat="false" ht="15" hidden="false" customHeight="false" outlineLevel="0" collapsed="false">
      <c r="A647" s="6" t="s">
        <v>854</v>
      </c>
      <c r="B647" s="6" t="s">
        <v>182</v>
      </c>
      <c r="C647" s="6" t="s">
        <v>865</v>
      </c>
      <c r="D647" s="9" t="n">
        <v>-1</v>
      </c>
    </row>
    <row r="648" customFormat="false" ht="15" hidden="false" customHeight="false" outlineLevel="0" collapsed="false">
      <c r="A648" s="6" t="s">
        <v>854</v>
      </c>
      <c r="B648" s="6" t="s">
        <v>172</v>
      </c>
      <c r="C648" s="6" t="s">
        <v>343</v>
      </c>
      <c r="D648" s="9" t="n">
        <v>0</v>
      </c>
    </row>
    <row r="649" customFormat="false" ht="15" hidden="false" customHeight="false" outlineLevel="0" collapsed="false">
      <c r="A649" s="6" t="s">
        <v>854</v>
      </c>
      <c r="B649" s="6" t="s">
        <v>172</v>
      </c>
      <c r="C649" s="6" t="s">
        <v>344</v>
      </c>
      <c r="D649" s="9" t="n">
        <v>14</v>
      </c>
    </row>
    <row r="650" customFormat="false" ht="15" hidden="false" customHeight="false" outlineLevel="0" collapsed="false">
      <c r="A650" s="6" t="s">
        <v>854</v>
      </c>
      <c r="B650" s="6" t="s">
        <v>172</v>
      </c>
      <c r="C650" s="6" t="s">
        <v>345</v>
      </c>
      <c r="D650" s="9" t="n">
        <v>0</v>
      </c>
    </row>
    <row r="651" customFormat="false" ht="15" hidden="false" customHeight="false" outlineLevel="0" collapsed="false">
      <c r="A651" s="6" t="s">
        <v>854</v>
      </c>
      <c r="B651" s="6" t="s">
        <v>172</v>
      </c>
      <c r="C651" s="6" t="s">
        <v>346</v>
      </c>
      <c r="D651" s="9" t="n">
        <v>0</v>
      </c>
    </row>
    <row r="652" customFormat="false" ht="15" hidden="false" customHeight="false" outlineLevel="0" collapsed="false">
      <c r="A652" s="6" t="s">
        <v>854</v>
      </c>
      <c r="B652" s="6" t="s">
        <v>347</v>
      </c>
      <c r="C652" s="6" t="s">
        <v>348</v>
      </c>
      <c r="D652" s="9" t="n">
        <v>0</v>
      </c>
    </row>
    <row r="653" customFormat="false" ht="15" hidden="false" customHeight="false" outlineLevel="0" collapsed="false">
      <c r="A653" s="6" t="s">
        <v>854</v>
      </c>
      <c r="B653" s="6" t="s">
        <v>347</v>
      </c>
      <c r="C653" s="6" t="s">
        <v>349</v>
      </c>
      <c r="D653" s="9" t="n">
        <v>0</v>
      </c>
    </row>
    <row r="654" customFormat="false" ht="15" hidden="false" customHeight="false" outlineLevel="0" collapsed="false">
      <c r="A654" s="6" t="s">
        <v>854</v>
      </c>
      <c r="B654" s="6" t="s">
        <v>352</v>
      </c>
      <c r="C654" s="6" t="s">
        <v>866</v>
      </c>
      <c r="D654" s="9" t="n">
        <v>0</v>
      </c>
    </row>
    <row r="655" customFormat="false" ht="15" hidden="false" customHeight="false" outlineLevel="0" collapsed="false">
      <c r="A655" s="6" t="s">
        <v>854</v>
      </c>
      <c r="B655" s="6" t="s">
        <v>352</v>
      </c>
      <c r="C655" s="6" t="s">
        <v>867</v>
      </c>
      <c r="D655" s="9" t="n">
        <v>0</v>
      </c>
    </row>
    <row r="656" customFormat="false" ht="15" hidden="false" customHeight="false" outlineLevel="0" collapsed="false">
      <c r="A656" s="6" t="s">
        <v>854</v>
      </c>
      <c r="B656" s="6" t="s">
        <v>172</v>
      </c>
      <c r="C656" s="6" t="s">
        <v>355</v>
      </c>
      <c r="D656" s="9" t="n">
        <v>0</v>
      </c>
    </row>
    <row r="657" customFormat="false" ht="15" hidden="false" customHeight="false" outlineLevel="0" collapsed="false">
      <c r="A657" s="6" t="s">
        <v>854</v>
      </c>
      <c r="B657" s="6" t="s">
        <v>356</v>
      </c>
      <c r="C657" s="6" t="s">
        <v>357</v>
      </c>
      <c r="D657" s="9" t="n">
        <v>0</v>
      </c>
    </row>
    <row r="658" customFormat="false" ht="15" hidden="false" customHeight="false" outlineLevel="0" collapsed="false">
      <c r="A658" s="6" t="s">
        <v>854</v>
      </c>
      <c r="B658" s="6" t="s">
        <v>356</v>
      </c>
      <c r="C658" s="6" t="s">
        <v>358</v>
      </c>
      <c r="D658" s="9" t="n">
        <v>0</v>
      </c>
    </row>
    <row r="659" customFormat="false" ht="15" hidden="false" customHeight="false" outlineLevel="0" collapsed="false">
      <c r="A659" s="6" t="s">
        <v>854</v>
      </c>
      <c r="B659" s="6" t="s">
        <v>163</v>
      </c>
      <c r="C659" s="6" t="s">
        <v>364</v>
      </c>
      <c r="D659" s="9" t="n">
        <v>1</v>
      </c>
    </row>
    <row r="660" customFormat="false" ht="15" hidden="false" customHeight="false" outlineLevel="0" collapsed="false">
      <c r="A660" s="6" t="s">
        <v>854</v>
      </c>
      <c r="B660" s="6" t="s">
        <v>163</v>
      </c>
      <c r="C660" s="6" t="s">
        <v>366</v>
      </c>
      <c r="D660" s="9" t="n">
        <v>0</v>
      </c>
    </row>
    <row r="661" customFormat="false" ht="15" hidden="false" customHeight="false" outlineLevel="0" collapsed="false">
      <c r="A661" s="6" t="s">
        <v>854</v>
      </c>
      <c r="B661" s="6" t="s">
        <v>163</v>
      </c>
      <c r="C661" s="6" t="s">
        <v>368</v>
      </c>
      <c r="D661" s="9" t="n">
        <v>0</v>
      </c>
    </row>
    <row r="662" customFormat="false" ht="15" hidden="false" customHeight="false" outlineLevel="0" collapsed="false">
      <c r="A662" s="6" t="s">
        <v>854</v>
      </c>
      <c r="B662" s="6" t="s">
        <v>91</v>
      </c>
      <c r="C662" s="6" t="s">
        <v>369</v>
      </c>
      <c r="D662" s="9" t="n">
        <v>-1</v>
      </c>
    </row>
    <row r="663" customFormat="false" ht="15" hidden="false" customHeight="false" outlineLevel="0" collapsed="false">
      <c r="A663" s="6" t="s">
        <v>854</v>
      </c>
      <c r="B663" s="6" t="s">
        <v>91</v>
      </c>
      <c r="C663" s="6" t="s">
        <v>370</v>
      </c>
      <c r="D663" s="9" t="n">
        <v>9</v>
      </c>
    </row>
    <row r="664" customFormat="false" ht="15" hidden="false" customHeight="false" outlineLevel="0" collapsed="false">
      <c r="A664" s="6" t="s">
        <v>854</v>
      </c>
      <c r="B664" s="6" t="s">
        <v>91</v>
      </c>
      <c r="C664" s="6" t="s">
        <v>371</v>
      </c>
      <c r="D664" s="9" t="n">
        <v>23</v>
      </c>
    </row>
    <row r="665" customFormat="false" ht="15" hidden="false" customHeight="false" outlineLevel="0" collapsed="false">
      <c r="A665" s="6" t="s">
        <v>854</v>
      </c>
      <c r="B665" s="6" t="s">
        <v>91</v>
      </c>
      <c r="C665" s="6" t="s">
        <v>372</v>
      </c>
      <c r="D665" s="9" t="n">
        <v>22</v>
      </c>
    </row>
    <row r="666" customFormat="false" ht="15" hidden="false" customHeight="false" outlineLevel="0" collapsed="false">
      <c r="A666" s="6" t="s">
        <v>854</v>
      </c>
      <c r="B666" s="6" t="s">
        <v>91</v>
      </c>
      <c r="C666" s="6" t="s">
        <v>373</v>
      </c>
      <c r="D666" s="9" t="n">
        <v>41</v>
      </c>
    </row>
    <row r="667" customFormat="false" ht="15" hidden="false" customHeight="false" outlineLevel="0" collapsed="false">
      <c r="A667" s="6" t="s">
        <v>854</v>
      </c>
      <c r="B667" s="6" t="s">
        <v>231</v>
      </c>
      <c r="C667" s="6" t="s">
        <v>376</v>
      </c>
      <c r="D667" s="9" t="n">
        <v>-1</v>
      </c>
    </row>
    <row r="668" customFormat="false" ht="15" hidden="false" customHeight="false" outlineLevel="0" collapsed="false">
      <c r="A668" s="6" t="s">
        <v>854</v>
      </c>
      <c r="B668" s="6" t="s">
        <v>231</v>
      </c>
      <c r="C668" s="6" t="s">
        <v>377</v>
      </c>
      <c r="D668" s="9" t="n">
        <v>0</v>
      </c>
    </row>
    <row r="669" customFormat="false" ht="15" hidden="false" customHeight="false" outlineLevel="0" collapsed="false">
      <c r="A669" s="6" t="s">
        <v>854</v>
      </c>
      <c r="B669" s="6" t="s">
        <v>231</v>
      </c>
      <c r="C669" s="6" t="s">
        <v>378</v>
      </c>
      <c r="D669" s="9" t="n">
        <v>0</v>
      </c>
    </row>
    <row r="670" customFormat="false" ht="15" hidden="false" customHeight="false" outlineLevel="0" collapsed="false">
      <c r="A670" s="6" t="s">
        <v>854</v>
      </c>
      <c r="B670" s="6" t="s">
        <v>108</v>
      </c>
      <c r="C670" s="6" t="s">
        <v>379</v>
      </c>
      <c r="D670" s="9" t="n">
        <v>36</v>
      </c>
    </row>
    <row r="671" customFormat="false" ht="15" hidden="false" customHeight="false" outlineLevel="0" collapsed="false">
      <c r="A671" s="6" t="s">
        <v>854</v>
      </c>
      <c r="B671" s="6" t="s">
        <v>78</v>
      </c>
      <c r="C671" s="6" t="s">
        <v>380</v>
      </c>
      <c r="D671" s="9" t="n">
        <v>82</v>
      </c>
    </row>
    <row r="672" customFormat="false" ht="15" hidden="false" customHeight="false" outlineLevel="0" collapsed="false">
      <c r="A672" s="6" t="s">
        <v>854</v>
      </c>
      <c r="B672" s="6" t="s">
        <v>130</v>
      </c>
      <c r="C672" s="6" t="s">
        <v>381</v>
      </c>
      <c r="D672" s="9" t="n">
        <v>11</v>
      </c>
    </row>
    <row r="673" customFormat="false" ht="15" hidden="false" customHeight="false" outlineLevel="0" collapsed="false">
      <c r="A673" s="6" t="s">
        <v>854</v>
      </c>
      <c r="B673" s="6" t="s">
        <v>382</v>
      </c>
      <c r="C673" s="6" t="s">
        <v>383</v>
      </c>
      <c r="D673" s="9" t="n">
        <v>0</v>
      </c>
    </row>
    <row r="674" customFormat="false" ht="15" hidden="false" customHeight="false" outlineLevel="0" collapsed="false">
      <c r="A674" s="6" t="s">
        <v>854</v>
      </c>
      <c r="B674" s="6" t="s">
        <v>384</v>
      </c>
      <c r="C674" s="6" t="s">
        <v>385</v>
      </c>
      <c r="D674" s="9" t="n">
        <v>0</v>
      </c>
    </row>
    <row r="675" customFormat="false" ht="15" hidden="false" customHeight="false" outlineLevel="0" collapsed="false">
      <c r="A675" s="6" t="s">
        <v>854</v>
      </c>
      <c r="B675" s="6" t="s">
        <v>386</v>
      </c>
      <c r="C675" s="6" t="s">
        <v>387</v>
      </c>
      <c r="D675" s="9" t="n">
        <v>0</v>
      </c>
    </row>
    <row r="676" customFormat="false" ht="15" hidden="false" customHeight="false" outlineLevel="0" collapsed="false">
      <c r="A676" s="6" t="s">
        <v>854</v>
      </c>
      <c r="B676" s="6" t="s">
        <v>85</v>
      </c>
      <c r="C676" s="6" t="s">
        <v>388</v>
      </c>
      <c r="D676" s="9" t="n">
        <v>571</v>
      </c>
    </row>
    <row r="677" customFormat="false" ht="15" hidden="false" customHeight="false" outlineLevel="0" collapsed="false">
      <c r="A677" s="6" t="s">
        <v>854</v>
      </c>
      <c r="B677" s="6" t="s">
        <v>154</v>
      </c>
      <c r="C677" s="6" t="s">
        <v>379</v>
      </c>
      <c r="D677" s="9" t="n">
        <v>3</v>
      </c>
    </row>
    <row r="678" customFormat="false" ht="15" hidden="false" customHeight="false" outlineLevel="0" collapsed="false">
      <c r="A678" s="6" t="s">
        <v>854</v>
      </c>
      <c r="B678" s="6" t="s">
        <v>74</v>
      </c>
      <c r="C678" s="6" t="s">
        <v>379</v>
      </c>
      <c r="D678" s="9" t="n">
        <v>42</v>
      </c>
    </row>
    <row r="679" customFormat="false" ht="15" hidden="false" customHeight="false" outlineLevel="0" collapsed="false">
      <c r="A679" s="6" t="s">
        <v>854</v>
      </c>
      <c r="B679" s="6" t="s">
        <v>144</v>
      </c>
      <c r="C679" s="6" t="s">
        <v>389</v>
      </c>
      <c r="D679" s="9" t="n">
        <v>-2</v>
      </c>
    </row>
    <row r="680" customFormat="false" ht="15" hidden="false" customHeight="false" outlineLevel="0" collapsed="false">
      <c r="A680" s="6" t="s">
        <v>854</v>
      </c>
      <c r="B680" s="6" t="s">
        <v>144</v>
      </c>
      <c r="C680" s="6" t="s">
        <v>390</v>
      </c>
      <c r="D680" s="9" t="n">
        <v>133</v>
      </c>
    </row>
    <row r="681" customFormat="false" ht="15" hidden="false" customHeight="false" outlineLevel="0" collapsed="false">
      <c r="A681" s="6" t="s">
        <v>854</v>
      </c>
      <c r="B681" s="6" t="s">
        <v>186</v>
      </c>
      <c r="C681" s="6" t="s">
        <v>391</v>
      </c>
      <c r="D681" s="9" t="n">
        <v>-2</v>
      </c>
    </row>
    <row r="682" customFormat="false" ht="15" hidden="false" customHeight="false" outlineLevel="0" collapsed="false">
      <c r="A682" s="6" t="s">
        <v>854</v>
      </c>
      <c r="B682" s="6" t="s">
        <v>62</v>
      </c>
      <c r="C682" s="6" t="s">
        <v>394</v>
      </c>
      <c r="D682" s="9" t="n">
        <v>562</v>
      </c>
    </row>
    <row r="683" customFormat="false" ht="15" hidden="false" customHeight="false" outlineLevel="0" collapsed="false">
      <c r="A683" s="6" t="s">
        <v>854</v>
      </c>
      <c r="B683" s="6" t="s">
        <v>65</v>
      </c>
      <c r="C683" s="6" t="s">
        <v>395</v>
      </c>
      <c r="D683" s="9" t="n">
        <v>1727</v>
      </c>
    </row>
    <row r="684" customFormat="false" ht="15" hidden="false" customHeight="false" outlineLevel="0" collapsed="false">
      <c r="A684" s="6" t="s">
        <v>854</v>
      </c>
      <c r="B684" s="6" t="s">
        <v>131</v>
      </c>
      <c r="C684" s="6" t="s">
        <v>396</v>
      </c>
      <c r="D684" s="9" t="n">
        <v>177</v>
      </c>
    </row>
    <row r="685" customFormat="false" ht="15" hidden="false" customHeight="false" outlineLevel="0" collapsed="false">
      <c r="A685" s="6" t="s">
        <v>854</v>
      </c>
      <c r="B685" s="6" t="s">
        <v>123</v>
      </c>
      <c r="C685" s="6" t="s">
        <v>398</v>
      </c>
      <c r="D685" s="9" t="n">
        <v>67</v>
      </c>
    </row>
    <row r="686" customFormat="false" ht="15" hidden="false" customHeight="false" outlineLevel="0" collapsed="false">
      <c r="A686" s="6" t="s">
        <v>854</v>
      </c>
      <c r="B686" s="6" t="s">
        <v>76</v>
      </c>
      <c r="C686" s="6" t="s">
        <v>399</v>
      </c>
      <c r="D686" s="9" t="n">
        <v>-8</v>
      </c>
    </row>
    <row r="687" customFormat="false" ht="15" hidden="false" customHeight="false" outlineLevel="0" collapsed="false">
      <c r="A687" s="6" t="s">
        <v>854</v>
      </c>
      <c r="B687" s="6" t="s">
        <v>76</v>
      </c>
      <c r="C687" s="6" t="s">
        <v>400</v>
      </c>
      <c r="D687" s="9" t="n">
        <v>-7</v>
      </c>
    </row>
    <row r="688" customFormat="false" ht="15" hidden="false" customHeight="false" outlineLevel="0" collapsed="false">
      <c r="A688" s="6" t="s">
        <v>854</v>
      </c>
      <c r="B688" s="6" t="s">
        <v>76</v>
      </c>
      <c r="C688" s="6" t="s">
        <v>401</v>
      </c>
      <c r="D688" s="9" t="n">
        <v>-9</v>
      </c>
    </row>
    <row r="689" customFormat="false" ht="15" hidden="false" customHeight="false" outlineLevel="0" collapsed="false">
      <c r="A689" s="6" t="s">
        <v>854</v>
      </c>
      <c r="B689" s="6" t="s">
        <v>76</v>
      </c>
      <c r="C689" s="6" t="s">
        <v>402</v>
      </c>
      <c r="D689" s="9" t="n">
        <v>-11</v>
      </c>
    </row>
    <row r="690" customFormat="false" ht="15" hidden="false" customHeight="false" outlineLevel="0" collapsed="false">
      <c r="A690" s="6" t="s">
        <v>854</v>
      </c>
      <c r="B690" s="6" t="s">
        <v>76</v>
      </c>
      <c r="C690" s="6" t="s">
        <v>403</v>
      </c>
      <c r="D690" s="9" t="n">
        <v>-1</v>
      </c>
    </row>
    <row r="691" customFormat="false" ht="15" hidden="false" customHeight="false" outlineLevel="0" collapsed="false">
      <c r="A691" s="6" t="s">
        <v>854</v>
      </c>
      <c r="B691" s="6" t="s">
        <v>404</v>
      </c>
      <c r="C691" s="6" t="s">
        <v>405</v>
      </c>
      <c r="D691" s="9" t="n">
        <v>0</v>
      </c>
    </row>
    <row r="692" customFormat="false" ht="15" hidden="false" customHeight="false" outlineLevel="0" collapsed="false">
      <c r="A692" s="6" t="s">
        <v>854</v>
      </c>
      <c r="B692" s="6" t="s">
        <v>159</v>
      </c>
      <c r="C692" s="6" t="s">
        <v>407</v>
      </c>
      <c r="D692" s="9" t="n">
        <v>0</v>
      </c>
    </row>
    <row r="693" customFormat="false" ht="15" hidden="false" customHeight="false" outlineLevel="0" collapsed="false">
      <c r="A693" s="6" t="s">
        <v>854</v>
      </c>
      <c r="B693" s="6" t="s">
        <v>159</v>
      </c>
      <c r="C693" s="6" t="s">
        <v>408</v>
      </c>
      <c r="D693" s="9" t="n">
        <v>0</v>
      </c>
    </row>
    <row r="694" customFormat="false" ht="15" hidden="false" customHeight="false" outlineLevel="0" collapsed="false">
      <c r="A694" s="6" t="s">
        <v>854</v>
      </c>
      <c r="B694" s="6" t="s">
        <v>159</v>
      </c>
      <c r="C694" s="6" t="s">
        <v>409</v>
      </c>
      <c r="D694" s="9" t="n">
        <v>0</v>
      </c>
    </row>
    <row r="695" customFormat="false" ht="15" hidden="false" customHeight="false" outlineLevel="0" collapsed="false">
      <c r="A695" s="6" t="s">
        <v>854</v>
      </c>
      <c r="B695" s="6" t="s">
        <v>159</v>
      </c>
      <c r="C695" s="6" t="s">
        <v>410</v>
      </c>
      <c r="D695" s="9" t="n">
        <v>0</v>
      </c>
    </row>
    <row r="696" customFormat="false" ht="15" hidden="false" customHeight="false" outlineLevel="0" collapsed="false">
      <c r="A696" s="6" t="s">
        <v>854</v>
      </c>
      <c r="B696" s="6" t="s">
        <v>159</v>
      </c>
      <c r="C696" s="6" t="s">
        <v>411</v>
      </c>
      <c r="D696" s="9" t="n">
        <v>0</v>
      </c>
    </row>
    <row r="697" customFormat="false" ht="15" hidden="false" customHeight="false" outlineLevel="0" collapsed="false">
      <c r="A697" s="6" t="s">
        <v>854</v>
      </c>
      <c r="B697" s="6" t="s">
        <v>63</v>
      </c>
      <c r="C697" s="6" t="s">
        <v>412</v>
      </c>
      <c r="D697" s="9" t="n">
        <v>2898</v>
      </c>
    </row>
    <row r="698" customFormat="false" ht="15" hidden="false" customHeight="false" outlineLevel="0" collapsed="false">
      <c r="A698" s="6" t="s">
        <v>854</v>
      </c>
      <c r="B698" s="6" t="s">
        <v>117</v>
      </c>
      <c r="C698" s="6" t="s">
        <v>413</v>
      </c>
      <c r="D698" s="9" t="n">
        <v>102</v>
      </c>
    </row>
    <row r="699" customFormat="false" ht="15" hidden="false" customHeight="false" outlineLevel="0" collapsed="false">
      <c r="A699" s="6" t="s">
        <v>854</v>
      </c>
      <c r="B699" s="6" t="s">
        <v>22</v>
      </c>
      <c r="C699" s="6" t="s">
        <v>414</v>
      </c>
      <c r="D699" s="9" t="n">
        <v>1281</v>
      </c>
    </row>
    <row r="700" customFormat="false" ht="15" hidden="false" customHeight="false" outlineLevel="0" collapsed="false">
      <c r="A700" s="6" t="s">
        <v>854</v>
      </c>
      <c r="B700" s="6" t="s">
        <v>22</v>
      </c>
      <c r="C700" s="6" t="s">
        <v>415</v>
      </c>
      <c r="D700" s="9" t="n">
        <v>817</v>
      </c>
    </row>
    <row r="701" customFormat="false" ht="15" hidden="false" customHeight="false" outlineLevel="0" collapsed="false">
      <c r="A701" s="6" t="s">
        <v>854</v>
      </c>
      <c r="B701" s="6" t="s">
        <v>22</v>
      </c>
      <c r="C701" s="6" t="s">
        <v>416</v>
      </c>
      <c r="D701" s="9" t="n">
        <v>1253</v>
      </c>
    </row>
    <row r="702" customFormat="false" ht="15" hidden="false" customHeight="false" outlineLevel="0" collapsed="false">
      <c r="A702" s="6" t="s">
        <v>854</v>
      </c>
      <c r="B702" s="6" t="s">
        <v>22</v>
      </c>
      <c r="C702" s="6" t="s">
        <v>417</v>
      </c>
      <c r="D702" s="9" t="n">
        <v>813</v>
      </c>
    </row>
    <row r="703" customFormat="false" ht="15" hidden="false" customHeight="false" outlineLevel="0" collapsed="false">
      <c r="A703" s="6" t="s">
        <v>854</v>
      </c>
      <c r="B703" s="6" t="s">
        <v>22</v>
      </c>
      <c r="C703" s="6" t="s">
        <v>419</v>
      </c>
      <c r="D703" s="9" t="n">
        <v>36</v>
      </c>
    </row>
    <row r="704" customFormat="false" ht="15" hidden="false" customHeight="false" outlineLevel="0" collapsed="false">
      <c r="A704" s="6" t="s">
        <v>854</v>
      </c>
      <c r="B704" s="6" t="s">
        <v>31</v>
      </c>
      <c r="C704" s="6" t="s">
        <v>420</v>
      </c>
      <c r="D704" s="9" t="n">
        <v>804</v>
      </c>
    </row>
    <row r="705" customFormat="false" ht="15" hidden="false" customHeight="false" outlineLevel="0" collapsed="false">
      <c r="A705" s="6" t="s">
        <v>854</v>
      </c>
      <c r="B705" s="6" t="s">
        <v>31</v>
      </c>
      <c r="C705" s="6" t="s">
        <v>421</v>
      </c>
      <c r="D705" s="9" t="n">
        <v>1121</v>
      </c>
    </row>
    <row r="706" customFormat="false" ht="15" hidden="false" customHeight="false" outlineLevel="0" collapsed="false">
      <c r="A706" s="6" t="s">
        <v>854</v>
      </c>
      <c r="B706" s="6" t="s">
        <v>31</v>
      </c>
      <c r="C706" s="6" t="s">
        <v>422</v>
      </c>
      <c r="D706" s="9" t="n">
        <v>1124</v>
      </c>
    </row>
    <row r="707" customFormat="false" ht="15" hidden="false" customHeight="false" outlineLevel="0" collapsed="false">
      <c r="A707" s="6" t="s">
        <v>854</v>
      </c>
      <c r="B707" s="6" t="s">
        <v>31</v>
      </c>
      <c r="C707" s="6" t="s">
        <v>423</v>
      </c>
      <c r="D707" s="9" t="n">
        <v>766</v>
      </c>
    </row>
    <row r="708" customFormat="false" ht="15" hidden="false" customHeight="false" outlineLevel="0" collapsed="false">
      <c r="A708" s="6" t="s">
        <v>854</v>
      </c>
      <c r="B708" s="6" t="s">
        <v>31</v>
      </c>
      <c r="C708" s="6" t="s">
        <v>424</v>
      </c>
      <c r="D708" s="9" t="n">
        <v>74</v>
      </c>
    </row>
    <row r="709" customFormat="false" ht="15" hidden="false" customHeight="false" outlineLevel="0" collapsed="false">
      <c r="A709" s="6" t="s">
        <v>854</v>
      </c>
      <c r="B709" s="6" t="s">
        <v>18</v>
      </c>
      <c r="C709" s="6" t="s">
        <v>425</v>
      </c>
      <c r="D709" s="9" t="n">
        <v>1364</v>
      </c>
    </row>
    <row r="710" customFormat="false" ht="15" hidden="false" customHeight="false" outlineLevel="0" collapsed="false">
      <c r="A710" s="6" t="s">
        <v>854</v>
      </c>
      <c r="B710" s="6" t="s">
        <v>18</v>
      </c>
      <c r="C710" s="6" t="s">
        <v>426</v>
      </c>
      <c r="D710" s="9" t="n">
        <v>1979</v>
      </c>
    </row>
    <row r="711" customFormat="false" ht="15" hidden="false" customHeight="false" outlineLevel="0" collapsed="false">
      <c r="A711" s="6" t="s">
        <v>854</v>
      </c>
      <c r="B711" s="6" t="s">
        <v>18</v>
      </c>
      <c r="C711" s="6" t="s">
        <v>427</v>
      </c>
      <c r="D711" s="9" t="n">
        <v>2393</v>
      </c>
    </row>
    <row r="712" customFormat="false" ht="15" hidden="false" customHeight="false" outlineLevel="0" collapsed="false">
      <c r="A712" s="6" t="s">
        <v>854</v>
      </c>
      <c r="B712" s="6" t="s">
        <v>18</v>
      </c>
      <c r="C712" s="6" t="s">
        <v>428</v>
      </c>
      <c r="D712" s="9" t="n">
        <v>1271</v>
      </c>
    </row>
    <row r="713" customFormat="false" ht="15" hidden="false" customHeight="false" outlineLevel="0" collapsed="false">
      <c r="A713" s="6" t="s">
        <v>854</v>
      </c>
      <c r="B713" s="6" t="s">
        <v>156</v>
      </c>
      <c r="C713" s="6" t="s">
        <v>429</v>
      </c>
      <c r="D713" s="9" t="n">
        <v>13</v>
      </c>
    </row>
    <row r="714" customFormat="false" ht="15" hidden="false" customHeight="false" outlineLevel="0" collapsed="false">
      <c r="A714" s="6" t="s">
        <v>854</v>
      </c>
      <c r="B714" s="6" t="s">
        <v>89</v>
      </c>
      <c r="C714" s="6" t="s">
        <v>430</v>
      </c>
      <c r="D714" s="9" t="n">
        <v>409</v>
      </c>
    </row>
    <row r="715" customFormat="false" ht="15" hidden="false" customHeight="false" outlineLevel="0" collapsed="false">
      <c r="A715" s="6" t="s">
        <v>854</v>
      </c>
      <c r="B715" s="6" t="s">
        <v>217</v>
      </c>
      <c r="C715" s="6" t="s">
        <v>431</v>
      </c>
      <c r="D715" s="9" t="n">
        <v>0</v>
      </c>
    </row>
    <row r="716" customFormat="false" ht="15" hidden="false" customHeight="false" outlineLevel="0" collapsed="false">
      <c r="A716" s="6" t="s">
        <v>854</v>
      </c>
      <c r="B716" s="6" t="s">
        <v>220</v>
      </c>
      <c r="C716" s="6" t="s">
        <v>432</v>
      </c>
      <c r="D716" s="9" t="n">
        <v>-2</v>
      </c>
    </row>
    <row r="717" customFormat="false" ht="15" hidden="false" customHeight="false" outlineLevel="0" collapsed="false">
      <c r="A717" s="6" t="s">
        <v>854</v>
      </c>
      <c r="B717" s="6" t="s">
        <v>433</v>
      </c>
      <c r="C717" s="6" t="s">
        <v>434</v>
      </c>
      <c r="D717" s="9" t="n">
        <v>0</v>
      </c>
    </row>
    <row r="718" customFormat="false" ht="15" hidden="false" customHeight="false" outlineLevel="0" collapsed="false">
      <c r="A718" s="6" t="s">
        <v>854</v>
      </c>
      <c r="B718" s="6" t="s">
        <v>435</v>
      </c>
      <c r="C718" s="6" t="s">
        <v>436</v>
      </c>
      <c r="D718" s="9" t="n">
        <v>0</v>
      </c>
    </row>
    <row r="719" customFormat="false" ht="15" hidden="false" customHeight="false" outlineLevel="0" collapsed="false">
      <c r="A719" s="6" t="s">
        <v>854</v>
      </c>
      <c r="B719" s="6" t="s">
        <v>437</v>
      </c>
      <c r="C719" s="6" t="s">
        <v>438</v>
      </c>
      <c r="D719" s="9" t="n">
        <v>0</v>
      </c>
    </row>
    <row r="720" customFormat="false" ht="15" hidden="false" customHeight="false" outlineLevel="0" collapsed="false">
      <c r="A720" s="6" t="s">
        <v>854</v>
      </c>
      <c r="B720" s="6" t="s">
        <v>146</v>
      </c>
      <c r="C720" s="6" t="s">
        <v>439</v>
      </c>
      <c r="D720" s="9" t="n">
        <v>-3</v>
      </c>
    </row>
    <row r="721" customFormat="false" ht="15" hidden="false" customHeight="false" outlineLevel="0" collapsed="false">
      <c r="A721" s="6" t="s">
        <v>854</v>
      </c>
      <c r="B721" s="6" t="s">
        <v>164</v>
      </c>
      <c r="C721" s="6" t="s">
        <v>439</v>
      </c>
      <c r="D721" s="9" t="n">
        <v>-4</v>
      </c>
    </row>
    <row r="722" customFormat="false" ht="15" hidden="false" customHeight="false" outlineLevel="0" collapsed="false">
      <c r="A722" s="6" t="s">
        <v>854</v>
      </c>
      <c r="B722" s="6" t="s">
        <v>168</v>
      </c>
      <c r="C722" s="6" t="s">
        <v>440</v>
      </c>
      <c r="D722" s="9" t="n">
        <v>0</v>
      </c>
    </row>
    <row r="723" customFormat="false" ht="15" hidden="false" customHeight="false" outlineLevel="0" collapsed="false">
      <c r="A723" s="6" t="s">
        <v>854</v>
      </c>
      <c r="B723" s="6" t="s">
        <v>168</v>
      </c>
      <c r="C723" s="6" t="s">
        <v>441</v>
      </c>
      <c r="D723" s="9" t="n">
        <v>2</v>
      </c>
    </row>
    <row r="724" customFormat="false" ht="15" hidden="false" customHeight="false" outlineLevel="0" collapsed="false">
      <c r="A724" s="6" t="s">
        <v>854</v>
      </c>
      <c r="B724" s="6" t="s">
        <v>168</v>
      </c>
      <c r="C724" s="6" t="s">
        <v>442</v>
      </c>
      <c r="D724" s="9" t="n">
        <v>2</v>
      </c>
    </row>
    <row r="725" customFormat="false" ht="15" hidden="false" customHeight="false" outlineLevel="0" collapsed="false">
      <c r="A725" s="6" t="s">
        <v>854</v>
      </c>
      <c r="B725" s="6" t="s">
        <v>168</v>
      </c>
      <c r="C725" s="6" t="s">
        <v>443</v>
      </c>
      <c r="D725" s="9" t="n">
        <v>-1</v>
      </c>
    </row>
    <row r="726" customFormat="false" ht="15" hidden="false" customHeight="false" outlineLevel="0" collapsed="false">
      <c r="A726" s="6" t="s">
        <v>854</v>
      </c>
      <c r="B726" s="6" t="s">
        <v>198</v>
      </c>
      <c r="C726" s="6" t="s">
        <v>444</v>
      </c>
      <c r="D726" s="9" t="n">
        <v>0</v>
      </c>
    </row>
    <row r="727" customFormat="false" ht="15" hidden="false" customHeight="false" outlineLevel="0" collapsed="false">
      <c r="A727" s="6" t="s">
        <v>854</v>
      </c>
      <c r="B727" s="6" t="s">
        <v>198</v>
      </c>
      <c r="C727" s="6" t="s">
        <v>868</v>
      </c>
      <c r="D727" s="9" t="n">
        <v>0</v>
      </c>
    </row>
    <row r="728" customFormat="false" ht="15" hidden="false" customHeight="false" outlineLevel="0" collapsed="false">
      <c r="A728" s="6" t="s">
        <v>854</v>
      </c>
      <c r="B728" s="6" t="s">
        <v>198</v>
      </c>
      <c r="C728" s="6" t="s">
        <v>445</v>
      </c>
      <c r="D728" s="9" t="n">
        <v>-1</v>
      </c>
    </row>
    <row r="729" customFormat="false" ht="15" hidden="false" customHeight="false" outlineLevel="0" collapsed="false">
      <c r="A729" s="6" t="s">
        <v>854</v>
      </c>
      <c r="B729" s="6" t="s">
        <v>198</v>
      </c>
      <c r="C729" s="6" t="s">
        <v>446</v>
      </c>
      <c r="D729" s="9" t="n">
        <v>-1</v>
      </c>
    </row>
    <row r="730" customFormat="false" ht="15" hidden="false" customHeight="false" outlineLevel="0" collapsed="false">
      <c r="A730" s="6" t="s">
        <v>854</v>
      </c>
      <c r="B730" s="6" t="s">
        <v>147</v>
      </c>
      <c r="C730" s="6" t="s">
        <v>447</v>
      </c>
      <c r="D730" s="9" t="n">
        <v>-2</v>
      </c>
    </row>
    <row r="731" customFormat="false" ht="15" hidden="false" customHeight="false" outlineLevel="0" collapsed="false">
      <c r="A731" s="6" t="s">
        <v>854</v>
      </c>
      <c r="B731" s="6" t="s">
        <v>147</v>
      </c>
      <c r="C731" s="6" t="s">
        <v>448</v>
      </c>
      <c r="D731" s="9" t="n">
        <v>-3</v>
      </c>
    </row>
    <row r="732" customFormat="false" ht="15" hidden="false" customHeight="false" outlineLevel="0" collapsed="false">
      <c r="A732" s="6" t="s">
        <v>854</v>
      </c>
      <c r="B732" s="6" t="s">
        <v>147</v>
      </c>
      <c r="C732" s="6" t="s">
        <v>449</v>
      </c>
      <c r="D732" s="9" t="n">
        <v>-2</v>
      </c>
    </row>
    <row r="733" customFormat="false" ht="15" hidden="false" customHeight="false" outlineLevel="0" collapsed="false">
      <c r="A733" s="6" t="s">
        <v>854</v>
      </c>
      <c r="B733" s="6" t="s">
        <v>147</v>
      </c>
      <c r="C733" s="6" t="s">
        <v>450</v>
      </c>
      <c r="D733" s="9" t="n">
        <v>-1</v>
      </c>
    </row>
    <row r="734" customFormat="false" ht="15" hidden="false" customHeight="false" outlineLevel="0" collapsed="false">
      <c r="A734" s="6" t="s">
        <v>854</v>
      </c>
      <c r="B734" s="6" t="s">
        <v>147</v>
      </c>
      <c r="C734" s="6" t="s">
        <v>451</v>
      </c>
      <c r="D734" s="9" t="n">
        <v>-1</v>
      </c>
    </row>
    <row r="735" customFormat="false" ht="15" hidden="false" customHeight="false" outlineLevel="0" collapsed="false">
      <c r="A735" s="6" t="s">
        <v>854</v>
      </c>
      <c r="B735" s="6" t="s">
        <v>33</v>
      </c>
      <c r="C735" s="6" t="s">
        <v>452</v>
      </c>
      <c r="D735" s="9" t="n">
        <v>1045</v>
      </c>
    </row>
    <row r="736" customFormat="false" ht="15" hidden="false" customHeight="false" outlineLevel="0" collapsed="false">
      <c r="A736" s="6" t="s">
        <v>854</v>
      </c>
      <c r="B736" s="6" t="s">
        <v>33</v>
      </c>
      <c r="C736" s="6" t="s">
        <v>453</v>
      </c>
      <c r="D736" s="9" t="n">
        <v>1027</v>
      </c>
    </row>
    <row r="737" customFormat="false" ht="15" hidden="false" customHeight="false" outlineLevel="0" collapsed="false">
      <c r="A737" s="6" t="s">
        <v>854</v>
      </c>
      <c r="B737" s="6" t="s">
        <v>33</v>
      </c>
      <c r="C737" s="6" t="s">
        <v>454</v>
      </c>
      <c r="D737" s="9" t="n">
        <v>589</v>
      </c>
    </row>
    <row r="738" customFormat="false" ht="15" hidden="false" customHeight="false" outlineLevel="0" collapsed="false">
      <c r="A738" s="6" t="s">
        <v>854</v>
      </c>
      <c r="B738" s="6" t="s">
        <v>33</v>
      </c>
      <c r="C738" s="6" t="s">
        <v>455</v>
      </c>
      <c r="D738" s="9" t="n">
        <v>638</v>
      </c>
    </row>
    <row r="739" customFormat="false" ht="15" hidden="false" customHeight="false" outlineLevel="0" collapsed="false">
      <c r="A739" s="6" t="s">
        <v>854</v>
      </c>
      <c r="B739" s="6" t="s">
        <v>33</v>
      </c>
      <c r="C739" s="6" t="s">
        <v>456</v>
      </c>
      <c r="D739" s="9" t="n">
        <v>176</v>
      </c>
    </row>
    <row r="740" customFormat="false" ht="15" hidden="false" customHeight="false" outlineLevel="0" collapsed="false">
      <c r="A740" s="6" t="s">
        <v>854</v>
      </c>
      <c r="B740" s="6" t="s">
        <v>24</v>
      </c>
      <c r="C740" s="6" t="s">
        <v>457</v>
      </c>
      <c r="D740" s="9" t="n">
        <v>1268</v>
      </c>
    </row>
    <row r="741" customFormat="false" ht="15" hidden="false" customHeight="false" outlineLevel="0" collapsed="false">
      <c r="A741" s="6" t="s">
        <v>854</v>
      </c>
      <c r="B741" s="6" t="s">
        <v>24</v>
      </c>
      <c r="C741" s="6" t="s">
        <v>458</v>
      </c>
      <c r="D741" s="9" t="n">
        <v>1997</v>
      </c>
    </row>
    <row r="742" customFormat="false" ht="15" hidden="false" customHeight="false" outlineLevel="0" collapsed="false">
      <c r="A742" s="6" t="s">
        <v>854</v>
      </c>
      <c r="B742" s="6" t="s">
        <v>24</v>
      </c>
      <c r="C742" s="6" t="s">
        <v>459</v>
      </c>
      <c r="D742" s="9" t="n">
        <v>2418</v>
      </c>
    </row>
    <row r="743" customFormat="false" ht="15" hidden="false" customHeight="false" outlineLevel="0" collapsed="false">
      <c r="A743" s="6" t="s">
        <v>854</v>
      </c>
      <c r="B743" s="6" t="s">
        <v>24</v>
      </c>
      <c r="C743" s="6" t="s">
        <v>460</v>
      </c>
      <c r="D743" s="9" t="n">
        <v>1648</v>
      </c>
    </row>
    <row r="744" customFormat="false" ht="15" hidden="false" customHeight="false" outlineLevel="0" collapsed="false">
      <c r="A744" s="6" t="s">
        <v>854</v>
      </c>
      <c r="B744" s="6" t="s">
        <v>26</v>
      </c>
      <c r="C744" s="6" t="s">
        <v>461</v>
      </c>
      <c r="D744" s="9" t="n">
        <v>306</v>
      </c>
    </row>
    <row r="745" customFormat="false" ht="15" hidden="false" customHeight="false" outlineLevel="0" collapsed="false">
      <c r="A745" s="6" t="s">
        <v>854</v>
      </c>
      <c r="B745" s="6" t="s">
        <v>26</v>
      </c>
      <c r="C745" s="6" t="s">
        <v>462</v>
      </c>
      <c r="D745" s="9" t="n">
        <v>786</v>
      </c>
    </row>
    <row r="746" customFormat="false" ht="15" hidden="false" customHeight="false" outlineLevel="0" collapsed="false">
      <c r="A746" s="6" t="s">
        <v>854</v>
      </c>
      <c r="B746" s="6" t="s">
        <v>26</v>
      </c>
      <c r="C746" s="6" t="s">
        <v>463</v>
      </c>
      <c r="D746" s="9" t="n">
        <v>844</v>
      </c>
    </row>
    <row r="747" customFormat="false" ht="15" hidden="false" customHeight="false" outlineLevel="0" collapsed="false">
      <c r="A747" s="6" t="s">
        <v>854</v>
      </c>
      <c r="B747" s="6" t="s">
        <v>26</v>
      </c>
      <c r="C747" s="6" t="s">
        <v>464</v>
      </c>
      <c r="D747" s="9" t="n">
        <v>641</v>
      </c>
    </row>
    <row r="748" customFormat="false" ht="15" hidden="false" customHeight="false" outlineLevel="0" collapsed="false">
      <c r="A748" s="6" t="s">
        <v>854</v>
      </c>
      <c r="B748" s="6" t="s">
        <v>26</v>
      </c>
      <c r="C748" s="6" t="s">
        <v>465</v>
      </c>
      <c r="D748" s="9" t="n">
        <v>98</v>
      </c>
    </row>
    <row r="749" customFormat="false" ht="15" hidden="false" customHeight="false" outlineLevel="0" collapsed="false">
      <c r="A749" s="6" t="s">
        <v>854</v>
      </c>
      <c r="B749" s="6" t="s">
        <v>142</v>
      </c>
      <c r="C749" s="6" t="s">
        <v>466</v>
      </c>
      <c r="D749" s="9" t="n">
        <v>0</v>
      </c>
    </row>
    <row r="750" customFormat="false" ht="15" hidden="false" customHeight="false" outlineLevel="0" collapsed="false">
      <c r="A750" s="6" t="s">
        <v>854</v>
      </c>
      <c r="B750" s="6" t="s">
        <v>142</v>
      </c>
      <c r="C750" s="6" t="s">
        <v>467</v>
      </c>
      <c r="D750" s="9" t="n">
        <v>5</v>
      </c>
    </row>
    <row r="751" customFormat="false" ht="15" hidden="false" customHeight="false" outlineLevel="0" collapsed="false">
      <c r="A751" s="6" t="s">
        <v>854</v>
      </c>
      <c r="B751" s="6" t="s">
        <v>142</v>
      </c>
      <c r="C751" s="6" t="s">
        <v>468</v>
      </c>
      <c r="D751" s="9" t="n">
        <v>3</v>
      </c>
    </row>
    <row r="752" customFormat="false" ht="15" hidden="false" customHeight="false" outlineLevel="0" collapsed="false">
      <c r="A752" s="6" t="s">
        <v>854</v>
      </c>
      <c r="B752" s="6" t="s">
        <v>142</v>
      </c>
      <c r="C752" s="6" t="s">
        <v>469</v>
      </c>
      <c r="D752" s="9" t="n">
        <v>0</v>
      </c>
    </row>
    <row r="753" customFormat="false" ht="15" hidden="false" customHeight="false" outlineLevel="0" collapsed="false">
      <c r="A753" s="6" t="s">
        <v>854</v>
      </c>
      <c r="B753" s="6" t="s">
        <v>100</v>
      </c>
      <c r="C753" s="6" t="s">
        <v>471</v>
      </c>
      <c r="D753" s="9" t="n">
        <v>12</v>
      </c>
    </row>
    <row r="754" customFormat="false" ht="15" hidden="false" customHeight="false" outlineLevel="0" collapsed="false">
      <c r="A754" s="6" t="s">
        <v>854</v>
      </c>
      <c r="B754" s="6" t="s">
        <v>100</v>
      </c>
      <c r="C754" s="6" t="s">
        <v>472</v>
      </c>
      <c r="D754" s="9" t="n">
        <v>29</v>
      </c>
    </row>
    <row r="755" customFormat="false" ht="15" hidden="false" customHeight="false" outlineLevel="0" collapsed="false">
      <c r="A755" s="6" t="s">
        <v>854</v>
      </c>
      <c r="B755" s="6" t="s">
        <v>100</v>
      </c>
      <c r="C755" s="6" t="s">
        <v>473</v>
      </c>
      <c r="D755" s="9" t="n">
        <v>23</v>
      </c>
    </row>
    <row r="756" customFormat="false" ht="15" hidden="false" customHeight="false" outlineLevel="0" collapsed="false">
      <c r="A756" s="6" t="s">
        <v>854</v>
      </c>
      <c r="B756" s="6" t="s">
        <v>100</v>
      </c>
      <c r="C756" s="6" t="s">
        <v>474</v>
      </c>
      <c r="D756" s="9" t="n">
        <v>37</v>
      </c>
    </row>
    <row r="757" customFormat="false" ht="15" hidden="false" customHeight="false" outlineLevel="0" collapsed="false">
      <c r="A757" s="6" t="s">
        <v>854</v>
      </c>
      <c r="B757" s="6" t="s">
        <v>100</v>
      </c>
      <c r="C757" s="6" t="s">
        <v>475</v>
      </c>
      <c r="D757" s="9" t="n">
        <v>2</v>
      </c>
    </row>
    <row r="758" customFormat="false" ht="15" hidden="false" customHeight="false" outlineLevel="0" collapsed="false">
      <c r="A758" s="6" t="s">
        <v>854</v>
      </c>
      <c r="B758" s="6" t="s">
        <v>185</v>
      </c>
      <c r="C758" s="6" t="s">
        <v>869</v>
      </c>
      <c r="D758" s="9" t="n">
        <v>0</v>
      </c>
    </row>
    <row r="759" customFormat="false" ht="15" hidden="false" customHeight="false" outlineLevel="0" collapsed="false">
      <c r="A759" s="6" t="s">
        <v>854</v>
      </c>
      <c r="B759" s="6" t="s">
        <v>185</v>
      </c>
      <c r="C759" s="6" t="s">
        <v>476</v>
      </c>
      <c r="D759" s="9" t="n">
        <v>-1</v>
      </c>
    </row>
    <row r="760" customFormat="false" ht="15" hidden="false" customHeight="false" outlineLevel="0" collapsed="false">
      <c r="A760" s="6" t="s">
        <v>854</v>
      </c>
      <c r="B760" s="6" t="s">
        <v>185</v>
      </c>
      <c r="C760" s="6" t="s">
        <v>477</v>
      </c>
      <c r="D760" s="9" t="n">
        <v>0</v>
      </c>
    </row>
    <row r="761" customFormat="false" ht="15" hidden="false" customHeight="false" outlineLevel="0" collapsed="false">
      <c r="A761" s="6" t="s">
        <v>854</v>
      </c>
      <c r="B761" s="6" t="s">
        <v>185</v>
      </c>
      <c r="C761" s="6" t="s">
        <v>478</v>
      </c>
      <c r="D761" s="9" t="n">
        <v>-1</v>
      </c>
    </row>
    <row r="762" customFormat="false" ht="15" hidden="false" customHeight="false" outlineLevel="0" collapsed="false">
      <c r="A762" s="6" t="s">
        <v>854</v>
      </c>
      <c r="B762" s="6" t="s">
        <v>212</v>
      </c>
      <c r="C762" s="6" t="s">
        <v>480</v>
      </c>
      <c r="D762" s="9" t="n">
        <v>0</v>
      </c>
    </row>
    <row r="763" customFormat="false" ht="15" hidden="false" customHeight="false" outlineLevel="0" collapsed="false">
      <c r="A763" s="6" t="s">
        <v>854</v>
      </c>
      <c r="B763" s="6" t="s">
        <v>212</v>
      </c>
      <c r="C763" s="6" t="s">
        <v>481</v>
      </c>
      <c r="D763" s="9" t="n">
        <v>0</v>
      </c>
    </row>
    <row r="764" customFormat="false" ht="15" hidden="false" customHeight="false" outlineLevel="0" collapsed="false">
      <c r="A764" s="6" t="s">
        <v>854</v>
      </c>
      <c r="B764" s="6" t="s">
        <v>212</v>
      </c>
      <c r="C764" s="6" t="s">
        <v>870</v>
      </c>
      <c r="D764" s="9" t="n">
        <v>0</v>
      </c>
    </row>
    <row r="765" customFormat="false" ht="15" hidden="false" customHeight="false" outlineLevel="0" collapsed="false">
      <c r="A765" s="6" t="s">
        <v>854</v>
      </c>
      <c r="B765" s="6" t="s">
        <v>59</v>
      </c>
      <c r="C765" s="6" t="s">
        <v>482</v>
      </c>
      <c r="D765" s="9" t="n">
        <v>14</v>
      </c>
    </row>
    <row r="766" customFormat="false" ht="15" hidden="false" customHeight="false" outlineLevel="0" collapsed="false">
      <c r="A766" s="6" t="s">
        <v>854</v>
      </c>
      <c r="B766" s="6" t="s">
        <v>59</v>
      </c>
      <c r="C766" s="6" t="s">
        <v>483</v>
      </c>
      <c r="D766" s="9" t="n">
        <v>15</v>
      </c>
    </row>
    <row r="767" customFormat="false" ht="15" hidden="false" customHeight="false" outlineLevel="0" collapsed="false">
      <c r="A767" s="6" t="s">
        <v>854</v>
      </c>
      <c r="B767" s="6" t="s">
        <v>59</v>
      </c>
      <c r="C767" s="6" t="s">
        <v>484</v>
      </c>
      <c r="D767" s="9" t="n">
        <v>25</v>
      </c>
    </row>
    <row r="768" customFormat="false" ht="15" hidden="false" customHeight="false" outlineLevel="0" collapsed="false">
      <c r="A768" s="6" t="s">
        <v>854</v>
      </c>
      <c r="B768" s="6" t="s">
        <v>59</v>
      </c>
      <c r="C768" s="6" t="s">
        <v>485</v>
      </c>
      <c r="D768" s="9" t="n">
        <v>-1</v>
      </c>
    </row>
    <row r="769" customFormat="false" ht="15" hidden="false" customHeight="false" outlineLevel="0" collapsed="false">
      <c r="A769" s="6" t="s">
        <v>854</v>
      </c>
      <c r="B769" s="6" t="s">
        <v>59</v>
      </c>
      <c r="C769" s="6" t="s">
        <v>486</v>
      </c>
      <c r="D769" s="9" t="n">
        <v>-1</v>
      </c>
    </row>
    <row r="770" customFormat="false" ht="15" hidden="false" customHeight="false" outlineLevel="0" collapsed="false">
      <c r="A770" s="6" t="s">
        <v>854</v>
      </c>
      <c r="B770" s="6" t="s">
        <v>139</v>
      </c>
      <c r="C770" s="6" t="s">
        <v>487</v>
      </c>
      <c r="D770" s="9" t="n">
        <v>1</v>
      </c>
    </row>
    <row r="771" customFormat="false" ht="15" hidden="false" customHeight="false" outlineLevel="0" collapsed="false">
      <c r="A771" s="6" t="s">
        <v>854</v>
      </c>
      <c r="B771" s="6" t="s">
        <v>139</v>
      </c>
      <c r="C771" s="6" t="s">
        <v>488</v>
      </c>
      <c r="D771" s="9" t="n">
        <v>5</v>
      </c>
    </row>
    <row r="772" customFormat="false" ht="15" hidden="false" customHeight="false" outlineLevel="0" collapsed="false">
      <c r="A772" s="6" t="s">
        <v>854</v>
      </c>
      <c r="B772" s="6" t="s">
        <v>139</v>
      </c>
      <c r="C772" s="6" t="s">
        <v>489</v>
      </c>
      <c r="D772" s="9" t="n">
        <v>12</v>
      </c>
    </row>
    <row r="773" customFormat="false" ht="15" hidden="false" customHeight="false" outlineLevel="0" collapsed="false">
      <c r="A773" s="6" t="s">
        <v>854</v>
      </c>
      <c r="B773" s="6" t="s">
        <v>139</v>
      </c>
      <c r="C773" s="6" t="s">
        <v>490</v>
      </c>
      <c r="D773" s="9" t="n">
        <v>9</v>
      </c>
    </row>
    <row r="774" customFormat="false" ht="15" hidden="false" customHeight="false" outlineLevel="0" collapsed="false">
      <c r="A774" s="6" t="s">
        <v>854</v>
      </c>
      <c r="B774" s="6" t="s">
        <v>37</v>
      </c>
      <c r="C774" s="6" t="s">
        <v>491</v>
      </c>
      <c r="D774" s="9" t="n">
        <v>465</v>
      </c>
    </row>
    <row r="775" customFormat="false" ht="15" hidden="false" customHeight="false" outlineLevel="0" collapsed="false">
      <c r="A775" s="6" t="s">
        <v>854</v>
      </c>
      <c r="B775" s="6" t="s">
        <v>37</v>
      </c>
      <c r="C775" s="6" t="s">
        <v>492</v>
      </c>
      <c r="D775" s="9" t="n">
        <v>446</v>
      </c>
    </row>
    <row r="776" customFormat="false" ht="15" hidden="false" customHeight="false" outlineLevel="0" collapsed="false">
      <c r="A776" s="6" t="s">
        <v>854</v>
      </c>
      <c r="B776" s="6" t="s">
        <v>37</v>
      </c>
      <c r="C776" s="6" t="s">
        <v>493</v>
      </c>
      <c r="D776" s="9" t="n">
        <v>207</v>
      </c>
    </row>
    <row r="777" customFormat="false" ht="15" hidden="false" customHeight="false" outlineLevel="0" collapsed="false">
      <c r="A777" s="6" t="s">
        <v>854</v>
      </c>
      <c r="B777" s="6" t="s">
        <v>37</v>
      </c>
      <c r="C777" s="6" t="s">
        <v>494</v>
      </c>
      <c r="D777" s="9" t="n">
        <v>263</v>
      </c>
    </row>
    <row r="778" customFormat="false" ht="15" hidden="false" customHeight="false" outlineLevel="0" collapsed="false">
      <c r="A778" s="6" t="s">
        <v>854</v>
      </c>
      <c r="B778" s="6" t="s">
        <v>49</v>
      </c>
      <c r="C778" s="6" t="s">
        <v>495</v>
      </c>
      <c r="D778" s="9" t="n">
        <v>214</v>
      </c>
    </row>
    <row r="779" customFormat="false" ht="15" hidden="false" customHeight="false" outlineLevel="0" collapsed="false">
      <c r="A779" s="6" t="s">
        <v>854</v>
      </c>
      <c r="B779" s="6" t="s">
        <v>49</v>
      </c>
      <c r="C779" s="6" t="s">
        <v>496</v>
      </c>
      <c r="D779" s="9" t="n">
        <v>332</v>
      </c>
    </row>
    <row r="780" customFormat="false" ht="15" hidden="false" customHeight="false" outlineLevel="0" collapsed="false">
      <c r="A780" s="6" t="s">
        <v>854</v>
      </c>
      <c r="B780" s="6" t="s">
        <v>49</v>
      </c>
      <c r="C780" s="6" t="s">
        <v>497</v>
      </c>
      <c r="D780" s="9" t="n">
        <v>229</v>
      </c>
    </row>
    <row r="781" customFormat="false" ht="15" hidden="false" customHeight="false" outlineLevel="0" collapsed="false">
      <c r="A781" s="6" t="s">
        <v>854</v>
      </c>
      <c r="B781" s="6" t="s">
        <v>49</v>
      </c>
      <c r="C781" s="6" t="s">
        <v>498</v>
      </c>
      <c r="D781" s="9" t="n">
        <v>99</v>
      </c>
    </row>
    <row r="782" customFormat="false" ht="15" hidden="false" customHeight="false" outlineLevel="0" collapsed="false">
      <c r="A782" s="6" t="s">
        <v>854</v>
      </c>
      <c r="B782" s="6" t="s">
        <v>49</v>
      </c>
      <c r="C782" s="6" t="s">
        <v>499</v>
      </c>
      <c r="D782" s="9" t="n">
        <v>32</v>
      </c>
    </row>
    <row r="783" customFormat="false" ht="15" hidden="false" customHeight="false" outlineLevel="0" collapsed="false">
      <c r="A783" s="6" t="s">
        <v>854</v>
      </c>
      <c r="B783" s="6" t="s">
        <v>49</v>
      </c>
      <c r="C783" s="6" t="s">
        <v>500</v>
      </c>
      <c r="D783" s="9" t="n">
        <v>5</v>
      </c>
    </row>
    <row r="784" customFormat="false" ht="15" hidden="false" customHeight="false" outlineLevel="0" collapsed="false">
      <c r="A784" s="6" t="s">
        <v>854</v>
      </c>
      <c r="B784" s="6" t="s">
        <v>229</v>
      </c>
      <c r="C784" s="6" t="s">
        <v>932</v>
      </c>
      <c r="D784" s="9" t="n">
        <v>-1</v>
      </c>
    </row>
    <row r="785" customFormat="false" ht="15" hidden="false" customHeight="false" outlineLevel="0" collapsed="false">
      <c r="A785" s="6" t="s">
        <v>854</v>
      </c>
      <c r="B785" s="6" t="s">
        <v>87</v>
      </c>
      <c r="C785" s="6" t="s">
        <v>501</v>
      </c>
      <c r="D785" s="9" t="n">
        <v>320</v>
      </c>
    </row>
    <row r="786" customFormat="false" ht="15" hidden="false" customHeight="false" outlineLevel="0" collapsed="false">
      <c r="A786" s="6" t="s">
        <v>854</v>
      </c>
      <c r="B786" s="6" t="s">
        <v>167</v>
      </c>
      <c r="C786" s="6" t="s">
        <v>502</v>
      </c>
      <c r="D786" s="9" t="n">
        <v>50</v>
      </c>
    </row>
    <row r="787" customFormat="false" ht="15" hidden="false" customHeight="false" outlineLevel="0" collapsed="false">
      <c r="A787" s="6" t="s">
        <v>854</v>
      </c>
      <c r="B787" s="6" t="s">
        <v>64</v>
      </c>
      <c r="C787" s="6" t="s">
        <v>503</v>
      </c>
      <c r="D787" s="9" t="n">
        <v>-13</v>
      </c>
    </row>
    <row r="788" customFormat="false" ht="15" hidden="false" customHeight="false" outlineLevel="0" collapsed="false">
      <c r="A788" s="6" t="s">
        <v>854</v>
      </c>
      <c r="B788" s="6" t="s">
        <v>64</v>
      </c>
      <c r="C788" s="6" t="s">
        <v>504</v>
      </c>
      <c r="D788" s="9" t="n">
        <v>15</v>
      </c>
    </row>
    <row r="789" customFormat="false" ht="15" hidden="false" customHeight="false" outlineLevel="0" collapsed="false">
      <c r="A789" s="6" t="s">
        <v>854</v>
      </c>
      <c r="B789" s="6" t="s">
        <v>64</v>
      </c>
      <c r="C789" s="6" t="s">
        <v>505</v>
      </c>
      <c r="D789" s="9" t="n">
        <v>19</v>
      </c>
    </row>
    <row r="790" customFormat="false" ht="15" hidden="false" customHeight="false" outlineLevel="0" collapsed="false">
      <c r="A790" s="6" t="s">
        <v>854</v>
      </c>
      <c r="B790" s="6" t="s">
        <v>64</v>
      </c>
      <c r="C790" s="6" t="s">
        <v>506</v>
      </c>
      <c r="D790" s="9" t="n">
        <v>97</v>
      </c>
    </row>
    <row r="791" customFormat="false" ht="15" hidden="false" customHeight="false" outlineLevel="0" collapsed="false">
      <c r="A791" s="6" t="s">
        <v>854</v>
      </c>
      <c r="B791" s="6" t="s">
        <v>64</v>
      </c>
      <c r="C791" s="6" t="s">
        <v>507</v>
      </c>
      <c r="D791" s="9" t="n">
        <v>105</v>
      </c>
    </row>
    <row r="792" customFormat="false" ht="15" hidden="false" customHeight="false" outlineLevel="0" collapsed="false">
      <c r="A792" s="6" t="s">
        <v>854</v>
      </c>
      <c r="B792" s="6" t="s">
        <v>64</v>
      </c>
      <c r="C792" s="6" t="s">
        <v>508</v>
      </c>
      <c r="D792" s="9" t="n">
        <v>124</v>
      </c>
    </row>
    <row r="793" customFormat="false" ht="15" hidden="false" customHeight="false" outlineLevel="0" collapsed="false">
      <c r="A793" s="6" t="s">
        <v>854</v>
      </c>
      <c r="B793" s="6" t="s">
        <v>88</v>
      </c>
      <c r="C793" s="6" t="s">
        <v>509</v>
      </c>
      <c r="D793" s="9" t="n">
        <v>38</v>
      </c>
    </row>
    <row r="794" customFormat="false" ht="15" hidden="false" customHeight="false" outlineLevel="0" collapsed="false">
      <c r="A794" s="6" t="s">
        <v>854</v>
      </c>
      <c r="B794" s="6" t="s">
        <v>88</v>
      </c>
      <c r="C794" s="6" t="s">
        <v>510</v>
      </c>
      <c r="D794" s="9" t="n">
        <v>83</v>
      </c>
    </row>
    <row r="795" customFormat="false" ht="15" hidden="false" customHeight="false" outlineLevel="0" collapsed="false">
      <c r="A795" s="6" t="s">
        <v>854</v>
      </c>
      <c r="B795" s="6" t="s">
        <v>88</v>
      </c>
      <c r="C795" s="6" t="s">
        <v>511</v>
      </c>
      <c r="D795" s="9" t="n">
        <v>70</v>
      </c>
    </row>
    <row r="796" customFormat="false" ht="15" hidden="false" customHeight="false" outlineLevel="0" collapsed="false">
      <c r="A796" s="6" t="s">
        <v>854</v>
      </c>
      <c r="B796" s="6" t="s">
        <v>137</v>
      </c>
      <c r="C796" s="6" t="s">
        <v>512</v>
      </c>
      <c r="D796" s="9" t="n">
        <v>59</v>
      </c>
    </row>
    <row r="797" customFormat="false" ht="15" hidden="false" customHeight="false" outlineLevel="0" collapsed="false">
      <c r="A797" s="6" t="s">
        <v>854</v>
      </c>
      <c r="B797" s="6" t="s">
        <v>871</v>
      </c>
      <c r="C797" s="6" t="s">
        <v>872</v>
      </c>
      <c r="D797" s="9" t="n">
        <v>0</v>
      </c>
    </row>
    <row r="798" customFormat="false" ht="15" hidden="false" customHeight="false" outlineLevel="0" collapsed="false">
      <c r="A798" s="6" t="s">
        <v>854</v>
      </c>
      <c r="B798" s="6" t="s">
        <v>227</v>
      </c>
      <c r="C798" s="6" t="s">
        <v>517</v>
      </c>
      <c r="D798" s="9" t="n">
        <v>-1</v>
      </c>
    </row>
    <row r="799" customFormat="false" ht="15" hidden="false" customHeight="false" outlineLevel="0" collapsed="false">
      <c r="A799" s="6" t="s">
        <v>854</v>
      </c>
      <c r="B799" s="6" t="s">
        <v>179</v>
      </c>
      <c r="C799" s="6" t="s">
        <v>521</v>
      </c>
      <c r="D799" s="9" t="n">
        <v>0</v>
      </c>
    </row>
    <row r="800" customFormat="false" ht="15" hidden="false" customHeight="false" outlineLevel="0" collapsed="false">
      <c r="A800" s="6" t="s">
        <v>854</v>
      </c>
      <c r="B800" s="6" t="s">
        <v>179</v>
      </c>
      <c r="C800" s="6" t="s">
        <v>522</v>
      </c>
      <c r="D800" s="9" t="n">
        <v>0</v>
      </c>
    </row>
    <row r="801" customFormat="false" ht="15" hidden="false" customHeight="false" outlineLevel="0" collapsed="false">
      <c r="A801" s="6" t="s">
        <v>854</v>
      </c>
      <c r="B801" s="6" t="s">
        <v>179</v>
      </c>
      <c r="C801" s="6" t="s">
        <v>523</v>
      </c>
      <c r="D801" s="9" t="n">
        <v>0</v>
      </c>
    </row>
    <row r="802" customFormat="false" ht="15" hidden="false" customHeight="false" outlineLevel="0" collapsed="false">
      <c r="A802" s="6" t="s">
        <v>854</v>
      </c>
      <c r="B802" s="6" t="s">
        <v>166</v>
      </c>
      <c r="C802" s="6" t="s">
        <v>526</v>
      </c>
      <c r="D802" s="9" t="n">
        <v>0</v>
      </c>
    </row>
    <row r="803" customFormat="false" ht="15" hidden="false" customHeight="false" outlineLevel="0" collapsed="false">
      <c r="A803" s="6" t="s">
        <v>854</v>
      </c>
      <c r="B803" s="6" t="s">
        <v>205</v>
      </c>
      <c r="C803" s="6" t="s">
        <v>528</v>
      </c>
      <c r="D803" s="9" t="n">
        <v>7</v>
      </c>
    </row>
    <row r="804" customFormat="false" ht="15" hidden="false" customHeight="false" outlineLevel="0" collapsed="false">
      <c r="A804" s="6" t="s">
        <v>854</v>
      </c>
      <c r="B804" s="6" t="s">
        <v>55</v>
      </c>
      <c r="C804" s="6" t="s">
        <v>529</v>
      </c>
      <c r="D804" s="9" t="n">
        <v>33</v>
      </c>
    </row>
    <row r="805" customFormat="false" ht="15" hidden="false" customHeight="false" outlineLevel="0" collapsed="false">
      <c r="A805" s="6" t="s">
        <v>854</v>
      </c>
      <c r="B805" s="6" t="s">
        <v>55</v>
      </c>
      <c r="C805" s="6" t="s">
        <v>530</v>
      </c>
      <c r="D805" s="9" t="n">
        <v>29</v>
      </c>
    </row>
    <row r="806" customFormat="false" ht="15" hidden="false" customHeight="false" outlineLevel="0" collapsed="false">
      <c r="A806" s="6" t="s">
        <v>854</v>
      </c>
      <c r="B806" s="6" t="s">
        <v>55</v>
      </c>
      <c r="C806" s="6" t="s">
        <v>531</v>
      </c>
      <c r="D806" s="9" t="n">
        <v>40</v>
      </c>
    </row>
    <row r="807" customFormat="false" ht="15" hidden="false" customHeight="false" outlineLevel="0" collapsed="false">
      <c r="A807" s="6" t="s">
        <v>854</v>
      </c>
      <c r="B807" s="6" t="s">
        <v>183</v>
      </c>
      <c r="C807" s="6" t="s">
        <v>873</v>
      </c>
      <c r="D807" s="9" t="n">
        <v>-1</v>
      </c>
    </row>
    <row r="808" customFormat="false" ht="15" hidden="false" customHeight="false" outlineLevel="0" collapsed="false">
      <c r="A808" s="6" t="s">
        <v>854</v>
      </c>
      <c r="B808" s="6" t="s">
        <v>52</v>
      </c>
      <c r="C808" s="6" t="s">
        <v>532</v>
      </c>
      <c r="D808" s="9" t="n">
        <v>17</v>
      </c>
    </row>
    <row r="809" customFormat="false" ht="15" hidden="false" customHeight="false" outlineLevel="0" collapsed="false">
      <c r="A809" s="6" t="s">
        <v>854</v>
      </c>
      <c r="B809" s="6" t="s">
        <v>52</v>
      </c>
      <c r="C809" s="6" t="s">
        <v>533</v>
      </c>
      <c r="D809" s="9" t="n">
        <v>105</v>
      </c>
    </row>
    <row r="810" customFormat="false" ht="15" hidden="false" customHeight="false" outlineLevel="0" collapsed="false">
      <c r="A810" s="6" t="s">
        <v>854</v>
      </c>
      <c r="B810" s="6" t="s">
        <v>52</v>
      </c>
      <c r="C810" s="6" t="s">
        <v>534</v>
      </c>
      <c r="D810" s="9" t="n">
        <v>128</v>
      </c>
    </row>
    <row r="811" customFormat="false" ht="15" hidden="false" customHeight="false" outlineLevel="0" collapsed="false">
      <c r="A811" s="6" t="s">
        <v>854</v>
      </c>
      <c r="B811" s="6" t="s">
        <v>52</v>
      </c>
      <c r="C811" s="6" t="s">
        <v>535</v>
      </c>
      <c r="D811" s="9" t="n">
        <v>134</v>
      </c>
    </row>
    <row r="812" customFormat="false" ht="15" hidden="false" customHeight="false" outlineLevel="0" collapsed="false">
      <c r="A812" s="6" t="s">
        <v>854</v>
      </c>
      <c r="B812" s="6" t="s">
        <v>52</v>
      </c>
      <c r="C812" s="6" t="s">
        <v>536</v>
      </c>
      <c r="D812" s="9" t="n">
        <v>50</v>
      </c>
    </row>
    <row r="813" customFormat="false" ht="15" hidden="false" customHeight="false" outlineLevel="0" collapsed="false">
      <c r="A813" s="6" t="s">
        <v>854</v>
      </c>
      <c r="B813" s="6" t="s">
        <v>537</v>
      </c>
      <c r="C813" s="6" t="s">
        <v>538</v>
      </c>
      <c r="D813" s="9" t="n">
        <v>0</v>
      </c>
    </row>
    <row r="814" customFormat="false" ht="15" hidden="false" customHeight="false" outlineLevel="0" collapsed="false">
      <c r="A814" s="6" t="s">
        <v>854</v>
      </c>
      <c r="B814" s="6" t="s">
        <v>544</v>
      </c>
      <c r="C814" s="6" t="s">
        <v>545</v>
      </c>
      <c r="D814" s="9" t="n">
        <v>0</v>
      </c>
    </row>
    <row r="815" customFormat="false" ht="15" hidden="false" customHeight="false" outlineLevel="0" collapsed="false">
      <c r="A815" s="6" t="s">
        <v>854</v>
      </c>
      <c r="B815" s="6" t="s">
        <v>874</v>
      </c>
      <c r="C815" s="6" t="s">
        <v>875</v>
      </c>
      <c r="D815" s="9" t="n">
        <v>0</v>
      </c>
    </row>
    <row r="816" customFormat="false" ht="15" hidden="false" customHeight="false" outlineLevel="0" collapsed="false">
      <c r="A816" s="6" t="s">
        <v>854</v>
      </c>
      <c r="B816" s="6" t="s">
        <v>184</v>
      </c>
      <c r="C816" s="6" t="s">
        <v>549</v>
      </c>
      <c r="D816" s="9" t="n">
        <v>3</v>
      </c>
    </row>
    <row r="817" customFormat="false" ht="15" hidden="false" customHeight="false" outlineLevel="0" collapsed="false">
      <c r="A817" s="6" t="s">
        <v>854</v>
      </c>
      <c r="B817" s="6" t="s">
        <v>184</v>
      </c>
      <c r="C817" s="6" t="s">
        <v>550</v>
      </c>
      <c r="D817" s="9" t="n">
        <v>-3</v>
      </c>
    </row>
    <row r="818" customFormat="false" ht="15" hidden="false" customHeight="false" outlineLevel="0" collapsed="false">
      <c r="A818" s="6" t="s">
        <v>854</v>
      </c>
      <c r="B818" s="6" t="s">
        <v>184</v>
      </c>
      <c r="C818" s="6" t="s">
        <v>551</v>
      </c>
      <c r="D818" s="9" t="n">
        <v>3</v>
      </c>
    </row>
    <row r="819" customFormat="false" ht="15" hidden="false" customHeight="false" outlineLevel="0" collapsed="false">
      <c r="A819" s="6" t="s">
        <v>854</v>
      </c>
      <c r="B819" s="6" t="s">
        <v>153</v>
      </c>
      <c r="C819" s="6" t="s">
        <v>555</v>
      </c>
      <c r="D819" s="9" t="n">
        <v>0</v>
      </c>
    </row>
    <row r="820" customFormat="false" ht="15" hidden="false" customHeight="false" outlineLevel="0" collapsed="false">
      <c r="A820" s="6" t="s">
        <v>854</v>
      </c>
      <c r="B820" s="6" t="s">
        <v>153</v>
      </c>
      <c r="C820" s="6" t="s">
        <v>556</v>
      </c>
      <c r="D820" s="9" t="n">
        <v>0</v>
      </c>
    </row>
    <row r="821" customFormat="false" ht="15" hidden="false" customHeight="false" outlineLevel="0" collapsed="false">
      <c r="A821" s="6" t="s">
        <v>854</v>
      </c>
      <c r="B821" s="6" t="s">
        <v>64</v>
      </c>
      <c r="C821" s="6" t="s">
        <v>557</v>
      </c>
      <c r="D821" s="9" t="n">
        <v>0</v>
      </c>
    </row>
    <row r="822" customFormat="false" ht="15" hidden="false" customHeight="false" outlineLevel="0" collapsed="false">
      <c r="A822" s="6" t="s">
        <v>854</v>
      </c>
      <c r="B822" s="6" t="s">
        <v>205</v>
      </c>
      <c r="C822" s="6" t="s">
        <v>558</v>
      </c>
      <c r="D822" s="9" t="n">
        <v>17</v>
      </c>
    </row>
    <row r="823" customFormat="false" ht="15" hidden="false" customHeight="false" outlineLevel="0" collapsed="false">
      <c r="A823" s="6" t="s">
        <v>854</v>
      </c>
      <c r="B823" s="6" t="s">
        <v>559</v>
      </c>
      <c r="C823" s="6" t="s">
        <v>560</v>
      </c>
      <c r="D823" s="9" t="n">
        <v>0</v>
      </c>
    </row>
    <row r="824" customFormat="false" ht="15" hidden="false" customHeight="false" outlineLevel="0" collapsed="false">
      <c r="A824" s="6" t="s">
        <v>854</v>
      </c>
      <c r="B824" s="6" t="s">
        <v>77</v>
      </c>
      <c r="C824" s="6" t="s">
        <v>561</v>
      </c>
      <c r="D824" s="9" t="n">
        <v>673</v>
      </c>
    </row>
    <row r="825" customFormat="false" ht="15" hidden="false" customHeight="false" outlineLevel="0" collapsed="false">
      <c r="A825" s="6" t="s">
        <v>854</v>
      </c>
      <c r="B825" s="6" t="s">
        <v>563</v>
      </c>
      <c r="C825" s="6" t="s">
        <v>564</v>
      </c>
      <c r="D825" s="9" t="n">
        <v>0</v>
      </c>
    </row>
    <row r="826" customFormat="false" ht="15" hidden="false" customHeight="false" outlineLevel="0" collapsed="false">
      <c r="A826" s="6" t="s">
        <v>854</v>
      </c>
      <c r="B826" s="6" t="s">
        <v>565</v>
      </c>
      <c r="C826" s="6" t="s">
        <v>566</v>
      </c>
      <c r="D826" s="9" t="n">
        <v>0</v>
      </c>
    </row>
    <row r="827" customFormat="false" ht="15" hidden="false" customHeight="false" outlineLevel="0" collapsed="false">
      <c r="A827" s="6" t="s">
        <v>854</v>
      </c>
      <c r="B827" s="6" t="s">
        <v>41</v>
      </c>
      <c r="C827" s="6" t="s">
        <v>567</v>
      </c>
      <c r="D827" s="9" t="n">
        <v>480</v>
      </c>
    </row>
    <row r="828" customFormat="false" ht="15" hidden="false" customHeight="false" outlineLevel="0" collapsed="false">
      <c r="A828" s="6" t="s">
        <v>854</v>
      </c>
      <c r="B828" s="6" t="s">
        <v>568</v>
      </c>
      <c r="C828" s="6" t="s">
        <v>569</v>
      </c>
      <c r="D828" s="9" t="n">
        <v>0</v>
      </c>
    </row>
    <row r="829" customFormat="false" ht="15" hidden="false" customHeight="false" outlineLevel="0" collapsed="false">
      <c r="A829" s="6" t="s">
        <v>854</v>
      </c>
      <c r="B829" s="6" t="s">
        <v>570</v>
      </c>
      <c r="C829" s="6" t="s">
        <v>571</v>
      </c>
      <c r="D829" s="9" t="n">
        <v>0</v>
      </c>
    </row>
    <row r="830" customFormat="false" ht="15" hidden="false" customHeight="false" outlineLevel="0" collapsed="false">
      <c r="A830" s="6" t="s">
        <v>854</v>
      </c>
      <c r="B830" s="6" t="s">
        <v>33</v>
      </c>
      <c r="C830" s="6" t="s">
        <v>572</v>
      </c>
      <c r="D830" s="9" t="n">
        <v>0</v>
      </c>
    </row>
    <row r="831" customFormat="false" ht="15" hidden="false" customHeight="false" outlineLevel="0" collapsed="false">
      <c r="A831" s="6" t="s">
        <v>854</v>
      </c>
      <c r="B831" s="6" t="s">
        <v>121</v>
      </c>
      <c r="C831" s="6" t="s">
        <v>573</v>
      </c>
      <c r="D831" s="9" t="n">
        <v>57</v>
      </c>
    </row>
    <row r="832" customFormat="false" ht="15" hidden="false" customHeight="false" outlineLevel="0" collapsed="false">
      <c r="A832" s="6" t="s">
        <v>854</v>
      </c>
      <c r="B832" s="6" t="s">
        <v>44</v>
      </c>
      <c r="C832" s="6" t="s">
        <v>579</v>
      </c>
      <c r="D832" s="9" t="n">
        <v>1430</v>
      </c>
    </row>
    <row r="833" customFormat="false" ht="15" hidden="false" customHeight="false" outlineLevel="0" collapsed="false">
      <c r="A833" s="6" t="s">
        <v>854</v>
      </c>
      <c r="B833" s="6" t="s">
        <v>17</v>
      </c>
      <c r="C833" s="6" t="s">
        <v>580</v>
      </c>
      <c r="D833" s="9" t="n">
        <v>312</v>
      </c>
    </row>
    <row r="834" customFormat="false" ht="15" hidden="false" customHeight="false" outlineLevel="0" collapsed="false">
      <c r="A834" s="6" t="s">
        <v>854</v>
      </c>
      <c r="B834" s="6" t="s">
        <v>17</v>
      </c>
      <c r="C834" s="6" t="s">
        <v>581</v>
      </c>
      <c r="D834" s="9" t="n">
        <v>385</v>
      </c>
    </row>
    <row r="835" customFormat="false" ht="15" hidden="false" customHeight="false" outlineLevel="0" collapsed="false">
      <c r="A835" s="6" t="s">
        <v>854</v>
      </c>
      <c r="B835" s="6" t="s">
        <v>17</v>
      </c>
      <c r="C835" s="6" t="s">
        <v>582</v>
      </c>
      <c r="D835" s="9" t="n">
        <v>278</v>
      </c>
    </row>
    <row r="836" customFormat="false" ht="15" hidden="false" customHeight="false" outlineLevel="0" collapsed="false">
      <c r="A836" s="6" t="s">
        <v>854</v>
      </c>
      <c r="B836" s="6" t="s">
        <v>17</v>
      </c>
      <c r="C836" s="6" t="s">
        <v>583</v>
      </c>
      <c r="D836" s="9" t="n">
        <v>197</v>
      </c>
    </row>
    <row r="837" customFormat="false" ht="15" hidden="false" customHeight="false" outlineLevel="0" collapsed="false">
      <c r="A837" s="6" t="s">
        <v>854</v>
      </c>
      <c r="B837" s="6" t="s">
        <v>17</v>
      </c>
      <c r="C837" s="6" t="s">
        <v>584</v>
      </c>
      <c r="D837" s="9" t="n">
        <v>0</v>
      </c>
    </row>
    <row r="838" customFormat="false" ht="15" hidden="false" customHeight="false" outlineLevel="0" collapsed="false">
      <c r="A838" s="6" t="s">
        <v>854</v>
      </c>
      <c r="B838" s="6" t="s">
        <v>27</v>
      </c>
      <c r="C838" s="6" t="s">
        <v>585</v>
      </c>
      <c r="D838" s="9" t="n">
        <v>301</v>
      </c>
    </row>
    <row r="839" customFormat="false" ht="15" hidden="false" customHeight="false" outlineLevel="0" collapsed="false">
      <c r="A839" s="6" t="s">
        <v>854</v>
      </c>
      <c r="B839" s="6" t="s">
        <v>27</v>
      </c>
      <c r="C839" s="6" t="s">
        <v>586</v>
      </c>
      <c r="D839" s="9" t="n">
        <v>471</v>
      </c>
    </row>
    <row r="840" customFormat="false" ht="15" hidden="false" customHeight="false" outlineLevel="0" collapsed="false">
      <c r="A840" s="6" t="s">
        <v>854</v>
      </c>
      <c r="B840" s="6" t="s">
        <v>27</v>
      </c>
      <c r="C840" s="6" t="s">
        <v>587</v>
      </c>
      <c r="D840" s="9" t="n">
        <v>441</v>
      </c>
    </row>
    <row r="841" customFormat="false" ht="15" hidden="false" customHeight="false" outlineLevel="0" collapsed="false">
      <c r="A841" s="6" t="s">
        <v>854</v>
      </c>
      <c r="B841" s="6" t="s">
        <v>27</v>
      </c>
      <c r="C841" s="6" t="s">
        <v>588</v>
      </c>
      <c r="D841" s="9" t="n">
        <v>27</v>
      </c>
    </row>
    <row r="842" customFormat="false" ht="15" hidden="false" customHeight="false" outlineLevel="0" collapsed="false">
      <c r="A842" s="6" t="s">
        <v>854</v>
      </c>
      <c r="B842" s="6" t="s">
        <v>589</v>
      </c>
      <c r="C842" s="6" t="s">
        <v>876</v>
      </c>
      <c r="D842" s="9" t="n">
        <v>0</v>
      </c>
    </row>
    <row r="843" customFormat="false" ht="15" hidden="false" customHeight="false" outlineLevel="0" collapsed="false">
      <c r="A843" s="6" t="s">
        <v>854</v>
      </c>
      <c r="B843" s="6" t="s">
        <v>199</v>
      </c>
      <c r="C843" s="6" t="s">
        <v>591</v>
      </c>
      <c r="D843" s="9" t="n">
        <v>4</v>
      </c>
    </row>
    <row r="844" customFormat="false" ht="15" hidden="false" customHeight="false" outlineLevel="0" collapsed="false">
      <c r="A844" s="6" t="s">
        <v>854</v>
      </c>
      <c r="B844" s="6" t="s">
        <v>592</v>
      </c>
      <c r="C844" s="6" t="s">
        <v>593</v>
      </c>
      <c r="D844" s="9" t="n">
        <v>0</v>
      </c>
    </row>
    <row r="845" customFormat="false" ht="15" hidden="false" customHeight="false" outlineLevel="0" collapsed="false">
      <c r="A845" s="6" t="s">
        <v>854</v>
      </c>
      <c r="B845" s="6" t="s">
        <v>594</v>
      </c>
      <c r="C845" s="6" t="s">
        <v>595</v>
      </c>
      <c r="D845" s="9" t="n">
        <v>0</v>
      </c>
    </row>
    <row r="846" customFormat="false" ht="15" hidden="false" customHeight="false" outlineLevel="0" collapsed="false">
      <c r="A846" s="6" t="s">
        <v>854</v>
      </c>
      <c r="B846" s="6" t="s">
        <v>596</v>
      </c>
      <c r="C846" s="6" t="s">
        <v>597</v>
      </c>
      <c r="D846" s="9" t="n">
        <v>0</v>
      </c>
    </row>
    <row r="847" customFormat="false" ht="15" hidden="false" customHeight="false" outlineLevel="0" collapsed="false">
      <c r="A847" s="6" t="s">
        <v>854</v>
      </c>
      <c r="B847" s="6" t="s">
        <v>151</v>
      </c>
      <c r="C847" s="6" t="s">
        <v>598</v>
      </c>
      <c r="D847" s="9" t="n">
        <v>141</v>
      </c>
    </row>
    <row r="848" customFormat="false" ht="15" hidden="false" customHeight="false" outlineLevel="0" collapsed="false">
      <c r="A848" s="6" t="s">
        <v>854</v>
      </c>
      <c r="B848" s="6" t="s">
        <v>195</v>
      </c>
      <c r="C848" s="6" t="s">
        <v>600</v>
      </c>
      <c r="D848" s="9" t="n">
        <v>0</v>
      </c>
    </row>
    <row r="849" customFormat="false" ht="15" hidden="false" customHeight="false" outlineLevel="0" collapsed="false">
      <c r="A849" s="6" t="s">
        <v>854</v>
      </c>
      <c r="B849" s="6" t="s">
        <v>215</v>
      </c>
      <c r="C849" s="6" t="s">
        <v>601</v>
      </c>
      <c r="D849" s="9" t="n">
        <v>0</v>
      </c>
    </row>
    <row r="850" customFormat="false" ht="15" hidden="false" customHeight="false" outlineLevel="0" collapsed="false">
      <c r="A850" s="6" t="s">
        <v>854</v>
      </c>
      <c r="B850" s="6" t="s">
        <v>215</v>
      </c>
      <c r="C850" s="6" t="s">
        <v>602</v>
      </c>
      <c r="D850" s="9" t="n">
        <v>-1</v>
      </c>
    </row>
    <row r="851" customFormat="false" ht="15" hidden="false" customHeight="false" outlineLevel="0" collapsed="false">
      <c r="A851" s="6" t="s">
        <v>854</v>
      </c>
      <c r="B851" s="6" t="s">
        <v>215</v>
      </c>
      <c r="C851" s="6" t="s">
        <v>600</v>
      </c>
      <c r="D851" s="9" t="n">
        <v>0</v>
      </c>
    </row>
    <row r="852" customFormat="false" ht="15" hidden="false" customHeight="false" outlineLevel="0" collapsed="false">
      <c r="A852" s="6" t="s">
        <v>854</v>
      </c>
      <c r="B852" s="6" t="s">
        <v>128</v>
      </c>
      <c r="C852" s="6" t="s">
        <v>603</v>
      </c>
      <c r="D852" s="9" t="n">
        <v>1351</v>
      </c>
    </row>
    <row r="853" customFormat="false" ht="15" hidden="false" customHeight="false" outlineLevel="0" collapsed="false">
      <c r="A853" s="6" t="s">
        <v>854</v>
      </c>
      <c r="B853" s="6" t="s">
        <v>128</v>
      </c>
      <c r="C853" s="6" t="s">
        <v>604</v>
      </c>
      <c r="D853" s="9" t="n">
        <v>819</v>
      </c>
    </row>
    <row r="854" customFormat="false" ht="15" hidden="false" customHeight="false" outlineLevel="0" collapsed="false">
      <c r="A854" s="6" t="s">
        <v>854</v>
      </c>
      <c r="B854" s="6" t="s">
        <v>80</v>
      </c>
      <c r="C854" s="6" t="s">
        <v>603</v>
      </c>
      <c r="D854" s="9" t="n">
        <v>215</v>
      </c>
    </row>
    <row r="855" customFormat="false" ht="15" hidden="false" customHeight="false" outlineLevel="0" collapsed="false">
      <c r="A855" s="6" t="s">
        <v>854</v>
      </c>
      <c r="B855" s="6" t="s">
        <v>80</v>
      </c>
      <c r="C855" s="6" t="s">
        <v>604</v>
      </c>
      <c r="D855" s="9" t="n">
        <v>145</v>
      </c>
    </row>
    <row r="856" customFormat="false" ht="15" hidden="false" customHeight="false" outlineLevel="0" collapsed="false">
      <c r="A856" s="6" t="s">
        <v>854</v>
      </c>
      <c r="B856" s="6" t="s">
        <v>169</v>
      </c>
      <c r="C856" s="6" t="s">
        <v>605</v>
      </c>
      <c r="D856" s="9" t="n">
        <v>50</v>
      </c>
    </row>
    <row r="857" customFormat="false" ht="15" hidden="false" customHeight="false" outlineLevel="0" collapsed="false">
      <c r="A857" s="6" t="s">
        <v>854</v>
      </c>
      <c r="B857" s="6" t="s">
        <v>228</v>
      </c>
      <c r="C857" s="6" t="s">
        <v>609</v>
      </c>
      <c r="D857" s="9" t="n">
        <v>-1</v>
      </c>
    </row>
    <row r="858" customFormat="false" ht="15" hidden="false" customHeight="false" outlineLevel="0" collapsed="false">
      <c r="A858" s="6" t="s">
        <v>854</v>
      </c>
      <c r="B858" s="6" t="s">
        <v>228</v>
      </c>
      <c r="C858" s="6" t="s">
        <v>877</v>
      </c>
      <c r="D858" s="9" t="n">
        <v>0</v>
      </c>
    </row>
    <row r="859" customFormat="false" ht="15" hidden="false" customHeight="false" outlineLevel="0" collapsed="false">
      <c r="A859" s="6" t="s">
        <v>854</v>
      </c>
      <c r="B859" s="6" t="s">
        <v>207</v>
      </c>
      <c r="C859" s="6" t="s">
        <v>878</v>
      </c>
      <c r="D859" s="9" t="n">
        <v>-1</v>
      </c>
    </row>
    <row r="860" customFormat="false" ht="15" hidden="false" customHeight="false" outlineLevel="0" collapsed="false">
      <c r="A860" s="6" t="s">
        <v>854</v>
      </c>
      <c r="B860" s="6" t="s">
        <v>226</v>
      </c>
      <c r="C860" s="6" t="s">
        <v>933</v>
      </c>
      <c r="D860" s="9" t="n">
        <v>-1</v>
      </c>
    </row>
    <row r="861" customFormat="false" ht="15" hidden="false" customHeight="false" outlineLevel="0" collapsed="false">
      <c r="A861" s="6" t="s">
        <v>854</v>
      </c>
      <c r="B861" s="6" t="s">
        <v>38</v>
      </c>
      <c r="C861" s="6" t="s">
        <v>614</v>
      </c>
      <c r="D861" s="9" t="n">
        <v>301</v>
      </c>
    </row>
    <row r="862" customFormat="false" ht="15" hidden="false" customHeight="false" outlineLevel="0" collapsed="false">
      <c r="A862" s="6" t="s">
        <v>854</v>
      </c>
      <c r="B862" s="6" t="s">
        <v>38</v>
      </c>
      <c r="C862" s="6" t="s">
        <v>615</v>
      </c>
      <c r="D862" s="9" t="n">
        <v>305</v>
      </c>
    </row>
    <row r="863" customFormat="false" ht="15" hidden="false" customHeight="false" outlineLevel="0" collapsed="false">
      <c r="A863" s="6" t="s">
        <v>854</v>
      </c>
      <c r="B863" s="6" t="s">
        <v>38</v>
      </c>
      <c r="C863" s="6" t="s">
        <v>616</v>
      </c>
      <c r="D863" s="9" t="n">
        <v>102</v>
      </c>
    </row>
    <row r="864" customFormat="false" ht="15" hidden="false" customHeight="false" outlineLevel="0" collapsed="false">
      <c r="A864" s="6" t="s">
        <v>854</v>
      </c>
      <c r="B864" s="6" t="s">
        <v>204</v>
      </c>
      <c r="C864" s="6" t="s">
        <v>617</v>
      </c>
      <c r="D864" s="9" t="n">
        <v>-2</v>
      </c>
    </row>
    <row r="865" customFormat="false" ht="15" hidden="false" customHeight="false" outlineLevel="0" collapsed="false">
      <c r="A865" s="6" t="s">
        <v>854</v>
      </c>
      <c r="B865" s="6" t="s">
        <v>204</v>
      </c>
      <c r="C865" s="6" t="s">
        <v>618</v>
      </c>
      <c r="D865" s="9" t="n">
        <v>0</v>
      </c>
    </row>
    <row r="866" customFormat="false" ht="15" hidden="false" customHeight="false" outlineLevel="0" collapsed="false">
      <c r="A866" s="6" t="s">
        <v>854</v>
      </c>
      <c r="B866" s="6" t="s">
        <v>204</v>
      </c>
      <c r="C866" s="6" t="s">
        <v>619</v>
      </c>
      <c r="D866" s="9" t="n">
        <v>-1</v>
      </c>
    </row>
    <row r="867" customFormat="false" ht="15" hidden="false" customHeight="false" outlineLevel="0" collapsed="false">
      <c r="A867" s="6" t="s">
        <v>854</v>
      </c>
      <c r="B867" s="6" t="s">
        <v>209</v>
      </c>
      <c r="C867" s="6" t="s">
        <v>502</v>
      </c>
      <c r="D867" s="9" t="n">
        <v>-4</v>
      </c>
    </row>
    <row r="868" customFormat="false" ht="15" hidden="false" customHeight="false" outlineLevel="0" collapsed="false">
      <c r="A868" s="6" t="s">
        <v>854</v>
      </c>
      <c r="B868" s="6" t="s">
        <v>48</v>
      </c>
      <c r="C868" s="6" t="s">
        <v>623</v>
      </c>
      <c r="D868" s="9" t="n">
        <v>431</v>
      </c>
    </row>
    <row r="869" customFormat="false" ht="15" hidden="false" customHeight="false" outlineLevel="0" collapsed="false">
      <c r="A869" s="6" t="s">
        <v>854</v>
      </c>
      <c r="B869" s="6" t="s">
        <v>48</v>
      </c>
      <c r="C869" s="6" t="s">
        <v>624</v>
      </c>
      <c r="D869" s="9" t="n">
        <v>408</v>
      </c>
    </row>
    <row r="870" customFormat="false" ht="15" hidden="false" customHeight="false" outlineLevel="0" collapsed="false">
      <c r="A870" s="6" t="s">
        <v>854</v>
      </c>
      <c r="B870" s="6" t="s">
        <v>48</v>
      </c>
      <c r="C870" s="6" t="s">
        <v>625</v>
      </c>
      <c r="D870" s="9" t="n">
        <v>268</v>
      </c>
    </row>
    <row r="871" customFormat="false" ht="15" hidden="false" customHeight="false" outlineLevel="0" collapsed="false">
      <c r="A871" s="6" t="s">
        <v>854</v>
      </c>
      <c r="B871" s="6" t="s">
        <v>48</v>
      </c>
      <c r="C871" s="6" t="s">
        <v>626</v>
      </c>
      <c r="D871" s="9" t="n">
        <v>305</v>
      </c>
    </row>
    <row r="872" customFormat="false" ht="15" hidden="false" customHeight="false" outlineLevel="0" collapsed="false">
      <c r="A872" s="6" t="s">
        <v>854</v>
      </c>
      <c r="B872" s="6" t="s">
        <v>628</v>
      </c>
      <c r="C872" s="6" t="s">
        <v>629</v>
      </c>
      <c r="D872" s="9" t="n">
        <v>0</v>
      </c>
    </row>
    <row r="873" customFormat="false" ht="15" hidden="false" customHeight="false" outlineLevel="0" collapsed="false">
      <c r="A873" s="6" t="s">
        <v>854</v>
      </c>
      <c r="B873" s="6" t="s">
        <v>221</v>
      </c>
      <c r="C873" s="6" t="s">
        <v>637</v>
      </c>
      <c r="D873" s="9" t="n">
        <v>-2</v>
      </c>
    </row>
    <row r="874" customFormat="false" ht="15" hidden="false" customHeight="false" outlineLevel="0" collapsed="false">
      <c r="A874" s="6" t="s">
        <v>854</v>
      </c>
      <c r="B874" s="6" t="s">
        <v>638</v>
      </c>
      <c r="C874" s="6" t="s">
        <v>639</v>
      </c>
      <c r="D874" s="9" t="n">
        <v>0</v>
      </c>
    </row>
    <row r="875" customFormat="false" ht="15" hidden="false" customHeight="false" outlineLevel="0" collapsed="false">
      <c r="A875" s="6" t="s">
        <v>854</v>
      </c>
      <c r="B875" s="6" t="s">
        <v>640</v>
      </c>
      <c r="C875" s="6" t="s">
        <v>641</v>
      </c>
      <c r="D875" s="9" t="n">
        <v>0</v>
      </c>
    </row>
    <row r="876" customFormat="false" ht="15" hidden="false" customHeight="false" outlineLevel="0" collapsed="false">
      <c r="A876" s="6" t="s">
        <v>854</v>
      </c>
      <c r="B876" s="6" t="s">
        <v>216</v>
      </c>
      <c r="C876" s="6" t="s">
        <v>642</v>
      </c>
      <c r="D876" s="9" t="n">
        <v>28</v>
      </c>
    </row>
    <row r="877" customFormat="false" ht="15" hidden="false" customHeight="false" outlineLevel="0" collapsed="false">
      <c r="A877" s="6" t="s">
        <v>854</v>
      </c>
      <c r="B877" s="6" t="s">
        <v>643</v>
      </c>
      <c r="C877" s="6" t="s">
        <v>644</v>
      </c>
      <c r="D877" s="9" t="n">
        <v>0</v>
      </c>
    </row>
    <row r="878" customFormat="false" ht="15" hidden="false" customHeight="false" outlineLevel="0" collapsed="false">
      <c r="A878" s="6" t="s">
        <v>854</v>
      </c>
      <c r="B878" s="6" t="s">
        <v>645</v>
      </c>
      <c r="C878" s="6" t="s">
        <v>646</v>
      </c>
      <c r="D878" s="9" t="n">
        <v>0</v>
      </c>
    </row>
    <row r="879" customFormat="false" ht="15" hidden="false" customHeight="false" outlineLevel="0" collapsed="false">
      <c r="A879" s="6" t="s">
        <v>854</v>
      </c>
      <c r="B879" s="6" t="s">
        <v>174</v>
      </c>
      <c r="C879" s="6" t="s">
        <v>647</v>
      </c>
      <c r="D879" s="9" t="n">
        <v>0</v>
      </c>
    </row>
    <row r="880" customFormat="false" ht="15" hidden="false" customHeight="false" outlineLevel="0" collapsed="false">
      <c r="A880" s="6" t="s">
        <v>854</v>
      </c>
      <c r="B880" s="6" t="s">
        <v>174</v>
      </c>
      <c r="C880" s="6" t="s">
        <v>648</v>
      </c>
      <c r="D880" s="9" t="n">
        <v>-2</v>
      </c>
    </row>
    <row r="881" customFormat="false" ht="15" hidden="false" customHeight="false" outlineLevel="0" collapsed="false">
      <c r="A881" s="6" t="s">
        <v>854</v>
      </c>
      <c r="B881" s="6" t="s">
        <v>174</v>
      </c>
      <c r="C881" s="6" t="s">
        <v>649</v>
      </c>
      <c r="D881" s="9" t="n">
        <v>-1</v>
      </c>
    </row>
    <row r="882" customFormat="false" ht="15" hidden="false" customHeight="false" outlineLevel="0" collapsed="false">
      <c r="A882" s="6" t="s">
        <v>854</v>
      </c>
      <c r="B882" s="6" t="s">
        <v>174</v>
      </c>
      <c r="C882" s="6" t="s">
        <v>651</v>
      </c>
      <c r="D882" s="9" t="n">
        <v>0</v>
      </c>
    </row>
    <row r="883" customFormat="false" ht="15" hidden="false" customHeight="false" outlineLevel="0" collapsed="false">
      <c r="A883" s="6" t="s">
        <v>854</v>
      </c>
      <c r="B883" s="6" t="s">
        <v>174</v>
      </c>
      <c r="C883" s="6" t="s">
        <v>879</v>
      </c>
      <c r="D883" s="9" t="n">
        <v>0</v>
      </c>
    </row>
    <row r="884" customFormat="false" ht="15" hidden="false" customHeight="false" outlineLevel="0" collapsed="false">
      <c r="A884" s="6" t="s">
        <v>854</v>
      </c>
      <c r="B884" s="6" t="s">
        <v>174</v>
      </c>
      <c r="C884" s="6" t="s">
        <v>652</v>
      </c>
      <c r="D884" s="9" t="n">
        <v>-1</v>
      </c>
    </row>
    <row r="885" customFormat="false" ht="15" hidden="false" customHeight="false" outlineLevel="0" collapsed="false">
      <c r="A885" s="6" t="s">
        <v>854</v>
      </c>
      <c r="B885" s="6" t="s">
        <v>174</v>
      </c>
      <c r="C885" s="6" t="s">
        <v>654</v>
      </c>
      <c r="D885" s="9" t="n">
        <v>-1</v>
      </c>
    </row>
    <row r="886" customFormat="false" ht="15" hidden="false" customHeight="false" outlineLevel="0" collapsed="false">
      <c r="A886" s="6" t="s">
        <v>854</v>
      </c>
      <c r="B886" s="6" t="s">
        <v>174</v>
      </c>
      <c r="C886" s="6" t="s">
        <v>657</v>
      </c>
      <c r="D886" s="9" t="n">
        <v>-1</v>
      </c>
    </row>
    <row r="887" customFormat="false" ht="15" hidden="false" customHeight="false" outlineLevel="0" collapsed="false">
      <c r="A887" s="6" t="s">
        <v>854</v>
      </c>
      <c r="B887" s="6" t="s">
        <v>43</v>
      </c>
      <c r="C887" s="6" t="s">
        <v>658</v>
      </c>
      <c r="D887" s="9" t="n">
        <v>461</v>
      </c>
    </row>
    <row r="888" customFormat="false" ht="15" hidden="false" customHeight="false" outlineLevel="0" collapsed="false">
      <c r="A888" s="6" t="s">
        <v>854</v>
      </c>
      <c r="B888" s="6" t="s">
        <v>109</v>
      </c>
      <c r="C888" s="6" t="s">
        <v>659</v>
      </c>
      <c r="D888" s="9" t="n">
        <v>12</v>
      </c>
    </row>
    <row r="889" customFormat="false" ht="15" hidden="false" customHeight="false" outlineLevel="0" collapsed="false">
      <c r="A889" s="6" t="s">
        <v>854</v>
      </c>
      <c r="B889" s="6" t="s">
        <v>660</v>
      </c>
      <c r="C889" s="6" t="s">
        <v>661</v>
      </c>
      <c r="D889" s="9" t="n">
        <v>0</v>
      </c>
    </row>
    <row r="890" customFormat="false" ht="15" hidden="false" customHeight="false" outlineLevel="0" collapsed="false">
      <c r="A890" s="6" t="s">
        <v>854</v>
      </c>
      <c r="B890" s="6" t="s">
        <v>189</v>
      </c>
      <c r="C890" s="6" t="s">
        <v>662</v>
      </c>
      <c r="D890" s="9" t="n">
        <v>-1</v>
      </c>
    </row>
    <row r="891" customFormat="false" ht="15" hidden="false" customHeight="false" outlineLevel="0" collapsed="false">
      <c r="A891" s="6" t="s">
        <v>854</v>
      </c>
      <c r="B891" s="6" t="s">
        <v>211</v>
      </c>
      <c r="C891" s="6" t="s">
        <v>664</v>
      </c>
      <c r="D891" s="9" t="n">
        <v>-2</v>
      </c>
    </row>
    <row r="892" customFormat="false" ht="15" hidden="false" customHeight="false" outlineLevel="0" collapsed="false">
      <c r="A892" s="6" t="s">
        <v>854</v>
      </c>
      <c r="B892" s="6" t="s">
        <v>665</v>
      </c>
      <c r="C892" s="6" t="s">
        <v>666</v>
      </c>
      <c r="D892" s="9" t="n">
        <v>0</v>
      </c>
    </row>
    <row r="893" customFormat="false" ht="15" hidden="false" customHeight="false" outlineLevel="0" collapsed="false">
      <c r="A893" s="6" t="s">
        <v>854</v>
      </c>
      <c r="B893" s="6" t="s">
        <v>200</v>
      </c>
      <c r="C893" s="6" t="s">
        <v>667</v>
      </c>
      <c r="D893" s="9" t="n">
        <v>1</v>
      </c>
    </row>
    <row r="894" customFormat="false" ht="15" hidden="false" customHeight="false" outlineLevel="0" collapsed="false">
      <c r="A894" s="6" t="s">
        <v>854</v>
      </c>
      <c r="B894" s="6" t="s">
        <v>668</v>
      </c>
      <c r="C894" s="6" t="s">
        <v>669</v>
      </c>
      <c r="D894" s="9" t="n">
        <v>0</v>
      </c>
    </row>
    <row r="895" customFormat="false" ht="15" hidden="false" customHeight="false" outlineLevel="0" collapsed="false">
      <c r="A895" s="6" t="s">
        <v>854</v>
      </c>
      <c r="B895" s="6" t="s">
        <v>222</v>
      </c>
      <c r="C895" s="6" t="s">
        <v>670</v>
      </c>
      <c r="D895" s="9" t="n">
        <v>-3</v>
      </c>
    </row>
    <row r="896" customFormat="false" ht="15" hidden="false" customHeight="false" outlineLevel="0" collapsed="false">
      <c r="A896" s="6" t="s">
        <v>854</v>
      </c>
      <c r="B896" s="6" t="s">
        <v>671</v>
      </c>
      <c r="C896" s="6" t="s">
        <v>672</v>
      </c>
      <c r="D896" s="9" t="n">
        <v>0</v>
      </c>
    </row>
    <row r="897" customFormat="false" ht="15" hidden="false" customHeight="false" outlineLevel="0" collapsed="false">
      <c r="A897" s="6" t="s">
        <v>854</v>
      </c>
      <c r="B897" s="6" t="s">
        <v>42</v>
      </c>
      <c r="C897" s="6" t="s">
        <v>673</v>
      </c>
      <c r="D897" s="9" t="n">
        <v>724</v>
      </c>
    </row>
    <row r="898" customFormat="false" ht="15" hidden="false" customHeight="false" outlineLevel="0" collapsed="false">
      <c r="A898" s="6" t="s">
        <v>854</v>
      </c>
      <c r="B898" s="6" t="s">
        <v>111</v>
      </c>
      <c r="C898" s="6" t="s">
        <v>674</v>
      </c>
      <c r="D898" s="9" t="n">
        <v>428</v>
      </c>
    </row>
    <row r="899" customFormat="false" ht="15" hidden="false" customHeight="false" outlineLevel="0" collapsed="false">
      <c r="A899" s="6" t="s">
        <v>854</v>
      </c>
      <c r="B899" s="6" t="s">
        <v>160</v>
      </c>
      <c r="C899" s="6" t="s">
        <v>676</v>
      </c>
      <c r="D899" s="9" t="n">
        <v>0</v>
      </c>
    </row>
    <row r="900" customFormat="false" ht="15" hidden="false" customHeight="false" outlineLevel="0" collapsed="false">
      <c r="A900" s="6" t="s">
        <v>854</v>
      </c>
      <c r="B900" s="6" t="s">
        <v>160</v>
      </c>
      <c r="C900" s="6" t="s">
        <v>677</v>
      </c>
      <c r="D900" s="9" t="n">
        <v>6</v>
      </c>
    </row>
    <row r="901" customFormat="false" ht="15" hidden="false" customHeight="false" outlineLevel="0" collapsed="false">
      <c r="A901" s="6" t="s">
        <v>854</v>
      </c>
      <c r="B901" s="6" t="s">
        <v>160</v>
      </c>
      <c r="C901" s="6" t="s">
        <v>678</v>
      </c>
      <c r="D901" s="9" t="n">
        <v>6</v>
      </c>
    </row>
    <row r="902" customFormat="false" ht="15" hidden="false" customHeight="false" outlineLevel="0" collapsed="false">
      <c r="A902" s="6" t="s">
        <v>854</v>
      </c>
      <c r="B902" s="6" t="s">
        <v>160</v>
      </c>
      <c r="C902" s="6" t="s">
        <v>679</v>
      </c>
      <c r="D902" s="9" t="n">
        <v>6</v>
      </c>
    </row>
    <row r="903" customFormat="false" ht="15" hidden="false" customHeight="false" outlineLevel="0" collapsed="false">
      <c r="A903" s="6" t="s">
        <v>854</v>
      </c>
      <c r="B903" s="6" t="s">
        <v>160</v>
      </c>
      <c r="C903" s="6" t="s">
        <v>680</v>
      </c>
      <c r="D903" s="9" t="n">
        <v>0</v>
      </c>
    </row>
    <row r="904" customFormat="false" ht="15" hidden="false" customHeight="false" outlineLevel="0" collapsed="false">
      <c r="A904" s="6" t="s">
        <v>854</v>
      </c>
      <c r="B904" s="6" t="s">
        <v>28</v>
      </c>
      <c r="C904" s="6" t="s">
        <v>681</v>
      </c>
      <c r="D904" s="9" t="n">
        <v>3632</v>
      </c>
    </row>
    <row r="905" customFormat="false" ht="15" hidden="false" customHeight="false" outlineLevel="0" collapsed="false">
      <c r="A905" s="6" t="s">
        <v>854</v>
      </c>
      <c r="B905" s="6" t="s">
        <v>124</v>
      </c>
      <c r="C905" s="6" t="s">
        <v>598</v>
      </c>
      <c r="D905" s="9" t="n">
        <v>128</v>
      </c>
    </row>
    <row r="906" customFormat="false" ht="15" hidden="false" customHeight="false" outlineLevel="0" collapsed="false">
      <c r="A906" s="6" t="s">
        <v>854</v>
      </c>
      <c r="B906" s="6" t="s">
        <v>21</v>
      </c>
      <c r="C906" s="6" t="s">
        <v>682</v>
      </c>
      <c r="D906" s="9" t="n">
        <v>-5</v>
      </c>
    </row>
    <row r="907" customFormat="false" ht="15" hidden="false" customHeight="false" outlineLevel="0" collapsed="false">
      <c r="A907" s="6" t="s">
        <v>854</v>
      </c>
      <c r="B907" s="6" t="s">
        <v>21</v>
      </c>
      <c r="C907" s="6" t="s">
        <v>683</v>
      </c>
      <c r="D907" s="9" t="n">
        <v>-3</v>
      </c>
    </row>
    <row r="908" customFormat="false" ht="15" hidden="false" customHeight="false" outlineLevel="0" collapsed="false">
      <c r="A908" s="6" t="s">
        <v>854</v>
      </c>
      <c r="B908" s="6" t="s">
        <v>21</v>
      </c>
      <c r="C908" s="6" t="s">
        <v>684</v>
      </c>
      <c r="D908" s="9" t="n">
        <v>-2</v>
      </c>
    </row>
    <row r="909" customFormat="false" ht="15" hidden="false" customHeight="false" outlineLevel="0" collapsed="false">
      <c r="A909" s="6" t="s">
        <v>854</v>
      </c>
      <c r="B909" s="6" t="s">
        <v>685</v>
      </c>
      <c r="C909" s="6" t="s">
        <v>686</v>
      </c>
      <c r="D909" s="9" t="n">
        <v>0</v>
      </c>
    </row>
    <row r="910" customFormat="false" ht="15" hidden="false" customHeight="false" outlineLevel="0" collapsed="false">
      <c r="A910" s="6" t="s">
        <v>854</v>
      </c>
      <c r="B910" s="6" t="s">
        <v>72</v>
      </c>
      <c r="C910" s="6" t="s">
        <v>687</v>
      </c>
      <c r="D910" s="9" t="n">
        <v>263</v>
      </c>
    </row>
    <row r="911" customFormat="false" ht="15" hidden="false" customHeight="false" outlineLevel="0" collapsed="false">
      <c r="A911" s="6" t="s">
        <v>854</v>
      </c>
      <c r="B911" s="6" t="s">
        <v>36</v>
      </c>
      <c r="C911" s="6" t="s">
        <v>687</v>
      </c>
      <c r="D911" s="9" t="n">
        <v>807</v>
      </c>
    </row>
    <row r="912" customFormat="false" ht="15" hidden="false" customHeight="false" outlineLevel="0" collapsed="false">
      <c r="A912" s="6" t="s">
        <v>854</v>
      </c>
      <c r="B912" s="6" t="s">
        <v>30</v>
      </c>
      <c r="C912" s="6" t="s">
        <v>687</v>
      </c>
      <c r="D912" s="9" t="n">
        <v>1180</v>
      </c>
    </row>
    <row r="913" customFormat="false" ht="15" hidden="false" customHeight="false" outlineLevel="0" collapsed="false">
      <c r="A913" s="6" t="s">
        <v>854</v>
      </c>
      <c r="B913" s="6" t="s">
        <v>29</v>
      </c>
      <c r="C913" s="6" t="s">
        <v>688</v>
      </c>
      <c r="D913" s="9" t="n">
        <v>892</v>
      </c>
    </row>
    <row r="914" customFormat="false" ht="15" hidden="false" customHeight="false" outlineLevel="0" collapsed="false">
      <c r="A914" s="6" t="s">
        <v>854</v>
      </c>
      <c r="B914" s="6" t="s">
        <v>83</v>
      </c>
      <c r="C914" s="6" t="s">
        <v>688</v>
      </c>
      <c r="D914" s="9" t="n">
        <v>95</v>
      </c>
    </row>
    <row r="915" customFormat="false" ht="15" hidden="false" customHeight="false" outlineLevel="0" collapsed="false">
      <c r="A915" s="6" t="s">
        <v>854</v>
      </c>
      <c r="B915" s="6" t="s">
        <v>98</v>
      </c>
      <c r="C915" s="6" t="s">
        <v>690</v>
      </c>
      <c r="D915" s="9" t="n">
        <v>2</v>
      </c>
    </row>
    <row r="916" customFormat="false" ht="15" hidden="false" customHeight="false" outlineLevel="0" collapsed="false">
      <c r="A916" s="6" t="s">
        <v>854</v>
      </c>
      <c r="B916" s="6" t="s">
        <v>113</v>
      </c>
      <c r="C916" s="6" t="s">
        <v>690</v>
      </c>
      <c r="D916" s="9" t="n">
        <v>1</v>
      </c>
    </row>
    <row r="917" customFormat="false" ht="15" hidden="false" customHeight="false" outlineLevel="0" collapsed="false">
      <c r="A917" s="6" t="s">
        <v>854</v>
      </c>
      <c r="B917" s="6" t="s">
        <v>157</v>
      </c>
      <c r="C917" s="6" t="s">
        <v>691</v>
      </c>
      <c r="D917" s="9" t="n">
        <v>0</v>
      </c>
    </row>
    <row r="918" customFormat="false" ht="15" hidden="false" customHeight="false" outlineLevel="0" collapsed="false">
      <c r="A918" s="6" t="s">
        <v>854</v>
      </c>
      <c r="B918" s="6" t="s">
        <v>191</v>
      </c>
      <c r="C918" s="6" t="s">
        <v>693</v>
      </c>
      <c r="D918" s="9" t="n">
        <v>0</v>
      </c>
    </row>
    <row r="919" customFormat="false" ht="15" hidden="false" customHeight="false" outlineLevel="0" collapsed="false">
      <c r="A919" s="6" t="s">
        <v>854</v>
      </c>
      <c r="B919" s="6" t="s">
        <v>193</v>
      </c>
      <c r="C919" s="6" t="s">
        <v>695</v>
      </c>
      <c r="D919" s="9" t="n">
        <v>-1</v>
      </c>
    </row>
    <row r="920" customFormat="false" ht="15" hidden="false" customHeight="false" outlineLevel="0" collapsed="false">
      <c r="A920" s="6" t="s">
        <v>854</v>
      </c>
      <c r="B920" s="6" t="s">
        <v>880</v>
      </c>
      <c r="C920" s="6" t="s">
        <v>881</v>
      </c>
      <c r="D920" s="9" t="n">
        <v>0</v>
      </c>
    </row>
    <row r="921" customFormat="false" ht="15" hidden="false" customHeight="false" outlineLevel="0" collapsed="false">
      <c r="A921" s="6" t="s">
        <v>854</v>
      </c>
      <c r="B921" s="6" t="s">
        <v>192</v>
      </c>
      <c r="C921" s="6" t="s">
        <v>693</v>
      </c>
      <c r="D921" s="9" t="n">
        <v>0</v>
      </c>
    </row>
    <row r="922" customFormat="false" ht="15" hidden="false" customHeight="false" outlineLevel="0" collapsed="false">
      <c r="A922" s="6" t="s">
        <v>854</v>
      </c>
      <c r="B922" s="6" t="s">
        <v>126</v>
      </c>
      <c r="C922" s="6" t="s">
        <v>696</v>
      </c>
      <c r="D922" s="9" t="n">
        <v>30</v>
      </c>
    </row>
    <row r="923" customFormat="false" ht="15" hidden="false" customHeight="false" outlineLevel="0" collapsed="false">
      <c r="A923" s="6" t="s">
        <v>854</v>
      </c>
      <c r="B923" s="6" t="s">
        <v>126</v>
      </c>
      <c r="C923" s="6" t="s">
        <v>697</v>
      </c>
      <c r="D923" s="9" t="n">
        <v>14</v>
      </c>
    </row>
    <row r="924" customFormat="false" ht="15" hidden="false" customHeight="false" outlineLevel="0" collapsed="false">
      <c r="A924" s="6" t="s">
        <v>854</v>
      </c>
      <c r="B924" s="6" t="s">
        <v>126</v>
      </c>
      <c r="C924" s="6" t="s">
        <v>698</v>
      </c>
      <c r="D924" s="9" t="n">
        <v>0</v>
      </c>
    </row>
    <row r="925" customFormat="false" ht="15" hidden="false" customHeight="false" outlineLevel="0" collapsed="false">
      <c r="A925" s="6" t="s">
        <v>854</v>
      </c>
      <c r="B925" s="6" t="s">
        <v>165</v>
      </c>
      <c r="C925" s="6" t="s">
        <v>700</v>
      </c>
      <c r="D925" s="9" t="n">
        <v>-2</v>
      </c>
    </row>
    <row r="926" customFormat="false" ht="15" hidden="false" customHeight="false" outlineLevel="0" collapsed="false">
      <c r="A926" s="6" t="s">
        <v>854</v>
      </c>
      <c r="B926" s="6" t="s">
        <v>165</v>
      </c>
      <c r="C926" s="6" t="s">
        <v>701</v>
      </c>
      <c r="D926" s="9" t="n">
        <v>-14</v>
      </c>
    </row>
    <row r="927" customFormat="false" ht="15" hidden="false" customHeight="false" outlineLevel="0" collapsed="false">
      <c r="A927" s="6" t="s">
        <v>854</v>
      </c>
      <c r="B927" s="6" t="s">
        <v>165</v>
      </c>
      <c r="C927" s="6" t="s">
        <v>702</v>
      </c>
      <c r="D927" s="9" t="n">
        <v>-1</v>
      </c>
    </row>
    <row r="928" customFormat="false" ht="15" hidden="false" customHeight="false" outlineLevel="0" collapsed="false">
      <c r="A928" s="6" t="s">
        <v>854</v>
      </c>
      <c r="B928" s="6" t="s">
        <v>210</v>
      </c>
      <c r="C928" s="6" t="s">
        <v>882</v>
      </c>
      <c r="D928" s="9" t="n">
        <v>-1</v>
      </c>
    </row>
    <row r="929" customFormat="false" ht="15" hidden="false" customHeight="false" outlineLevel="0" collapsed="false">
      <c r="A929" s="6" t="s">
        <v>854</v>
      </c>
      <c r="B929" s="6" t="s">
        <v>356</v>
      </c>
      <c r="C929" s="6" t="s">
        <v>703</v>
      </c>
      <c r="D929" s="9" t="n">
        <v>0</v>
      </c>
    </row>
    <row r="930" customFormat="false" ht="15" hidden="false" customHeight="false" outlineLevel="0" collapsed="false">
      <c r="A930" s="6" t="s">
        <v>854</v>
      </c>
      <c r="B930" s="6" t="s">
        <v>704</v>
      </c>
      <c r="C930" s="6" t="s">
        <v>705</v>
      </c>
      <c r="D930" s="9" t="n">
        <v>0</v>
      </c>
    </row>
    <row r="931" customFormat="false" ht="15" hidden="false" customHeight="false" outlineLevel="0" collapsed="false">
      <c r="A931" s="6" t="s">
        <v>854</v>
      </c>
      <c r="B931" s="6" t="s">
        <v>706</v>
      </c>
      <c r="C931" s="6" t="s">
        <v>705</v>
      </c>
      <c r="D931" s="9" t="n">
        <v>0</v>
      </c>
    </row>
    <row r="932" customFormat="false" ht="15" hidden="false" customHeight="false" outlineLevel="0" collapsed="false">
      <c r="A932" s="6" t="s">
        <v>854</v>
      </c>
      <c r="B932" s="6" t="s">
        <v>707</v>
      </c>
      <c r="C932" s="6" t="s">
        <v>705</v>
      </c>
      <c r="D932" s="9" t="n">
        <v>0</v>
      </c>
    </row>
    <row r="933" customFormat="false" ht="15" hidden="false" customHeight="false" outlineLevel="0" collapsed="false">
      <c r="A933" s="6" t="s">
        <v>854</v>
      </c>
      <c r="B933" s="6" t="s">
        <v>708</v>
      </c>
      <c r="C933" s="6" t="s">
        <v>705</v>
      </c>
      <c r="D933" s="9" t="n">
        <v>0</v>
      </c>
    </row>
    <row r="934" customFormat="false" ht="15" hidden="false" customHeight="false" outlineLevel="0" collapsed="false">
      <c r="A934" s="6" t="s">
        <v>854</v>
      </c>
      <c r="B934" s="6" t="s">
        <v>53</v>
      </c>
      <c r="C934" s="6" t="s">
        <v>709</v>
      </c>
      <c r="D934" s="9" t="n">
        <v>387</v>
      </c>
    </row>
    <row r="935" customFormat="false" ht="15" hidden="false" customHeight="false" outlineLevel="0" collapsed="false">
      <c r="A935" s="6" t="s">
        <v>854</v>
      </c>
      <c r="B935" s="6" t="s">
        <v>46</v>
      </c>
      <c r="C935" s="6" t="s">
        <v>709</v>
      </c>
      <c r="D935" s="9" t="n">
        <v>711</v>
      </c>
    </row>
    <row r="936" customFormat="false" ht="15" hidden="false" customHeight="false" outlineLevel="0" collapsed="false">
      <c r="A936" s="6" t="s">
        <v>854</v>
      </c>
      <c r="B936" s="6" t="s">
        <v>47</v>
      </c>
      <c r="C936" s="6" t="s">
        <v>709</v>
      </c>
      <c r="D936" s="9" t="n">
        <v>779</v>
      </c>
    </row>
    <row r="937" customFormat="false" ht="15" hidden="false" customHeight="false" outlineLevel="0" collapsed="false">
      <c r="A937" s="6" t="s">
        <v>854</v>
      </c>
      <c r="B937" s="6" t="s">
        <v>51</v>
      </c>
      <c r="C937" s="6" t="s">
        <v>709</v>
      </c>
      <c r="D937" s="9" t="n">
        <v>705</v>
      </c>
    </row>
    <row r="938" customFormat="false" ht="15" hidden="false" customHeight="false" outlineLevel="0" collapsed="false">
      <c r="A938" s="6" t="s">
        <v>854</v>
      </c>
      <c r="B938" s="6" t="s">
        <v>38</v>
      </c>
      <c r="C938" s="6" t="s">
        <v>710</v>
      </c>
      <c r="D938" s="9" t="n">
        <v>216</v>
      </c>
    </row>
    <row r="939" customFormat="false" ht="15" hidden="false" customHeight="false" outlineLevel="0" collapsed="false">
      <c r="A939" s="6" t="s">
        <v>854</v>
      </c>
      <c r="B939" s="6" t="s">
        <v>711</v>
      </c>
      <c r="C939" s="6" t="s">
        <v>712</v>
      </c>
      <c r="D939" s="9" t="n">
        <v>0</v>
      </c>
    </row>
    <row r="940" customFormat="false" ht="15" hidden="false" customHeight="false" outlineLevel="0" collapsed="false">
      <c r="A940" s="6" t="s">
        <v>854</v>
      </c>
      <c r="B940" s="6" t="s">
        <v>40</v>
      </c>
      <c r="C940" s="6" t="s">
        <v>713</v>
      </c>
      <c r="D940" s="9" t="n">
        <v>687</v>
      </c>
    </row>
    <row r="941" customFormat="false" ht="15" hidden="false" customHeight="false" outlineLevel="0" collapsed="false">
      <c r="A941" s="6" t="s">
        <v>854</v>
      </c>
      <c r="B941" s="6" t="s">
        <v>40</v>
      </c>
      <c r="C941" s="6" t="s">
        <v>714</v>
      </c>
      <c r="D941" s="9" t="n">
        <v>450</v>
      </c>
    </row>
    <row r="942" customFormat="false" ht="15" hidden="false" customHeight="false" outlineLevel="0" collapsed="false">
      <c r="A942" s="6" t="s">
        <v>854</v>
      </c>
      <c r="B942" s="6" t="s">
        <v>40</v>
      </c>
      <c r="C942" s="6" t="s">
        <v>715</v>
      </c>
      <c r="D942" s="9" t="n">
        <v>579</v>
      </c>
    </row>
    <row r="943" customFormat="false" ht="15" hidden="false" customHeight="false" outlineLevel="0" collapsed="false">
      <c r="A943" s="6" t="s">
        <v>854</v>
      </c>
      <c r="B943" s="6" t="s">
        <v>40</v>
      </c>
      <c r="C943" s="6" t="s">
        <v>716</v>
      </c>
      <c r="D943" s="9" t="n">
        <v>227</v>
      </c>
    </row>
    <row r="944" customFormat="false" ht="15" hidden="false" customHeight="false" outlineLevel="0" collapsed="false">
      <c r="A944" s="6" t="s">
        <v>854</v>
      </c>
      <c r="B944" s="6" t="s">
        <v>40</v>
      </c>
      <c r="C944" s="6" t="s">
        <v>717</v>
      </c>
      <c r="D944" s="9" t="n">
        <v>0</v>
      </c>
    </row>
    <row r="945" customFormat="false" ht="15" hidden="false" customHeight="false" outlineLevel="0" collapsed="false">
      <c r="A945" s="6" t="s">
        <v>854</v>
      </c>
      <c r="B945" s="6" t="s">
        <v>40</v>
      </c>
      <c r="C945" s="6" t="s">
        <v>718</v>
      </c>
      <c r="D945" s="9" t="n">
        <v>0</v>
      </c>
    </row>
    <row r="946" customFormat="false" ht="15" hidden="false" customHeight="false" outlineLevel="0" collapsed="false">
      <c r="A946" s="6" t="s">
        <v>854</v>
      </c>
      <c r="B946" s="6" t="s">
        <v>56</v>
      </c>
      <c r="C946" s="6" t="s">
        <v>719</v>
      </c>
      <c r="D946" s="9" t="n">
        <v>1418</v>
      </c>
    </row>
    <row r="947" customFormat="false" ht="15" hidden="false" customHeight="false" outlineLevel="0" collapsed="false">
      <c r="A947" s="6" t="s">
        <v>854</v>
      </c>
      <c r="B947" s="6" t="s">
        <v>171</v>
      </c>
      <c r="C947" s="6" t="s">
        <v>720</v>
      </c>
      <c r="D947" s="9" t="n">
        <v>69</v>
      </c>
    </row>
    <row r="948" customFormat="false" ht="15" hidden="false" customHeight="false" outlineLevel="0" collapsed="false">
      <c r="A948" s="6" t="s">
        <v>854</v>
      </c>
      <c r="B948" s="6" t="s">
        <v>711</v>
      </c>
      <c r="C948" s="6" t="s">
        <v>721</v>
      </c>
      <c r="D948" s="9" t="n">
        <v>0</v>
      </c>
    </row>
    <row r="949" customFormat="false" ht="15" hidden="false" customHeight="false" outlineLevel="0" collapsed="false">
      <c r="A949" s="6" t="s">
        <v>854</v>
      </c>
      <c r="B949" s="6" t="s">
        <v>25</v>
      </c>
      <c r="C949" s="6" t="s">
        <v>722</v>
      </c>
      <c r="D949" s="9" t="n">
        <v>827</v>
      </c>
    </row>
    <row r="950" customFormat="false" ht="15" hidden="false" customHeight="false" outlineLevel="0" collapsed="false">
      <c r="A950" s="6" t="s">
        <v>854</v>
      </c>
      <c r="B950" s="6" t="s">
        <v>25</v>
      </c>
      <c r="C950" s="6" t="s">
        <v>723</v>
      </c>
      <c r="D950" s="9" t="n">
        <v>2153</v>
      </c>
    </row>
    <row r="951" customFormat="false" ht="15" hidden="false" customHeight="false" outlineLevel="0" collapsed="false">
      <c r="A951" s="6" t="s">
        <v>854</v>
      </c>
      <c r="B951" s="6" t="s">
        <v>25</v>
      </c>
      <c r="C951" s="6" t="s">
        <v>724</v>
      </c>
      <c r="D951" s="9" t="n">
        <v>2295</v>
      </c>
    </row>
    <row r="952" customFormat="false" ht="15" hidden="false" customHeight="false" outlineLevel="0" collapsed="false">
      <c r="A952" s="6" t="s">
        <v>854</v>
      </c>
      <c r="B952" s="6" t="s">
        <v>25</v>
      </c>
      <c r="C952" s="6" t="s">
        <v>725</v>
      </c>
      <c r="D952" s="9" t="n">
        <v>1686</v>
      </c>
    </row>
    <row r="953" customFormat="false" ht="15" hidden="false" customHeight="false" outlineLevel="0" collapsed="false">
      <c r="A953" s="6" t="s">
        <v>854</v>
      </c>
      <c r="B953" s="6" t="s">
        <v>25</v>
      </c>
      <c r="C953" s="6" t="s">
        <v>726</v>
      </c>
      <c r="D953" s="9" t="n">
        <v>169</v>
      </c>
    </row>
    <row r="954" customFormat="false" ht="15" hidden="false" customHeight="false" outlineLevel="0" collapsed="false">
      <c r="A954" s="6" t="s">
        <v>854</v>
      </c>
      <c r="B954" s="6" t="s">
        <v>19</v>
      </c>
      <c r="C954" s="6" t="s">
        <v>727</v>
      </c>
      <c r="D954" s="9" t="n">
        <v>0</v>
      </c>
    </row>
    <row r="955" customFormat="false" ht="15" hidden="false" customHeight="false" outlineLevel="0" collapsed="false">
      <c r="A955" s="6" t="s">
        <v>854</v>
      </c>
      <c r="B955" s="6" t="s">
        <v>173</v>
      </c>
      <c r="C955" s="6" t="s">
        <v>728</v>
      </c>
      <c r="D955" s="9" t="n">
        <v>-1</v>
      </c>
    </row>
    <row r="956" customFormat="false" ht="15" hidden="false" customHeight="false" outlineLevel="0" collapsed="false">
      <c r="A956" s="6" t="s">
        <v>854</v>
      </c>
      <c r="B956" s="6" t="s">
        <v>90</v>
      </c>
      <c r="C956" s="6" t="s">
        <v>729</v>
      </c>
      <c r="D956" s="9" t="n">
        <v>1525</v>
      </c>
    </row>
    <row r="957" customFormat="false" ht="15" hidden="false" customHeight="false" outlineLevel="0" collapsed="false">
      <c r="A957" s="6" t="s">
        <v>854</v>
      </c>
      <c r="B957" s="6" t="s">
        <v>135</v>
      </c>
      <c r="C957" s="6" t="s">
        <v>729</v>
      </c>
      <c r="D957" s="9" t="n">
        <v>1845</v>
      </c>
    </row>
    <row r="958" customFormat="false" ht="15" hidden="false" customHeight="false" outlineLevel="0" collapsed="false">
      <c r="A958" s="6" t="s">
        <v>854</v>
      </c>
      <c r="B958" s="6" t="s">
        <v>149</v>
      </c>
      <c r="C958" s="6" t="s">
        <v>729</v>
      </c>
      <c r="D958" s="9" t="n">
        <v>1704</v>
      </c>
    </row>
    <row r="959" customFormat="false" ht="15" hidden="false" customHeight="false" outlineLevel="0" collapsed="false">
      <c r="A959" s="6" t="s">
        <v>854</v>
      </c>
      <c r="B959" s="6" t="s">
        <v>150</v>
      </c>
      <c r="C959" s="6" t="s">
        <v>729</v>
      </c>
      <c r="D959" s="9" t="n">
        <v>1023</v>
      </c>
    </row>
    <row r="960" customFormat="false" ht="15" hidden="false" customHeight="false" outlineLevel="0" collapsed="false">
      <c r="A960" s="6" t="s">
        <v>854</v>
      </c>
      <c r="B960" s="6" t="s">
        <v>214</v>
      </c>
      <c r="C960" s="6" t="s">
        <v>730</v>
      </c>
      <c r="D960" s="9" t="n">
        <v>-3</v>
      </c>
    </row>
    <row r="961" customFormat="false" ht="15" hidden="false" customHeight="false" outlineLevel="0" collapsed="false">
      <c r="A961" s="6" t="s">
        <v>854</v>
      </c>
      <c r="B961" s="6" t="s">
        <v>145</v>
      </c>
      <c r="C961" s="6" t="s">
        <v>731</v>
      </c>
      <c r="D961" s="9" t="n">
        <v>56</v>
      </c>
    </row>
    <row r="962" customFormat="false" ht="15" hidden="false" customHeight="false" outlineLevel="0" collapsed="false">
      <c r="A962" s="6" t="s">
        <v>854</v>
      </c>
      <c r="B962" s="6" t="s">
        <v>732</v>
      </c>
      <c r="C962" s="6" t="s">
        <v>733</v>
      </c>
      <c r="D962" s="9" t="n">
        <v>0</v>
      </c>
    </row>
    <row r="963" customFormat="false" ht="15" hidden="false" customHeight="false" outlineLevel="0" collapsed="false">
      <c r="A963" s="6" t="s">
        <v>854</v>
      </c>
      <c r="B963" s="6" t="s">
        <v>734</v>
      </c>
      <c r="C963" s="6" t="s">
        <v>733</v>
      </c>
      <c r="D963" s="9" t="n">
        <v>0</v>
      </c>
    </row>
    <row r="964" customFormat="false" ht="15" hidden="false" customHeight="false" outlineLevel="0" collapsed="false">
      <c r="A964" s="6" t="s">
        <v>854</v>
      </c>
      <c r="B964" s="6" t="s">
        <v>883</v>
      </c>
      <c r="C964" s="6" t="s">
        <v>733</v>
      </c>
      <c r="D964" s="9" t="n">
        <v>0</v>
      </c>
    </row>
    <row r="965" customFormat="false" ht="15" hidden="false" customHeight="false" outlineLevel="0" collapsed="false">
      <c r="A965" s="6" t="s">
        <v>854</v>
      </c>
      <c r="B965" s="6" t="s">
        <v>735</v>
      </c>
      <c r="C965" s="6" t="s">
        <v>733</v>
      </c>
      <c r="D965" s="9" t="n">
        <v>0</v>
      </c>
    </row>
    <row r="966" customFormat="false" ht="15" hidden="false" customHeight="false" outlineLevel="0" collapsed="false">
      <c r="A966" s="6" t="s">
        <v>854</v>
      </c>
      <c r="B966" s="6" t="s">
        <v>71</v>
      </c>
      <c r="C966" s="6" t="s">
        <v>736</v>
      </c>
      <c r="D966" s="9" t="n">
        <v>650</v>
      </c>
    </row>
    <row r="967" customFormat="false" ht="15" hidden="false" customHeight="false" outlineLevel="0" collapsed="false">
      <c r="A967" s="6" t="s">
        <v>854</v>
      </c>
      <c r="B967" s="6" t="s">
        <v>45</v>
      </c>
      <c r="C967" s="6" t="s">
        <v>737</v>
      </c>
      <c r="D967" s="9" t="n">
        <v>1177</v>
      </c>
    </row>
    <row r="968" customFormat="false" ht="15" hidden="false" customHeight="false" outlineLevel="0" collapsed="false">
      <c r="A968" s="6" t="s">
        <v>854</v>
      </c>
      <c r="B968" s="6" t="s">
        <v>68</v>
      </c>
      <c r="C968" s="6" t="s">
        <v>737</v>
      </c>
      <c r="D968" s="9" t="n">
        <v>1822</v>
      </c>
    </row>
    <row r="969" customFormat="false" ht="15" hidden="false" customHeight="false" outlineLevel="0" collapsed="false">
      <c r="A969" s="6" t="s">
        <v>854</v>
      </c>
      <c r="B969" s="6" t="s">
        <v>67</v>
      </c>
      <c r="C969" s="6" t="s">
        <v>737</v>
      </c>
      <c r="D969" s="9" t="n">
        <v>820</v>
      </c>
    </row>
    <row r="970" customFormat="false" ht="15" hidden="false" customHeight="false" outlineLevel="0" collapsed="false">
      <c r="A970" s="6" t="s">
        <v>854</v>
      </c>
      <c r="B970" s="6" t="s">
        <v>104</v>
      </c>
      <c r="C970" s="6" t="s">
        <v>737</v>
      </c>
      <c r="D970" s="9" t="n">
        <v>697</v>
      </c>
    </row>
    <row r="971" customFormat="false" ht="15" hidden="false" customHeight="false" outlineLevel="0" collapsed="false">
      <c r="A971" s="6" t="s">
        <v>854</v>
      </c>
      <c r="B971" s="6" t="s">
        <v>161</v>
      </c>
      <c r="C971" s="6" t="s">
        <v>738</v>
      </c>
      <c r="D971" s="9" t="n">
        <v>0</v>
      </c>
    </row>
    <row r="972" customFormat="false" ht="15" hidden="false" customHeight="false" outlineLevel="0" collapsed="false">
      <c r="A972" s="6" t="s">
        <v>854</v>
      </c>
      <c r="B972" s="6" t="s">
        <v>161</v>
      </c>
      <c r="C972" s="6" t="s">
        <v>739</v>
      </c>
      <c r="D972" s="9" t="n">
        <v>8</v>
      </c>
    </row>
    <row r="973" customFormat="false" ht="15" hidden="false" customHeight="false" outlineLevel="0" collapsed="false">
      <c r="A973" s="6" t="s">
        <v>854</v>
      </c>
      <c r="B973" s="6" t="s">
        <v>161</v>
      </c>
      <c r="C973" s="6" t="s">
        <v>740</v>
      </c>
      <c r="D973" s="9" t="n">
        <v>11</v>
      </c>
    </row>
    <row r="974" customFormat="false" ht="15" hidden="false" customHeight="false" outlineLevel="0" collapsed="false">
      <c r="A974" s="6" t="s">
        <v>854</v>
      </c>
      <c r="B974" s="6" t="s">
        <v>161</v>
      </c>
      <c r="C974" s="6" t="s">
        <v>741</v>
      </c>
      <c r="D974" s="9" t="n">
        <v>7</v>
      </c>
    </row>
    <row r="975" customFormat="false" ht="15" hidden="false" customHeight="false" outlineLevel="0" collapsed="false">
      <c r="A975" s="6" t="s">
        <v>854</v>
      </c>
      <c r="B975" s="6" t="s">
        <v>141</v>
      </c>
      <c r="C975" s="6" t="s">
        <v>742</v>
      </c>
      <c r="D975" s="9" t="n">
        <v>3</v>
      </c>
    </row>
    <row r="976" customFormat="false" ht="15" hidden="false" customHeight="false" outlineLevel="0" collapsed="false">
      <c r="A976" s="6" t="s">
        <v>854</v>
      </c>
      <c r="B976" s="6" t="s">
        <v>141</v>
      </c>
      <c r="C976" s="6" t="s">
        <v>743</v>
      </c>
      <c r="D976" s="9" t="n">
        <v>9</v>
      </c>
    </row>
    <row r="977" customFormat="false" ht="15" hidden="false" customHeight="false" outlineLevel="0" collapsed="false">
      <c r="A977" s="6" t="s">
        <v>854</v>
      </c>
      <c r="B977" s="6" t="s">
        <v>141</v>
      </c>
      <c r="C977" s="6" t="s">
        <v>744</v>
      </c>
      <c r="D977" s="9" t="n">
        <v>11</v>
      </c>
    </row>
    <row r="978" customFormat="false" ht="15" hidden="false" customHeight="false" outlineLevel="0" collapsed="false">
      <c r="A978" s="6" t="s">
        <v>854</v>
      </c>
      <c r="B978" s="6" t="s">
        <v>141</v>
      </c>
      <c r="C978" s="6" t="s">
        <v>745</v>
      </c>
      <c r="D978" s="9" t="n">
        <v>16</v>
      </c>
    </row>
    <row r="979" customFormat="false" ht="15" hidden="false" customHeight="false" outlineLevel="0" collapsed="false">
      <c r="A979" s="6" t="s">
        <v>854</v>
      </c>
      <c r="B979" s="6" t="s">
        <v>134</v>
      </c>
      <c r="C979" s="6" t="s">
        <v>526</v>
      </c>
      <c r="D979" s="9" t="n">
        <v>0</v>
      </c>
    </row>
    <row r="980" customFormat="false" ht="15" hidden="false" customHeight="false" outlineLevel="0" collapsed="false">
      <c r="A980" s="6" t="s">
        <v>854</v>
      </c>
      <c r="B980" s="6" t="s">
        <v>134</v>
      </c>
      <c r="C980" s="6" t="s">
        <v>525</v>
      </c>
      <c r="D980" s="9" t="n">
        <v>12</v>
      </c>
    </row>
    <row r="981" customFormat="false" ht="15" hidden="false" customHeight="false" outlineLevel="0" collapsed="false">
      <c r="A981" s="6" t="s">
        <v>854</v>
      </c>
      <c r="B981" s="6" t="s">
        <v>134</v>
      </c>
      <c r="C981" s="6" t="s">
        <v>527</v>
      </c>
      <c r="D981" s="9" t="n">
        <v>8</v>
      </c>
    </row>
    <row r="982" customFormat="false" ht="15" hidden="false" customHeight="false" outlineLevel="0" collapsed="false">
      <c r="A982" s="6" t="s">
        <v>854</v>
      </c>
      <c r="B982" s="6" t="s">
        <v>134</v>
      </c>
      <c r="C982" s="6" t="s">
        <v>524</v>
      </c>
      <c r="D982" s="9" t="n">
        <v>6</v>
      </c>
    </row>
    <row r="983" customFormat="false" ht="15" hidden="false" customHeight="false" outlineLevel="0" collapsed="false">
      <c r="A983" s="6" t="s">
        <v>854</v>
      </c>
      <c r="B983" s="6" t="s">
        <v>134</v>
      </c>
      <c r="C983" s="6" t="s">
        <v>746</v>
      </c>
      <c r="D983" s="9" t="n">
        <v>0</v>
      </c>
    </row>
    <row r="984" customFormat="false" ht="15" hidden="false" customHeight="false" outlineLevel="0" collapsed="false">
      <c r="A984" s="6" t="s">
        <v>854</v>
      </c>
      <c r="B984" s="6" t="s">
        <v>125</v>
      </c>
      <c r="C984" s="6" t="s">
        <v>747</v>
      </c>
      <c r="D984" s="9" t="n">
        <v>0</v>
      </c>
    </row>
    <row r="985" customFormat="false" ht="15" hidden="false" customHeight="false" outlineLevel="0" collapsed="false">
      <c r="A985" s="6" t="s">
        <v>854</v>
      </c>
      <c r="B985" s="6" t="s">
        <v>125</v>
      </c>
      <c r="C985" s="6" t="s">
        <v>748</v>
      </c>
      <c r="D985" s="9" t="n">
        <v>6</v>
      </c>
    </row>
    <row r="986" customFormat="false" ht="15" hidden="false" customHeight="false" outlineLevel="0" collapsed="false">
      <c r="A986" s="6" t="s">
        <v>854</v>
      </c>
      <c r="B986" s="6" t="s">
        <v>125</v>
      </c>
      <c r="C986" s="6" t="s">
        <v>749</v>
      </c>
      <c r="D986" s="9" t="n">
        <v>18</v>
      </c>
    </row>
    <row r="987" customFormat="false" ht="15" hidden="false" customHeight="false" outlineLevel="0" collapsed="false">
      <c r="A987" s="6" t="s">
        <v>854</v>
      </c>
      <c r="B987" s="6" t="s">
        <v>125</v>
      </c>
      <c r="C987" s="6" t="s">
        <v>750</v>
      </c>
      <c r="D987" s="9" t="n">
        <v>0</v>
      </c>
    </row>
    <row r="988" customFormat="false" ht="15" hidden="false" customHeight="false" outlineLevel="0" collapsed="false">
      <c r="A988" s="6" t="s">
        <v>854</v>
      </c>
      <c r="B988" s="6" t="s">
        <v>140</v>
      </c>
      <c r="C988" s="6" t="s">
        <v>751</v>
      </c>
      <c r="D988" s="9" t="n">
        <v>0</v>
      </c>
    </row>
    <row r="989" customFormat="false" ht="15" hidden="false" customHeight="false" outlineLevel="0" collapsed="false">
      <c r="A989" s="6" t="s">
        <v>854</v>
      </c>
      <c r="B989" s="6" t="s">
        <v>140</v>
      </c>
      <c r="C989" s="6" t="s">
        <v>752</v>
      </c>
      <c r="D989" s="9" t="n">
        <v>19</v>
      </c>
    </row>
    <row r="990" customFormat="false" ht="15" hidden="false" customHeight="false" outlineLevel="0" collapsed="false">
      <c r="A990" s="6" t="s">
        <v>854</v>
      </c>
      <c r="B990" s="6" t="s">
        <v>140</v>
      </c>
      <c r="C990" s="6" t="s">
        <v>753</v>
      </c>
      <c r="D990" s="9" t="n">
        <v>11</v>
      </c>
    </row>
    <row r="991" customFormat="false" ht="15" hidden="false" customHeight="false" outlineLevel="0" collapsed="false">
      <c r="A991" s="6" t="s">
        <v>854</v>
      </c>
      <c r="B991" s="6" t="s">
        <v>140</v>
      </c>
      <c r="C991" s="6" t="s">
        <v>754</v>
      </c>
      <c r="D991" s="9" t="n">
        <v>11</v>
      </c>
    </row>
    <row r="992" customFormat="false" ht="15" hidden="false" customHeight="false" outlineLevel="0" collapsed="false">
      <c r="A992" s="6" t="s">
        <v>854</v>
      </c>
      <c r="B992" s="6" t="s">
        <v>155</v>
      </c>
      <c r="C992" s="6" t="s">
        <v>756</v>
      </c>
      <c r="D992" s="9" t="n">
        <v>11</v>
      </c>
    </row>
    <row r="993" customFormat="false" ht="15" hidden="false" customHeight="false" outlineLevel="0" collapsed="false">
      <c r="A993" s="6" t="s">
        <v>854</v>
      </c>
      <c r="B993" s="6" t="s">
        <v>155</v>
      </c>
      <c r="C993" s="6" t="s">
        <v>757</v>
      </c>
      <c r="D993" s="9" t="n">
        <v>20</v>
      </c>
    </row>
    <row r="994" customFormat="false" ht="15" hidden="false" customHeight="false" outlineLevel="0" collapsed="false">
      <c r="A994" s="6" t="s">
        <v>854</v>
      </c>
      <c r="B994" s="6" t="s">
        <v>155</v>
      </c>
      <c r="C994" s="6" t="s">
        <v>758</v>
      </c>
      <c r="D994" s="9" t="n">
        <v>22</v>
      </c>
    </row>
    <row r="995" customFormat="false" ht="15" hidden="false" customHeight="false" outlineLevel="0" collapsed="false">
      <c r="A995" s="6" t="s">
        <v>854</v>
      </c>
      <c r="B995" s="6" t="s">
        <v>155</v>
      </c>
      <c r="C995" s="6" t="s">
        <v>759</v>
      </c>
      <c r="D995" s="9" t="n">
        <v>13</v>
      </c>
    </row>
    <row r="996" customFormat="false" ht="15" hidden="false" customHeight="false" outlineLevel="0" collapsed="false">
      <c r="A996" s="6" t="s">
        <v>854</v>
      </c>
      <c r="B996" s="6" t="s">
        <v>155</v>
      </c>
      <c r="C996" s="6" t="s">
        <v>760</v>
      </c>
      <c r="D996" s="9" t="n">
        <v>12</v>
      </c>
    </row>
    <row r="997" customFormat="false" ht="15" hidden="false" customHeight="false" outlineLevel="0" collapsed="false">
      <c r="A997" s="6" t="s">
        <v>854</v>
      </c>
      <c r="B997" s="6" t="s">
        <v>206</v>
      </c>
      <c r="C997" s="6" t="s">
        <v>762</v>
      </c>
      <c r="D997" s="9" t="n">
        <v>-1</v>
      </c>
    </row>
    <row r="998" customFormat="false" ht="15" hidden="false" customHeight="false" outlineLevel="0" collapsed="false">
      <c r="A998" s="6" t="s">
        <v>854</v>
      </c>
      <c r="B998" s="6" t="s">
        <v>197</v>
      </c>
      <c r="C998" s="6" t="s">
        <v>884</v>
      </c>
      <c r="D998" s="9" t="n">
        <v>-1</v>
      </c>
    </row>
    <row r="999" customFormat="false" ht="15" hidden="false" customHeight="false" outlineLevel="0" collapsed="false">
      <c r="A999" s="6" t="s">
        <v>854</v>
      </c>
      <c r="B999" s="6" t="s">
        <v>196</v>
      </c>
      <c r="C999" s="6" t="s">
        <v>884</v>
      </c>
      <c r="D999" s="9" t="n">
        <v>-1</v>
      </c>
    </row>
    <row r="1000" customFormat="false" ht="15" hidden="false" customHeight="false" outlineLevel="0" collapsed="false">
      <c r="A1000" s="6" t="s">
        <v>854</v>
      </c>
      <c r="B1000" s="6" t="s">
        <v>122</v>
      </c>
      <c r="C1000" s="6" t="s">
        <v>777</v>
      </c>
      <c r="D1000" s="9" t="n">
        <v>113</v>
      </c>
    </row>
    <row r="1001" customFormat="false" ht="15" hidden="false" customHeight="false" outlineLevel="0" collapsed="false">
      <c r="A1001" s="6" t="s">
        <v>854</v>
      </c>
      <c r="B1001" s="6" t="s">
        <v>106</v>
      </c>
      <c r="C1001" s="6" t="s">
        <v>777</v>
      </c>
      <c r="D1001" s="9" t="n">
        <v>162</v>
      </c>
    </row>
    <row r="1002" customFormat="false" ht="15" hidden="false" customHeight="false" outlineLevel="0" collapsed="false">
      <c r="A1002" s="6" t="s">
        <v>854</v>
      </c>
      <c r="B1002" s="6" t="s">
        <v>110</v>
      </c>
      <c r="C1002" s="6" t="s">
        <v>777</v>
      </c>
      <c r="D1002" s="9" t="n">
        <v>155</v>
      </c>
    </row>
    <row r="1003" customFormat="false" ht="15" hidden="false" customHeight="false" outlineLevel="0" collapsed="false">
      <c r="A1003" s="6" t="s">
        <v>854</v>
      </c>
      <c r="B1003" s="6" t="s">
        <v>138</v>
      </c>
      <c r="C1003" s="6" t="s">
        <v>777</v>
      </c>
      <c r="D1003" s="9" t="n">
        <v>34</v>
      </c>
    </row>
    <row r="1004" customFormat="false" ht="15" hidden="false" customHeight="false" outlineLevel="0" collapsed="false">
      <c r="A1004" s="6" t="s">
        <v>854</v>
      </c>
      <c r="B1004" s="6" t="s">
        <v>129</v>
      </c>
      <c r="C1004" s="6" t="s">
        <v>778</v>
      </c>
      <c r="D1004" s="9" t="n">
        <v>183</v>
      </c>
    </row>
    <row r="1005" customFormat="false" ht="15" hidden="false" customHeight="false" outlineLevel="0" collapsed="false">
      <c r="A1005" s="6" t="s">
        <v>854</v>
      </c>
      <c r="B1005" s="6" t="s">
        <v>114</v>
      </c>
      <c r="C1005" s="6" t="s">
        <v>778</v>
      </c>
      <c r="D1005" s="9" t="n">
        <v>324</v>
      </c>
    </row>
    <row r="1006" customFormat="false" ht="15" hidden="false" customHeight="false" outlineLevel="0" collapsed="false">
      <c r="A1006" s="6" t="s">
        <v>854</v>
      </c>
      <c r="B1006" s="6" t="s">
        <v>92</v>
      </c>
      <c r="C1006" s="6" t="s">
        <v>778</v>
      </c>
      <c r="D1006" s="9" t="n">
        <v>247</v>
      </c>
    </row>
    <row r="1007" customFormat="false" ht="15" hidden="false" customHeight="false" outlineLevel="0" collapsed="false">
      <c r="A1007" s="6" t="s">
        <v>854</v>
      </c>
      <c r="B1007" s="6" t="s">
        <v>187</v>
      </c>
      <c r="C1007" s="6" t="s">
        <v>778</v>
      </c>
      <c r="D1007" s="9" t="n">
        <v>54</v>
      </c>
    </row>
    <row r="1008" customFormat="false" ht="15" hidden="false" customHeight="false" outlineLevel="0" collapsed="false">
      <c r="A1008" s="6" t="s">
        <v>854</v>
      </c>
      <c r="B1008" s="6" t="s">
        <v>779</v>
      </c>
      <c r="C1008" s="6" t="s">
        <v>780</v>
      </c>
      <c r="D1008" s="9" t="n">
        <v>0</v>
      </c>
    </row>
    <row r="1009" customFormat="false" ht="15" hidden="false" customHeight="false" outlineLevel="0" collapsed="false">
      <c r="A1009" s="6" t="s">
        <v>854</v>
      </c>
      <c r="B1009" s="6" t="s">
        <v>779</v>
      </c>
      <c r="C1009" s="6" t="s">
        <v>781</v>
      </c>
      <c r="D1009" s="9" t="n">
        <v>0</v>
      </c>
    </row>
    <row r="1010" customFormat="false" ht="15" hidden="false" customHeight="false" outlineLevel="0" collapsed="false">
      <c r="A1010" s="6" t="s">
        <v>854</v>
      </c>
      <c r="B1010" s="6" t="s">
        <v>885</v>
      </c>
      <c r="C1010" s="6" t="s">
        <v>886</v>
      </c>
      <c r="D1010" s="9" t="n">
        <v>0</v>
      </c>
    </row>
    <row r="1011" customFormat="false" ht="15" hidden="false" customHeight="false" outlineLevel="0" collapsed="false">
      <c r="A1011" s="6" t="s">
        <v>854</v>
      </c>
      <c r="B1011" s="6" t="s">
        <v>885</v>
      </c>
      <c r="C1011" s="6" t="s">
        <v>887</v>
      </c>
      <c r="D1011" s="9" t="n">
        <v>0</v>
      </c>
    </row>
    <row r="1012" customFormat="false" ht="15" hidden="false" customHeight="false" outlineLevel="0" collapsed="false">
      <c r="A1012" s="6" t="s">
        <v>854</v>
      </c>
      <c r="B1012" s="6" t="s">
        <v>885</v>
      </c>
      <c r="C1012" s="6" t="s">
        <v>888</v>
      </c>
      <c r="D1012" s="9" t="n">
        <v>0</v>
      </c>
    </row>
    <row r="1013" customFormat="false" ht="15" hidden="false" customHeight="false" outlineLevel="0" collapsed="false">
      <c r="A1013" s="6" t="s">
        <v>854</v>
      </c>
      <c r="B1013" s="6" t="s">
        <v>79</v>
      </c>
      <c r="C1013" s="6" t="s">
        <v>782</v>
      </c>
      <c r="D1013" s="9" t="n">
        <v>654</v>
      </c>
    </row>
    <row r="1014" customFormat="false" ht="15" hidden="false" customHeight="false" outlineLevel="0" collapsed="false">
      <c r="A1014" s="6" t="s">
        <v>854</v>
      </c>
      <c r="B1014" s="6" t="s">
        <v>23</v>
      </c>
      <c r="C1014" s="6" t="s">
        <v>783</v>
      </c>
      <c r="D1014" s="9" t="n">
        <v>1283</v>
      </c>
    </row>
    <row r="1015" customFormat="false" ht="15" hidden="false" customHeight="false" outlineLevel="0" collapsed="false">
      <c r="A1015" s="6" t="s">
        <v>854</v>
      </c>
      <c r="B1015" s="6" t="s">
        <v>102</v>
      </c>
      <c r="C1015" s="6" t="s">
        <v>784</v>
      </c>
      <c r="D1015" s="9" t="n">
        <v>236</v>
      </c>
    </row>
    <row r="1016" customFormat="false" ht="15" hidden="false" customHeight="false" outlineLevel="0" collapsed="false">
      <c r="A1016" s="6" t="s">
        <v>854</v>
      </c>
      <c r="B1016" s="6" t="s">
        <v>23</v>
      </c>
      <c r="C1016" s="6" t="s">
        <v>785</v>
      </c>
      <c r="D1016" s="9" t="n">
        <v>424</v>
      </c>
    </row>
    <row r="1017" customFormat="false" ht="15" hidden="false" customHeight="false" outlineLevel="0" collapsed="false">
      <c r="A1017" s="6" t="s">
        <v>854</v>
      </c>
      <c r="B1017" s="6" t="s">
        <v>788</v>
      </c>
      <c r="C1017" s="6" t="s">
        <v>789</v>
      </c>
      <c r="D1017" s="9" t="n">
        <v>0</v>
      </c>
    </row>
    <row r="1018" customFormat="false" ht="15" hidden="false" customHeight="false" outlineLevel="0" collapsed="false">
      <c r="A1018" s="6" t="s">
        <v>854</v>
      </c>
      <c r="B1018" s="6" t="s">
        <v>788</v>
      </c>
      <c r="C1018" s="6" t="s">
        <v>790</v>
      </c>
      <c r="D1018" s="9" t="n">
        <v>0</v>
      </c>
    </row>
    <row r="1019" customFormat="false" ht="15" hidden="false" customHeight="false" outlineLevel="0" collapsed="false">
      <c r="A1019" s="6" t="s">
        <v>854</v>
      </c>
      <c r="B1019" s="6" t="s">
        <v>788</v>
      </c>
      <c r="C1019" s="6" t="s">
        <v>791</v>
      </c>
      <c r="D1019" s="9" t="n">
        <v>0</v>
      </c>
    </row>
    <row r="1020" customFormat="false" ht="15" hidden="false" customHeight="false" outlineLevel="0" collapsed="false">
      <c r="A1020" s="6" t="s">
        <v>854</v>
      </c>
      <c r="B1020" s="6" t="s">
        <v>788</v>
      </c>
      <c r="C1020" s="6" t="s">
        <v>792</v>
      </c>
      <c r="D1020" s="9" t="n">
        <v>0</v>
      </c>
    </row>
    <row r="1021" customFormat="false" ht="15" hidden="false" customHeight="false" outlineLevel="0" collapsed="false">
      <c r="A1021" s="6" t="s">
        <v>854</v>
      </c>
      <c r="B1021" s="6" t="s">
        <v>788</v>
      </c>
      <c r="C1021" s="6" t="s">
        <v>793</v>
      </c>
      <c r="D1021" s="9" t="n">
        <v>0</v>
      </c>
    </row>
    <row r="1022" customFormat="false" ht="15" hidden="false" customHeight="false" outlineLevel="0" collapsed="false">
      <c r="A1022" s="6" t="s">
        <v>854</v>
      </c>
      <c r="B1022" s="6" t="s">
        <v>794</v>
      </c>
      <c r="C1022" s="6" t="s">
        <v>795</v>
      </c>
      <c r="D1022" s="9" t="n">
        <v>0</v>
      </c>
    </row>
    <row r="1023" customFormat="false" ht="15" hidden="false" customHeight="false" outlineLevel="0" collapsed="false">
      <c r="A1023" s="6" t="s">
        <v>854</v>
      </c>
      <c r="B1023" s="6" t="s">
        <v>794</v>
      </c>
      <c r="C1023" s="6" t="s">
        <v>796</v>
      </c>
      <c r="D1023" s="9" t="n">
        <v>0</v>
      </c>
    </row>
    <row r="1024" customFormat="false" ht="15" hidden="false" customHeight="false" outlineLevel="0" collapsed="false">
      <c r="A1024" s="6" t="s">
        <v>854</v>
      </c>
      <c r="B1024" s="6" t="s">
        <v>794</v>
      </c>
      <c r="C1024" s="6" t="s">
        <v>797</v>
      </c>
      <c r="D1024" s="9" t="n">
        <v>0</v>
      </c>
    </row>
    <row r="1025" customFormat="false" ht="15" hidden="false" customHeight="false" outlineLevel="0" collapsed="false">
      <c r="A1025" s="6" t="s">
        <v>854</v>
      </c>
      <c r="B1025" s="6" t="s">
        <v>794</v>
      </c>
      <c r="C1025" s="6" t="s">
        <v>798</v>
      </c>
      <c r="D1025" s="9" t="n">
        <v>0</v>
      </c>
    </row>
    <row r="1026" customFormat="false" ht="15" hidden="false" customHeight="false" outlineLevel="0" collapsed="false">
      <c r="A1026" s="6" t="s">
        <v>854</v>
      </c>
      <c r="B1026" s="6" t="s">
        <v>794</v>
      </c>
      <c r="C1026" s="6" t="s">
        <v>799</v>
      </c>
      <c r="D1026" s="9" t="n">
        <v>0</v>
      </c>
    </row>
    <row r="1027" customFormat="false" ht="15" hidden="false" customHeight="false" outlineLevel="0" collapsed="false">
      <c r="A1027" s="6" t="s">
        <v>854</v>
      </c>
      <c r="B1027" s="6" t="s">
        <v>800</v>
      </c>
      <c r="C1027" s="6" t="s">
        <v>801</v>
      </c>
      <c r="D1027" s="9" t="n">
        <v>0</v>
      </c>
    </row>
    <row r="1028" customFormat="false" ht="15" hidden="false" customHeight="false" outlineLevel="0" collapsed="false">
      <c r="A1028" s="6" t="s">
        <v>854</v>
      </c>
      <c r="B1028" s="6" t="s">
        <v>800</v>
      </c>
      <c r="C1028" s="6" t="s">
        <v>802</v>
      </c>
      <c r="D1028" s="9" t="n">
        <v>0</v>
      </c>
    </row>
    <row r="1029" customFormat="false" ht="15" hidden="false" customHeight="false" outlineLevel="0" collapsed="false">
      <c r="A1029" s="6" t="s">
        <v>854</v>
      </c>
      <c r="B1029" s="6" t="s">
        <v>800</v>
      </c>
      <c r="C1029" s="6" t="s">
        <v>803</v>
      </c>
      <c r="D1029" s="9" t="n">
        <v>0</v>
      </c>
    </row>
    <row r="1030" customFormat="false" ht="15" hidden="false" customHeight="false" outlineLevel="0" collapsed="false">
      <c r="A1030" s="6" t="s">
        <v>854</v>
      </c>
      <c r="B1030" s="6" t="s">
        <v>800</v>
      </c>
      <c r="C1030" s="6" t="s">
        <v>804</v>
      </c>
      <c r="D1030" s="9" t="n">
        <v>0</v>
      </c>
    </row>
    <row r="1031" customFormat="false" ht="15" hidden="false" customHeight="false" outlineLevel="0" collapsed="false">
      <c r="A1031" s="6" t="s">
        <v>854</v>
      </c>
      <c r="B1031" s="6" t="s">
        <v>800</v>
      </c>
      <c r="C1031" s="6" t="s">
        <v>805</v>
      </c>
      <c r="D1031" s="9" t="n">
        <v>0</v>
      </c>
    </row>
    <row r="1032" customFormat="false" ht="15" hidden="false" customHeight="false" outlineLevel="0" collapsed="false">
      <c r="A1032" s="6" t="s">
        <v>854</v>
      </c>
      <c r="B1032" s="6" t="s">
        <v>133</v>
      </c>
      <c r="C1032" s="6" t="s">
        <v>806</v>
      </c>
      <c r="D1032" s="9" t="n">
        <v>158</v>
      </c>
    </row>
    <row r="1033" customFormat="false" ht="15" hidden="false" customHeight="false" outlineLevel="0" collapsed="false">
      <c r="A1033" s="6" t="s">
        <v>854</v>
      </c>
      <c r="B1033" s="6" t="s">
        <v>807</v>
      </c>
      <c r="C1033" s="6" t="s">
        <v>808</v>
      </c>
      <c r="D1033" s="9" t="n">
        <v>0</v>
      </c>
    </row>
    <row r="1034" customFormat="false" ht="15" hidden="false" customHeight="false" outlineLevel="0" collapsed="false">
      <c r="A1034" s="6" t="s">
        <v>854</v>
      </c>
      <c r="B1034" s="6" t="s">
        <v>809</v>
      </c>
      <c r="C1034" s="6" t="s">
        <v>810</v>
      </c>
      <c r="D1034" s="9" t="n">
        <v>0</v>
      </c>
    </row>
    <row r="1035" customFormat="false" ht="15" hidden="false" customHeight="false" outlineLevel="0" collapsed="false">
      <c r="A1035" s="6" t="s">
        <v>854</v>
      </c>
      <c r="B1035" s="6" t="s">
        <v>811</v>
      </c>
      <c r="C1035" s="6" t="s">
        <v>812</v>
      </c>
      <c r="D1035" s="9" t="n">
        <v>0</v>
      </c>
    </row>
    <row r="1036" customFormat="false" ht="15" hidden="false" customHeight="false" outlineLevel="0" collapsed="false">
      <c r="A1036" s="6" t="s">
        <v>854</v>
      </c>
      <c r="B1036" s="6" t="s">
        <v>813</v>
      </c>
      <c r="C1036" s="6" t="s">
        <v>814</v>
      </c>
      <c r="D1036" s="9" t="n">
        <v>0</v>
      </c>
    </row>
    <row r="1037" customFormat="false" ht="15" hidden="false" customHeight="false" outlineLevel="0" collapsed="false">
      <c r="A1037" s="6" t="s">
        <v>854</v>
      </c>
      <c r="B1037" s="6" t="s">
        <v>120</v>
      </c>
      <c r="C1037" s="6" t="s">
        <v>815</v>
      </c>
      <c r="D1037" s="9" t="n">
        <v>396</v>
      </c>
    </row>
    <row r="1038" customFormat="false" ht="15" hidden="false" customHeight="false" outlineLevel="0" collapsed="false">
      <c r="A1038" s="6" t="s">
        <v>854</v>
      </c>
      <c r="B1038" s="6" t="s">
        <v>120</v>
      </c>
      <c r="C1038" s="6" t="s">
        <v>816</v>
      </c>
      <c r="D1038" s="9" t="n">
        <v>585</v>
      </c>
    </row>
    <row r="1039" customFormat="false" ht="15" hidden="false" customHeight="false" outlineLevel="0" collapsed="false">
      <c r="A1039" s="6" t="s">
        <v>854</v>
      </c>
      <c r="B1039" s="6" t="s">
        <v>120</v>
      </c>
      <c r="C1039" s="6" t="s">
        <v>817</v>
      </c>
      <c r="D1039" s="9" t="n">
        <v>315</v>
      </c>
    </row>
    <row r="1040" customFormat="false" ht="15" hidden="false" customHeight="false" outlineLevel="0" collapsed="false">
      <c r="A1040" s="6" t="s">
        <v>854</v>
      </c>
      <c r="B1040" s="6" t="s">
        <v>120</v>
      </c>
      <c r="C1040" s="6" t="s">
        <v>818</v>
      </c>
      <c r="D1040" s="9" t="n">
        <v>299</v>
      </c>
    </row>
    <row r="1041" customFormat="false" ht="15" hidden="false" customHeight="false" outlineLevel="0" collapsed="false">
      <c r="A1041" s="6" t="s">
        <v>854</v>
      </c>
      <c r="B1041" s="6" t="s">
        <v>112</v>
      </c>
      <c r="C1041" s="6" t="s">
        <v>819</v>
      </c>
      <c r="D1041" s="9" t="n">
        <v>988</v>
      </c>
    </row>
    <row r="1042" customFormat="false" ht="15" hidden="false" customHeight="false" outlineLevel="0" collapsed="false">
      <c r="A1042" s="6" t="s">
        <v>854</v>
      </c>
      <c r="B1042" s="6" t="s">
        <v>60</v>
      </c>
      <c r="C1042" s="6" t="s">
        <v>820</v>
      </c>
      <c r="D1042" s="9" t="n">
        <v>580</v>
      </c>
    </row>
    <row r="1043" customFormat="false" ht="15" hidden="false" customHeight="false" outlineLevel="0" collapsed="false">
      <c r="A1043" s="6" t="s">
        <v>854</v>
      </c>
      <c r="B1043" s="6" t="s">
        <v>61</v>
      </c>
      <c r="C1043" s="6" t="s">
        <v>821</v>
      </c>
      <c r="D1043" s="9" t="n">
        <v>358</v>
      </c>
    </row>
    <row r="1044" customFormat="false" ht="15" hidden="false" customHeight="false" outlineLevel="0" collapsed="false">
      <c r="A1044" s="6" t="s">
        <v>854</v>
      </c>
      <c r="B1044" s="6" t="s">
        <v>70</v>
      </c>
      <c r="C1044" s="6" t="s">
        <v>822</v>
      </c>
      <c r="D1044" s="9" t="n">
        <v>283</v>
      </c>
    </row>
    <row r="1045" customFormat="false" ht="15" hidden="false" customHeight="false" outlineLevel="0" collapsed="false">
      <c r="A1045" s="6" t="s">
        <v>854</v>
      </c>
      <c r="B1045" s="6" t="s">
        <v>823</v>
      </c>
      <c r="C1045" s="6" t="s">
        <v>824</v>
      </c>
      <c r="D1045" s="9" t="n">
        <v>0</v>
      </c>
    </row>
    <row r="1046" customFormat="false" ht="15" hidden="false" customHeight="false" outlineLevel="0" collapsed="false">
      <c r="A1046" s="6" t="s">
        <v>854</v>
      </c>
      <c r="B1046" s="6" t="s">
        <v>889</v>
      </c>
      <c r="C1046" s="6" t="s">
        <v>890</v>
      </c>
      <c r="D1046" s="9" t="n">
        <v>0</v>
      </c>
    </row>
    <row r="1047" customFormat="false" ht="15" hidden="false" customHeight="false" outlineLevel="0" collapsed="false">
      <c r="A1047" s="6" t="s">
        <v>854</v>
      </c>
      <c r="B1047" s="6" t="s">
        <v>825</v>
      </c>
      <c r="C1047" s="6" t="s">
        <v>891</v>
      </c>
      <c r="D1047" s="9" t="n">
        <v>0</v>
      </c>
    </row>
    <row r="1048" customFormat="false" ht="15" hidden="false" customHeight="false" outlineLevel="0" collapsed="false">
      <c r="A1048" s="6" t="s">
        <v>854</v>
      </c>
      <c r="B1048" s="6" t="s">
        <v>825</v>
      </c>
      <c r="C1048" s="6" t="s">
        <v>826</v>
      </c>
      <c r="D1048" s="9" t="n">
        <v>0</v>
      </c>
    </row>
    <row r="1049" customFormat="false" ht="15" hidden="false" customHeight="false" outlineLevel="0" collapsed="false">
      <c r="A1049" s="6" t="s">
        <v>854</v>
      </c>
      <c r="B1049" s="6" t="s">
        <v>825</v>
      </c>
      <c r="C1049" s="6" t="s">
        <v>892</v>
      </c>
      <c r="D1049" s="9" t="n">
        <v>0</v>
      </c>
    </row>
    <row r="1050" customFormat="false" ht="15" hidden="false" customHeight="false" outlineLevel="0" collapsed="false">
      <c r="A1050" s="6" t="s">
        <v>854</v>
      </c>
      <c r="B1050" s="6" t="s">
        <v>825</v>
      </c>
      <c r="C1050" s="6" t="s">
        <v>893</v>
      </c>
      <c r="D1050" s="9" t="n">
        <v>0</v>
      </c>
    </row>
    <row r="1051" customFormat="false" ht="15" hidden="false" customHeight="false" outlineLevel="0" collapsed="false">
      <c r="A1051" s="6" t="s">
        <v>854</v>
      </c>
      <c r="B1051" s="6" t="s">
        <v>825</v>
      </c>
      <c r="C1051" s="6" t="s">
        <v>894</v>
      </c>
      <c r="D1051" s="9" t="n">
        <v>0</v>
      </c>
    </row>
    <row r="1052" customFormat="false" ht="15" hidden="false" customHeight="false" outlineLevel="0" collapsed="false">
      <c r="A1052" s="6" t="s">
        <v>854</v>
      </c>
      <c r="B1052" s="6" t="s">
        <v>103</v>
      </c>
      <c r="C1052" s="6" t="s">
        <v>829</v>
      </c>
      <c r="D1052" s="9" t="n">
        <v>926</v>
      </c>
    </row>
    <row r="1053" customFormat="false" ht="15" hidden="false" customHeight="false" outlineLevel="0" collapsed="false">
      <c r="A1053" s="6" t="s">
        <v>854</v>
      </c>
      <c r="B1053" s="6" t="s">
        <v>103</v>
      </c>
      <c r="C1053" s="6" t="s">
        <v>830</v>
      </c>
      <c r="D1053" s="9" t="n">
        <v>795</v>
      </c>
    </row>
    <row r="1054" customFormat="false" ht="15" hidden="false" customHeight="false" outlineLevel="0" collapsed="false">
      <c r="A1054" s="6" t="s">
        <v>854</v>
      </c>
      <c r="B1054" s="6" t="s">
        <v>103</v>
      </c>
      <c r="C1054" s="6" t="s">
        <v>831</v>
      </c>
      <c r="D1054" s="9" t="n">
        <v>622</v>
      </c>
    </row>
    <row r="1055" customFormat="false" ht="15" hidden="false" customHeight="false" outlineLevel="0" collapsed="false">
      <c r="A1055" s="6" t="s">
        <v>854</v>
      </c>
      <c r="B1055" s="6" t="s">
        <v>103</v>
      </c>
      <c r="C1055" s="6" t="s">
        <v>832</v>
      </c>
      <c r="D1055" s="9" t="n">
        <v>504</v>
      </c>
    </row>
    <row r="1056" customFormat="false" ht="15" hidden="false" customHeight="false" outlineLevel="0" collapsed="false">
      <c r="A1056" s="6" t="s">
        <v>854</v>
      </c>
      <c r="B1056" s="6" t="s">
        <v>81</v>
      </c>
      <c r="C1056" s="6" t="s">
        <v>833</v>
      </c>
      <c r="D1056" s="9" t="n">
        <v>41</v>
      </c>
    </row>
    <row r="1057" customFormat="false" ht="15" hidden="false" customHeight="false" outlineLevel="0" collapsed="false">
      <c r="A1057" s="6" t="s">
        <v>854</v>
      </c>
      <c r="B1057" s="6" t="s">
        <v>115</v>
      </c>
      <c r="C1057" s="6" t="s">
        <v>833</v>
      </c>
      <c r="D1057" s="9" t="n">
        <v>-57</v>
      </c>
    </row>
    <row r="1058" customFormat="false" ht="15" hidden="false" customHeight="false" outlineLevel="0" collapsed="false">
      <c r="A1058" s="6" t="s">
        <v>854</v>
      </c>
      <c r="B1058" s="6" t="s">
        <v>81</v>
      </c>
      <c r="C1058" s="6" t="s">
        <v>834</v>
      </c>
      <c r="D1058" s="9" t="n">
        <v>48</v>
      </c>
    </row>
    <row r="1059" customFormat="false" ht="15" hidden="false" customHeight="false" outlineLevel="0" collapsed="false">
      <c r="A1059" s="6" t="s">
        <v>854</v>
      </c>
      <c r="B1059" s="6" t="s">
        <v>96</v>
      </c>
      <c r="C1059" s="6" t="s">
        <v>834</v>
      </c>
      <c r="D1059" s="9" t="n">
        <v>118</v>
      </c>
    </row>
    <row r="1060" customFormat="false" ht="15" hidden="false" customHeight="false" outlineLevel="0" collapsed="false">
      <c r="A1060" s="6" t="s">
        <v>854</v>
      </c>
      <c r="B1060" s="6" t="s">
        <v>73</v>
      </c>
      <c r="C1060" s="6" t="s">
        <v>835</v>
      </c>
      <c r="D1060" s="9" t="n">
        <v>1283</v>
      </c>
    </row>
    <row r="1061" customFormat="false" ht="15" hidden="false" customHeight="false" outlineLevel="0" collapsed="false">
      <c r="A1061" s="6" t="s">
        <v>854</v>
      </c>
      <c r="B1061" s="6" t="s">
        <v>132</v>
      </c>
      <c r="C1061" s="6" t="s">
        <v>836</v>
      </c>
      <c r="D1061" s="9" t="n">
        <v>62</v>
      </c>
    </row>
    <row r="1062" customFormat="false" ht="15" hidden="false" customHeight="false" outlineLevel="0" collapsed="false">
      <c r="A1062" s="6" t="s">
        <v>854</v>
      </c>
      <c r="B1062" s="6" t="s">
        <v>20</v>
      </c>
      <c r="C1062" s="6" t="s">
        <v>895</v>
      </c>
      <c r="D1062" s="9" t="n">
        <v>427</v>
      </c>
    </row>
    <row r="1063" customFormat="false" ht="15" hidden="false" customHeight="false" outlineLevel="0" collapsed="false">
      <c r="A1063" s="6" t="s">
        <v>854</v>
      </c>
      <c r="B1063" s="6" t="s">
        <v>20</v>
      </c>
      <c r="C1063" s="6" t="s">
        <v>896</v>
      </c>
      <c r="D1063" s="9" t="n">
        <v>647</v>
      </c>
    </row>
    <row r="1064" customFormat="false" ht="15" hidden="false" customHeight="false" outlineLevel="0" collapsed="false">
      <c r="A1064" s="6" t="s">
        <v>854</v>
      </c>
      <c r="B1064" s="6" t="s">
        <v>20</v>
      </c>
      <c r="C1064" s="6" t="s">
        <v>897</v>
      </c>
      <c r="D1064" s="9" t="n">
        <v>478</v>
      </c>
    </row>
    <row r="1065" customFormat="false" ht="15" hidden="false" customHeight="false" outlineLevel="0" collapsed="false">
      <c r="A1065" s="6" t="s">
        <v>854</v>
      </c>
      <c r="B1065" s="6" t="s">
        <v>898</v>
      </c>
      <c r="C1065" s="6" t="s">
        <v>899</v>
      </c>
      <c r="D1065" s="9" t="n">
        <v>0</v>
      </c>
    </row>
    <row r="1066" customFormat="false" ht="15" hidden="false" customHeight="false" outlineLevel="0" collapsed="false">
      <c r="A1066" s="6" t="s">
        <v>854</v>
      </c>
      <c r="B1066" s="6" t="s">
        <v>898</v>
      </c>
      <c r="C1066" s="6" t="s">
        <v>900</v>
      </c>
      <c r="D1066" s="9" t="n">
        <v>0</v>
      </c>
    </row>
    <row r="1067" customFormat="false" ht="15" hidden="false" customHeight="false" outlineLevel="0" collapsed="false">
      <c r="A1067" s="6" t="s">
        <v>854</v>
      </c>
      <c r="B1067" s="6" t="s">
        <v>837</v>
      </c>
      <c r="C1067" s="6" t="s">
        <v>838</v>
      </c>
      <c r="D1067" s="9" t="n">
        <v>0</v>
      </c>
    </row>
    <row r="1068" customFormat="false" ht="15" hidden="false" customHeight="false" outlineLevel="0" collapsed="false">
      <c r="A1068" s="6" t="s">
        <v>854</v>
      </c>
      <c r="B1068" s="6" t="s">
        <v>194</v>
      </c>
      <c r="C1068" s="6" t="s">
        <v>379</v>
      </c>
      <c r="D1068" s="9" t="n">
        <v>26</v>
      </c>
    </row>
    <row r="1069" customFormat="false" ht="15" hidden="false" customHeight="false" outlineLevel="0" collapsed="false">
      <c r="A1069" s="6" t="s">
        <v>854</v>
      </c>
      <c r="B1069" s="6" t="s">
        <v>97</v>
      </c>
      <c r="C1069" s="6" t="s">
        <v>839</v>
      </c>
      <c r="D1069" s="9" t="n">
        <v>909</v>
      </c>
    </row>
    <row r="1070" customFormat="false" ht="15" hidden="false" customHeight="false" outlineLevel="0" collapsed="false">
      <c r="A1070" s="6" t="s">
        <v>854</v>
      </c>
      <c r="B1070" s="6" t="s">
        <v>901</v>
      </c>
      <c r="C1070" s="6" t="s">
        <v>902</v>
      </c>
      <c r="D1070" s="9" t="n">
        <v>0</v>
      </c>
    </row>
    <row r="1071" customFormat="false" ht="15" hidden="false" customHeight="false" outlineLevel="0" collapsed="false">
      <c r="A1071" s="6" t="s">
        <v>854</v>
      </c>
      <c r="B1071" s="6" t="s">
        <v>903</v>
      </c>
      <c r="C1071" s="6" t="s">
        <v>904</v>
      </c>
      <c r="D1071" s="9" t="n">
        <v>0</v>
      </c>
    </row>
    <row r="1072" customFormat="false" ht="15" hidden="false" customHeight="false" outlineLevel="0" collapsed="false">
      <c r="A1072" s="6" t="s">
        <v>854</v>
      </c>
      <c r="B1072" s="6" t="s">
        <v>905</v>
      </c>
      <c r="C1072" s="6" t="s">
        <v>906</v>
      </c>
      <c r="D1072" s="9" t="n">
        <v>0</v>
      </c>
    </row>
    <row r="1073" customFormat="false" ht="15" hidden="false" customHeight="false" outlineLevel="0" collapsed="false">
      <c r="A1073" s="6" t="s">
        <v>854</v>
      </c>
      <c r="B1073" s="6" t="s">
        <v>907</v>
      </c>
      <c r="C1073" s="6" t="s">
        <v>908</v>
      </c>
      <c r="D1073" s="9" t="n">
        <v>0</v>
      </c>
    </row>
    <row r="1074" customFormat="false" ht="15" hidden="false" customHeight="false" outlineLevel="0" collapsed="false">
      <c r="A1074" s="6" t="s">
        <v>854</v>
      </c>
      <c r="B1074" s="6" t="s">
        <v>58</v>
      </c>
      <c r="C1074" s="6" t="s">
        <v>909</v>
      </c>
      <c r="D1074" s="9" t="n">
        <v>11</v>
      </c>
    </row>
    <row r="1075" customFormat="false" ht="15" hidden="false" customHeight="false" outlineLevel="0" collapsed="false">
      <c r="A1075" s="6" t="s">
        <v>854</v>
      </c>
      <c r="B1075" s="6" t="s">
        <v>58</v>
      </c>
      <c r="C1075" s="6" t="s">
        <v>910</v>
      </c>
      <c r="D1075" s="9" t="n">
        <v>11</v>
      </c>
    </row>
    <row r="1076" customFormat="false" ht="15" hidden="false" customHeight="false" outlineLevel="0" collapsed="false">
      <c r="A1076" s="6" t="s">
        <v>854</v>
      </c>
      <c r="B1076" s="6" t="s">
        <v>58</v>
      </c>
      <c r="C1076" s="6" t="s">
        <v>911</v>
      </c>
      <c r="D1076" s="9" t="n">
        <v>13</v>
      </c>
    </row>
    <row r="1077" customFormat="false" ht="15" hidden="false" customHeight="false" outlineLevel="0" collapsed="false">
      <c r="A1077" s="6" t="s">
        <v>854</v>
      </c>
      <c r="B1077" s="6" t="s">
        <v>58</v>
      </c>
      <c r="C1077" s="6" t="s">
        <v>912</v>
      </c>
      <c r="D1077" s="9" t="n">
        <v>12</v>
      </c>
    </row>
    <row r="1078" customFormat="false" ht="15" hidden="false" customHeight="false" outlineLevel="0" collapsed="false">
      <c r="A1078" s="6" t="s">
        <v>854</v>
      </c>
      <c r="B1078" s="6" t="s">
        <v>913</v>
      </c>
      <c r="C1078" s="6" t="s">
        <v>914</v>
      </c>
      <c r="D1078" s="9" t="n">
        <v>0</v>
      </c>
    </row>
    <row r="1079" customFormat="false" ht="15" hidden="false" customHeight="false" outlineLevel="0" collapsed="false">
      <c r="A1079" s="6" t="s">
        <v>854</v>
      </c>
      <c r="B1079" s="6" t="s">
        <v>69</v>
      </c>
      <c r="C1079" s="6" t="s">
        <v>915</v>
      </c>
      <c r="D1079" s="9" t="n">
        <v>22</v>
      </c>
    </row>
    <row r="1080" customFormat="false" ht="15" hidden="false" customHeight="false" outlineLevel="0" collapsed="false">
      <c r="A1080" s="6" t="s">
        <v>854</v>
      </c>
      <c r="B1080" s="6" t="s">
        <v>69</v>
      </c>
      <c r="C1080" s="6" t="s">
        <v>916</v>
      </c>
      <c r="D1080" s="9" t="n">
        <v>42</v>
      </c>
    </row>
    <row r="1081" customFormat="false" ht="15" hidden="false" customHeight="false" outlineLevel="0" collapsed="false">
      <c r="A1081" s="6" t="s">
        <v>854</v>
      </c>
      <c r="B1081" s="6" t="s">
        <v>69</v>
      </c>
      <c r="C1081" s="6" t="s">
        <v>917</v>
      </c>
      <c r="D1081" s="9" t="n">
        <v>29</v>
      </c>
    </row>
    <row r="1082" customFormat="false" ht="15" hidden="false" customHeight="false" outlineLevel="0" collapsed="false">
      <c r="A1082" s="6" t="s">
        <v>854</v>
      </c>
      <c r="B1082" s="6" t="s">
        <v>82</v>
      </c>
      <c r="C1082" s="6" t="s">
        <v>918</v>
      </c>
      <c r="D1082" s="9" t="n">
        <v>23</v>
      </c>
    </row>
    <row r="1083" customFormat="false" ht="15" hidden="false" customHeight="false" outlineLevel="0" collapsed="false">
      <c r="A1083" s="6" t="s">
        <v>854</v>
      </c>
      <c r="B1083" s="6" t="s">
        <v>82</v>
      </c>
      <c r="C1083" s="6" t="s">
        <v>919</v>
      </c>
      <c r="D1083" s="9" t="n">
        <v>41</v>
      </c>
    </row>
    <row r="1084" customFormat="false" ht="15" hidden="false" customHeight="false" outlineLevel="0" collapsed="false">
      <c r="A1084" s="6" t="s">
        <v>854</v>
      </c>
      <c r="B1084" s="6" t="s">
        <v>101</v>
      </c>
      <c r="C1084" s="6" t="s">
        <v>920</v>
      </c>
      <c r="D1084" s="9" t="n">
        <v>31</v>
      </c>
    </row>
    <row r="1085" customFormat="false" ht="15" hidden="false" customHeight="false" outlineLevel="0" collapsed="false">
      <c r="A1085" s="6" t="s">
        <v>854</v>
      </c>
      <c r="B1085" s="6" t="s">
        <v>13</v>
      </c>
      <c r="C1085" s="6" t="s">
        <v>840</v>
      </c>
      <c r="D1085" s="9" t="n">
        <v>37</v>
      </c>
    </row>
    <row r="1086" customFormat="false" ht="15" hidden="false" customHeight="false" outlineLevel="0" collapsed="false">
      <c r="A1086" s="6" t="s">
        <v>854</v>
      </c>
      <c r="B1086" s="6" t="s">
        <v>13</v>
      </c>
      <c r="C1086" s="6" t="s">
        <v>841</v>
      </c>
      <c r="D1086" s="9" t="n">
        <v>128</v>
      </c>
    </row>
    <row r="1087" customFormat="false" ht="15" hidden="false" customHeight="false" outlineLevel="0" collapsed="false">
      <c r="A1087" s="6" t="s">
        <v>854</v>
      </c>
      <c r="B1087" s="6" t="s">
        <v>13</v>
      </c>
      <c r="C1087" s="6" t="s">
        <v>842</v>
      </c>
      <c r="D1087" s="9" t="n">
        <v>316</v>
      </c>
    </row>
    <row r="1088" customFormat="false" ht="15" hidden="false" customHeight="false" outlineLevel="0" collapsed="false">
      <c r="A1088" s="6" t="s">
        <v>854</v>
      </c>
      <c r="B1088" s="6" t="s">
        <v>14</v>
      </c>
      <c r="C1088" s="6" t="s">
        <v>843</v>
      </c>
      <c r="D1088" s="9" t="n">
        <v>38</v>
      </c>
    </row>
    <row r="1089" customFormat="false" ht="15" hidden="false" customHeight="false" outlineLevel="0" collapsed="false">
      <c r="A1089" s="6" t="s">
        <v>854</v>
      </c>
      <c r="B1089" s="6" t="s">
        <v>15</v>
      </c>
      <c r="C1089" s="6" t="s">
        <v>843</v>
      </c>
      <c r="D1089" s="9" t="n">
        <v>144</v>
      </c>
    </row>
    <row r="1090" customFormat="false" ht="15" hidden="false" customHeight="false" outlineLevel="0" collapsed="false">
      <c r="A1090" s="6" t="s">
        <v>854</v>
      </c>
      <c r="B1090" s="6" t="s">
        <v>16</v>
      </c>
      <c r="C1090" s="6" t="s">
        <v>843</v>
      </c>
      <c r="D1090" s="9" t="n">
        <v>236</v>
      </c>
    </row>
    <row r="1091" customFormat="false" ht="15" hidden="false" customHeight="false" outlineLevel="0" collapsed="false">
      <c r="A1091" s="6" t="s">
        <v>854</v>
      </c>
      <c r="B1091" s="6" t="s">
        <v>14</v>
      </c>
      <c r="C1091" s="6" t="s">
        <v>844</v>
      </c>
      <c r="D1091" s="9" t="n">
        <v>74</v>
      </c>
    </row>
    <row r="1092" customFormat="false" ht="15" hidden="false" customHeight="false" outlineLevel="0" collapsed="false">
      <c r="A1092" s="6" t="s">
        <v>854</v>
      </c>
      <c r="B1092" s="6" t="s">
        <v>15</v>
      </c>
      <c r="C1092" s="6" t="s">
        <v>844</v>
      </c>
      <c r="D1092" s="9" t="n">
        <v>378</v>
      </c>
    </row>
    <row r="1093" customFormat="false" ht="15" hidden="false" customHeight="false" outlineLevel="0" collapsed="false">
      <c r="A1093" s="6" t="s">
        <v>854</v>
      </c>
      <c r="B1093" s="6" t="s">
        <v>16</v>
      </c>
      <c r="C1093" s="6" t="s">
        <v>844</v>
      </c>
      <c r="D1093" s="9" t="n">
        <v>553</v>
      </c>
    </row>
    <row r="1094" customFormat="false" ht="15" hidden="false" customHeight="false" outlineLevel="0" collapsed="false">
      <c r="A1094" s="6" t="s">
        <v>854</v>
      </c>
      <c r="B1094" s="6" t="s">
        <v>921</v>
      </c>
      <c r="C1094" s="6" t="s">
        <v>922</v>
      </c>
      <c r="D1094" s="9" t="n">
        <v>0</v>
      </c>
    </row>
    <row r="1095" customFormat="false" ht="15" hidden="false" customHeight="false" outlineLevel="0" collapsed="false">
      <c r="A1095" s="6" t="s">
        <v>854</v>
      </c>
      <c r="B1095" s="6" t="s">
        <v>923</v>
      </c>
      <c r="C1095" s="6" t="s">
        <v>924</v>
      </c>
      <c r="D1095" s="9" t="n">
        <v>0</v>
      </c>
    </row>
    <row r="1096" customFormat="false" ht="15" hidden="false" customHeight="false" outlineLevel="0" collapsed="false">
      <c r="A1096" s="6" t="s">
        <v>854</v>
      </c>
      <c r="B1096" s="6" t="s">
        <v>925</v>
      </c>
      <c r="C1096" s="6" t="s">
        <v>569</v>
      </c>
      <c r="D1096" s="9" t="n">
        <v>0</v>
      </c>
    </row>
    <row r="1097" customFormat="false" ht="15" hidden="false" customHeight="false" outlineLevel="0" collapsed="false">
      <c r="A1097" s="6" t="s">
        <v>854</v>
      </c>
      <c r="B1097" s="6" t="s">
        <v>86</v>
      </c>
      <c r="C1097" s="6" t="s">
        <v>926</v>
      </c>
      <c r="D1097" s="9" t="n">
        <v>40</v>
      </c>
    </row>
    <row r="1098" customFormat="false" ht="15" hidden="false" customHeight="false" outlineLevel="0" collapsed="false">
      <c r="A1098" s="6" t="s">
        <v>854</v>
      </c>
      <c r="B1098" s="6" t="s">
        <v>927</v>
      </c>
      <c r="C1098" s="6" t="s">
        <v>928</v>
      </c>
      <c r="D1098" s="9" t="n">
        <v>0</v>
      </c>
    </row>
    <row r="1099" customFormat="false" ht="15" hidden="false" customHeight="false" outlineLevel="0" collapsed="false">
      <c r="A1099" s="6" t="s">
        <v>854</v>
      </c>
      <c r="B1099" s="6" t="s">
        <v>107</v>
      </c>
      <c r="C1099" s="6" t="s">
        <v>846</v>
      </c>
      <c r="D1099" s="9" t="n">
        <v>20</v>
      </c>
    </row>
    <row r="1100" customFormat="false" ht="15" hidden="false" customHeight="false" outlineLevel="0" collapsed="false">
      <c r="A1100" s="6" t="s">
        <v>854</v>
      </c>
      <c r="B1100" s="6" t="s">
        <v>107</v>
      </c>
      <c r="C1100" s="6" t="s">
        <v>847</v>
      </c>
      <c r="D1100" s="9" t="n">
        <v>20</v>
      </c>
    </row>
    <row r="1101" customFormat="false" ht="15" hidden="false" customHeight="false" outlineLevel="0" collapsed="false">
      <c r="A1101" s="6" t="s">
        <v>854</v>
      </c>
      <c r="B1101" s="6" t="s">
        <v>929</v>
      </c>
      <c r="C1101" s="6" t="s">
        <v>930</v>
      </c>
      <c r="D1101" s="9" t="n">
        <v>0</v>
      </c>
    </row>
    <row r="1102" customFormat="false" ht="15" hidden="false" customHeight="false" outlineLevel="0" collapsed="false">
      <c r="A1102" s="6" t="s">
        <v>854</v>
      </c>
      <c r="B1102" s="6" t="s">
        <v>119</v>
      </c>
      <c r="C1102" s="6" t="s">
        <v>848</v>
      </c>
      <c r="D1102" s="9" t="n">
        <v>536</v>
      </c>
    </row>
    <row r="1103" customFormat="false" ht="15" hidden="false" customHeight="false" outlineLevel="0" collapsed="false">
      <c r="A1103" s="6" t="s">
        <v>854</v>
      </c>
      <c r="B1103" s="6" t="s">
        <v>39</v>
      </c>
      <c r="C1103" s="6" t="s">
        <v>849</v>
      </c>
      <c r="D1103" s="9" t="n">
        <v>17</v>
      </c>
    </row>
    <row r="1104" customFormat="false" ht="15" hidden="false" customHeight="false" outlineLevel="0" collapsed="false">
      <c r="A1104" s="6" t="s">
        <v>854</v>
      </c>
      <c r="B1104" s="6" t="s">
        <v>39</v>
      </c>
      <c r="C1104" s="6" t="s">
        <v>850</v>
      </c>
      <c r="D1104" s="9" t="n">
        <v>20</v>
      </c>
    </row>
    <row r="1105" customFormat="false" ht="15" hidden="false" customHeight="false" outlineLevel="0" collapsed="false">
      <c r="A1105" s="6" t="s">
        <v>854</v>
      </c>
      <c r="B1105" s="6" t="s">
        <v>39</v>
      </c>
      <c r="C1105" s="6" t="s">
        <v>851</v>
      </c>
      <c r="D1105" s="9" t="n">
        <v>26</v>
      </c>
    </row>
    <row r="1106" customFormat="false" ht="15" hidden="false" customHeight="false" outlineLevel="0" collapsed="false">
      <c r="A1106" s="6" t="s">
        <v>854</v>
      </c>
      <c r="B1106" s="6" t="s">
        <v>39</v>
      </c>
      <c r="C1106" s="6" t="s">
        <v>852</v>
      </c>
      <c r="D1106" s="9" t="n">
        <v>42</v>
      </c>
    </row>
    <row r="1107" customFormat="false" ht="15" hidden="false" customHeight="false" outlineLevel="0" collapsed="false">
      <c r="A1107" s="6" t="s">
        <v>854</v>
      </c>
      <c r="B1107" s="6" t="s">
        <v>39</v>
      </c>
      <c r="C1107" s="6" t="s">
        <v>853</v>
      </c>
      <c r="D1107" s="9" t="n">
        <v>30</v>
      </c>
    </row>
    <row r="1108" customFormat="false" ht="15" hidden="false" customHeight="false" outlineLevel="0" collapsed="false">
      <c r="A1108" s="6" t="s">
        <v>854</v>
      </c>
      <c r="B1108" s="6" t="s">
        <v>39</v>
      </c>
      <c r="C1108" s="6" t="s">
        <v>931</v>
      </c>
      <c r="D1108" s="9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2026-09-19T12:30:51Z</dcterms:created>
  <dc:creator>openpyxl</dc:creator>
  <dc:description/>
  <dc:language>en-US</dc:language>
  <cp:lastModifiedBy/>
  <dcterms:modified xsi:type="dcterms:W3CDTF">2026-09-19T12:30:51Z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