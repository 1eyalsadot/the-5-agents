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קופת חולים כללית" sheetId="2" state="visible" r:id="rId4"/>
    <sheet name="Sour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(not directly verifiable from this source file, which has no per-row date field) - same 9.5 months used in the PPLAY1-based workbook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sharedStrings.xml><?xml version="1.0" encoding="utf-8"?>
<sst xmlns="http://schemas.openxmlformats.org/spreadsheetml/2006/main" count="185" uniqueCount="99">
  <si>
    <t xml:space="preserve">Sales Comparison 2025 vs 2026 - by Customer (NetSuite "1-Sales: Customer by Item") - built to match the field layout of 2026-09-19-grouped-2025-vs-2026.xlsx!Index, plus annualized columns</t>
  </si>
  <si>
    <t xml:space="preserve">Calculation date:</t>
  </si>
  <si>
    <t xml:space="preserve">Same 18 columns (1-18) as Index in 2026-09-19-grouped-2025-vs-2026.xlsx, so the two Index sheets can be compared directly; columns 19-22 add the 2026-annualized view (x12/9.5, see the customer sheet for the factor and methodology note). "# Raw categories" (col C) is not meaningful for a single NetSuite customer (no raw-category grouping involved here) - shown as N/A. Built to hold one row per customer; add more rows below as more customers from this NetSuite source are processed.</t>
  </si>
  <si>
    <t xml:space="preserve">Group</t>
  </si>
  <si>
    <t xml:space="preserve">Sheet</t>
  </si>
  <si>
    <t xml:space="preserve"># Raw categories</t>
  </si>
  <si>
    <t xml:space="preserve"># Product Codes</t>
  </si>
  <si>
    <t xml:space="preserve"># Product Codes 2025</t>
  </si>
  <si>
    <t xml:space="preserve"># Product Codes 2026</t>
  </si>
  <si>
    <t xml:space="preserve"># DROP (sold 2025, 0 in 2026)</t>
  </si>
  <si>
    <t xml:space="preserve"># NEW (sold 2026, 0 in 2025)</t>
  </si>
  <si>
    <t xml:space="preserve">DROP — Quantity 2025</t>
  </si>
  <si>
    <t xml:space="preserve">DROP — Amount 2025 (₪)</t>
  </si>
  <si>
    <t xml:space="preserve">NEW — Quantity 2026</t>
  </si>
  <si>
    <t xml:space="preserve">NEW — Amount 2026 (₪)</t>
  </si>
  <si>
    <t xml:space="preserve">Quantity 2025</t>
  </si>
  <si>
    <t xml:space="preserve">Quantity 2026</t>
  </si>
  <si>
    <t xml:space="preserve">Qty Change %</t>
  </si>
  <si>
    <t xml:space="preserve">Amount 2025 (₪)</t>
  </si>
  <si>
    <t xml:space="preserve">Amount 2026 (₪)</t>
  </si>
  <si>
    <t xml:space="preserve">Amount Change %</t>
  </si>
  <si>
    <t xml:space="preserve">קופת חולים כללית</t>
  </si>
  <si>
    <t xml:space="preserve">N/A</t>
  </si>
  <si>
    <t xml:space="preserve">Sales Comparison 2025 vs 2026 (Annualized) - Customer: קופת חולים כללית (152501, by Product CODE)</t>
  </si>
  <si>
    <t xml:space="preserve">Source: NetSuite report "1-Sales: Customer by Item" (01/01/2025-31/12/2026), customer = "152501 קופ"ח כללית 1203-9" only (exact single match, no branch hierarchy). Product CODE = column "Item: Name" (F) - NOT "Item: Name (Grouped)" (E), which carries a PARENT prefix. 2025 = columns J/K (Quantity/Amount Net); 2026 = columns O/P. Multiple rows per CODE per customer (one per unit-price tier) are summed (SUMIF) per CODE, not taken from a single row. Raw rows (47) kept unchanged in the "Source" sheet. IMPORTANT: the source file’s own header states the report range as "01 January 2025 - 31 December 2026", but the file itself has no per-row date/timestamp field, so it cannot be verified from the data itself exactly when in 2026 the underlying data collection stopped. Since the file was prepared on/around 19/09/2026 (same as the other daily workbooks), the same assumption is used here for consistency: 2026 actual covers approximately 9.5 months (1 Jan - 15 Sep). If the real cutoff differs, ask the user/Reuven to confirm the exact date before relying on the annualized figures below.</t>
  </si>
  <si>
    <t xml:space="preserve">Annualization note: 2026 actual data is assumed to cover approximately 9.5 months (1 Jan - 15 Sep 2026), consistent with the other workbook (2026-09-19-grouped-2025-vs-2026.xlsx). Scaled to a full year via a simple linear factor = 12 / 9.5 (≈ 1.263158) - straight-line extrapolation, does NOT account for seasonality. Treat as an estimate.</t>
  </si>
  <si>
    <t xml:space="preserve">Months in full year:</t>
  </si>
  <si>
    <t xml:space="preserve">Months covered by 2026 actual (assumed 1/1–15/9):</t>
  </si>
  <si>
    <t xml:space="preserve"># DROP (sold 2025, 0 in 2026):</t>
  </si>
  <si>
    <t xml:space="preserve"># NEW (sold 2026, 0 in 2025):</t>
  </si>
  <si>
    <t xml:space="preserve">Normalization factor (J4/L4):</t>
  </si>
  <si>
    <t xml:space="preserve">DROP — Quantity 2025:</t>
  </si>
  <si>
    <t xml:space="preserve">DROP — Amount 2025 (₪):</t>
  </si>
  <si>
    <t xml:space="preserve">NEW — Quantity 2026:</t>
  </si>
  <si>
    <t xml:space="preserve">NEW — Amount 2026 (₪):</t>
  </si>
  <si>
    <t xml:space="preserve">Product Code</t>
  </si>
  <si>
    <t xml:space="preserve">Item Display Name</t>
  </si>
  <si>
    <t xml:space="preserve">Quantity 2026 (Actual, partial year)</t>
  </si>
  <si>
    <t xml:space="preserve">Quantity 2026 (Annualized)</t>
  </si>
  <si>
    <t xml:space="preserve">Quantity Change (Annualized vs 2025)</t>
  </si>
  <si>
    <t xml:space="preserve">Quantity Change % (Annualized vs 2025)</t>
  </si>
  <si>
    <t xml:space="preserve">Amount 2026 (Actual, partial year) (₪)</t>
  </si>
  <si>
    <t xml:space="preserve">Amount 2026 (Annualized) (₪)</t>
  </si>
  <si>
    <t xml:space="preserve">Amount Change (Annualized vs 2025) (₪)</t>
  </si>
  <si>
    <t xml:space="preserve">Amount Change % (Annualized vs 2025)</t>
  </si>
  <si>
    <t xml:space="preserve">Note</t>
  </si>
  <si>
    <t xml:space="preserve">KST422 0</t>
  </si>
  <si>
    <t xml:space="preserve">K078 L</t>
  </si>
  <si>
    <t xml:space="preserve">K078 XL</t>
  </si>
  <si>
    <t xml:space="preserve">KST25 0</t>
  </si>
  <si>
    <t xml:space="preserve">K078 M</t>
  </si>
  <si>
    <t xml:space="preserve">K078 XXL</t>
  </si>
  <si>
    <t xml:space="preserve">KST27R 0</t>
  </si>
  <si>
    <t xml:space="preserve">KST95 0</t>
  </si>
  <si>
    <t xml:space="preserve">K45 XL</t>
  </si>
  <si>
    <t xml:space="preserve">K35 L</t>
  </si>
  <si>
    <t xml:space="preserve">KST37 0</t>
  </si>
  <si>
    <t xml:space="preserve">KST28 0</t>
  </si>
  <si>
    <t xml:space="preserve">K45 M</t>
  </si>
  <si>
    <t xml:space="preserve">KST27L 0</t>
  </si>
  <si>
    <t xml:space="preserve">K45 L</t>
  </si>
  <si>
    <t xml:space="preserve">KST91 0</t>
  </si>
  <si>
    <t xml:space="preserve">K11U L</t>
  </si>
  <si>
    <t xml:space="preserve">K11U XL</t>
  </si>
  <si>
    <t xml:space="preserve">K35 M</t>
  </si>
  <si>
    <t xml:space="preserve">KST11 0</t>
  </si>
  <si>
    <t xml:space="preserve">K11U M</t>
  </si>
  <si>
    <t xml:space="preserve">K61 L</t>
  </si>
  <si>
    <t xml:space="preserve">KST20 0</t>
  </si>
  <si>
    <t xml:space="preserve">K85 L</t>
  </si>
  <si>
    <t xml:space="preserve">K11U XXL</t>
  </si>
  <si>
    <t xml:space="preserve">K35 XL</t>
  </si>
  <si>
    <t xml:space="preserve">K45 S</t>
  </si>
  <si>
    <t xml:space="preserve">K35 S</t>
  </si>
  <si>
    <t xml:space="preserve">K801 0</t>
  </si>
  <si>
    <t xml:space="preserve">K85 M</t>
  </si>
  <si>
    <t xml:space="preserve">K61 M</t>
  </si>
  <si>
    <t xml:space="preserve">99 General</t>
  </si>
  <si>
    <t xml:space="preserve">ST27L 0</t>
  </si>
  <si>
    <t xml:space="preserve">TOTAL</t>
  </si>
  <si>
    <t xml:space="preserve">Raw source rows - Customer = "152501 קופ"ח כללית 1203-9" only (from NetSuite "1-Sales: Customer by Item", 01/01/2025-31/12/2026), unchanged</t>
  </si>
  <si>
    <t xml:space="preserve">Item Name (CODE)</t>
  </si>
  <si>
    <t xml:space="preserve">Item: Display Name</t>
  </si>
  <si>
    <t xml:space="preserve">Amount 2025 (Net, ₪)</t>
  </si>
  <si>
    <t xml:space="preserve">Amount 2026 (Net, ₪)</t>
  </si>
  <si>
    <t xml:space="preserve">חגורת גב+סגירה כפולה</t>
  </si>
  <si>
    <t xml:space="preserve">חגורת בטן עממית</t>
  </si>
  <si>
    <t xml:space="preserve">מגן קרסול פתוח</t>
  </si>
  <si>
    <t xml:space="preserve">מגן ברך רגיל</t>
  </si>
  <si>
    <t xml:space="preserve">צוארון עממי</t>
  </si>
  <si>
    <t xml:space="preserve">ICE &amp; GO</t>
  </si>
  <si>
    <t xml:space="preserve">מתלה יד-כיס</t>
  </si>
  <si>
    <t xml:space="preserve">חגורת בטן קלה</t>
  </si>
  <si>
    <t xml:space="preserve">חבק יד</t>
  </si>
  <si>
    <t xml:space="preserve">סד יד</t>
  </si>
  <si>
    <t xml:space="preserve">מגן קרסול</t>
  </si>
  <si>
    <t xml:space="preserve">מגן ברך עם כרית ג'ל</t>
  </si>
  <si>
    <t xml:space="preserve">חבק טניס</t>
  </si>
  <si>
    <t xml:space="preserve">מגן מרפק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</si>
</sst>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"/>
    <numFmt numFmtId="166" formatCode="#,##0"/>
    <numFmt numFmtId="167" formatCode="0%"/>
    <numFmt numFmtId="168" formatCode="0.0"/>
    <numFmt numFmtId="169" formatCode="0.00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E1F2"/>
      </patternFill>
    </fill>
    <fill>
      <patternFill patternType="solid">
        <fgColor rgb="FFED7D31"/>
        <bgColor rgb="FFFF8080"/>
      </patternFill>
    </fill>
    <fill>
      <patternFill patternType="solid">
        <fgColor rgb="FFC6E0B4"/>
        <bgColor rgb="FFD9D9D9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8" min="5" style="1" width="14"/>
    <col collapsed="false" customWidth="true" hidden="false" outlineLevel="0" max="9" min="9" style="1" width="13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15"/>
    <col collapsed="false" customWidth="true" hidden="false" outlineLevel="0" max="13" min="13" style="1" width="12"/>
    <col collapsed="false" customWidth="true" hidden="false" outlineLevel="0" max="14" min="14" style="1" width="14"/>
    <col collapsed="false" customWidth="true" hidden="false" outlineLevel="0" max="16" min="15" style="1" width="13"/>
    <col collapsed="false" customWidth="true" hidden="false" outlineLevel="0" max="17" min="17" style="1" width="14"/>
    <col collapsed="false" customWidth="true" hidden="false" outlineLevel="0" max="18" min="18" style="1" width="13"/>
    <col collapsed="false" customWidth="true" hidden="false" outlineLevel="0" max="19" min="19" style="1" width="15"/>
    <col collapsed="false" customWidth="true" hidden="false" outlineLevel="0" max="20" min="20" style="1" width="13"/>
    <col collapsed="false" customWidth="true" hidden="false" outlineLevel="0" max="21" min="21" style="1" width="15"/>
    <col collapsed="false" customWidth="true" hidden="false" outlineLevel="0" max="22" min="22" style="1" width="13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4" t="n">
        <v>46284</v>
      </c>
    </row>
    <row r="3" customFormat="false" ht="54.7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5" customFormat="false" ht="33.75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</row>
    <row r="6" customFormat="false" ht="15" hidden="false" customHeight="true" outlineLevel="0" collapsed="false">
      <c r="A6" s="7" t="s">
        <v>21</v>
      </c>
      <c r="B6" s="8" t="s">
        <v>21</v>
      </c>
      <c r="C6" s="8" t="s">
        <v>22</v>
      </c>
      <c r="D6" s="9" t="n">
        <f aca="false">COUNTA('קופת חולים כללית'!$A$9:$A$41)</f>
        <v>33</v>
      </c>
      <c r="E6" s="9" t="n">
        <f aca="false">SUMPRODUCT(--(('קופת חולים כללית'!$C$9:$C$41&lt;&gt;0)+('קופת חולים כללית'!$H$9:$H$41&lt;&gt;0)&gt;0))</f>
        <v>32</v>
      </c>
      <c r="F6" s="9" t="n">
        <f aca="false">SUMPRODUCT(--(('קופת חולים כללית'!$D$9:$D$41&lt;&gt;0)+('קופת חולים כללית'!$I$9:$I$41&lt;&gt;0)&gt;0))</f>
        <v>32</v>
      </c>
      <c r="G6" s="9" t="n">
        <f aca="false">'קופת חולים כללית'!B5</f>
        <v>1</v>
      </c>
      <c r="H6" s="9" t="n">
        <f aca="false">'קופת חולים כללית'!D5</f>
        <v>1</v>
      </c>
      <c r="I6" s="9" t="n">
        <f aca="false">'קופת חולים כללית'!B6</f>
        <v>-1</v>
      </c>
      <c r="J6" s="9" t="n">
        <f aca="false">'קופת חולים כללית'!D6</f>
        <v>-62.43</v>
      </c>
      <c r="K6" s="9" t="n">
        <f aca="false">'קופת חולים כללית'!F6</f>
        <v>-2</v>
      </c>
      <c r="L6" s="9" t="n">
        <f aca="false">'קופת חולים כללית'!H6</f>
        <v>-1176</v>
      </c>
      <c r="M6" s="9" t="n">
        <f aca="false">'קופת חולים כללית'!C43</f>
        <v>152395</v>
      </c>
      <c r="N6" s="9" t="n">
        <f aca="false">'קופת חולים כללית'!D43</f>
        <v>110137</v>
      </c>
      <c r="O6" s="10" t="n">
        <f aca="false">IF('קופת חולים כללית'!C43=0,"N/A",('קופת חולים כללית'!D43-'קופת חולים כללית'!C43)/'קופת חולים כללית'!C43)</f>
        <v>-0.277292562091932</v>
      </c>
      <c r="P6" s="9" t="n">
        <f aca="false">'קופת חולים כללית'!H43</f>
        <v>3809616.42</v>
      </c>
      <c r="Q6" s="9" t="n">
        <f aca="false">'קופת חולים כללית'!I43</f>
        <v>2569653.05</v>
      </c>
      <c r="R6" s="10" t="n">
        <f aca="false">IF('קופת חולים כללית'!H43=0,"N/A",('קופת חולים כללית'!I43-'קופת חולים כללית'!H43)/'קופת חולים כללית'!H43)</f>
        <v>-0.325482472064734</v>
      </c>
    </row>
  </sheetData>
  <mergeCells count="1">
    <mergeCell ref="A3:V3"/>
  </mergeCells>
  <hyperlinks>
    <hyperlink ref="A6" location="'קופת חולים כללית'!A1" display="קופת חולים כללית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6" min="4" style="1" width="15"/>
    <col collapsed="false" customWidth="true" hidden="false" outlineLevel="0" max="7" min="7" style="1" width="16"/>
    <col collapsed="false" customWidth="true" hidden="false" outlineLevel="0" max="8" min="8" style="1" width="15"/>
    <col collapsed="false" customWidth="true" hidden="false" outlineLevel="0" max="9" min="9" style="1" width="17"/>
    <col collapsed="false" customWidth="true" hidden="false" outlineLevel="0" max="11" min="10" style="1" width="15"/>
    <col collapsed="false" customWidth="true" hidden="false" outlineLevel="0" max="12" min="12" style="1" width="16"/>
    <col collapsed="false" customWidth="true" hidden="false" outlineLevel="0" max="13" min="13" style="1" width="10"/>
  </cols>
  <sheetData>
    <row r="1" customFormat="false" ht="15" hidden="false" customHeight="true" outlineLevel="0" collapsed="false">
      <c r="A1" s="2" t="s">
        <v>23</v>
      </c>
    </row>
    <row r="2" customFormat="false" ht="15" hidden="false" customHeight="true" outlineLevel="0" collapsed="false">
      <c r="A2" s="3" t="s">
        <v>1</v>
      </c>
      <c r="B2" s="4" t="n">
        <v>46284</v>
      </c>
    </row>
    <row r="3" customFormat="false" ht="109.5" hidden="false" customHeight="true" outlineLevel="0" collapsed="false">
      <c r="A3" s="5" t="s">
        <v>24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customFormat="false" ht="54.75" hidden="false" customHeight="true" outlineLevel="0" collapsed="false">
      <c r="A4" s="5" t="s">
        <v>25</v>
      </c>
      <c r="B4" s="5"/>
      <c r="C4" s="5"/>
      <c r="D4" s="5"/>
      <c r="E4" s="5"/>
      <c r="F4" s="5"/>
      <c r="G4" s="5"/>
      <c r="H4" s="5"/>
      <c r="I4" s="11" t="s">
        <v>26</v>
      </c>
      <c r="J4" s="12" t="n">
        <v>12</v>
      </c>
      <c r="K4" s="13" t="s">
        <v>27</v>
      </c>
      <c r="L4" s="12" t="n">
        <v>9.5</v>
      </c>
    </row>
    <row r="5" customFormat="false" ht="30" hidden="false" customHeight="true" outlineLevel="0" collapsed="false">
      <c r="A5" s="14" t="s">
        <v>28</v>
      </c>
      <c r="B5" s="15" t="n">
        <f aca="false">SUMPRODUCT(--(((C9:C41&lt;&gt;0)+(H9:H41&lt;&gt;0)&gt;0)*((D9:D41=0)*(I9:I41=0))))</f>
        <v>1</v>
      </c>
      <c r="C5" s="14" t="s">
        <v>29</v>
      </c>
      <c r="D5" s="15" t="n">
        <f aca="false">SUMPRODUCT(--(((D9:D41&lt;&gt;0)+(I9:I41&lt;&gt;0)&gt;0)*((C9:C41=0)*(H9:H41=0))))</f>
        <v>1</v>
      </c>
      <c r="I5" s="14" t="s">
        <v>30</v>
      </c>
      <c r="J5" s="16" t="n">
        <f aca="false">J4/L4</f>
        <v>1.26315789473684</v>
      </c>
    </row>
    <row r="6" customFormat="false" ht="30" hidden="false" customHeight="true" outlineLevel="0" collapsed="false">
      <c r="A6" s="14" t="s">
        <v>31</v>
      </c>
      <c r="B6" s="15" t="n">
        <f aca="false">SUMPRODUCT(--(((C9:C41&lt;&gt;0)+(H9:H41&lt;&gt;0)&gt;0)*((D9:D41=0)*(I9:I41=0)))*C9:C41)</f>
        <v>-1</v>
      </c>
      <c r="C6" s="14" t="s">
        <v>32</v>
      </c>
      <c r="D6" s="15" t="n">
        <f aca="false">SUMPRODUCT(--(((C9:C41&lt;&gt;0)+(H9:H41&lt;&gt;0)&gt;0)*((D9:D41=0)*(I9:I41=0)))*H9:H41)</f>
        <v>-62.43</v>
      </c>
      <c r="E6" s="14" t="s">
        <v>33</v>
      </c>
      <c r="F6" s="15" t="n">
        <f aca="false">SUMPRODUCT(--(((D9:D41&lt;&gt;0)+(I9:I41&lt;&gt;0)&gt;0)*((C9:C41=0)*(H9:H41=0)))*D9:D41)</f>
        <v>-2</v>
      </c>
      <c r="G6" s="14" t="s">
        <v>34</v>
      </c>
      <c r="H6" s="15" t="n">
        <f aca="false">SUMPRODUCT(--(((D9:D41&lt;&gt;0)+(I9:I41&lt;&gt;0)&gt;0)*((C9:C41=0)*(H9:H41=0)))*I9:I41)</f>
        <v>-1176</v>
      </c>
    </row>
    <row r="8" customFormat="false" ht="43.5" hidden="false" customHeight="true" outlineLevel="0" collapsed="false">
      <c r="A8" s="6" t="s">
        <v>35</v>
      </c>
      <c r="B8" s="6" t="s">
        <v>36</v>
      </c>
      <c r="C8" s="6" t="s">
        <v>15</v>
      </c>
      <c r="D8" s="17" t="s">
        <v>37</v>
      </c>
      <c r="E8" s="6" t="s">
        <v>38</v>
      </c>
      <c r="F8" s="6" t="s">
        <v>39</v>
      </c>
      <c r="G8" s="6" t="s">
        <v>40</v>
      </c>
      <c r="H8" s="6" t="s">
        <v>18</v>
      </c>
      <c r="I8" s="17" t="s">
        <v>41</v>
      </c>
      <c r="J8" s="6" t="s">
        <v>42</v>
      </c>
      <c r="K8" s="6" t="s">
        <v>43</v>
      </c>
      <c r="L8" s="6" t="s">
        <v>44</v>
      </c>
      <c r="M8" s="6" t="s">
        <v>45</v>
      </c>
    </row>
    <row r="9" customFormat="false" ht="15" hidden="false" customHeight="true" outlineLevel="0" collapsed="false">
      <c r="A9" s="8" t="s">
        <v>46</v>
      </c>
      <c r="B9" s="8" t="str">
        <f aca="false">IFERROR(INDEX('Source'!$B:$B,MATCH($A9,'Source'!$A:$A,0)),"")</f>
        <v>מגן ברך עם כרית ג'ל</v>
      </c>
      <c r="C9" s="9" t="n">
        <f aca="false">SUMIF('Source'!$A:$A,$A9,'Source'!$C:$C)</f>
        <v>13299</v>
      </c>
      <c r="D9" s="9" t="n">
        <f aca="false">SUMIF('Source'!$A:$A,$A9,'Source'!$E:$E)</f>
        <v>9589</v>
      </c>
      <c r="E9" s="9" t="n">
        <f aca="false">D9*$J$5</f>
        <v>12112.4210526316</v>
      </c>
      <c r="F9" s="9" t="n">
        <f aca="false">E9-C9</f>
        <v>-1186.57894736842</v>
      </c>
      <c r="G9" s="10" t="n">
        <f aca="false">IF(AND(C9=0,E9=0),0,IF(C9=0,"New",(E9-C9)/C9))</f>
        <v>-0.0892231707172285</v>
      </c>
      <c r="H9" s="9" t="n">
        <f aca="false">SUMIF('Source'!$A:$A,$A9,'Source'!$D:$D)</f>
        <v>577794.6</v>
      </c>
      <c r="I9" s="9" t="n">
        <f aca="false">SUMIF('Source'!$A:$A,$A9,'Source'!$F:$F)</f>
        <v>396984.6</v>
      </c>
      <c r="J9" s="9" t="n">
        <f aca="false">I9*$J$5</f>
        <v>501454.231578947</v>
      </c>
      <c r="K9" s="9" t="n">
        <f aca="false">J9-H9</f>
        <v>-76340.3684210526</v>
      </c>
      <c r="L9" s="10" t="n">
        <f aca="false">IF(AND(H9=0,J9=0),0,IF(H9=0,"New",(J9-H9)/H9))</f>
        <v>-0.132123713895998</v>
      </c>
      <c r="M9" s="8" t="str">
        <f aca="false">IF(AND(OR(C9&lt;&gt;0,H9&lt;&gt;0),D9=0,I9=0),"DROP",IF(AND(OR(D9&lt;&gt;0,I9&lt;&gt;0),C9=0,H9=0),"NEW",""))</f>
        <v/>
      </c>
    </row>
    <row r="10" customFormat="false" ht="15" hidden="false" customHeight="true" outlineLevel="0" collapsed="false">
      <c r="A10" s="8" t="s">
        <v>47</v>
      </c>
      <c r="B10" s="8" t="str">
        <f aca="false">IFERROR(INDEX('Source'!$B:$B,MATCH($A10,'Source'!$A:$A,0)),"")</f>
        <v>חגורת גב+סגירה כפולה</v>
      </c>
      <c r="C10" s="9" t="n">
        <f aca="false">SUMIF('Source'!$A:$A,$A10,'Source'!$C:$C)</f>
        <v>7450</v>
      </c>
      <c r="D10" s="9" t="n">
        <f aca="false">SUMIF('Source'!$A:$A,$A10,'Source'!$E:$E)</f>
        <v>5000</v>
      </c>
      <c r="E10" s="9" t="n">
        <f aca="false">D10*$J$5</f>
        <v>6315.78947368421</v>
      </c>
      <c r="F10" s="9" t="n">
        <f aca="false">E10-C10</f>
        <v>-1134.21052631579</v>
      </c>
      <c r="G10" s="10" t="n">
        <f aca="false">IF(AND(C10=0,E10=0),0,IF(C10=0,"New",(E10-C10)/C10))</f>
        <v>-0.152243023666549</v>
      </c>
      <c r="H10" s="9" t="n">
        <f aca="false">SUMIF('Source'!$A:$A,$A10,'Source'!$D:$D)</f>
        <v>422328</v>
      </c>
      <c r="I10" s="9" t="n">
        <f aca="false">SUMIF('Source'!$A:$A,$A10,'Source'!$F:$F)</f>
        <v>272050</v>
      </c>
      <c r="J10" s="9" t="n">
        <f aca="false">I10*$J$5</f>
        <v>343642.105263158</v>
      </c>
      <c r="K10" s="9" t="n">
        <f aca="false">J10-H10</f>
        <v>-78685.8947368421</v>
      </c>
      <c r="L10" s="10" t="n">
        <f aca="false">IF(AND(H10=0,J10=0),0,IF(H10=0,"New",(J10-H10)/H10))</f>
        <v>-0.186314652916317</v>
      </c>
      <c r="M10" s="8" t="str">
        <f aca="false">IF(AND(OR(C10&lt;&gt;0,H10&lt;&gt;0),D10=0,I10=0),"DROP",IF(AND(OR(D10&lt;&gt;0,I10&lt;&gt;0),C10=0,H10=0),"NEW",""))</f>
        <v/>
      </c>
    </row>
    <row r="11" customFormat="false" ht="15" hidden="false" customHeight="true" outlineLevel="0" collapsed="false">
      <c r="A11" s="8" t="s">
        <v>48</v>
      </c>
      <c r="B11" s="8" t="str">
        <f aca="false">IFERROR(INDEX('Source'!$B:$B,MATCH($A11,'Source'!$A:$A,0)),"")</f>
        <v>חגורת גב+סגירה כפולה</v>
      </c>
      <c r="C11" s="9" t="n">
        <f aca="false">SUMIF('Source'!$A:$A,$A11,'Source'!$C:$C)</f>
        <v>5850</v>
      </c>
      <c r="D11" s="9" t="n">
        <f aca="false">SUMIF('Source'!$A:$A,$A11,'Source'!$E:$E)</f>
        <v>3700</v>
      </c>
      <c r="E11" s="9" t="n">
        <f aca="false">D11*$J$5</f>
        <v>4673.68421052632</v>
      </c>
      <c r="F11" s="9" t="n">
        <f aca="false">E11-C11</f>
        <v>-1176.31578947368</v>
      </c>
      <c r="G11" s="10" t="n">
        <f aca="false">IF(AND(C11=0,E11=0),0,IF(C11=0,"New",(E11-C11)/C11))</f>
        <v>-0.201079622132254</v>
      </c>
      <c r="H11" s="9" t="n">
        <f aca="false">SUMIF('Source'!$A:$A,$A11,'Source'!$D:$D)</f>
        <v>332000</v>
      </c>
      <c r="I11" s="9" t="n">
        <f aca="false">SUMIF('Source'!$A:$A,$A11,'Source'!$F:$F)</f>
        <v>201317</v>
      </c>
      <c r="J11" s="9" t="n">
        <f aca="false">I11*$J$5</f>
        <v>254295.157894737</v>
      </c>
      <c r="K11" s="9" t="n">
        <f aca="false">J11-H11</f>
        <v>-77704.8421052632</v>
      </c>
      <c r="L11" s="10" t="n">
        <f aca="false">IF(AND(H11=0,J11=0),0,IF(H11=0,"New",(J11-H11)/H11))</f>
        <v>-0.23405072923272</v>
      </c>
      <c r="M11" s="8" t="str">
        <f aca="false">IF(AND(OR(C11&lt;&gt;0,H11&lt;&gt;0),D11=0,I11=0),"DROP",IF(AND(OR(D11&lt;&gt;0,I11&lt;&gt;0),C11=0,H11=0),"NEW",""))</f>
        <v/>
      </c>
    </row>
    <row r="12" customFormat="false" ht="15" hidden="false" customHeight="true" outlineLevel="0" collapsed="false">
      <c r="A12" s="8" t="s">
        <v>49</v>
      </c>
      <c r="B12" s="8" t="str">
        <f aca="false">IFERROR(INDEX('Source'!$B:$B,MATCH($A12,'Source'!$A:$A,0)),"")</f>
        <v>חבק יד</v>
      </c>
      <c r="C12" s="9" t="n">
        <f aca="false">SUMIF('Source'!$A:$A,$A12,'Source'!$C:$C)</f>
        <v>21480</v>
      </c>
      <c r="D12" s="9" t="n">
        <f aca="false">SUMIF('Source'!$A:$A,$A12,'Source'!$E:$E)</f>
        <v>15110</v>
      </c>
      <c r="E12" s="9" t="n">
        <f aca="false">D12*$J$5</f>
        <v>19086.3157894737</v>
      </c>
      <c r="F12" s="9" t="n">
        <f aca="false">E12-C12</f>
        <v>-2393.68421052632</v>
      </c>
      <c r="G12" s="10" t="n">
        <f aca="false">IF(AND(C12=0,E12=0),0,IF(C12=0,"New",(E12-C12)/C12))</f>
        <v>-0.111437812408115</v>
      </c>
      <c r="H12" s="9" t="n">
        <f aca="false">SUMIF('Source'!$A:$A,$A12,'Source'!$D:$D)</f>
        <v>344287.2</v>
      </c>
      <c r="I12" s="9" t="n">
        <f aca="false">SUMIF('Source'!$A:$A,$A12,'Source'!$F:$F)</f>
        <v>227103.3</v>
      </c>
      <c r="J12" s="9" t="n">
        <f aca="false">I12*$J$5</f>
        <v>286867.326315789</v>
      </c>
      <c r="K12" s="9" t="n">
        <f aca="false">J12-H12</f>
        <v>-57419.8736842106</v>
      </c>
      <c r="L12" s="10" t="n">
        <f aca="false">IF(AND(H12=0,J12=0),0,IF(H12=0,"New",(J12-H12)/H12))</f>
        <v>-0.166778996385026</v>
      </c>
      <c r="M12" s="8" t="str">
        <f aca="false">IF(AND(OR(C12&lt;&gt;0,H12&lt;&gt;0),D12=0,I12=0),"DROP",IF(AND(OR(D12&lt;&gt;0,I12&lt;&gt;0),C12=0,H12=0),"NEW",""))</f>
        <v/>
      </c>
    </row>
    <row r="13" customFormat="false" ht="15" hidden="false" customHeight="true" outlineLevel="0" collapsed="false">
      <c r="A13" s="8" t="s">
        <v>50</v>
      </c>
      <c r="B13" s="8" t="str">
        <f aca="false">IFERROR(INDEX('Source'!$B:$B,MATCH($A13,'Source'!$A:$A,0)),"")</f>
        <v>חגורת גב+סגירה כפולה</v>
      </c>
      <c r="C13" s="9" t="n">
        <f aca="false">SUMIF('Source'!$A:$A,$A13,'Source'!$C:$C)</f>
        <v>3800</v>
      </c>
      <c r="D13" s="9" t="n">
        <f aca="false">SUMIF('Source'!$A:$A,$A13,'Source'!$E:$E)</f>
        <v>2200</v>
      </c>
      <c r="E13" s="9" t="n">
        <f aca="false">D13*$J$5</f>
        <v>2778.94736842105</v>
      </c>
      <c r="F13" s="9" t="n">
        <f aca="false">E13-C13</f>
        <v>-1021.05263157895</v>
      </c>
      <c r="G13" s="10" t="n">
        <f aca="false">IF(AND(C13=0,E13=0),0,IF(C13=0,"New",(E13-C13)/C13))</f>
        <v>-0.268698060941828</v>
      </c>
      <c r="H13" s="9" t="n">
        <f aca="false">SUMIF('Source'!$A:$A,$A13,'Source'!$D:$D)</f>
        <v>215142.5</v>
      </c>
      <c r="I13" s="9" t="n">
        <f aca="false">SUMIF('Source'!$A:$A,$A13,'Source'!$F:$F)</f>
        <v>119702</v>
      </c>
      <c r="J13" s="9" t="n">
        <f aca="false">I13*$J$5</f>
        <v>151202.526315789</v>
      </c>
      <c r="K13" s="9" t="n">
        <f aca="false">J13-H13</f>
        <v>-63939.9736842105</v>
      </c>
      <c r="L13" s="10" t="n">
        <f aca="false">IF(AND(H13=0,J13=0),0,IF(H13=0,"New",(J13-H13)/H13))</f>
        <v>-0.297198246205239</v>
      </c>
      <c r="M13" s="8" t="str">
        <f aca="false">IF(AND(OR(C13&lt;&gt;0,H13&lt;&gt;0),D13=0,I13=0),"DROP",IF(AND(OR(D13&lt;&gt;0,I13&lt;&gt;0),C13=0,H13=0),"NEW",""))</f>
        <v/>
      </c>
    </row>
    <row r="14" customFormat="false" ht="15" hidden="false" customHeight="true" outlineLevel="0" collapsed="false">
      <c r="A14" s="8" t="s">
        <v>51</v>
      </c>
      <c r="B14" s="8" t="str">
        <f aca="false">IFERROR(INDEX('Source'!$B:$B,MATCH($A14,'Source'!$A:$A,0)),"")</f>
        <v>חגורת גב+סגירה כפולה</v>
      </c>
      <c r="C14" s="9" t="n">
        <f aca="false">SUMIF('Source'!$A:$A,$A14,'Source'!$C:$C)</f>
        <v>2565</v>
      </c>
      <c r="D14" s="9" t="n">
        <f aca="false">SUMIF('Source'!$A:$A,$A14,'Source'!$E:$E)</f>
        <v>1305</v>
      </c>
      <c r="E14" s="9" t="n">
        <f aca="false">D14*$J$5</f>
        <v>1648.42105263158</v>
      </c>
      <c r="F14" s="9" t="n">
        <f aca="false">E14-C14</f>
        <v>-916.578947368421</v>
      </c>
      <c r="G14" s="10" t="n">
        <f aca="false">IF(AND(C14=0,E14=0),0,IF(C14=0,"New",(E14-C14)/C14))</f>
        <v>-0.357340720221607</v>
      </c>
      <c r="H14" s="9" t="n">
        <f aca="false">SUMIF('Source'!$A:$A,$A14,'Source'!$D:$D)</f>
        <v>146555.55</v>
      </c>
      <c r="I14" s="9" t="n">
        <f aca="false">SUMIF('Source'!$A:$A,$A14,'Source'!$F:$F)</f>
        <v>71005.05</v>
      </c>
      <c r="J14" s="9" t="n">
        <f aca="false">I14*$J$5</f>
        <v>89690.5894736842</v>
      </c>
      <c r="K14" s="9" t="n">
        <f aca="false">J14-H14</f>
        <v>-56864.9605263158</v>
      </c>
      <c r="L14" s="10" t="n">
        <f aca="false">IF(AND(H14=0,J14=0),0,IF(H14=0,"New",(J14-H14)/H14))</f>
        <v>-0.388009601317151</v>
      </c>
      <c r="M14" s="8" t="str">
        <f aca="false">IF(AND(OR(C14&lt;&gt;0,H14&lt;&gt;0),D14=0,I14=0),"DROP",IF(AND(OR(D14&lt;&gt;0,I14&lt;&gt;0),C14=0,H14=0),"NEW",""))</f>
        <v/>
      </c>
    </row>
    <row r="15" customFormat="false" ht="15" hidden="false" customHeight="true" outlineLevel="0" collapsed="false">
      <c r="A15" s="8" t="s">
        <v>52</v>
      </c>
      <c r="B15" s="8" t="str">
        <f aca="false">IFERROR(INDEX('Source'!$B:$B,MATCH($A15,'Source'!$A:$A,0)),"")</f>
        <v>סד יד</v>
      </c>
      <c r="C15" s="9" t="n">
        <f aca="false">SUMIF('Source'!$A:$A,$A15,'Source'!$C:$C)</f>
        <v>5600</v>
      </c>
      <c r="D15" s="9" t="n">
        <f aca="false">SUMIF('Source'!$A:$A,$A15,'Source'!$E:$E)</f>
        <v>3920</v>
      </c>
      <c r="E15" s="9" t="n">
        <f aca="false">D15*$J$5</f>
        <v>4951.57894736842</v>
      </c>
      <c r="F15" s="9" t="n">
        <f aca="false">E15-C15</f>
        <v>-648.421052631579</v>
      </c>
      <c r="G15" s="10" t="n">
        <f aca="false">IF(AND(C15=0,E15=0),0,IF(C15=0,"New",(E15-C15)/C15))</f>
        <v>-0.115789473684211</v>
      </c>
      <c r="H15" s="9" t="n">
        <f aca="false">SUMIF('Source'!$A:$A,$A15,'Source'!$D:$D)</f>
        <v>135200</v>
      </c>
      <c r="I15" s="9" t="n">
        <f aca="false">SUMIF('Source'!$A:$A,$A15,'Source'!$F:$F)</f>
        <v>88200</v>
      </c>
      <c r="J15" s="9" t="n">
        <f aca="false">I15*$J$5</f>
        <v>111410.526315789</v>
      </c>
      <c r="K15" s="9" t="n">
        <f aca="false">J15-H15</f>
        <v>-23789.4736842105</v>
      </c>
      <c r="L15" s="10" t="n">
        <f aca="false">IF(AND(H15=0,J15=0),0,IF(H15=0,"New",(J15-H15)/H15))</f>
        <v>-0.175957645593273</v>
      </c>
      <c r="M15" s="8" t="str">
        <f aca="false">IF(AND(OR(C15&lt;&gt;0,H15&lt;&gt;0),D15=0,I15=0),"DROP",IF(AND(OR(D15&lt;&gt;0,I15&lt;&gt;0),C15=0,H15=0),"NEW",""))</f>
        <v/>
      </c>
    </row>
    <row r="16" customFormat="false" ht="15" hidden="false" customHeight="true" outlineLevel="0" collapsed="false">
      <c r="A16" s="8" t="s">
        <v>53</v>
      </c>
      <c r="B16" s="8" t="str">
        <f aca="false">IFERROR(INDEX('Source'!$B:$B,MATCH($A16,'Source'!$A:$A,0)),"")</f>
        <v>מגן מרפק</v>
      </c>
      <c r="C16" s="9" t="n">
        <f aca="false">SUMIF('Source'!$A:$A,$A16,'Source'!$C:$C)</f>
        <v>5040</v>
      </c>
      <c r="D16" s="9" t="n">
        <f aca="false">SUMIF('Source'!$A:$A,$A16,'Source'!$E:$E)</f>
        <v>3360</v>
      </c>
      <c r="E16" s="9" t="n">
        <f aca="false">D16*$J$5</f>
        <v>4244.21052631579</v>
      </c>
      <c r="F16" s="9" t="n">
        <f aca="false">E16-C16</f>
        <v>-795.789473684211</v>
      </c>
      <c r="G16" s="10" t="n">
        <f aca="false">IF(AND(C16=0,E16=0),0,IF(C16=0,"New",(E16-C16)/C16))</f>
        <v>-0.157894736842105</v>
      </c>
      <c r="H16" s="9" t="n">
        <f aca="false">SUMIF('Source'!$A:$A,$A16,'Source'!$D:$D)</f>
        <v>114775.2</v>
      </c>
      <c r="I16" s="9" t="n">
        <f aca="false">SUMIF('Source'!$A:$A,$A16,'Source'!$F:$F)</f>
        <v>71467.2</v>
      </c>
      <c r="J16" s="9" t="n">
        <f aca="false">I16*$J$5</f>
        <v>90274.3578947368</v>
      </c>
      <c r="K16" s="9" t="n">
        <f aca="false">J16-H16</f>
        <v>-24500.8421052632</v>
      </c>
      <c r="L16" s="10" t="n">
        <f aca="false">IF(AND(H16=0,J16=0),0,IF(H16=0,"New",(J16-H16)/H16))</f>
        <v>-0.213468084614648</v>
      </c>
      <c r="M16" s="8" t="str">
        <f aca="false">IF(AND(OR(C16&lt;&gt;0,H16&lt;&gt;0),D16=0,I16=0),"DROP",IF(AND(OR(D16&lt;&gt;0,I16&lt;&gt;0),C16=0,H16=0),"NEW",""))</f>
        <v/>
      </c>
    </row>
    <row r="17" customFormat="false" ht="15" hidden="false" customHeight="true" outlineLevel="0" collapsed="false">
      <c r="A17" s="8" t="s">
        <v>54</v>
      </c>
      <c r="B17" s="8" t="str">
        <f aca="false">IFERROR(INDEX('Source'!$B:$B,MATCH($A17,'Source'!$A:$A,0)),"")</f>
        <v>מגן ברך רגיל</v>
      </c>
      <c r="C17" s="9" t="n">
        <f aca="false">SUMIF('Source'!$A:$A,$A17,'Source'!$C:$C)</f>
        <v>9960</v>
      </c>
      <c r="D17" s="9" t="n">
        <f aca="false">SUMIF('Source'!$A:$A,$A17,'Source'!$E:$E)</f>
        <v>6840</v>
      </c>
      <c r="E17" s="9" t="n">
        <f aca="false">D17*$J$5</f>
        <v>8640</v>
      </c>
      <c r="F17" s="9" t="n">
        <f aca="false">E17-C17</f>
        <v>-1320</v>
      </c>
      <c r="G17" s="10" t="n">
        <f aca="false">IF(AND(C17=0,E17=0),0,IF(C17=0,"New",(E17-C17)/C17))</f>
        <v>-0.132530120481928</v>
      </c>
      <c r="H17" s="9" t="n">
        <f aca="false">SUMIF('Source'!$A:$A,$A17,'Source'!$D:$D)</f>
        <v>124737.6</v>
      </c>
      <c r="I17" s="9" t="n">
        <f aca="false">SUMIF('Source'!$A:$A,$A17,'Source'!$F:$F)</f>
        <v>81806.4</v>
      </c>
      <c r="J17" s="9" t="n">
        <f aca="false">I17*$J$5</f>
        <v>103334.4</v>
      </c>
      <c r="K17" s="9" t="n">
        <f aca="false">J17-H17</f>
        <v>-21403.2</v>
      </c>
      <c r="L17" s="10" t="n">
        <f aca="false">IF(AND(H17=0,J17=0),0,IF(H17=0,"New",(J17-H17)/H17))</f>
        <v>-0.171585792896448</v>
      </c>
      <c r="M17" s="8" t="str">
        <f aca="false">IF(AND(OR(C17&lt;&gt;0,H17&lt;&gt;0),D17=0,I17=0),"DROP",IF(AND(OR(D17&lt;&gt;0,I17&lt;&gt;0),C17=0,H17=0),"NEW",""))</f>
        <v/>
      </c>
    </row>
    <row r="18" customFormat="false" ht="15" hidden="false" customHeight="true" outlineLevel="0" collapsed="false">
      <c r="A18" s="8" t="s">
        <v>55</v>
      </c>
      <c r="B18" s="8" t="str">
        <f aca="false">IFERROR(INDEX('Source'!$B:$B,MATCH($A18,'Source'!$A:$A,0)),"")</f>
        <v>מגן קרסול פתוח</v>
      </c>
      <c r="C18" s="9" t="n">
        <f aca="false">SUMIF('Source'!$A:$A,$A18,'Source'!$C:$C)</f>
        <v>7320</v>
      </c>
      <c r="D18" s="9" t="n">
        <f aca="false">SUMIF('Source'!$A:$A,$A18,'Source'!$E:$E)</f>
        <v>4200</v>
      </c>
      <c r="E18" s="9" t="n">
        <f aca="false">D18*$J$5</f>
        <v>5305.26315789474</v>
      </c>
      <c r="F18" s="9" t="n">
        <f aca="false">E18-C18</f>
        <v>-2014.73684210526</v>
      </c>
      <c r="G18" s="10" t="n">
        <f aca="false">IF(AND(C18=0,E18=0),0,IF(C18=0,"New",(E18-C18)/C18))</f>
        <v>-0.275237273511648</v>
      </c>
      <c r="H18" s="9" t="n">
        <f aca="false">SUMIF('Source'!$A:$A,$A18,'Source'!$D:$D)</f>
        <v>92964</v>
      </c>
      <c r="I18" s="9" t="n">
        <f aca="false">SUMIF('Source'!$A:$A,$A18,'Source'!$F:$F)</f>
        <v>53340</v>
      </c>
      <c r="J18" s="9" t="n">
        <f aca="false">I18*$J$5</f>
        <v>67376.8421052632</v>
      </c>
      <c r="K18" s="9" t="n">
        <f aca="false">J18-H18</f>
        <v>-25587.1578947368</v>
      </c>
      <c r="L18" s="10" t="n">
        <f aca="false">IF(AND(H18=0,J18=0),0,IF(H18=0,"New",(J18-H18)/H18))</f>
        <v>-0.275237273511648</v>
      </c>
      <c r="M18" s="8" t="str">
        <f aca="false">IF(AND(OR(C18&lt;&gt;0,H18&lt;&gt;0),D18=0,I18=0),"DROP",IF(AND(OR(D18&lt;&gt;0,I18&lt;&gt;0),C18=0,H18=0),"NEW",""))</f>
        <v/>
      </c>
    </row>
    <row r="19" customFormat="false" ht="15" hidden="false" customHeight="true" outlineLevel="0" collapsed="false">
      <c r="A19" s="8" t="s">
        <v>56</v>
      </c>
      <c r="B19" s="8" t="str">
        <f aca="false">IFERROR(INDEX('Source'!$B:$B,MATCH($A19,'Source'!$A:$A,0)),"")</f>
        <v>מגן קרסול</v>
      </c>
      <c r="C19" s="9" t="n">
        <f aca="false">SUMIF('Source'!$A:$A,$A19,'Source'!$C:$C)</f>
        <v>7800</v>
      </c>
      <c r="D19" s="9" t="n">
        <f aca="false">SUMIF('Source'!$A:$A,$A19,'Source'!$E:$E)</f>
        <v>6120</v>
      </c>
      <c r="E19" s="9" t="n">
        <f aca="false">D19*$J$5</f>
        <v>7730.52631578947</v>
      </c>
      <c r="F19" s="9" t="n">
        <f aca="false">E19-C19</f>
        <v>-69.4736842105267</v>
      </c>
      <c r="G19" s="10" t="n">
        <f aca="false">IF(AND(C19=0,E19=0),0,IF(C19=0,"New",(E19-C19)/C19))</f>
        <v>-0.00890688259109317</v>
      </c>
      <c r="H19" s="9" t="n">
        <f aca="false">SUMIF('Source'!$A:$A,$A19,'Source'!$D:$D)</f>
        <v>145066.8</v>
      </c>
      <c r="I19" s="9" t="n">
        <f aca="false">SUMIF('Source'!$A:$A,$A19,'Source'!$F:$F)</f>
        <v>107283.6</v>
      </c>
      <c r="J19" s="9" t="n">
        <f aca="false">I19*$J$5</f>
        <v>135516.126315789</v>
      </c>
      <c r="K19" s="9" t="n">
        <f aca="false">J19-H19</f>
        <v>-9550.67368421052</v>
      </c>
      <c r="L19" s="10" t="n">
        <f aca="false">IF(AND(H19=0,J19=0),0,IF(H19=0,"New",(J19-H19)/H19))</f>
        <v>-0.0658363849220533</v>
      </c>
      <c r="M19" s="8" t="str">
        <f aca="false">IF(AND(OR(C19&lt;&gt;0,H19&lt;&gt;0),D19=0,I19=0),"DROP",IF(AND(OR(D19&lt;&gt;0,I19&lt;&gt;0),C19=0,H19=0),"NEW",""))</f>
        <v/>
      </c>
    </row>
    <row r="20" customFormat="false" ht="15" hidden="false" customHeight="true" outlineLevel="0" collapsed="false">
      <c r="A20" s="8" t="s">
        <v>57</v>
      </c>
      <c r="B20" s="8" t="str">
        <f aca="false">IFERROR(INDEX('Source'!$B:$B,MATCH($A20,'Source'!$A:$A,0)),"")</f>
        <v>סד יד</v>
      </c>
      <c r="C20" s="9" t="n">
        <f aca="false">SUMIF('Source'!$A:$A,$A20,'Source'!$C:$C)</f>
        <v>6240</v>
      </c>
      <c r="D20" s="9" t="n">
        <f aca="false">SUMIF('Source'!$A:$A,$A20,'Source'!$E:$E)</f>
        <v>4956</v>
      </c>
      <c r="E20" s="9" t="n">
        <f aca="false">D20*$J$5</f>
        <v>6260.21052631579</v>
      </c>
      <c r="F20" s="9" t="n">
        <f aca="false">E20-C20</f>
        <v>20.2105263157891</v>
      </c>
      <c r="G20" s="10" t="n">
        <f aca="false">IF(AND(C20=0,E20=0),0,IF(C20=0,"New",(E20-C20)/C20))</f>
        <v>0.00323886639676108</v>
      </c>
      <c r="H20" s="9" t="n">
        <f aca="false">SUMIF('Source'!$A:$A,$A20,'Source'!$D:$D)</f>
        <v>119520</v>
      </c>
      <c r="I20" s="9" t="n">
        <f aca="false">SUMIF('Source'!$A:$A,$A20,'Source'!$F:$F)</f>
        <v>88216.8</v>
      </c>
      <c r="J20" s="9" t="n">
        <f aca="false">I20*$J$5</f>
        <v>111431.747368421</v>
      </c>
      <c r="K20" s="9" t="n">
        <f aca="false">J20-H20</f>
        <v>-8088.25263157894</v>
      </c>
      <c r="L20" s="10" t="n">
        <f aca="false">IF(AND(H20=0,J20=0),0,IF(H20=0,"New",(J20-H20)/H20))</f>
        <v>-0.0676727964489537</v>
      </c>
      <c r="M20" s="8" t="str">
        <f aca="false">IF(AND(OR(C20&lt;&gt;0,H20&lt;&gt;0),D20=0,I20=0),"DROP",IF(AND(OR(D20&lt;&gt;0,I20&lt;&gt;0),C20=0,H20=0),"NEW",""))</f>
        <v/>
      </c>
    </row>
    <row r="21" customFormat="false" ht="15" hidden="false" customHeight="true" outlineLevel="0" collapsed="false">
      <c r="A21" s="8" t="s">
        <v>58</v>
      </c>
      <c r="B21" s="8" t="str">
        <f aca="false">IFERROR(INDEX('Source'!$B:$B,MATCH($A21,'Source'!$A:$A,0)),"")</f>
        <v>מגן ברך רגיל</v>
      </c>
      <c r="C21" s="9" t="n">
        <f aca="false">SUMIF('Source'!$A:$A,$A21,'Source'!$C:$C)</f>
        <v>6720</v>
      </c>
      <c r="D21" s="9" t="n">
        <f aca="false">SUMIF('Source'!$A:$A,$A21,'Source'!$E:$E)</f>
        <v>4560</v>
      </c>
      <c r="E21" s="9" t="n">
        <f aca="false">D21*$J$5</f>
        <v>5760</v>
      </c>
      <c r="F21" s="9" t="n">
        <f aca="false">E21-C21</f>
        <v>-960</v>
      </c>
      <c r="G21" s="10" t="n">
        <f aca="false">IF(AND(C21=0,E21=0),0,IF(C21=0,"New",(E21-C21)/C21))</f>
        <v>-0.142857142857143</v>
      </c>
      <c r="H21" s="9" t="n">
        <f aca="false">SUMIF('Source'!$A:$A,$A21,'Source'!$D:$D)</f>
        <v>87360</v>
      </c>
      <c r="I21" s="9" t="n">
        <f aca="false">SUMIF('Source'!$A:$A,$A21,'Source'!$F:$F)</f>
        <v>59280</v>
      </c>
      <c r="J21" s="9" t="n">
        <f aca="false">I21*$J$5</f>
        <v>74880</v>
      </c>
      <c r="K21" s="9" t="n">
        <f aca="false">J21-H21</f>
        <v>-12480</v>
      </c>
      <c r="L21" s="10" t="n">
        <f aca="false">IF(AND(H21=0,J21=0),0,IF(H21=0,"New",(J21-H21)/H21))</f>
        <v>-0.142857142857143</v>
      </c>
      <c r="M21" s="8" t="str">
        <f aca="false">IF(AND(OR(C21&lt;&gt;0,H21&lt;&gt;0),D21=0,I21=0),"DROP",IF(AND(OR(D21&lt;&gt;0,I21&lt;&gt;0),C21=0,H21=0),"NEW",""))</f>
        <v/>
      </c>
    </row>
    <row r="22" customFormat="false" ht="15" hidden="false" customHeight="true" outlineLevel="0" collapsed="false">
      <c r="A22" s="8" t="s">
        <v>59</v>
      </c>
      <c r="B22" s="8" t="str">
        <f aca="false">IFERROR(INDEX('Source'!$B:$B,MATCH($A22,'Source'!$A:$A,0)),"")</f>
        <v>סד יד</v>
      </c>
      <c r="C22" s="9" t="n">
        <f aca="false">SUMIF('Source'!$A:$A,$A22,'Source'!$C:$C)</f>
        <v>4157</v>
      </c>
      <c r="D22" s="9" t="n">
        <f aca="false">SUMIF('Source'!$A:$A,$A22,'Source'!$E:$E)</f>
        <v>3359</v>
      </c>
      <c r="E22" s="9" t="n">
        <f aca="false">D22*$J$5</f>
        <v>4242.94736842105</v>
      </c>
      <c r="F22" s="9" t="n">
        <f aca="false">E22-C22</f>
        <v>85.9473684210525</v>
      </c>
      <c r="G22" s="10" t="n">
        <f aca="false">IF(AND(C22=0,E22=0),0,IF(C22=0,"New",(E22-C22)/C22))</f>
        <v>0.0206753351987136</v>
      </c>
      <c r="H22" s="9" t="n">
        <f aca="false">SUMIF('Source'!$A:$A,$A22,'Source'!$D:$D)</f>
        <v>99932.5</v>
      </c>
      <c r="I22" s="9" t="n">
        <f aca="false">SUMIF('Source'!$A:$A,$A22,'Source'!$F:$F)</f>
        <v>75577.5</v>
      </c>
      <c r="J22" s="9" t="n">
        <f aca="false">I22*$J$5</f>
        <v>95466.3157894737</v>
      </c>
      <c r="K22" s="9" t="n">
        <f aca="false">J22-H22</f>
        <v>-4466.18421052632</v>
      </c>
      <c r="L22" s="10" t="n">
        <f aca="false">IF(AND(H22=0,J22=0),0,IF(H22=0,"New",(J22-H22)/H22))</f>
        <v>-0.044692009211481</v>
      </c>
      <c r="M22" s="8" t="str">
        <f aca="false">IF(AND(OR(C22&lt;&gt;0,H22&lt;&gt;0),D22=0,I22=0),"DROP",IF(AND(OR(D22&lt;&gt;0,I22&lt;&gt;0),C22=0,H22=0),"NEW",""))</f>
        <v/>
      </c>
    </row>
    <row r="23" customFormat="false" ht="15" hidden="false" customHeight="true" outlineLevel="0" collapsed="false">
      <c r="A23" s="8" t="s">
        <v>60</v>
      </c>
      <c r="B23" s="8" t="str">
        <f aca="false">IFERROR(INDEX('Source'!$B:$B,MATCH($A23,'Source'!$A:$A,0)),"")</f>
        <v>מגן ברך רגיל</v>
      </c>
      <c r="C23" s="9" t="n">
        <f aca="false">SUMIF('Source'!$A:$A,$A23,'Source'!$C:$C)</f>
        <v>9480</v>
      </c>
      <c r="D23" s="9" t="n">
        <f aca="false">SUMIF('Source'!$A:$A,$A23,'Source'!$E:$E)</f>
        <v>8160</v>
      </c>
      <c r="E23" s="9" t="n">
        <f aca="false">D23*$J$5</f>
        <v>10307.3684210526</v>
      </c>
      <c r="F23" s="9" t="n">
        <f aca="false">E23-C23</f>
        <v>827.368421052632</v>
      </c>
      <c r="G23" s="10" t="n">
        <f aca="false">IF(AND(C23=0,E23=0),0,IF(C23=0,"New",(E23-C23)/C23))</f>
        <v>0.0872751499000666</v>
      </c>
      <c r="H23" s="9" t="n">
        <f aca="false">SUMIF('Source'!$A:$A,$A23,'Source'!$D:$D)</f>
        <v>118622.4</v>
      </c>
      <c r="I23" s="9" t="n">
        <f aca="false">SUMIF('Source'!$A:$A,$A23,'Source'!$F:$F)</f>
        <v>97593.6</v>
      </c>
      <c r="J23" s="9" t="n">
        <f aca="false">I23*$J$5</f>
        <v>123276.126315789</v>
      </c>
      <c r="K23" s="9" t="n">
        <f aca="false">J23-H23</f>
        <v>4653.72631578948</v>
      </c>
      <c r="L23" s="10" t="n">
        <f aca="false">IF(AND(H23=0,J23=0),0,IF(H23=0,"New",(J23-H23)/H23))</f>
        <v>0.0392314294415682</v>
      </c>
      <c r="M23" s="8" t="str">
        <f aca="false">IF(AND(OR(C23&lt;&gt;0,H23&lt;&gt;0),D23=0,I23=0),"DROP",IF(AND(OR(D23&lt;&gt;0,I23&lt;&gt;0),C23=0,H23=0),"NEW",""))</f>
        <v/>
      </c>
    </row>
    <row r="24" customFormat="false" ht="15" hidden="false" customHeight="true" outlineLevel="0" collapsed="false">
      <c r="A24" s="8" t="s">
        <v>61</v>
      </c>
      <c r="B24" s="8" t="str">
        <f aca="false">IFERROR(INDEX('Source'!$B:$B,MATCH($A24,'Source'!$A:$A,0)),"")</f>
        <v>חבק טניס</v>
      </c>
      <c r="C24" s="9" t="n">
        <f aca="false">SUMIF('Source'!$A:$A,$A24,'Source'!$C:$C)</f>
        <v>4080</v>
      </c>
      <c r="D24" s="9" t="n">
        <f aca="false">SUMIF('Source'!$A:$A,$A24,'Source'!$E:$E)</f>
        <v>3000</v>
      </c>
      <c r="E24" s="9" t="n">
        <f aca="false">D24*$J$5</f>
        <v>3789.47368421053</v>
      </c>
      <c r="F24" s="9" t="n">
        <f aca="false">E24-C24</f>
        <v>-290.526315789474</v>
      </c>
      <c r="G24" s="10" t="n">
        <f aca="false">IF(AND(C24=0,E24=0),0,IF(C24=0,"New",(E24-C24)/C24))</f>
        <v>-0.0712074303405573</v>
      </c>
      <c r="H24" s="9" t="n">
        <f aca="false">SUMIF('Source'!$A:$A,$A24,'Source'!$D:$D)</f>
        <v>77112</v>
      </c>
      <c r="I24" s="9" t="n">
        <f aca="false">SUMIF('Source'!$A:$A,$A24,'Source'!$F:$F)</f>
        <v>56700</v>
      </c>
      <c r="J24" s="9" t="n">
        <f aca="false">I24*$J$5</f>
        <v>71621.052631579</v>
      </c>
      <c r="K24" s="9" t="n">
        <f aca="false">J24-H24</f>
        <v>-5490.94736842105</v>
      </c>
      <c r="L24" s="10" t="n">
        <f aca="false">IF(AND(H24=0,J24=0),0,IF(H24=0,"New",(J24-H24)/H24))</f>
        <v>-0.0712074303405573</v>
      </c>
      <c r="M24" s="8" t="str">
        <f aca="false">IF(AND(OR(C24&lt;&gt;0,H24&lt;&gt;0),D24=0,I24=0),"DROP",IF(AND(OR(D24&lt;&gt;0,I24&lt;&gt;0),C24=0,H24=0),"NEW",""))</f>
        <v/>
      </c>
    </row>
    <row r="25" customFormat="false" ht="15" hidden="false" customHeight="true" outlineLevel="0" collapsed="false">
      <c r="A25" s="8" t="s">
        <v>62</v>
      </c>
      <c r="B25" s="8" t="str">
        <f aca="false">IFERROR(INDEX('Source'!$B:$B,MATCH($A25,'Source'!$A:$A,0)),"")</f>
        <v>חגורת בטן עממית</v>
      </c>
      <c r="C25" s="9" t="n">
        <f aca="false">SUMIF('Source'!$A:$A,$A25,'Source'!$C:$C)</f>
        <v>1400</v>
      </c>
      <c r="D25" s="9" t="n">
        <f aca="false">SUMIF('Source'!$A:$A,$A25,'Source'!$E:$E)</f>
        <v>1000</v>
      </c>
      <c r="E25" s="9" t="n">
        <f aca="false">D25*$J$5</f>
        <v>1263.15789473684</v>
      </c>
      <c r="F25" s="9" t="n">
        <f aca="false">E25-C25</f>
        <v>-136.842105263158</v>
      </c>
      <c r="G25" s="10" t="n">
        <f aca="false">IF(AND(C25=0,E25=0),0,IF(C25=0,"New",(E25-C25)/C25))</f>
        <v>-0.0977443609022557</v>
      </c>
      <c r="H25" s="9" t="n">
        <f aca="false">SUMIF('Source'!$A:$A,$A25,'Source'!$D:$D)</f>
        <v>62020</v>
      </c>
      <c r="I25" s="9" t="n">
        <f aca="false">SUMIF('Source'!$A:$A,$A25,'Source'!$F:$F)</f>
        <v>44300</v>
      </c>
      <c r="J25" s="9" t="n">
        <f aca="false">I25*$J$5</f>
        <v>55957.8947368421</v>
      </c>
      <c r="K25" s="9" t="n">
        <f aca="false">J25-H25</f>
        <v>-6062.1052631579</v>
      </c>
      <c r="L25" s="10" t="n">
        <f aca="false">IF(AND(H25=0,J25=0),0,IF(H25=0,"New",(J25-H25)/H25))</f>
        <v>-0.0977443609022557</v>
      </c>
      <c r="M25" s="8" t="str">
        <f aca="false">IF(AND(OR(C25&lt;&gt;0,H25&lt;&gt;0),D25=0,I25=0),"DROP",IF(AND(OR(D25&lt;&gt;0,I25&lt;&gt;0),C25=0,H25=0),"NEW",""))</f>
        <v/>
      </c>
    </row>
    <row r="26" customFormat="false" ht="15" hidden="false" customHeight="true" outlineLevel="0" collapsed="false">
      <c r="A26" s="8" t="s">
        <v>63</v>
      </c>
      <c r="B26" s="8" t="str">
        <f aca="false">IFERROR(INDEX('Source'!$B:$B,MATCH($A26,'Source'!$A:$A,0)),"")</f>
        <v>חגורת בטן עממית</v>
      </c>
      <c r="C26" s="9" t="n">
        <f aca="false">SUMIF('Source'!$A:$A,$A26,'Source'!$C:$C)</f>
        <v>1300</v>
      </c>
      <c r="D26" s="9" t="n">
        <f aca="false">SUMIF('Source'!$A:$A,$A26,'Source'!$E:$E)</f>
        <v>900</v>
      </c>
      <c r="E26" s="9" t="n">
        <f aca="false">D26*$J$5</f>
        <v>1136.84210526316</v>
      </c>
      <c r="F26" s="9" t="n">
        <f aca="false">E26-C26</f>
        <v>-163.157894736842</v>
      </c>
      <c r="G26" s="10" t="n">
        <f aca="false">IF(AND(C26=0,E26=0),0,IF(C26=0,"New",(E26-C26)/C26))</f>
        <v>-0.125506072874494</v>
      </c>
      <c r="H26" s="9" t="n">
        <f aca="false">SUMIF('Source'!$A:$A,$A26,'Source'!$D:$D)</f>
        <v>57590</v>
      </c>
      <c r="I26" s="9" t="n">
        <f aca="false">SUMIF('Source'!$A:$A,$A26,'Source'!$F:$F)</f>
        <v>39870</v>
      </c>
      <c r="J26" s="9" t="n">
        <f aca="false">I26*$J$5</f>
        <v>50362.1052631579</v>
      </c>
      <c r="K26" s="9" t="n">
        <f aca="false">J26-H26</f>
        <v>-7227.89473684211</v>
      </c>
      <c r="L26" s="10" t="n">
        <f aca="false">IF(AND(H26=0,J26=0),0,IF(H26=0,"New",(J26-H26)/H26))</f>
        <v>-0.125506072874494</v>
      </c>
      <c r="M26" s="8" t="str">
        <f aca="false">IF(AND(OR(C26&lt;&gt;0,H26&lt;&gt;0),D26=0,I26=0),"DROP",IF(AND(OR(D26&lt;&gt;0,I26&lt;&gt;0),C26=0,H26=0),"NEW",""))</f>
        <v/>
      </c>
    </row>
    <row r="27" customFormat="false" ht="15" hidden="false" customHeight="true" outlineLevel="0" collapsed="false">
      <c r="A27" s="8" t="s">
        <v>64</v>
      </c>
      <c r="B27" s="8" t="str">
        <f aca="false">IFERROR(INDEX('Source'!$B:$B,MATCH($A27,'Source'!$A:$A,0)),"")</f>
        <v>מגן קרסול פתוח</v>
      </c>
      <c r="C27" s="9" t="n">
        <f aca="false">SUMIF('Source'!$A:$A,$A27,'Source'!$C:$C)</f>
        <v>4920</v>
      </c>
      <c r="D27" s="9" t="n">
        <f aca="false">SUMIF('Source'!$A:$A,$A27,'Source'!$E:$E)</f>
        <v>3720</v>
      </c>
      <c r="E27" s="9" t="n">
        <f aca="false">D27*$J$5</f>
        <v>4698.94736842105</v>
      </c>
      <c r="F27" s="9" t="n">
        <f aca="false">E27-C27</f>
        <v>-221.052631578948</v>
      </c>
      <c r="G27" s="10" t="n">
        <f aca="false">IF(AND(C27=0,E27=0),0,IF(C27=0,"New",(E27-C27)/C27))</f>
        <v>-0.0449293966623877</v>
      </c>
      <c r="H27" s="9" t="n">
        <f aca="false">SUMIF('Source'!$A:$A,$A27,'Source'!$D:$D)</f>
        <v>62484</v>
      </c>
      <c r="I27" s="9" t="n">
        <f aca="false">SUMIF('Source'!$A:$A,$A27,'Source'!$F:$F)</f>
        <v>47244</v>
      </c>
      <c r="J27" s="9" t="n">
        <f aca="false">I27*$J$5</f>
        <v>59676.6315789474</v>
      </c>
      <c r="K27" s="9" t="n">
        <f aca="false">J27-H27</f>
        <v>-2807.36842105263</v>
      </c>
      <c r="L27" s="10" t="n">
        <f aca="false">IF(AND(H27=0,J27=0),0,IF(H27=0,"New",(J27-H27)/H27))</f>
        <v>-0.0449293966623877</v>
      </c>
      <c r="M27" s="8" t="str">
        <f aca="false">IF(AND(OR(C27&lt;&gt;0,H27&lt;&gt;0),D27=0,I27=0),"DROP",IF(AND(OR(D27&lt;&gt;0,I27&lt;&gt;0),C27=0,H27=0),"NEW",""))</f>
        <v/>
      </c>
    </row>
    <row r="28" customFormat="false" ht="15" hidden="false" customHeight="true" outlineLevel="0" collapsed="false">
      <c r="A28" s="8" t="s">
        <v>65</v>
      </c>
      <c r="B28" s="8" t="str">
        <f aca="false">IFERROR(INDEX('Source'!$B:$B,MATCH($A28,'Source'!$A:$A,0)),"")</f>
        <v>חגורת בטן קלה</v>
      </c>
      <c r="C28" s="9" t="n">
        <f aca="false">SUMIF('Source'!$A:$A,$A28,'Source'!$C:$C)</f>
        <v>1700</v>
      </c>
      <c r="D28" s="9" t="n">
        <f aca="false">SUMIF('Source'!$A:$A,$A28,'Source'!$E:$E)</f>
        <v>1250</v>
      </c>
      <c r="E28" s="9" t="n">
        <f aca="false">D28*$J$5</f>
        <v>1578.94736842105</v>
      </c>
      <c r="F28" s="9" t="n">
        <f aca="false">E28-C28</f>
        <v>-121.052631578948</v>
      </c>
      <c r="G28" s="10" t="n">
        <f aca="false">IF(AND(C28=0,E28=0),0,IF(C28=0,"New",(E28-C28)/C28))</f>
        <v>-0.0712074303405574</v>
      </c>
      <c r="H28" s="9" t="n">
        <f aca="false">SUMIF('Source'!$A:$A,$A28,'Source'!$D:$D)</f>
        <v>53890</v>
      </c>
      <c r="I28" s="9" t="n">
        <f aca="false">SUMIF('Source'!$A:$A,$A28,'Source'!$F:$F)</f>
        <v>39625</v>
      </c>
      <c r="J28" s="9" t="n">
        <f aca="false">I28*$J$5</f>
        <v>50052.6315789474</v>
      </c>
      <c r="K28" s="9" t="n">
        <f aca="false">J28-H28</f>
        <v>-3837.36842105263</v>
      </c>
      <c r="L28" s="10" t="n">
        <f aca="false">IF(AND(H28=0,J28=0),0,IF(H28=0,"New",(J28-H28)/H28))</f>
        <v>-0.0712074303405573</v>
      </c>
      <c r="M28" s="8" t="str">
        <f aca="false">IF(AND(OR(C28&lt;&gt;0,H28&lt;&gt;0),D28=0,I28=0),"DROP",IF(AND(OR(D28&lt;&gt;0,I28&lt;&gt;0),C28=0,H28=0),"NEW",""))</f>
        <v/>
      </c>
    </row>
    <row r="29" customFormat="false" ht="15" hidden="false" customHeight="true" outlineLevel="0" collapsed="false">
      <c r="A29" s="8" t="s">
        <v>66</v>
      </c>
      <c r="B29" s="8" t="str">
        <f aca="false">IFERROR(INDEX('Source'!$B:$B,MATCH($A29,'Source'!$A:$A,0)),"")</f>
        <v>חגורת בטן עממית</v>
      </c>
      <c r="C29" s="9" t="n">
        <f aca="false">SUMIF('Source'!$A:$A,$A29,'Source'!$C:$C)</f>
        <v>950</v>
      </c>
      <c r="D29" s="9" t="n">
        <f aca="false">SUMIF('Source'!$A:$A,$A29,'Source'!$E:$E)</f>
        <v>650</v>
      </c>
      <c r="E29" s="9" t="n">
        <f aca="false">D29*$J$5</f>
        <v>821.052631578947</v>
      </c>
      <c r="F29" s="9" t="n">
        <f aca="false">E29-C29</f>
        <v>-128.947368421053</v>
      </c>
      <c r="G29" s="10" t="n">
        <f aca="false">IF(AND(C29=0,E29=0),0,IF(C29=0,"New",(E29-C29)/C29))</f>
        <v>-0.135734072022161</v>
      </c>
      <c r="H29" s="9" t="n">
        <f aca="false">SUMIF('Source'!$A:$A,$A29,'Source'!$D:$D)</f>
        <v>42085</v>
      </c>
      <c r="I29" s="9" t="n">
        <f aca="false">SUMIF('Source'!$A:$A,$A29,'Source'!$F:$F)</f>
        <v>28795</v>
      </c>
      <c r="J29" s="9" t="n">
        <f aca="false">I29*$J$5</f>
        <v>36372.6315789474</v>
      </c>
      <c r="K29" s="9" t="n">
        <f aca="false">J29-H29</f>
        <v>-5712.36842105263</v>
      </c>
      <c r="L29" s="10" t="n">
        <f aca="false">IF(AND(H29=0,J29=0),0,IF(H29=0,"New",(J29-H29)/H29))</f>
        <v>-0.135734072022161</v>
      </c>
      <c r="M29" s="8" t="str">
        <f aca="false">IF(AND(OR(C29&lt;&gt;0,H29&lt;&gt;0),D29=0,I29=0),"DROP",IF(AND(OR(D29&lt;&gt;0,I29&lt;&gt;0),C29=0,H29=0),"NEW",""))</f>
        <v/>
      </c>
    </row>
    <row r="30" customFormat="false" ht="15" hidden="false" customHeight="true" outlineLevel="0" collapsed="false">
      <c r="A30" s="8" t="s">
        <v>67</v>
      </c>
      <c r="B30" s="8" t="str">
        <f aca="false">IFERROR(INDEX('Source'!$B:$B,MATCH($A30,'Source'!$A:$A,0)),"")</f>
        <v>צוארון עממי</v>
      </c>
      <c r="C30" s="9" t="n">
        <f aca="false">SUMIF('Source'!$A:$A,$A30,'Source'!$C:$C)</f>
        <v>1500</v>
      </c>
      <c r="D30" s="9" t="n">
        <f aca="false">SUMIF('Source'!$A:$A,$A30,'Source'!$E:$E)</f>
        <v>900</v>
      </c>
      <c r="E30" s="9" t="n">
        <f aca="false">D30*$J$5</f>
        <v>1136.84210526316</v>
      </c>
      <c r="F30" s="9" t="n">
        <f aca="false">E30-C30</f>
        <v>-363.157894736842</v>
      </c>
      <c r="G30" s="10" t="n">
        <f aca="false">IF(AND(C30=0,E30=0),0,IF(C30=0,"New",(E30-C30)/C30))</f>
        <v>-0.242105263157895</v>
      </c>
      <c r="H30" s="9" t="n">
        <f aca="false">SUMIF('Source'!$A:$A,$A30,'Source'!$D:$D)</f>
        <v>32400</v>
      </c>
      <c r="I30" s="9" t="n">
        <f aca="false">SUMIF('Source'!$A:$A,$A30,'Source'!$F:$F)</f>
        <v>19440</v>
      </c>
      <c r="J30" s="9" t="n">
        <f aca="false">I30*$J$5</f>
        <v>24555.7894736842</v>
      </c>
      <c r="K30" s="9" t="n">
        <f aca="false">J30-H30</f>
        <v>-7844.21052631579</v>
      </c>
      <c r="L30" s="10" t="n">
        <f aca="false">IF(AND(H30=0,J30=0),0,IF(H30=0,"New",(J30-H30)/H30))</f>
        <v>-0.242105263157895</v>
      </c>
      <c r="M30" s="8" t="str">
        <f aca="false">IF(AND(OR(C30&lt;&gt;0,H30&lt;&gt;0),D30=0,I30=0),"DROP",IF(AND(OR(D30&lt;&gt;0,I30&lt;&gt;0),C30=0,H30=0),"NEW",""))</f>
        <v/>
      </c>
    </row>
    <row r="31" customFormat="false" ht="15" hidden="false" customHeight="true" outlineLevel="0" collapsed="false">
      <c r="A31" s="8" t="s">
        <v>68</v>
      </c>
      <c r="B31" s="8" t="str">
        <f aca="false">IFERROR(INDEX('Source'!$B:$B,MATCH($A31,'Source'!$A:$A,0)),"")</f>
        <v>חבק יד</v>
      </c>
      <c r="C31" s="9" t="n">
        <f aca="false">SUMIF('Source'!$A:$A,$A31,'Source'!$C:$C)</f>
        <v>4920</v>
      </c>
      <c r="D31" s="9" t="n">
        <f aca="false">SUMIF('Source'!$A:$A,$A31,'Source'!$E:$E)</f>
        <v>4080</v>
      </c>
      <c r="E31" s="9" t="n">
        <f aca="false">D31*$J$5</f>
        <v>5153.68421052632</v>
      </c>
      <c r="F31" s="9" t="n">
        <f aca="false">E31-C31</f>
        <v>233.684210526316</v>
      </c>
      <c r="G31" s="10" t="n">
        <f aca="false">IF(AND(C31=0,E31=0),0,IF(C31=0,"New",(E31-C31)/C31))</f>
        <v>0.0474967907573813</v>
      </c>
      <c r="H31" s="9" t="n">
        <f aca="false">SUMIF('Source'!$A:$A,$A31,'Source'!$D:$D)</f>
        <v>66912</v>
      </c>
      <c r="I31" s="9" t="n">
        <f aca="false">SUMIF('Source'!$A:$A,$A31,'Source'!$F:$F)</f>
        <v>55488</v>
      </c>
      <c r="J31" s="9" t="n">
        <f aca="false">I31*$J$5</f>
        <v>70090.1052631579</v>
      </c>
      <c r="K31" s="9" t="n">
        <f aca="false">J31-H31</f>
        <v>3178.10526315789</v>
      </c>
      <c r="L31" s="10" t="n">
        <f aca="false">IF(AND(H31=0,J31=0),0,IF(H31=0,"New",(J31-H31)/H31))</f>
        <v>0.0474967907573812</v>
      </c>
      <c r="M31" s="8" t="str">
        <f aca="false">IF(AND(OR(C31&lt;&gt;0,H31&lt;&gt;0),D31=0,I31=0),"DROP",IF(AND(OR(D31&lt;&gt;0,I31&lt;&gt;0),C31=0,H31=0),"NEW",""))</f>
        <v/>
      </c>
    </row>
    <row r="32" customFormat="false" ht="15" hidden="false" customHeight="true" outlineLevel="0" collapsed="false">
      <c r="A32" s="8" t="s">
        <v>69</v>
      </c>
      <c r="B32" s="8" t="str">
        <f aca="false">IFERROR(INDEX('Source'!$B:$B,MATCH($A32,'Source'!$A:$A,0)),"")</f>
        <v>מתלה יד-כיס</v>
      </c>
      <c r="C32" s="9" t="n">
        <f aca="false">SUMIF('Source'!$A:$A,$A32,'Source'!$C:$C)</f>
        <v>1360</v>
      </c>
      <c r="D32" s="9" t="n">
        <f aca="false">SUMIF('Source'!$A:$A,$A32,'Source'!$E:$E)</f>
        <v>1040</v>
      </c>
      <c r="E32" s="9" t="n">
        <f aca="false">D32*$J$5</f>
        <v>1313.68421052632</v>
      </c>
      <c r="F32" s="9" t="n">
        <f aca="false">E32-C32</f>
        <v>-46.3157894736844</v>
      </c>
      <c r="G32" s="10" t="n">
        <f aca="false">IF(AND(C32=0,E32=0),0,IF(C32=0,"New",(E32-C32)/C32))</f>
        <v>-0.0340557275541797</v>
      </c>
      <c r="H32" s="9" t="n">
        <f aca="false">SUMIF('Source'!$A:$A,$A32,'Source'!$D:$D)</f>
        <v>46240</v>
      </c>
      <c r="I32" s="9" t="n">
        <f aca="false">SUMIF('Source'!$A:$A,$A32,'Source'!$F:$F)</f>
        <v>35360</v>
      </c>
      <c r="J32" s="9" t="n">
        <f aca="false">I32*$J$5</f>
        <v>44665.2631578947</v>
      </c>
      <c r="K32" s="9" t="n">
        <f aca="false">J32-H32</f>
        <v>-1574.73684210527</v>
      </c>
      <c r="L32" s="10" t="n">
        <f aca="false">IF(AND(H32=0,J32=0),0,IF(H32=0,"New",(J32-H32)/H32))</f>
        <v>-0.0340557275541797</v>
      </c>
      <c r="M32" s="8" t="str">
        <f aca="false">IF(AND(OR(C32&lt;&gt;0,H32&lt;&gt;0),D32=0,I32=0),"DROP",IF(AND(OR(D32&lt;&gt;0,I32&lt;&gt;0),C32=0,H32=0),"NEW",""))</f>
        <v/>
      </c>
    </row>
    <row r="33" customFormat="false" ht="15" hidden="false" customHeight="true" outlineLevel="0" collapsed="false">
      <c r="A33" s="8" t="s">
        <v>70</v>
      </c>
      <c r="B33" s="8" t="str">
        <f aca="false">IFERROR(INDEX('Source'!$B:$B,MATCH($A33,'Source'!$A:$A,0)),"")</f>
        <v>חגורת בטן עממית</v>
      </c>
      <c r="C33" s="9" t="n">
        <f aca="false">SUMIF('Source'!$A:$A,$A33,'Source'!$C:$C)</f>
        <v>945</v>
      </c>
      <c r="D33" s="9" t="n">
        <f aca="false">SUMIF('Source'!$A:$A,$A33,'Source'!$E:$E)</f>
        <v>720</v>
      </c>
      <c r="E33" s="9" t="n">
        <f aca="false">D33*$J$5</f>
        <v>909.473684210526</v>
      </c>
      <c r="F33" s="9" t="n">
        <f aca="false">E33-C33</f>
        <v>-35.5263157894738</v>
      </c>
      <c r="G33" s="10" t="n">
        <f aca="false">IF(AND(C33=0,E33=0),0,IF(C33=0,"New",(E33-C33)/C33))</f>
        <v>-0.0375939849624061</v>
      </c>
      <c r="H33" s="9" t="n">
        <f aca="false">SUMIF('Source'!$A:$A,$A33,'Source'!$D:$D)</f>
        <v>41863.5</v>
      </c>
      <c r="I33" s="9" t="n">
        <f aca="false">SUMIF('Source'!$A:$A,$A33,'Source'!$F:$F)</f>
        <v>31896</v>
      </c>
      <c r="J33" s="9" t="n">
        <f aca="false">I33*$J$5</f>
        <v>40289.6842105263</v>
      </c>
      <c r="K33" s="9" t="n">
        <f aca="false">J33-H33</f>
        <v>-1573.81578947369</v>
      </c>
      <c r="L33" s="10" t="n">
        <f aca="false">IF(AND(H33=0,J33=0),0,IF(H33=0,"New",(J33-H33)/H33))</f>
        <v>-0.0375939849624061</v>
      </c>
      <c r="M33" s="8" t="str">
        <f aca="false">IF(AND(OR(C33&lt;&gt;0,H33&lt;&gt;0),D33=0,I33=0),"DROP",IF(AND(OR(D33&lt;&gt;0,I33&lt;&gt;0),C33=0,H33=0),"NEW",""))</f>
        <v/>
      </c>
    </row>
    <row r="34" customFormat="false" ht="15" hidden="false" customHeight="true" outlineLevel="0" collapsed="false">
      <c r="A34" s="8" t="s">
        <v>71</v>
      </c>
      <c r="B34" s="8" t="str">
        <f aca="false">IFERROR(INDEX('Source'!$B:$B,MATCH($A34,'Source'!$A:$A,0)),"")</f>
        <v>מגן קרסול פתוח</v>
      </c>
      <c r="C34" s="9" t="n">
        <f aca="false">SUMIF('Source'!$A:$A,$A34,'Source'!$C:$C)</f>
        <v>5400</v>
      </c>
      <c r="D34" s="9" t="n">
        <f aca="false">SUMIF('Source'!$A:$A,$A34,'Source'!$E:$E)</f>
        <v>4680</v>
      </c>
      <c r="E34" s="9" t="n">
        <f aca="false">D34*$J$5</f>
        <v>5911.57894736842</v>
      </c>
      <c r="F34" s="9" t="n">
        <f aca="false">E34-C34</f>
        <v>511.578947368421</v>
      </c>
      <c r="G34" s="10" t="n">
        <f aca="false">IF(AND(C34=0,E34=0),0,IF(C34=0,"New",(E34-C34)/C34))</f>
        <v>0.0947368421052631</v>
      </c>
      <c r="H34" s="9" t="n">
        <f aca="false">SUMIF('Source'!$A:$A,$A34,'Source'!$D:$D)</f>
        <v>68580</v>
      </c>
      <c r="I34" s="9" t="n">
        <f aca="false">SUMIF('Source'!$A:$A,$A34,'Source'!$F:$F)</f>
        <v>59436</v>
      </c>
      <c r="J34" s="9" t="n">
        <f aca="false">I34*$J$5</f>
        <v>75077.052631579</v>
      </c>
      <c r="K34" s="9" t="n">
        <f aca="false">J34-H34</f>
        <v>6497.05263157895</v>
      </c>
      <c r="L34" s="10" t="n">
        <f aca="false">IF(AND(H34=0,J34=0),0,IF(H34=0,"New",(J34-H34)/H34))</f>
        <v>0.0947368421052632</v>
      </c>
      <c r="M34" s="8" t="str">
        <f aca="false">IF(AND(OR(C34&lt;&gt;0,H34&lt;&gt;0),D34=0,I34=0),"DROP",IF(AND(OR(D34&lt;&gt;0,I34&lt;&gt;0),C34=0,H34=0),"NEW",""))</f>
        <v/>
      </c>
    </row>
    <row r="35" customFormat="false" ht="15" hidden="false" customHeight="true" outlineLevel="0" collapsed="false">
      <c r="A35" s="8" t="s">
        <v>72</v>
      </c>
      <c r="B35" s="8" t="str">
        <f aca="false">IFERROR(INDEX('Source'!$B:$B,MATCH($A35,'Source'!$A:$A,0)),"")</f>
        <v>מגן ברך רגיל</v>
      </c>
      <c r="C35" s="9" t="n">
        <f aca="false">SUMIF('Source'!$A:$A,$A35,'Source'!$C:$C)</f>
        <v>2040</v>
      </c>
      <c r="D35" s="9" t="n">
        <f aca="false">SUMIF('Source'!$A:$A,$A35,'Source'!$E:$E)</f>
        <v>1440</v>
      </c>
      <c r="E35" s="9" t="n">
        <f aca="false">D35*$J$5</f>
        <v>1818.94736842105</v>
      </c>
      <c r="F35" s="9" t="n">
        <f aca="false">E35-C35</f>
        <v>-221.052631578948</v>
      </c>
      <c r="G35" s="10" t="n">
        <f aca="false">IF(AND(C35=0,E35=0),0,IF(C35=0,"New",(E35-C35)/C35))</f>
        <v>-0.108359133126935</v>
      </c>
      <c r="H35" s="9" t="n">
        <f aca="false">SUMIF('Source'!$A:$A,$A35,'Source'!$D:$D)</f>
        <v>26520</v>
      </c>
      <c r="I35" s="9" t="n">
        <f aca="false">SUMIF('Source'!$A:$A,$A35,'Source'!$F:$F)</f>
        <v>18720</v>
      </c>
      <c r="J35" s="9" t="n">
        <f aca="false">I35*$J$5</f>
        <v>23646.3157894737</v>
      </c>
      <c r="K35" s="9" t="n">
        <f aca="false">J35-H35</f>
        <v>-2873.68421052632</v>
      </c>
      <c r="L35" s="10" t="n">
        <f aca="false">IF(AND(H35=0,J35=0),0,IF(H35=0,"New",(J35-H35)/H35))</f>
        <v>-0.108359133126935</v>
      </c>
      <c r="M35" s="8" t="str">
        <f aca="false">IF(AND(OR(C35&lt;&gt;0,H35&lt;&gt;0),D35=0,I35=0),"DROP",IF(AND(OR(D35&lt;&gt;0,I35&lt;&gt;0),C35=0,H35=0),"NEW",""))</f>
        <v/>
      </c>
    </row>
    <row r="36" customFormat="false" ht="15" hidden="false" customHeight="true" outlineLevel="0" collapsed="false">
      <c r="A36" s="8" t="s">
        <v>73</v>
      </c>
      <c r="B36" s="8" t="str">
        <f aca="false">IFERROR(INDEX('Source'!$B:$B,MATCH($A36,'Source'!$A:$A,0)),"")</f>
        <v>מגן קרסול פתוח</v>
      </c>
      <c r="C36" s="9" t="n">
        <f aca="false">SUMIF('Source'!$A:$A,$A36,'Source'!$C:$C)</f>
        <v>1920</v>
      </c>
      <c r="D36" s="9" t="n">
        <f aca="false">SUMIF('Source'!$A:$A,$A36,'Source'!$E:$E)</f>
        <v>1560</v>
      </c>
      <c r="E36" s="9" t="n">
        <f aca="false">D36*$J$5</f>
        <v>1970.52631578947</v>
      </c>
      <c r="F36" s="9" t="n">
        <f aca="false">E36-C36</f>
        <v>50.5263157894735</v>
      </c>
      <c r="G36" s="10" t="n">
        <f aca="false">IF(AND(C36=0,E36=0),0,IF(C36=0,"New",(E36-C36)/C36))</f>
        <v>0.0263157894736841</v>
      </c>
      <c r="H36" s="9" t="n">
        <f aca="false">SUMIF('Source'!$A:$A,$A36,'Source'!$D:$D)</f>
        <v>24384</v>
      </c>
      <c r="I36" s="9" t="n">
        <f aca="false">SUMIF('Source'!$A:$A,$A36,'Source'!$F:$F)</f>
        <v>19812</v>
      </c>
      <c r="J36" s="9" t="n">
        <f aca="false">I36*$J$5</f>
        <v>25025.6842105263</v>
      </c>
      <c r="K36" s="9" t="n">
        <f aca="false">J36-H36</f>
        <v>641.684210526313</v>
      </c>
      <c r="L36" s="10" t="n">
        <f aca="false">IF(AND(H36=0,J36=0),0,IF(H36=0,"New",(J36-H36)/H36))</f>
        <v>0.0263157894736841</v>
      </c>
      <c r="M36" s="8" t="str">
        <f aca="false">IF(AND(OR(C36&lt;&gt;0,H36&lt;&gt;0),D36=0,I36=0),"DROP",IF(AND(OR(D36&lt;&gt;0,I36&lt;&gt;0),C36=0,H36=0),"NEW",""))</f>
        <v/>
      </c>
    </row>
    <row r="37" customFormat="false" ht="15" hidden="false" customHeight="true" outlineLevel="0" collapsed="false">
      <c r="A37" s="8" t="s">
        <v>74</v>
      </c>
      <c r="B37" s="8" t="str">
        <f aca="false">IFERROR(INDEX('Source'!$B:$B,MATCH($A37,'Source'!$A:$A,0)),"")</f>
        <v>ICE &amp; GO</v>
      </c>
      <c r="C37" s="9" t="n">
        <f aca="false">SUMIF('Source'!$A:$A,$A37,'Source'!$C:$C)</f>
        <v>1680</v>
      </c>
      <c r="D37" s="9" t="n">
        <f aca="false">SUMIF('Source'!$A:$A,$A37,'Source'!$E:$E)</f>
        <v>1440</v>
      </c>
      <c r="E37" s="9" t="n">
        <f aca="false">D37*$J$5</f>
        <v>1818.94736842105</v>
      </c>
      <c r="F37" s="9" t="n">
        <f aca="false">E37-C37</f>
        <v>138.947368421053</v>
      </c>
      <c r="G37" s="10" t="n">
        <f aca="false">IF(AND(C37=0,E37=0),0,IF(C37=0,"New",(E37-C37)/C37))</f>
        <v>0.0827067669172932</v>
      </c>
      <c r="H37" s="9" t="n">
        <f aca="false">SUMIF('Source'!$A:$A,$A37,'Source'!$D:$D)</f>
        <v>28560</v>
      </c>
      <c r="I37" s="9" t="n">
        <f aca="false">SUMIF('Source'!$A:$A,$A37,'Source'!$F:$F)</f>
        <v>24480</v>
      </c>
      <c r="J37" s="9" t="n">
        <f aca="false">I37*$J$5</f>
        <v>30922.1052631579</v>
      </c>
      <c r="K37" s="9" t="n">
        <f aca="false">J37-H37</f>
        <v>2362.10526315789</v>
      </c>
      <c r="L37" s="10" t="n">
        <f aca="false">IF(AND(H37=0,J37=0),0,IF(H37=0,"New",(J37-H37)/H37))</f>
        <v>0.0827067669172932</v>
      </c>
      <c r="M37" s="8" t="str">
        <f aca="false">IF(AND(OR(C37&lt;&gt;0,H37&lt;&gt;0),D37=0,I37=0),"DROP",IF(AND(OR(D37&lt;&gt;0,I37&lt;&gt;0),C37=0,H37=0),"NEW",""))</f>
        <v/>
      </c>
    </row>
    <row r="38" customFormat="false" ht="15" hidden="false" customHeight="true" outlineLevel="0" collapsed="false">
      <c r="A38" s="8" t="s">
        <v>75</v>
      </c>
      <c r="B38" s="8" t="str">
        <f aca="false">IFERROR(INDEX('Source'!$B:$B,MATCH($A38,'Source'!$A:$A,0)),"")</f>
        <v>מתלה יד-כיס</v>
      </c>
      <c r="C38" s="9" t="n">
        <f aca="false">SUMIF('Source'!$A:$A,$A38,'Source'!$C:$C)</f>
        <v>800</v>
      </c>
      <c r="D38" s="9" t="n">
        <f aca="false">SUMIF('Source'!$A:$A,$A38,'Source'!$E:$E)</f>
        <v>720</v>
      </c>
      <c r="E38" s="9" t="n">
        <f aca="false">D38*$J$5</f>
        <v>909.473684210526</v>
      </c>
      <c r="F38" s="9" t="n">
        <f aca="false">E38-C38</f>
        <v>109.473684210526</v>
      </c>
      <c r="G38" s="10" t="n">
        <f aca="false">IF(AND(C38=0,E38=0),0,IF(C38=0,"New",(E38-C38)/C38))</f>
        <v>0.136842105263158</v>
      </c>
      <c r="H38" s="9" t="n">
        <f aca="false">SUMIF('Source'!$A:$A,$A38,'Source'!$D:$D)</f>
        <v>27200</v>
      </c>
      <c r="I38" s="9" t="n">
        <f aca="false">SUMIF('Source'!$A:$A,$A38,'Source'!$F:$F)</f>
        <v>24480</v>
      </c>
      <c r="J38" s="9" t="n">
        <f aca="false">I38*$J$5</f>
        <v>30922.1052631579</v>
      </c>
      <c r="K38" s="9" t="n">
        <f aca="false">J38-H38</f>
        <v>3722.10526315789</v>
      </c>
      <c r="L38" s="10" t="n">
        <f aca="false">IF(AND(H38=0,J38=0),0,IF(H38=0,"New",(J38-H38)/H38))</f>
        <v>0.136842105263158</v>
      </c>
      <c r="M38" s="8" t="str">
        <f aca="false">IF(AND(OR(C38&lt;&gt;0,H38&lt;&gt;0),D38=0,I38=0),"DROP",IF(AND(OR(D38&lt;&gt;0,I38&lt;&gt;0),C38=0,H38=0),"NEW",""))</f>
        <v/>
      </c>
    </row>
    <row r="39" customFormat="false" ht="15" hidden="false" customHeight="true" outlineLevel="0" collapsed="false">
      <c r="A39" s="8" t="s">
        <v>76</v>
      </c>
      <c r="B39" s="8" t="str">
        <f aca="false">IFERROR(INDEX('Source'!$B:$B,MATCH($A39,'Source'!$A:$A,0)),"")</f>
        <v>צוארון עממי</v>
      </c>
      <c r="C39" s="9" t="n">
        <f aca="false">SUMIF('Source'!$A:$A,$A39,'Source'!$C:$C)</f>
        <v>720</v>
      </c>
      <c r="D39" s="9" t="n">
        <f aca="false">SUMIF('Source'!$A:$A,$A39,'Source'!$E:$E)</f>
        <v>660</v>
      </c>
      <c r="E39" s="9" t="n">
        <f aca="false">D39*$J$5</f>
        <v>833.684210526316</v>
      </c>
      <c r="F39" s="9" t="n">
        <f aca="false">E39-C39</f>
        <v>113.684210526316</v>
      </c>
      <c r="G39" s="10" t="n">
        <f aca="false">IF(AND(C39=0,E39=0),0,IF(C39=0,"New",(E39-C39)/C39))</f>
        <v>0.157894736842105</v>
      </c>
      <c r="H39" s="9" t="n">
        <f aca="false">SUMIF('Source'!$A:$A,$A39,'Source'!$D:$D)</f>
        <v>15552</v>
      </c>
      <c r="I39" s="9" t="n">
        <f aca="false">SUMIF('Source'!$A:$A,$A39,'Source'!$F:$F)</f>
        <v>14256</v>
      </c>
      <c r="J39" s="9" t="n">
        <f aca="false">I39*$J$5</f>
        <v>18007.5789473684</v>
      </c>
      <c r="K39" s="9" t="n">
        <f aca="false">J39-H39</f>
        <v>2455.57894736842</v>
      </c>
      <c r="L39" s="10" t="n">
        <f aca="false">IF(AND(H39=0,J39=0),0,IF(H39=0,"New",(J39-H39)/H39))</f>
        <v>0.157894736842105</v>
      </c>
      <c r="M39" s="8" t="str">
        <f aca="false">IF(AND(OR(C39&lt;&gt;0,H39&lt;&gt;0),D39=0,I39=0),"DROP",IF(AND(OR(D39&lt;&gt;0,I39&lt;&gt;0),C39=0,H39=0),"NEW",""))</f>
        <v/>
      </c>
    </row>
    <row r="40" customFormat="false" ht="15" hidden="false" customHeight="true" outlineLevel="0" collapsed="false">
      <c r="A40" s="8" t="s">
        <v>77</v>
      </c>
      <c r="B40" s="8" t="str">
        <f aca="false">IFERROR(INDEX('Source'!$B:$B,MATCH($A40,'Source'!$A:$A,0)),"")</f>
        <v>99 General</v>
      </c>
      <c r="C40" s="9" t="n">
        <f aca="false">SUMIF('Source'!$A:$A,$A40,'Source'!$C:$C)</f>
        <v>0</v>
      </c>
      <c r="D40" s="9" t="n">
        <f aca="false">SUMIF('Source'!$A:$A,$A40,'Source'!$E:$E)</f>
        <v>-2</v>
      </c>
      <c r="E40" s="9" t="n">
        <f aca="false">D40*$J$5</f>
        <v>-2.52631578947368</v>
      </c>
      <c r="F40" s="9" t="n">
        <f aca="false">E40-C40</f>
        <v>-2.52631578947368</v>
      </c>
      <c r="G40" s="10" t="str">
        <f aca="false">IF(AND(C40=0,E40=0),0,IF(C40=0,"New",(E40-C40)/C40))</f>
        <v>New</v>
      </c>
      <c r="H40" s="9" t="n">
        <f aca="false">SUMIF('Source'!$A:$A,$A40,'Source'!$D:$D)</f>
        <v>0</v>
      </c>
      <c r="I40" s="9" t="n">
        <f aca="false">SUMIF('Source'!$A:$A,$A40,'Source'!$F:$F)</f>
        <v>-1176</v>
      </c>
      <c r="J40" s="9" t="n">
        <f aca="false">I40*$J$5</f>
        <v>-1485.47368421053</v>
      </c>
      <c r="K40" s="9" t="n">
        <f aca="false">J40-H40</f>
        <v>-1485.47368421053</v>
      </c>
      <c r="L40" s="10" t="str">
        <f aca="false">IF(AND(H40=0,J40=0),0,IF(H40=0,"New",(J40-H40)/H40))</f>
        <v>New</v>
      </c>
      <c r="M40" s="8" t="str">
        <f aca="false">IF(AND(OR(C40&lt;&gt;0,H40&lt;&gt;0),D40=0,I40=0),"DROP",IF(AND(OR(D40&lt;&gt;0,I40&lt;&gt;0),C40=0,H40=0),"NEW",""))</f>
        <v>NEW</v>
      </c>
    </row>
    <row r="41" customFormat="false" ht="15" hidden="false" customHeight="true" outlineLevel="0" collapsed="false">
      <c r="A41" s="8" t="s">
        <v>78</v>
      </c>
      <c r="B41" s="8" t="str">
        <f aca="false">IFERROR(INDEX('Source'!$B:$B,MATCH($A41,'Source'!$A:$A,0)),"")</f>
        <v>סד יד</v>
      </c>
      <c r="C41" s="9" t="n">
        <f aca="false">SUMIF('Source'!$A:$A,$A41,'Source'!$C:$C)</f>
        <v>-1</v>
      </c>
      <c r="D41" s="9" t="n">
        <f aca="false">SUMIF('Source'!$A:$A,$A41,'Source'!$E:$E)</f>
        <v>0</v>
      </c>
      <c r="E41" s="9" t="n">
        <f aca="false">D41*$J$5</f>
        <v>0</v>
      </c>
      <c r="F41" s="9" t="n">
        <f aca="false">E41-C41</f>
        <v>1</v>
      </c>
      <c r="G41" s="10" t="n">
        <f aca="false">IF(AND(C41=0,E41=0),0,IF(C41=0,"New",(E41-C41)/C41))</f>
        <v>-1</v>
      </c>
      <c r="H41" s="9" t="n">
        <f aca="false">SUMIF('Source'!$A:$A,$A41,'Source'!$D:$D)</f>
        <v>-62.43</v>
      </c>
      <c r="I41" s="9" t="n">
        <f aca="false">SUMIF('Source'!$A:$A,$A41,'Source'!$F:$F)</f>
        <v>0</v>
      </c>
      <c r="J41" s="9" t="n">
        <f aca="false">I41*$J$5</f>
        <v>0</v>
      </c>
      <c r="K41" s="9" t="n">
        <f aca="false">J41-H41</f>
        <v>62.43</v>
      </c>
      <c r="L41" s="10" t="n">
        <f aca="false">IF(AND(H41=0,J41=0),0,IF(H41=0,"New",(J41-H41)/H41))</f>
        <v>-1</v>
      </c>
      <c r="M41" s="8" t="str">
        <f aca="false">IF(AND(OR(C41&lt;&gt;0,H41&lt;&gt;0),D41=0,I41=0),"DROP",IF(AND(OR(D41&lt;&gt;0,I41&lt;&gt;0),C41=0,H41=0),"NEW",""))</f>
        <v>DROP</v>
      </c>
    </row>
    <row r="43" customFormat="false" ht="15" hidden="false" customHeight="true" outlineLevel="0" collapsed="false">
      <c r="A43" s="18"/>
      <c r="B43" s="19" t="s">
        <v>79</v>
      </c>
      <c r="C43" s="20" t="n">
        <f aca="false">SUM(C9:C41)</f>
        <v>152395</v>
      </c>
      <c r="D43" s="20" t="n">
        <f aca="false">SUM(D9:D41)</f>
        <v>110137</v>
      </c>
      <c r="E43" s="20" t="n">
        <f aca="false">SUM(E9:E41)</f>
        <v>139120.421052632</v>
      </c>
      <c r="F43" s="20" t="n">
        <f aca="false">SUM(F9:F41)</f>
        <v>-13274.5789473684</v>
      </c>
      <c r="G43" s="21" t="n">
        <f aca="false">IF(C43=0,"N/A",F43/C43)</f>
        <v>-0.087106394221388</v>
      </c>
      <c r="H43" s="20" t="n">
        <f aca="false">SUM(H9:H41)</f>
        <v>3809616.42</v>
      </c>
      <c r="I43" s="20" t="n">
        <f aca="false">SUM(I9:I41)</f>
        <v>2569653.05</v>
      </c>
      <c r="J43" s="20" t="n">
        <f aca="false">SUM(J9:J41)</f>
        <v>3245877.53684211</v>
      </c>
      <c r="K43" s="20" t="n">
        <f aca="false">SUM(K9:K41)</f>
        <v>-563738.883157895</v>
      </c>
      <c r="L43" s="21" t="n">
        <f aca="false">IF(H43=0,"N/A",K43/H43)</f>
        <v>-0.14797785945019</v>
      </c>
      <c r="M43" s="18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6" min="3" style="1" width="16"/>
  </cols>
  <sheetData>
    <row r="1" customFormat="false" ht="13.5" hidden="false" customHeight="true" outlineLevel="0" collapsed="false">
      <c r="A1" s="22" t="s">
        <v>80</v>
      </c>
      <c r="B1" s="22"/>
      <c r="C1" s="22"/>
      <c r="D1" s="22"/>
      <c r="E1" s="22"/>
      <c r="F1" s="22"/>
    </row>
    <row r="2" customFormat="false" ht="15" hidden="false" customHeight="true" outlineLevel="0" collapsed="false">
      <c r="A2" s="23" t="s">
        <v>81</v>
      </c>
      <c r="B2" s="23" t="s">
        <v>82</v>
      </c>
      <c r="C2" s="23" t="s">
        <v>15</v>
      </c>
      <c r="D2" s="23" t="s">
        <v>83</v>
      </c>
      <c r="E2" s="23" t="s">
        <v>16</v>
      </c>
      <c r="F2" s="23" t="s">
        <v>84</v>
      </c>
    </row>
    <row r="3" customFormat="false" ht="15" hidden="false" customHeight="true" outlineLevel="0" collapsed="false">
      <c r="A3" s="8" t="s">
        <v>47</v>
      </c>
      <c r="B3" s="8" t="s">
        <v>85</v>
      </c>
      <c r="C3" s="8" t="n">
        <v>3300</v>
      </c>
      <c r="D3" s="8" t="n">
        <v>179553</v>
      </c>
      <c r="E3" s="8" t="n">
        <v>5000</v>
      </c>
      <c r="F3" s="8" t="n">
        <v>272050</v>
      </c>
    </row>
    <row r="4" customFormat="false" ht="15" hidden="false" customHeight="true" outlineLevel="0" collapsed="false">
      <c r="A4" s="8" t="s">
        <v>47</v>
      </c>
      <c r="B4" s="8" t="s">
        <v>85</v>
      </c>
      <c r="C4" s="8" t="n">
        <v>4150</v>
      </c>
      <c r="D4" s="8" t="n">
        <v>242775</v>
      </c>
      <c r="E4" s="8" t="n">
        <v>0</v>
      </c>
      <c r="F4" s="8" t="n">
        <v>0</v>
      </c>
    </row>
    <row r="5" customFormat="false" ht="15" hidden="false" customHeight="true" outlineLevel="0" collapsed="false">
      <c r="A5" s="8" t="s">
        <v>50</v>
      </c>
      <c r="B5" s="8" t="s">
        <v>85</v>
      </c>
      <c r="C5" s="8" t="n">
        <v>1750</v>
      </c>
      <c r="D5" s="8" t="n">
        <v>95217.5</v>
      </c>
      <c r="E5" s="8" t="n">
        <v>2200</v>
      </c>
      <c r="F5" s="8" t="n">
        <v>119702</v>
      </c>
    </row>
    <row r="6" customFormat="false" ht="15" hidden="false" customHeight="true" outlineLevel="0" collapsed="false">
      <c r="A6" s="8" t="s">
        <v>50</v>
      </c>
      <c r="B6" s="8" t="s">
        <v>85</v>
      </c>
      <c r="C6" s="8" t="n">
        <v>2050</v>
      </c>
      <c r="D6" s="8" t="n">
        <v>119925</v>
      </c>
      <c r="E6" s="8" t="n">
        <v>0</v>
      </c>
      <c r="F6" s="8" t="n">
        <v>0</v>
      </c>
    </row>
    <row r="7" customFormat="false" ht="15" hidden="false" customHeight="true" outlineLevel="0" collapsed="false">
      <c r="A7" s="8" t="s">
        <v>48</v>
      </c>
      <c r="B7" s="8" t="s">
        <v>85</v>
      </c>
      <c r="C7" s="8" t="n">
        <v>2500</v>
      </c>
      <c r="D7" s="8" t="n">
        <v>136025</v>
      </c>
      <c r="E7" s="8" t="n">
        <v>3700</v>
      </c>
      <c r="F7" s="8" t="n">
        <v>201317</v>
      </c>
    </row>
    <row r="8" customFormat="false" ht="15" hidden="false" customHeight="true" outlineLevel="0" collapsed="false">
      <c r="A8" s="8" t="s">
        <v>48</v>
      </c>
      <c r="B8" s="8" t="s">
        <v>85</v>
      </c>
      <c r="C8" s="8" t="n">
        <v>3350</v>
      </c>
      <c r="D8" s="8" t="n">
        <v>195975</v>
      </c>
      <c r="E8" s="8" t="n">
        <v>0</v>
      </c>
      <c r="F8" s="8" t="n">
        <v>0</v>
      </c>
    </row>
    <row r="9" customFormat="false" ht="15" hidden="false" customHeight="true" outlineLevel="0" collapsed="false">
      <c r="A9" s="8" t="s">
        <v>51</v>
      </c>
      <c r="B9" s="8" t="s">
        <v>85</v>
      </c>
      <c r="C9" s="8" t="n">
        <v>855</v>
      </c>
      <c r="D9" s="8" t="n">
        <v>46520.55</v>
      </c>
      <c r="E9" s="8" t="n">
        <v>1305</v>
      </c>
      <c r="F9" s="8" t="n">
        <v>71005.05</v>
      </c>
    </row>
    <row r="10" customFormat="false" ht="15" hidden="false" customHeight="true" outlineLevel="0" collapsed="false">
      <c r="A10" s="8" t="s">
        <v>51</v>
      </c>
      <c r="B10" s="8" t="s">
        <v>85</v>
      </c>
      <c r="C10" s="8" t="n">
        <v>1710</v>
      </c>
      <c r="D10" s="8" t="n">
        <v>100035</v>
      </c>
      <c r="E10" s="8" t="n">
        <v>0</v>
      </c>
      <c r="F10" s="8" t="n">
        <v>0</v>
      </c>
    </row>
    <row r="11" customFormat="false" ht="15" hidden="false" customHeight="true" outlineLevel="0" collapsed="false">
      <c r="A11" s="8" t="s">
        <v>62</v>
      </c>
      <c r="B11" s="8" t="s">
        <v>86</v>
      </c>
      <c r="C11" s="8" t="n">
        <v>1400</v>
      </c>
      <c r="D11" s="8" t="n">
        <v>62020</v>
      </c>
      <c r="E11" s="8" t="n">
        <v>1000</v>
      </c>
      <c r="F11" s="8" t="n">
        <v>44300</v>
      </c>
    </row>
    <row r="12" customFormat="false" ht="15" hidden="false" customHeight="true" outlineLevel="0" collapsed="false">
      <c r="A12" s="8" t="s">
        <v>66</v>
      </c>
      <c r="B12" s="8" t="s">
        <v>86</v>
      </c>
      <c r="C12" s="8" t="n">
        <v>950</v>
      </c>
      <c r="D12" s="8" t="n">
        <v>42085</v>
      </c>
      <c r="E12" s="8" t="n">
        <v>650</v>
      </c>
      <c r="F12" s="8" t="n">
        <v>28795</v>
      </c>
    </row>
    <row r="13" customFormat="false" ht="15" hidden="false" customHeight="true" outlineLevel="0" collapsed="false">
      <c r="A13" s="8" t="s">
        <v>63</v>
      </c>
      <c r="B13" s="8" t="s">
        <v>86</v>
      </c>
      <c r="C13" s="8" t="n">
        <v>1300</v>
      </c>
      <c r="D13" s="8" t="n">
        <v>57590</v>
      </c>
      <c r="E13" s="8" t="n">
        <v>900</v>
      </c>
      <c r="F13" s="8" t="n">
        <v>39870</v>
      </c>
    </row>
    <row r="14" customFormat="false" ht="15" hidden="false" customHeight="true" outlineLevel="0" collapsed="false">
      <c r="A14" s="8" t="s">
        <v>70</v>
      </c>
      <c r="B14" s="8" t="s">
        <v>86</v>
      </c>
      <c r="C14" s="8" t="n">
        <v>945</v>
      </c>
      <c r="D14" s="8" t="n">
        <v>41863.5</v>
      </c>
      <c r="E14" s="8" t="n">
        <v>720</v>
      </c>
      <c r="F14" s="8" t="n">
        <v>31896</v>
      </c>
    </row>
    <row r="15" customFormat="false" ht="15" hidden="false" customHeight="true" outlineLevel="0" collapsed="false">
      <c r="A15" s="8" t="s">
        <v>55</v>
      </c>
      <c r="B15" s="8" t="s">
        <v>87</v>
      </c>
      <c r="C15" s="8" t="n">
        <v>7320</v>
      </c>
      <c r="D15" s="8" t="n">
        <v>92964</v>
      </c>
      <c r="E15" s="8" t="n">
        <v>4200</v>
      </c>
      <c r="F15" s="8" t="n">
        <v>53340</v>
      </c>
    </row>
    <row r="16" customFormat="false" ht="15" hidden="false" customHeight="true" outlineLevel="0" collapsed="false">
      <c r="A16" s="8" t="s">
        <v>64</v>
      </c>
      <c r="B16" s="8" t="s">
        <v>87</v>
      </c>
      <c r="C16" s="8" t="n">
        <v>4920</v>
      </c>
      <c r="D16" s="8" t="n">
        <v>62484</v>
      </c>
      <c r="E16" s="8" t="n">
        <v>3720</v>
      </c>
      <c r="F16" s="8" t="n">
        <v>47244</v>
      </c>
    </row>
    <row r="17" customFormat="false" ht="15" hidden="false" customHeight="true" outlineLevel="0" collapsed="false">
      <c r="A17" s="8" t="s">
        <v>73</v>
      </c>
      <c r="B17" s="8" t="s">
        <v>87</v>
      </c>
      <c r="C17" s="8" t="n">
        <v>1920</v>
      </c>
      <c r="D17" s="8" t="n">
        <v>24384</v>
      </c>
      <c r="E17" s="8" t="n">
        <v>1560</v>
      </c>
      <c r="F17" s="8" t="n">
        <v>19812</v>
      </c>
    </row>
    <row r="18" customFormat="false" ht="15" hidden="false" customHeight="true" outlineLevel="0" collapsed="false">
      <c r="A18" s="8" t="s">
        <v>71</v>
      </c>
      <c r="B18" s="8" t="s">
        <v>87</v>
      </c>
      <c r="C18" s="8" t="n">
        <v>5400</v>
      </c>
      <c r="D18" s="8" t="n">
        <v>68580</v>
      </c>
      <c r="E18" s="8" t="n">
        <v>4680</v>
      </c>
      <c r="F18" s="8" t="n">
        <v>59436</v>
      </c>
    </row>
    <row r="19" customFormat="false" ht="15" hidden="false" customHeight="true" outlineLevel="0" collapsed="false">
      <c r="A19" s="8" t="s">
        <v>60</v>
      </c>
      <c r="B19" s="8" t="s">
        <v>88</v>
      </c>
      <c r="C19" s="8" t="n">
        <v>4440</v>
      </c>
      <c r="D19" s="8" t="n">
        <v>53102.4</v>
      </c>
      <c r="E19" s="8" t="n">
        <v>8160</v>
      </c>
      <c r="F19" s="8" t="n">
        <v>97593.6</v>
      </c>
    </row>
    <row r="20" customFormat="false" ht="15" hidden="false" customHeight="true" outlineLevel="0" collapsed="false">
      <c r="A20" s="8" t="s">
        <v>60</v>
      </c>
      <c r="B20" s="8" t="s">
        <v>88</v>
      </c>
      <c r="C20" s="8" t="n">
        <v>5040</v>
      </c>
      <c r="D20" s="8" t="n">
        <v>65520</v>
      </c>
      <c r="E20" s="8" t="n">
        <v>0</v>
      </c>
      <c r="F20" s="8" t="n">
        <v>0</v>
      </c>
    </row>
    <row r="21" customFormat="false" ht="15" hidden="false" customHeight="true" outlineLevel="0" collapsed="false">
      <c r="A21" s="8" t="s">
        <v>58</v>
      </c>
      <c r="B21" s="8" t="s">
        <v>88</v>
      </c>
      <c r="C21" s="8" t="n">
        <v>6720</v>
      </c>
      <c r="D21" s="8" t="n">
        <v>87360</v>
      </c>
      <c r="E21" s="8" t="n">
        <v>4560</v>
      </c>
      <c r="F21" s="8" t="n">
        <v>59280</v>
      </c>
    </row>
    <row r="22" customFormat="false" ht="15" hidden="false" customHeight="true" outlineLevel="0" collapsed="false">
      <c r="A22" s="8" t="s">
        <v>72</v>
      </c>
      <c r="B22" s="8" t="s">
        <v>88</v>
      </c>
      <c r="C22" s="8" t="n">
        <v>2040</v>
      </c>
      <c r="D22" s="8" t="n">
        <v>26520</v>
      </c>
      <c r="E22" s="8" t="n">
        <v>1440</v>
      </c>
      <c r="F22" s="8" t="n">
        <v>18720</v>
      </c>
    </row>
    <row r="23" customFormat="false" ht="15" hidden="false" customHeight="true" outlineLevel="0" collapsed="false">
      <c r="A23" s="8" t="s">
        <v>54</v>
      </c>
      <c r="B23" s="8" t="s">
        <v>88</v>
      </c>
      <c r="C23" s="8" t="n">
        <v>5400</v>
      </c>
      <c r="D23" s="8" t="n">
        <v>70200</v>
      </c>
      <c r="E23" s="8" t="n">
        <v>0</v>
      </c>
      <c r="F23" s="8" t="n">
        <v>0</v>
      </c>
    </row>
    <row r="24" customFormat="false" ht="15" hidden="false" customHeight="true" outlineLevel="0" collapsed="false">
      <c r="A24" s="8" t="s">
        <v>54</v>
      </c>
      <c r="B24" s="8" t="s">
        <v>88</v>
      </c>
      <c r="C24" s="8" t="n">
        <v>4560</v>
      </c>
      <c r="D24" s="8" t="n">
        <v>54537.6</v>
      </c>
      <c r="E24" s="8" t="n">
        <v>6840</v>
      </c>
      <c r="F24" s="8" t="n">
        <v>81806.4</v>
      </c>
    </row>
    <row r="25" customFormat="false" ht="15" hidden="false" customHeight="true" outlineLevel="0" collapsed="false">
      <c r="A25" s="8" t="s">
        <v>67</v>
      </c>
      <c r="B25" s="8" t="s">
        <v>89</v>
      </c>
      <c r="C25" s="8" t="n">
        <v>1500</v>
      </c>
      <c r="D25" s="8" t="n">
        <v>32400</v>
      </c>
      <c r="E25" s="8" t="n">
        <v>900</v>
      </c>
      <c r="F25" s="8" t="n">
        <v>19440</v>
      </c>
    </row>
    <row r="26" customFormat="false" ht="15" hidden="false" customHeight="true" outlineLevel="0" collapsed="false">
      <c r="A26" s="8" t="s">
        <v>76</v>
      </c>
      <c r="B26" s="8" t="s">
        <v>89</v>
      </c>
      <c r="C26" s="8" t="n">
        <v>720</v>
      </c>
      <c r="D26" s="8" t="n">
        <v>15552</v>
      </c>
      <c r="E26" s="8" t="n">
        <v>660</v>
      </c>
      <c r="F26" s="8" t="n">
        <v>14256</v>
      </c>
    </row>
    <row r="27" customFormat="false" ht="15" hidden="false" customHeight="true" outlineLevel="0" collapsed="false">
      <c r="A27" s="8" t="s">
        <v>74</v>
      </c>
      <c r="B27" s="8" t="s">
        <v>90</v>
      </c>
      <c r="C27" s="8" t="n">
        <v>1680</v>
      </c>
      <c r="D27" s="8" t="n">
        <v>28560</v>
      </c>
      <c r="E27" s="8" t="n">
        <v>1440</v>
      </c>
      <c r="F27" s="8" t="n">
        <v>24480</v>
      </c>
    </row>
    <row r="28" customFormat="false" ht="15" hidden="false" customHeight="true" outlineLevel="0" collapsed="false">
      <c r="A28" s="8" t="s">
        <v>69</v>
      </c>
      <c r="B28" s="8" t="s">
        <v>91</v>
      </c>
      <c r="C28" s="8" t="n">
        <v>1360</v>
      </c>
      <c r="D28" s="8" t="n">
        <v>46240</v>
      </c>
      <c r="E28" s="8" t="n">
        <v>1040</v>
      </c>
      <c r="F28" s="8" t="n">
        <v>35360</v>
      </c>
    </row>
    <row r="29" customFormat="false" ht="15" hidden="false" customHeight="true" outlineLevel="0" collapsed="false">
      <c r="A29" s="8" t="s">
        <v>75</v>
      </c>
      <c r="B29" s="8" t="s">
        <v>91</v>
      </c>
      <c r="C29" s="8" t="n">
        <v>800</v>
      </c>
      <c r="D29" s="8" t="n">
        <v>27200</v>
      </c>
      <c r="E29" s="8" t="n">
        <v>720</v>
      </c>
      <c r="F29" s="8" t="n">
        <v>24480</v>
      </c>
    </row>
    <row r="30" customFormat="false" ht="15" hidden="false" customHeight="true" outlineLevel="0" collapsed="false">
      <c r="A30" s="8" t="s">
        <v>77</v>
      </c>
      <c r="B30" s="8" t="s">
        <v>77</v>
      </c>
      <c r="C30" s="8" t="n">
        <v>0</v>
      </c>
      <c r="D30" s="8" t="n">
        <v>0</v>
      </c>
      <c r="E30" s="8" t="n">
        <v>-1</v>
      </c>
      <c r="F30" s="8" t="n">
        <v>-801.6</v>
      </c>
    </row>
    <row r="31" customFormat="false" ht="15" hidden="false" customHeight="true" outlineLevel="0" collapsed="false">
      <c r="A31" s="8" t="s">
        <v>77</v>
      </c>
      <c r="B31" s="8" t="s">
        <v>77</v>
      </c>
      <c r="C31" s="8" t="n">
        <v>0</v>
      </c>
      <c r="D31" s="8" t="n">
        <v>0</v>
      </c>
      <c r="E31" s="8" t="n">
        <v>-1</v>
      </c>
      <c r="F31" s="8" t="n">
        <v>-374.4</v>
      </c>
    </row>
    <row r="32" customFormat="false" ht="15" hidden="false" customHeight="true" outlineLevel="0" collapsed="false">
      <c r="A32" s="8" t="s">
        <v>65</v>
      </c>
      <c r="B32" s="8" t="s">
        <v>92</v>
      </c>
      <c r="C32" s="8" t="n">
        <v>1700</v>
      </c>
      <c r="D32" s="8" t="n">
        <v>53890</v>
      </c>
      <c r="E32" s="8" t="n">
        <v>1250</v>
      </c>
      <c r="F32" s="8" t="n">
        <v>39625</v>
      </c>
    </row>
    <row r="33" customFormat="false" ht="15" hidden="false" customHeight="true" outlineLevel="0" collapsed="false">
      <c r="A33" s="8" t="s">
        <v>68</v>
      </c>
      <c r="B33" s="8" t="s">
        <v>93</v>
      </c>
      <c r="C33" s="8" t="n">
        <v>4920</v>
      </c>
      <c r="D33" s="8" t="n">
        <v>66912</v>
      </c>
      <c r="E33" s="8" t="n">
        <v>4080</v>
      </c>
      <c r="F33" s="8" t="n">
        <v>55488</v>
      </c>
    </row>
    <row r="34" customFormat="false" ht="15" hidden="false" customHeight="true" outlineLevel="0" collapsed="false">
      <c r="A34" s="8" t="s">
        <v>49</v>
      </c>
      <c r="B34" s="8" t="s">
        <v>93</v>
      </c>
      <c r="C34" s="8" t="n">
        <v>12840</v>
      </c>
      <c r="D34" s="8" t="n">
        <v>214428</v>
      </c>
      <c r="E34" s="8" t="n">
        <v>0</v>
      </c>
      <c r="F34" s="8" t="n">
        <v>0</v>
      </c>
    </row>
    <row r="35" customFormat="false" ht="15" hidden="false" customHeight="true" outlineLevel="0" collapsed="false">
      <c r="A35" s="8" t="s">
        <v>49</v>
      </c>
      <c r="B35" s="8" t="s">
        <v>93</v>
      </c>
      <c r="C35" s="8" t="n">
        <v>8640</v>
      </c>
      <c r="D35" s="8" t="n">
        <v>129859.2</v>
      </c>
      <c r="E35" s="8" t="n">
        <v>15110</v>
      </c>
      <c r="F35" s="8" t="n">
        <v>227103.3</v>
      </c>
    </row>
    <row r="36" customFormat="false" ht="15" hidden="false" customHeight="true" outlineLevel="0" collapsed="false">
      <c r="A36" s="8" t="s">
        <v>59</v>
      </c>
      <c r="B36" s="8" t="s">
        <v>94</v>
      </c>
      <c r="C36" s="8" t="n">
        <v>2560</v>
      </c>
      <c r="D36" s="8" t="n">
        <v>64000</v>
      </c>
      <c r="E36" s="8" t="n">
        <v>0</v>
      </c>
      <c r="F36" s="8" t="n">
        <v>0</v>
      </c>
    </row>
    <row r="37" customFormat="false" ht="15" hidden="false" customHeight="true" outlineLevel="0" collapsed="false">
      <c r="A37" s="8" t="s">
        <v>59</v>
      </c>
      <c r="B37" s="8" t="s">
        <v>94</v>
      </c>
      <c r="C37" s="8" t="n">
        <v>1597</v>
      </c>
      <c r="D37" s="8" t="n">
        <v>35932.5</v>
      </c>
      <c r="E37" s="8" t="n">
        <v>3359</v>
      </c>
      <c r="F37" s="8" t="n">
        <v>75577.5</v>
      </c>
    </row>
    <row r="38" customFormat="false" ht="15" hidden="false" customHeight="true" outlineLevel="0" collapsed="false">
      <c r="A38" s="8" t="s">
        <v>52</v>
      </c>
      <c r="B38" s="8" t="s">
        <v>94</v>
      </c>
      <c r="C38" s="8" t="n">
        <v>1920</v>
      </c>
      <c r="D38" s="8" t="n">
        <v>43200</v>
      </c>
      <c r="E38" s="8" t="n">
        <v>3920</v>
      </c>
      <c r="F38" s="8" t="n">
        <v>88200</v>
      </c>
    </row>
    <row r="39" customFormat="false" ht="15" hidden="false" customHeight="true" outlineLevel="0" collapsed="false">
      <c r="A39" s="8" t="s">
        <v>52</v>
      </c>
      <c r="B39" s="8" t="s">
        <v>94</v>
      </c>
      <c r="C39" s="8" t="n">
        <v>3680</v>
      </c>
      <c r="D39" s="8" t="n">
        <v>92000</v>
      </c>
      <c r="E39" s="8" t="n">
        <v>0</v>
      </c>
      <c r="F39" s="8" t="n">
        <v>0</v>
      </c>
    </row>
    <row r="40" customFormat="false" ht="15" hidden="false" customHeight="true" outlineLevel="0" collapsed="false">
      <c r="A40" s="8" t="s">
        <v>78</v>
      </c>
      <c r="B40" s="8" t="s">
        <v>94</v>
      </c>
      <c r="C40" s="8" t="n">
        <v>-1</v>
      </c>
      <c r="D40" s="8" t="n">
        <v>-62.43</v>
      </c>
      <c r="E40" s="8" t="n">
        <v>0</v>
      </c>
      <c r="F40" s="8" t="n">
        <v>0</v>
      </c>
    </row>
    <row r="41" customFormat="false" ht="15" hidden="false" customHeight="true" outlineLevel="0" collapsed="false">
      <c r="A41" s="8" t="s">
        <v>57</v>
      </c>
      <c r="B41" s="8" t="s">
        <v>94</v>
      </c>
      <c r="C41" s="8" t="n">
        <v>3840</v>
      </c>
      <c r="D41" s="8" t="n">
        <v>76800</v>
      </c>
      <c r="E41" s="8" t="n">
        <v>0</v>
      </c>
      <c r="F41" s="8" t="n">
        <v>0</v>
      </c>
    </row>
    <row r="42" customFormat="false" ht="15" hidden="false" customHeight="true" outlineLevel="0" collapsed="false">
      <c r="A42" s="8" t="s">
        <v>57</v>
      </c>
      <c r="B42" s="8" t="s">
        <v>94</v>
      </c>
      <c r="C42" s="8" t="n">
        <v>2400</v>
      </c>
      <c r="D42" s="8" t="n">
        <v>42720</v>
      </c>
      <c r="E42" s="8" t="n">
        <v>4956</v>
      </c>
      <c r="F42" s="8" t="n">
        <v>88216.8</v>
      </c>
    </row>
    <row r="43" customFormat="false" ht="15" hidden="false" customHeight="true" outlineLevel="0" collapsed="false">
      <c r="A43" s="8" t="s">
        <v>56</v>
      </c>
      <c r="B43" s="8" t="s">
        <v>95</v>
      </c>
      <c r="C43" s="8" t="n">
        <v>3840</v>
      </c>
      <c r="D43" s="8" t="n">
        <v>75648</v>
      </c>
      <c r="E43" s="8" t="n">
        <v>0</v>
      </c>
      <c r="F43" s="8" t="n">
        <v>0</v>
      </c>
    </row>
    <row r="44" customFormat="false" ht="15" hidden="false" customHeight="true" outlineLevel="0" collapsed="false">
      <c r="A44" s="8" t="s">
        <v>56</v>
      </c>
      <c r="B44" s="8" t="s">
        <v>95</v>
      </c>
      <c r="C44" s="8" t="n">
        <v>3960</v>
      </c>
      <c r="D44" s="8" t="n">
        <v>69418.8</v>
      </c>
      <c r="E44" s="8" t="n">
        <v>6120</v>
      </c>
      <c r="F44" s="8" t="n">
        <v>107283.6</v>
      </c>
    </row>
    <row r="45" customFormat="false" ht="15" hidden="false" customHeight="true" outlineLevel="0" collapsed="false">
      <c r="A45" s="8" t="s">
        <v>46</v>
      </c>
      <c r="B45" s="8" t="s">
        <v>96</v>
      </c>
      <c r="C45" s="8" t="n">
        <v>5739</v>
      </c>
      <c r="D45" s="8" t="n">
        <v>237594.6</v>
      </c>
      <c r="E45" s="8" t="n">
        <v>9589</v>
      </c>
      <c r="F45" s="8" t="n">
        <v>396984.6</v>
      </c>
    </row>
    <row r="46" customFormat="false" ht="15" hidden="false" customHeight="true" outlineLevel="0" collapsed="false">
      <c r="A46" s="8" t="s">
        <v>46</v>
      </c>
      <c r="B46" s="8" t="s">
        <v>96</v>
      </c>
      <c r="C46" s="8" t="n">
        <v>7560</v>
      </c>
      <c r="D46" s="8" t="n">
        <v>340200</v>
      </c>
      <c r="E46" s="8" t="n">
        <v>0</v>
      </c>
      <c r="F46" s="8" t="n">
        <v>0</v>
      </c>
    </row>
    <row r="47" customFormat="false" ht="15" hidden="false" customHeight="true" outlineLevel="0" collapsed="false">
      <c r="A47" s="8" t="s">
        <v>61</v>
      </c>
      <c r="B47" s="8" t="s">
        <v>97</v>
      </c>
      <c r="C47" s="8" t="n">
        <v>4080</v>
      </c>
      <c r="D47" s="8" t="n">
        <v>77112</v>
      </c>
      <c r="E47" s="8" t="n">
        <v>3000</v>
      </c>
      <c r="F47" s="8" t="n">
        <v>56700</v>
      </c>
    </row>
    <row r="48" customFormat="false" ht="15" hidden="false" customHeight="true" outlineLevel="0" collapsed="false">
      <c r="A48" s="8" t="s">
        <v>53</v>
      </c>
      <c r="B48" s="8" t="s">
        <v>98</v>
      </c>
      <c r="C48" s="8" t="n">
        <v>2160</v>
      </c>
      <c r="D48" s="8" t="n">
        <v>45943.2</v>
      </c>
      <c r="E48" s="8" t="n">
        <v>3360</v>
      </c>
      <c r="F48" s="8" t="n">
        <v>71467.2</v>
      </c>
    </row>
    <row r="49" customFormat="false" ht="15" hidden="false" customHeight="true" outlineLevel="0" collapsed="false">
      <c r="A49" s="8" t="s">
        <v>53</v>
      </c>
      <c r="B49" s="8" t="s">
        <v>98</v>
      </c>
      <c r="C49" s="8" t="n">
        <v>2880</v>
      </c>
      <c r="D49" s="8" t="n">
        <v>68832</v>
      </c>
      <c r="E49" s="8" t="n">
        <v>0</v>
      </c>
      <c r="F49" s="8" t="n"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2026-09-19T19:39:47Z</dcterms:created>
  <dc:creator>openpyxl</dc:creator>
  <dc:description/>
  <dc:language>en-US</dc:language>
  <cp:lastModifiedBy/>
  <dcterms:modified xsi:type="dcterms:W3CDTF">2026-09-19T19:49:12Z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