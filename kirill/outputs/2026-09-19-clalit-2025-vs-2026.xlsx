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קופת חולים כללית" sheetId="1" state="visible" r:id="rId3"/>
    <sheet name="Sourc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8" authorId="0">
      <text>
        <r>
          <rPr>
            <sz val="10"/>
            <rFont val="Arial"/>
            <family val="2"/>
          </rPr>
          <t xml:space="preserve">If the 2025 base is 0 and 2026 &gt; 0, shows "New". If both are 0, shows 0%.</t>
        </r>
      </text>
    </comment>
    <comment ref="J8" authorId="0">
      <text>
        <r>
          <rPr>
            <sz val="10"/>
            <rFont val="Arial"/>
            <family val="2"/>
          </rPr>
          <t xml:space="preserve">If the 2025 base is 0 and 2026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<sst xmlns="http://schemas.openxmlformats.org/spreadsheetml/2006/main" count="156" uniqueCount="74">
  <si>
    <t xml:space="preserve">Sales Comparison 2025 vs 2026 - Customer: קופת חולים כללית (152501, by Product CODE)</t>
  </si>
  <si>
    <t xml:space="preserve">Calculation date:</t>
  </si>
  <si>
    <t xml:space="preserve">Source: NetSuite report "1-Sales: Customer by Item" (01/01/2025-31/12/2026), customer = "152501 קופ"ח כללית 1203-9" only (exact single match, no branch hierarchy). Product CODE = column "Item: Name" (F) - NOT the "Item: Name (Grouped)" (E) column, which carries a PARENT prefix. 2025 = columns J (Quantity)/K (Amount Net); 2026 = columns O (Quantity)/P (Amount Net). The raw report has multiple rows per CODE for this customer (one per unit-price tier) - these are summed (SUMIFS) per CODE in this table, not taken from a single row. Raw rows (47) are kept unchanged in the "Source" sheet. NOTE: unlike the PPLAY1-based group workbook (2026-09-19-grouped-2025-vs-2026.xlsx), this source already provides 2025 and 2026 as separate full-year columns from the same report range - NO annualization (x12/9.5) is applied or needed here.</t>
  </si>
  <si>
    <t xml:space="preserve">(No annualization applied in this workbook - see note above. DROP/NEW summary metrics below.)</t>
  </si>
  <si>
    <t xml:space="preserve"># DROP (sold 2025, 0 in 2026):</t>
  </si>
  <si>
    <t xml:space="preserve"># NEW (sold 2026, 0 in 2025):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</si>
  <si>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</si>
  <si>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</si>
  <si>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</si>
  <si>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</si>
  <si>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Product Code</t>
  </si>
  <si>
    <t xml:space="preserve">Item Display Name</t>
  </si>
  <si>
    <t xml:space="preserve">Quantity 2025</t>
  </si>
  <si>
    <t xml:space="preserve">Quantity 2026</t>
  </si>
  <si>
    <t xml:space="preserve">Quantity Change</t>
  </si>
  <si>
    <t xml:space="preserve">Quantity Change %</t>
  </si>
  <si>
    <t xml:space="preserve">Amount 2025 (₪)</t>
  </si>
  <si>
    <t xml:space="preserve">Amount 2026 (₪)</t>
  </si>
  <si>
    <t xml:space="preserve">Amount Change (₪)</t>
  </si>
  <si>
    <t xml:space="preserve">Amount Change %</t>
  </si>
  <si>
    <t xml:space="preserve">Note</t>
  </si>
  <si>
    <t xml:space="preserve">KST422 0</t>
  </si>
  <si>
    <t xml:space="preserve">K078 L</t>
  </si>
  <si>
    <t xml:space="preserve">K078 XL</t>
  </si>
  <si>
    <t xml:space="preserve">KST25 0</t>
  </si>
  <si>
    <t xml:space="preserve">K078 M</t>
  </si>
  <si>
    <t xml:space="preserve">K078 XXL</t>
  </si>
  <si>
    <t xml:space="preserve">KST27R 0</t>
  </si>
  <si>
    <t xml:space="preserve">KST95 0</t>
  </si>
  <si>
    <t xml:space="preserve">K45 XL</t>
  </si>
  <si>
    <t xml:space="preserve">K35 L</t>
  </si>
  <si>
    <t xml:space="preserve">KST37 0</t>
  </si>
  <si>
    <t xml:space="preserve">KST28 0</t>
  </si>
  <si>
    <t xml:space="preserve">K45 M</t>
  </si>
  <si>
    <t xml:space="preserve">KST27L 0</t>
  </si>
  <si>
    <t xml:space="preserve">K45 L</t>
  </si>
  <si>
    <t xml:space="preserve">KST91 0</t>
  </si>
  <si>
    <t xml:space="preserve">K11U L</t>
  </si>
  <si>
    <t xml:space="preserve">K11U XL</t>
  </si>
  <si>
    <t xml:space="preserve">K35 M</t>
  </si>
  <si>
    <t xml:space="preserve">KST11 0</t>
  </si>
  <si>
    <t xml:space="preserve">K11U M</t>
  </si>
  <si>
    <t xml:space="preserve">K61 L</t>
  </si>
  <si>
    <t xml:space="preserve">KST20 0</t>
  </si>
  <si>
    <t xml:space="preserve">K85 L</t>
  </si>
  <si>
    <t xml:space="preserve">K11U XXL</t>
  </si>
  <si>
    <t xml:space="preserve">K35 XL</t>
  </si>
  <si>
    <t xml:space="preserve">K45 S</t>
  </si>
  <si>
    <t xml:space="preserve">K35 S</t>
  </si>
  <si>
    <t xml:space="preserve">K801 0</t>
  </si>
  <si>
    <t xml:space="preserve">K85 M</t>
  </si>
  <si>
    <t xml:space="preserve">K61 M</t>
  </si>
  <si>
    <t xml:space="preserve">99 General</t>
  </si>
  <si>
    <t xml:space="preserve">ST27L 0</t>
  </si>
  <si>
    <t xml:space="preserve">TOTAL</t>
  </si>
  <si>
    <t xml:space="preserve">Raw source rows - Customer = "152501 קופ"ח כללית 1203-9" only (from NetSuite "1-Sales: Customer by Item", 01/01/2025-31/12/2026), unchanged</t>
  </si>
  <si>
    <t xml:space="preserve">Item Name (CODE)</t>
  </si>
  <si>
    <t xml:space="preserve">Item: Display Name</t>
  </si>
  <si>
    <t xml:space="preserve">Amount 2025 (Net, ₪)</t>
  </si>
  <si>
    <t xml:space="preserve">Amount 2026 (Net, ₪)</t>
  </si>
  <si>
    <t xml:space="preserve">חגורת גב+סגירה כפולה</t>
  </si>
  <si>
    <t xml:space="preserve">חגורת בטן עממית</t>
  </si>
  <si>
    <t xml:space="preserve">מגן קרסול פתוח</t>
  </si>
  <si>
    <t xml:space="preserve">מגן ברך רגיל</t>
  </si>
  <si>
    <t xml:space="preserve">צוארון עממי</t>
  </si>
  <si>
    <t xml:space="preserve">ICE &amp; GO</t>
  </si>
  <si>
    <t xml:space="preserve">מתלה יד-כיס</t>
  </si>
  <si>
    <t xml:space="preserve">חגורת בטן קלה</t>
  </si>
  <si>
    <t xml:space="preserve">חבק יד</t>
  </si>
  <si>
    <t xml:space="preserve">סד יד</t>
  </si>
  <si>
    <t xml:space="preserve">מגן קרסול</t>
  </si>
  <si>
    <t xml:space="preserve">מגן ברך עם כרית ג'ל</t>
  </si>
  <si>
    <t xml:space="preserve">חבק טניס</t>
  </si>
  <si>
    <t xml:space="preserve">מגן מרפק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</si>
</sst>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#,##0"/>
    <numFmt numFmtId="167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4472C4"/>
        <bgColor rgb="FF666699"/>
      </patternFill>
    </fill>
    <fill>
      <patternFill patternType="solid">
        <fgColor rgb="FFC6E0B4"/>
        <bgColor rgb="FFD9D9D9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2"/>
    <col collapsed="false" customWidth="true" hidden="false" outlineLevel="0" max="4" min="3" style="0" width="13"/>
    <col collapsed="false" customWidth="true" hidden="false" outlineLevel="0" max="6" min="5" style="0" width="14"/>
    <col collapsed="false" customWidth="true" hidden="false" outlineLevel="0" max="8" min="7" style="0" width="15"/>
    <col collapsed="false" customWidth="true" hidden="false" outlineLevel="0" max="10" min="9" style="0" width="14"/>
    <col collapsed="false" customWidth="true" hidden="false" outlineLevel="0" max="11" min="11" style="0" width="1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90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</row>
    <row r="4" customFormat="false" ht="15" hidden="false" customHeight="false" outlineLevel="0" collapsed="false">
      <c r="A4" s="5" t="s">
        <v>3</v>
      </c>
      <c r="B4" s="5"/>
      <c r="C4" s="5"/>
      <c r="D4" s="5"/>
      <c r="E4" s="5"/>
      <c r="F4" s="5"/>
      <c r="G4" s="5"/>
      <c r="H4" s="5"/>
      <c r="I4" s="5"/>
      <c r="J4" s="5"/>
      <c r="K4" s="5"/>
    </row>
    <row r="5" customFormat="false" ht="30" hidden="false" customHeight="true" outlineLevel="0" collapsed="false">
      <c r="A5" s="6" t="s">
        <v>4</v>
      </c>
      <c r="B5" s="7" t="n">
        <f aca="false">SUMPRODUCT(--(((C9:C41&lt;&gt;0)+(G9:G41&lt;&gt;0)&gt;0)*((D9:D41=0)*(H9:H41=0))))</f>
        <v>1</v>
      </c>
      <c r="C5" s="6" t="s">
        <v>5</v>
      </c>
      <c r="D5" s="7" t="n">
        <f aca="false">SUMPRODUCT(--(((D9:D41&lt;&gt;0)+(H9:H41&lt;&gt;0)&gt;0)*((C9:C41=0)*(G9:G41=0))))</f>
        <v>1</v>
      </c>
    </row>
    <row r="6" customFormat="false" ht="30" hidden="false" customHeight="true" outlineLevel="0" collapsed="false">
      <c r="A6" s="6" t="s">
        <v>6</v>
      </c>
      <c r="B6" s="7" t="n">
        <f aca="false">SUMPRODUCT(--(((C9:C41&lt;&gt;0)+(G9:G41&lt;&gt;0)&gt;0)*((D9:D41=0)*(H9:H41=0)))*C9:C41)</f>
        <v>-1</v>
      </c>
      <c r="C6" s="6" t="s">
        <v>7</v>
      </c>
      <c r="D6" s="7" t="n">
        <f aca="false">SUMPRODUCT(--(((C9:C41&lt;&gt;0)+(G9:G41&lt;&gt;0)&gt;0)*((D9:D41=0)*(H9:H41=0)))*G9:G41)</f>
        <v>-62.43</v>
      </c>
      <c r="E6" s="6" t="s">
        <v>8</v>
      </c>
      <c r="F6" s="7" t="n">
        <f aca="false">SUMPRODUCT(--(((D9:D41&lt;&gt;0)+(H9:H41&lt;&gt;0)&gt;0)*((C9:C41=0)*(G9:G41=0)))*D9:D41)</f>
        <v>-2</v>
      </c>
      <c r="G6" s="6" t="s">
        <v>9</v>
      </c>
      <c r="H6" s="7" t="n">
        <f aca="false">SUMPRODUCT(--(((D9:D41&lt;&gt;0)+(H9:H41&lt;&gt;0)&gt;0)*((C9:C41=0)*(G9:G41=0)))*H9:H41)</f>
        <v>-1176</v>
      </c>
    </row>
    <row r="8" customFormat="false" ht="31.5" hidden="false" customHeight="true" outlineLevel="0" collapsed="false">
      <c r="A8" s="8" t="s">
        <v>10</v>
      </c>
      <c r="B8" s="8" t="s">
        <v>11</v>
      </c>
      <c r="C8" s="8" t="s">
        <v>12</v>
      </c>
      <c r="D8" s="8" t="s">
        <v>13</v>
      </c>
      <c r="E8" s="8" t="s">
        <v>14</v>
      </c>
      <c r="F8" s="8" t="s">
        <v>15</v>
      </c>
      <c r="G8" s="8" t="s">
        <v>16</v>
      </c>
      <c r="H8" s="8" t="s">
        <v>17</v>
      </c>
      <c r="I8" s="8" t="s">
        <v>18</v>
      </c>
      <c r="J8" s="8" t="s">
        <v>19</v>
      </c>
      <c r="K8" s="8" t="s">
        <v>20</v>
      </c>
    </row>
    <row r="9" customFormat="false" ht="15" hidden="false" customHeight="false" outlineLevel="0" collapsed="false">
      <c r="A9" s="9" t="s">
        <v>21</v>
      </c>
      <c r="B9" s="9" t="str">
        <f aca="false">IFERROR(INDEX('Source'!$B:$B,MATCH($A9,'Source'!$A:$A,0)),"")</f>
        <v>מגן ברך עם כרית ג'ל</v>
      </c>
      <c r="C9" s="10" t="n">
        <f aca="false">SUMIF('Source'!$A:$A,$A9,'Source'!$C:$C)</f>
        <v>13299</v>
      </c>
      <c r="D9" s="10" t="n">
        <f aca="false">SUMIF('Source'!$A:$A,$A9,'Source'!$E:$E)</f>
        <v>9589</v>
      </c>
      <c r="E9" s="10" t="n">
        <f aca="false">D9-C9</f>
        <v>-3710</v>
      </c>
      <c r="F9" s="11" t="n">
        <f aca="false">IF(AND(C9=0,D9=0),0,IF(C9=0,"New",(D9-C9)/C9))</f>
        <v>-0.278968343484473</v>
      </c>
      <c r="G9" s="10" t="n">
        <f aca="false">SUMIF('Source'!$A:$A,$A9,'Source'!$D:$D)</f>
        <v>577794.6</v>
      </c>
      <c r="H9" s="10" t="n">
        <f aca="false">SUMIF('Source'!$A:$A,$A9,'Source'!$F:$F)</f>
        <v>396984.6</v>
      </c>
      <c r="I9" s="10" t="n">
        <f aca="false">H9-G9</f>
        <v>-180810</v>
      </c>
      <c r="J9" s="11" t="n">
        <f aca="false">IF(AND(G9=0,H9=0),0,IF(G9=0,"New",(H9-G9)/G9))</f>
        <v>-0.312931273500999</v>
      </c>
      <c r="K9" s="9" t="str">
        <f aca="false">IF(AND(OR(C9&lt;&gt;0,G9&lt;&gt;0),D9=0,H9=0),"DROP",IF(AND(OR(D9&lt;&gt;0,H9&lt;&gt;0),C9=0,G9=0),"NEW",""))</f>
        <v/>
      </c>
    </row>
    <row r="10" customFormat="false" ht="15" hidden="false" customHeight="false" outlineLevel="0" collapsed="false">
      <c r="A10" s="9" t="s">
        <v>22</v>
      </c>
      <c r="B10" s="9" t="str">
        <f aca="false">IFERROR(INDEX('Source'!$B:$B,MATCH($A10,'Source'!$A:$A,0)),"")</f>
        <v>חגורת גב+סגירה כפולה</v>
      </c>
      <c r="C10" s="10" t="n">
        <f aca="false">SUMIF('Source'!$A:$A,$A10,'Source'!$C:$C)</f>
        <v>7450</v>
      </c>
      <c r="D10" s="10" t="n">
        <f aca="false">SUMIF('Source'!$A:$A,$A10,'Source'!$E:$E)</f>
        <v>5000</v>
      </c>
      <c r="E10" s="10" t="n">
        <f aca="false">D10-C10</f>
        <v>-2450</v>
      </c>
      <c r="F10" s="11" t="n">
        <f aca="false">IF(AND(C10=0,D10=0),0,IF(C10=0,"New",(D10-C10)/C10))</f>
        <v>-0.328859060402685</v>
      </c>
      <c r="G10" s="10" t="n">
        <f aca="false">SUMIF('Source'!$A:$A,$A10,'Source'!$D:$D)</f>
        <v>422328</v>
      </c>
      <c r="H10" s="10" t="n">
        <f aca="false">SUMIF('Source'!$A:$A,$A10,'Source'!$F:$F)</f>
        <v>272050</v>
      </c>
      <c r="I10" s="10" t="n">
        <f aca="false">H10-G10</f>
        <v>-150278</v>
      </c>
      <c r="J10" s="11" t="n">
        <f aca="false">IF(AND(G10=0,H10=0),0,IF(G10=0,"New",(H10-G10)/G10))</f>
        <v>-0.355832433558751</v>
      </c>
      <c r="K10" s="9" t="str">
        <f aca="false">IF(AND(OR(C10&lt;&gt;0,G10&lt;&gt;0),D10=0,H10=0),"DROP",IF(AND(OR(D10&lt;&gt;0,H10&lt;&gt;0),C10=0,G10=0),"NEW",""))</f>
        <v/>
      </c>
    </row>
    <row r="11" customFormat="false" ht="15" hidden="false" customHeight="false" outlineLevel="0" collapsed="false">
      <c r="A11" s="9" t="s">
        <v>23</v>
      </c>
      <c r="B11" s="9" t="str">
        <f aca="false">IFERROR(INDEX('Source'!$B:$B,MATCH($A11,'Source'!$A:$A,0)),"")</f>
        <v>חגורת גב+סגירה כפולה</v>
      </c>
      <c r="C11" s="10" t="n">
        <f aca="false">SUMIF('Source'!$A:$A,$A11,'Source'!$C:$C)</f>
        <v>5850</v>
      </c>
      <c r="D11" s="10" t="n">
        <f aca="false">SUMIF('Source'!$A:$A,$A11,'Source'!$E:$E)</f>
        <v>3700</v>
      </c>
      <c r="E11" s="10" t="n">
        <f aca="false">D11-C11</f>
        <v>-2150</v>
      </c>
      <c r="F11" s="11" t="n">
        <f aca="false">IF(AND(C11=0,D11=0),0,IF(C11=0,"New",(D11-C11)/C11))</f>
        <v>-0.367521367521368</v>
      </c>
      <c r="G11" s="10" t="n">
        <f aca="false">SUMIF('Source'!$A:$A,$A11,'Source'!$D:$D)</f>
        <v>332000</v>
      </c>
      <c r="H11" s="10" t="n">
        <f aca="false">SUMIF('Source'!$A:$A,$A11,'Source'!$F:$F)</f>
        <v>201317</v>
      </c>
      <c r="I11" s="10" t="n">
        <f aca="false">H11-G11</f>
        <v>-130683</v>
      </c>
      <c r="J11" s="11" t="n">
        <f aca="false">IF(AND(G11=0,H11=0),0,IF(G11=0,"New",(H11-G11)/G11))</f>
        <v>-0.393623493975904</v>
      </c>
      <c r="K11" s="9" t="str">
        <f aca="false">IF(AND(OR(C11&lt;&gt;0,G11&lt;&gt;0),D11=0,H11=0),"DROP",IF(AND(OR(D11&lt;&gt;0,H11&lt;&gt;0),C11=0,G11=0),"NEW",""))</f>
        <v/>
      </c>
    </row>
    <row r="12" customFormat="false" ht="15" hidden="false" customHeight="false" outlineLevel="0" collapsed="false">
      <c r="A12" s="9" t="s">
        <v>24</v>
      </c>
      <c r="B12" s="9" t="str">
        <f aca="false">IFERROR(INDEX('Source'!$B:$B,MATCH($A12,'Source'!$A:$A,0)),"")</f>
        <v>חבק יד</v>
      </c>
      <c r="C12" s="10" t="n">
        <f aca="false">SUMIF('Source'!$A:$A,$A12,'Source'!$C:$C)</f>
        <v>21480</v>
      </c>
      <c r="D12" s="10" t="n">
        <f aca="false">SUMIF('Source'!$A:$A,$A12,'Source'!$E:$E)</f>
        <v>15110</v>
      </c>
      <c r="E12" s="10" t="n">
        <f aca="false">D12-C12</f>
        <v>-6370</v>
      </c>
      <c r="F12" s="11" t="n">
        <f aca="false">IF(AND(C12=0,D12=0),0,IF(C12=0,"New",(D12-C12)/C12))</f>
        <v>-0.296554934823091</v>
      </c>
      <c r="G12" s="10" t="n">
        <f aca="false">SUMIF('Source'!$A:$A,$A12,'Source'!$D:$D)</f>
        <v>344287.2</v>
      </c>
      <c r="H12" s="10" t="n">
        <f aca="false">SUMIF('Source'!$A:$A,$A12,'Source'!$F:$F)</f>
        <v>227103.3</v>
      </c>
      <c r="I12" s="10" t="n">
        <f aca="false">H12-G12</f>
        <v>-117183.9</v>
      </c>
      <c r="J12" s="11" t="n">
        <f aca="false">IF(AND(G12=0,H12=0),0,IF(G12=0,"New",(H12-G12)/G12))</f>
        <v>-0.340366705471479</v>
      </c>
      <c r="K12" s="9" t="str">
        <f aca="false">IF(AND(OR(C12&lt;&gt;0,G12&lt;&gt;0),D12=0,H12=0),"DROP",IF(AND(OR(D12&lt;&gt;0,H12&lt;&gt;0),C12=0,G12=0),"NEW",""))</f>
        <v/>
      </c>
    </row>
    <row r="13" customFormat="false" ht="15" hidden="false" customHeight="false" outlineLevel="0" collapsed="false">
      <c r="A13" s="9" t="s">
        <v>25</v>
      </c>
      <c r="B13" s="9" t="str">
        <f aca="false">IFERROR(INDEX('Source'!$B:$B,MATCH($A13,'Source'!$A:$A,0)),"")</f>
        <v>חגורת גב+סגירה כפולה</v>
      </c>
      <c r="C13" s="10" t="n">
        <f aca="false">SUMIF('Source'!$A:$A,$A13,'Source'!$C:$C)</f>
        <v>3800</v>
      </c>
      <c r="D13" s="10" t="n">
        <f aca="false">SUMIF('Source'!$A:$A,$A13,'Source'!$E:$E)</f>
        <v>2200</v>
      </c>
      <c r="E13" s="10" t="n">
        <f aca="false">D13-C13</f>
        <v>-1600</v>
      </c>
      <c r="F13" s="11" t="n">
        <f aca="false">IF(AND(C13=0,D13=0),0,IF(C13=0,"New",(D13-C13)/C13))</f>
        <v>-0.421052631578947</v>
      </c>
      <c r="G13" s="10" t="n">
        <f aca="false">SUMIF('Source'!$A:$A,$A13,'Source'!$D:$D)</f>
        <v>215142.5</v>
      </c>
      <c r="H13" s="10" t="n">
        <f aca="false">SUMIF('Source'!$A:$A,$A13,'Source'!$F:$F)</f>
        <v>119702</v>
      </c>
      <c r="I13" s="10" t="n">
        <f aca="false">H13-G13</f>
        <v>-95440.5</v>
      </c>
      <c r="J13" s="11" t="n">
        <f aca="false">IF(AND(G13=0,H13=0),0,IF(G13=0,"New",(H13-G13)/G13))</f>
        <v>-0.443615278245814</v>
      </c>
      <c r="K13" s="9" t="str">
        <f aca="false">IF(AND(OR(C13&lt;&gt;0,G13&lt;&gt;0),D13=0,H13=0),"DROP",IF(AND(OR(D13&lt;&gt;0,H13&lt;&gt;0),C13=0,G13=0),"NEW",""))</f>
        <v/>
      </c>
    </row>
    <row r="14" customFormat="false" ht="15" hidden="false" customHeight="false" outlineLevel="0" collapsed="false">
      <c r="A14" s="9" t="s">
        <v>26</v>
      </c>
      <c r="B14" s="9" t="str">
        <f aca="false">IFERROR(INDEX('Source'!$B:$B,MATCH($A14,'Source'!$A:$A,0)),"")</f>
        <v>חגורת גב+סגירה כפולה</v>
      </c>
      <c r="C14" s="10" t="n">
        <f aca="false">SUMIF('Source'!$A:$A,$A14,'Source'!$C:$C)</f>
        <v>2565</v>
      </c>
      <c r="D14" s="10" t="n">
        <f aca="false">SUMIF('Source'!$A:$A,$A14,'Source'!$E:$E)</f>
        <v>1305</v>
      </c>
      <c r="E14" s="10" t="n">
        <f aca="false">D14-C14</f>
        <v>-1260</v>
      </c>
      <c r="F14" s="11" t="n">
        <f aca="false">IF(AND(C14=0,D14=0),0,IF(C14=0,"New",(D14-C14)/C14))</f>
        <v>-0.491228070175439</v>
      </c>
      <c r="G14" s="10" t="n">
        <f aca="false">SUMIF('Source'!$A:$A,$A14,'Source'!$D:$D)</f>
        <v>146555.55</v>
      </c>
      <c r="H14" s="10" t="n">
        <f aca="false">SUMIF('Source'!$A:$A,$A14,'Source'!$F:$F)</f>
        <v>71005.05</v>
      </c>
      <c r="I14" s="10" t="n">
        <f aca="false">H14-G14</f>
        <v>-75550.5</v>
      </c>
      <c r="J14" s="11" t="n">
        <f aca="false">IF(AND(G14=0,H14=0),0,IF(G14=0,"New",(H14-G14)/G14))</f>
        <v>-0.515507601042745</v>
      </c>
      <c r="K14" s="9" t="str">
        <f aca="false">IF(AND(OR(C14&lt;&gt;0,G14&lt;&gt;0),D14=0,H14=0),"DROP",IF(AND(OR(D14&lt;&gt;0,H14&lt;&gt;0),C14=0,G14=0),"NEW",""))</f>
        <v/>
      </c>
    </row>
    <row r="15" customFormat="false" ht="15" hidden="false" customHeight="false" outlineLevel="0" collapsed="false">
      <c r="A15" s="9" t="s">
        <v>27</v>
      </c>
      <c r="B15" s="9" t="str">
        <f aca="false">IFERROR(INDEX('Source'!$B:$B,MATCH($A15,'Source'!$A:$A,0)),"")</f>
        <v>סד יד</v>
      </c>
      <c r="C15" s="10" t="n">
        <f aca="false">SUMIF('Source'!$A:$A,$A15,'Source'!$C:$C)</f>
        <v>5600</v>
      </c>
      <c r="D15" s="10" t="n">
        <f aca="false">SUMIF('Source'!$A:$A,$A15,'Source'!$E:$E)</f>
        <v>3920</v>
      </c>
      <c r="E15" s="10" t="n">
        <f aca="false">D15-C15</f>
        <v>-1680</v>
      </c>
      <c r="F15" s="11" t="n">
        <f aca="false">IF(AND(C15=0,D15=0),0,IF(C15=0,"New",(D15-C15)/C15))</f>
        <v>-0.3</v>
      </c>
      <c r="G15" s="10" t="n">
        <f aca="false">SUMIF('Source'!$A:$A,$A15,'Source'!$D:$D)</f>
        <v>135200</v>
      </c>
      <c r="H15" s="10" t="n">
        <f aca="false">SUMIF('Source'!$A:$A,$A15,'Source'!$F:$F)</f>
        <v>88200</v>
      </c>
      <c r="I15" s="10" t="n">
        <f aca="false">H15-G15</f>
        <v>-47000</v>
      </c>
      <c r="J15" s="11" t="n">
        <f aca="false">IF(AND(G15=0,H15=0),0,IF(G15=0,"New",(H15-G15)/G15))</f>
        <v>-0.347633136094675</v>
      </c>
      <c r="K15" s="9" t="str">
        <f aca="false">IF(AND(OR(C15&lt;&gt;0,G15&lt;&gt;0),D15=0,H15=0),"DROP",IF(AND(OR(D15&lt;&gt;0,H15&lt;&gt;0),C15=0,G15=0),"NEW",""))</f>
        <v/>
      </c>
    </row>
    <row r="16" customFormat="false" ht="15" hidden="false" customHeight="false" outlineLevel="0" collapsed="false">
      <c r="A16" s="9" t="s">
        <v>28</v>
      </c>
      <c r="B16" s="9" t="str">
        <f aca="false">IFERROR(INDEX('Source'!$B:$B,MATCH($A16,'Source'!$A:$A,0)),"")</f>
        <v>מגן מרפק</v>
      </c>
      <c r="C16" s="10" t="n">
        <f aca="false">SUMIF('Source'!$A:$A,$A16,'Source'!$C:$C)</f>
        <v>5040</v>
      </c>
      <c r="D16" s="10" t="n">
        <f aca="false">SUMIF('Source'!$A:$A,$A16,'Source'!$E:$E)</f>
        <v>3360</v>
      </c>
      <c r="E16" s="10" t="n">
        <f aca="false">D16-C16</f>
        <v>-1680</v>
      </c>
      <c r="F16" s="11" t="n">
        <f aca="false">IF(AND(C16=0,D16=0),0,IF(C16=0,"New",(D16-C16)/C16))</f>
        <v>-0.333333333333333</v>
      </c>
      <c r="G16" s="10" t="n">
        <f aca="false">SUMIF('Source'!$A:$A,$A16,'Source'!$D:$D)</f>
        <v>114775.2</v>
      </c>
      <c r="H16" s="10" t="n">
        <f aca="false">SUMIF('Source'!$A:$A,$A16,'Source'!$F:$F)</f>
        <v>71467.2</v>
      </c>
      <c r="I16" s="10" t="n">
        <f aca="false">H16-G16</f>
        <v>-43308</v>
      </c>
      <c r="J16" s="11" t="n">
        <f aca="false">IF(AND(G16=0,H16=0),0,IF(G16=0,"New",(H16-G16)/G16))</f>
        <v>-0.37732890031993</v>
      </c>
      <c r="K16" s="9" t="str">
        <f aca="false">IF(AND(OR(C16&lt;&gt;0,G16&lt;&gt;0),D16=0,H16=0),"DROP",IF(AND(OR(D16&lt;&gt;0,H16&lt;&gt;0),C16=0,G16=0),"NEW",""))</f>
        <v/>
      </c>
    </row>
    <row r="17" customFormat="false" ht="15" hidden="false" customHeight="false" outlineLevel="0" collapsed="false">
      <c r="A17" s="9" t="s">
        <v>29</v>
      </c>
      <c r="B17" s="9" t="str">
        <f aca="false">IFERROR(INDEX('Source'!$B:$B,MATCH($A17,'Source'!$A:$A,0)),"")</f>
        <v>מגן ברך רגיל</v>
      </c>
      <c r="C17" s="10" t="n">
        <f aca="false">SUMIF('Source'!$A:$A,$A17,'Source'!$C:$C)</f>
        <v>9960</v>
      </c>
      <c r="D17" s="10" t="n">
        <f aca="false">SUMIF('Source'!$A:$A,$A17,'Source'!$E:$E)</f>
        <v>6840</v>
      </c>
      <c r="E17" s="10" t="n">
        <f aca="false">D17-C17</f>
        <v>-3120</v>
      </c>
      <c r="F17" s="11" t="n">
        <f aca="false">IF(AND(C17=0,D17=0),0,IF(C17=0,"New",(D17-C17)/C17))</f>
        <v>-0.313253012048193</v>
      </c>
      <c r="G17" s="10" t="n">
        <f aca="false">SUMIF('Source'!$A:$A,$A17,'Source'!$D:$D)</f>
        <v>124737.6</v>
      </c>
      <c r="H17" s="10" t="n">
        <f aca="false">SUMIF('Source'!$A:$A,$A17,'Source'!$F:$F)</f>
        <v>81806.4</v>
      </c>
      <c r="I17" s="10" t="n">
        <f aca="false">H17-G17</f>
        <v>-42931.2</v>
      </c>
      <c r="J17" s="11" t="n">
        <f aca="false">IF(AND(G17=0,H17=0),0,IF(G17=0,"New",(H17-G17)/G17))</f>
        <v>-0.344172086043022</v>
      </c>
      <c r="K17" s="9" t="str">
        <f aca="false">IF(AND(OR(C17&lt;&gt;0,G17&lt;&gt;0),D17=0,H17=0),"DROP",IF(AND(OR(D17&lt;&gt;0,H17&lt;&gt;0),C17=0,G17=0),"NEW",""))</f>
        <v/>
      </c>
    </row>
    <row r="18" customFormat="false" ht="15" hidden="false" customHeight="false" outlineLevel="0" collapsed="false">
      <c r="A18" s="9" t="s">
        <v>30</v>
      </c>
      <c r="B18" s="9" t="str">
        <f aca="false">IFERROR(INDEX('Source'!$B:$B,MATCH($A18,'Source'!$A:$A,0)),"")</f>
        <v>מגן קרסול פתוח</v>
      </c>
      <c r="C18" s="10" t="n">
        <f aca="false">SUMIF('Source'!$A:$A,$A18,'Source'!$C:$C)</f>
        <v>7320</v>
      </c>
      <c r="D18" s="10" t="n">
        <f aca="false">SUMIF('Source'!$A:$A,$A18,'Source'!$E:$E)</f>
        <v>4200</v>
      </c>
      <c r="E18" s="10" t="n">
        <f aca="false">D18-C18</f>
        <v>-3120</v>
      </c>
      <c r="F18" s="11" t="n">
        <f aca="false">IF(AND(C18=0,D18=0),0,IF(C18=0,"New",(D18-C18)/C18))</f>
        <v>-0.426229508196721</v>
      </c>
      <c r="G18" s="10" t="n">
        <f aca="false">SUMIF('Source'!$A:$A,$A18,'Source'!$D:$D)</f>
        <v>92964</v>
      </c>
      <c r="H18" s="10" t="n">
        <f aca="false">SUMIF('Source'!$A:$A,$A18,'Source'!$F:$F)</f>
        <v>53340</v>
      </c>
      <c r="I18" s="10" t="n">
        <f aca="false">H18-G18</f>
        <v>-39624</v>
      </c>
      <c r="J18" s="11" t="n">
        <f aca="false">IF(AND(G18=0,H18=0),0,IF(G18=0,"New",(H18-G18)/G18))</f>
        <v>-0.426229508196721</v>
      </c>
      <c r="K18" s="9" t="str">
        <f aca="false">IF(AND(OR(C18&lt;&gt;0,G18&lt;&gt;0),D18=0,H18=0),"DROP",IF(AND(OR(D18&lt;&gt;0,H18&lt;&gt;0),C18=0,G18=0),"NEW",""))</f>
        <v/>
      </c>
    </row>
    <row r="19" customFormat="false" ht="15" hidden="false" customHeight="false" outlineLevel="0" collapsed="false">
      <c r="A19" s="9" t="s">
        <v>31</v>
      </c>
      <c r="B19" s="9" t="str">
        <f aca="false">IFERROR(INDEX('Source'!$B:$B,MATCH($A19,'Source'!$A:$A,0)),"")</f>
        <v>מגן קרסול</v>
      </c>
      <c r="C19" s="10" t="n">
        <f aca="false">SUMIF('Source'!$A:$A,$A19,'Source'!$C:$C)</f>
        <v>7800</v>
      </c>
      <c r="D19" s="10" t="n">
        <f aca="false">SUMIF('Source'!$A:$A,$A19,'Source'!$E:$E)</f>
        <v>6120</v>
      </c>
      <c r="E19" s="10" t="n">
        <f aca="false">D19-C19</f>
        <v>-1680</v>
      </c>
      <c r="F19" s="11" t="n">
        <f aca="false">IF(AND(C19=0,D19=0),0,IF(C19=0,"New",(D19-C19)/C19))</f>
        <v>-0.215384615384615</v>
      </c>
      <c r="G19" s="10" t="n">
        <f aca="false">SUMIF('Source'!$A:$A,$A19,'Source'!$D:$D)</f>
        <v>145066.8</v>
      </c>
      <c r="H19" s="10" t="n">
        <f aca="false">SUMIF('Source'!$A:$A,$A19,'Source'!$F:$F)</f>
        <v>107283.6</v>
      </c>
      <c r="I19" s="10" t="n">
        <f aca="false">H19-G19</f>
        <v>-37783.2</v>
      </c>
      <c r="J19" s="11" t="n">
        <f aca="false">IF(AND(G19=0,H19=0),0,IF(G19=0,"New",(H19-G19)/G19))</f>
        <v>-0.260453804729959</v>
      </c>
      <c r="K19" s="9" t="str">
        <f aca="false">IF(AND(OR(C19&lt;&gt;0,G19&lt;&gt;0),D19=0,H19=0),"DROP",IF(AND(OR(D19&lt;&gt;0,H19&lt;&gt;0),C19=0,G19=0),"NEW",""))</f>
        <v/>
      </c>
    </row>
    <row r="20" customFormat="false" ht="15" hidden="false" customHeight="false" outlineLevel="0" collapsed="false">
      <c r="A20" s="9" t="s">
        <v>32</v>
      </c>
      <c r="B20" s="9" t="str">
        <f aca="false">IFERROR(INDEX('Source'!$B:$B,MATCH($A20,'Source'!$A:$A,0)),"")</f>
        <v>סד יד</v>
      </c>
      <c r="C20" s="10" t="n">
        <f aca="false">SUMIF('Source'!$A:$A,$A20,'Source'!$C:$C)</f>
        <v>6240</v>
      </c>
      <c r="D20" s="10" t="n">
        <f aca="false">SUMIF('Source'!$A:$A,$A20,'Source'!$E:$E)</f>
        <v>4956</v>
      </c>
      <c r="E20" s="10" t="n">
        <f aca="false">D20-C20</f>
        <v>-1284</v>
      </c>
      <c r="F20" s="11" t="n">
        <f aca="false">IF(AND(C20=0,D20=0),0,IF(C20=0,"New",(D20-C20)/C20))</f>
        <v>-0.205769230769231</v>
      </c>
      <c r="G20" s="10" t="n">
        <f aca="false">SUMIF('Source'!$A:$A,$A20,'Source'!$D:$D)</f>
        <v>119520</v>
      </c>
      <c r="H20" s="10" t="n">
        <f aca="false">SUMIF('Source'!$A:$A,$A20,'Source'!$F:$F)</f>
        <v>88216.8</v>
      </c>
      <c r="I20" s="10" t="n">
        <f aca="false">H20-G20</f>
        <v>-31303.2</v>
      </c>
      <c r="J20" s="11" t="n">
        <f aca="false">IF(AND(G20=0,H20=0),0,IF(G20=0,"New",(H20-G20)/G20))</f>
        <v>-0.261907630522088</v>
      </c>
      <c r="K20" s="9" t="str">
        <f aca="false">IF(AND(OR(C20&lt;&gt;0,G20&lt;&gt;0),D20=0,H20=0),"DROP",IF(AND(OR(D20&lt;&gt;0,H20&lt;&gt;0),C20=0,G20=0),"NEW",""))</f>
        <v/>
      </c>
    </row>
    <row r="21" customFormat="false" ht="15" hidden="false" customHeight="false" outlineLevel="0" collapsed="false">
      <c r="A21" s="9" t="s">
        <v>33</v>
      </c>
      <c r="B21" s="9" t="str">
        <f aca="false">IFERROR(INDEX('Source'!$B:$B,MATCH($A21,'Source'!$A:$A,0)),"")</f>
        <v>מגן ברך רגיל</v>
      </c>
      <c r="C21" s="10" t="n">
        <f aca="false">SUMIF('Source'!$A:$A,$A21,'Source'!$C:$C)</f>
        <v>6720</v>
      </c>
      <c r="D21" s="10" t="n">
        <f aca="false">SUMIF('Source'!$A:$A,$A21,'Source'!$E:$E)</f>
        <v>4560</v>
      </c>
      <c r="E21" s="10" t="n">
        <f aca="false">D21-C21</f>
        <v>-2160</v>
      </c>
      <c r="F21" s="11" t="n">
        <f aca="false">IF(AND(C21=0,D21=0),0,IF(C21=0,"New",(D21-C21)/C21))</f>
        <v>-0.321428571428571</v>
      </c>
      <c r="G21" s="10" t="n">
        <f aca="false">SUMIF('Source'!$A:$A,$A21,'Source'!$D:$D)</f>
        <v>87360</v>
      </c>
      <c r="H21" s="10" t="n">
        <f aca="false">SUMIF('Source'!$A:$A,$A21,'Source'!$F:$F)</f>
        <v>59280</v>
      </c>
      <c r="I21" s="10" t="n">
        <f aca="false">H21-G21</f>
        <v>-28080</v>
      </c>
      <c r="J21" s="11" t="n">
        <f aca="false">IF(AND(G21=0,H21=0),0,IF(G21=0,"New",(H21-G21)/G21))</f>
        <v>-0.321428571428571</v>
      </c>
      <c r="K21" s="9" t="str">
        <f aca="false">IF(AND(OR(C21&lt;&gt;0,G21&lt;&gt;0),D21=0,H21=0),"DROP",IF(AND(OR(D21&lt;&gt;0,H21&lt;&gt;0),C21=0,G21=0),"NEW",""))</f>
        <v/>
      </c>
    </row>
    <row r="22" customFormat="false" ht="15" hidden="false" customHeight="false" outlineLevel="0" collapsed="false">
      <c r="A22" s="9" t="s">
        <v>34</v>
      </c>
      <c r="B22" s="9" t="str">
        <f aca="false">IFERROR(INDEX('Source'!$B:$B,MATCH($A22,'Source'!$A:$A,0)),"")</f>
        <v>סד יד</v>
      </c>
      <c r="C22" s="10" t="n">
        <f aca="false">SUMIF('Source'!$A:$A,$A22,'Source'!$C:$C)</f>
        <v>4157</v>
      </c>
      <c r="D22" s="10" t="n">
        <f aca="false">SUMIF('Source'!$A:$A,$A22,'Source'!$E:$E)</f>
        <v>3359</v>
      </c>
      <c r="E22" s="10" t="n">
        <f aca="false">D22-C22</f>
        <v>-798</v>
      </c>
      <c r="F22" s="11" t="n">
        <f aca="false">IF(AND(C22=0,D22=0),0,IF(C22=0,"New",(D22-C22)/C22))</f>
        <v>-0.191965359634352</v>
      </c>
      <c r="G22" s="10" t="n">
        <f aca="false">SUMIF('Source'!$A:$A,$A22,'Source'!$D:$D)</f>
        <v>99932.5</v>
      </c>
      <c r="H22" s="10" t="n">
        <f aca="false">SUMIF('Source'!$A:$A,$A22,'Source'!$F:$F)</f>
        <v>75577.5</v>
      </c>
      <c r="I22" s="10" t="n">
        <f aca="false">H22-G22</f>
        <v>-24355</v>
      </c>
      <c r="J22" s="11" t="n">
        <f aca="false">IF(AND(G22=0,H22=0),0,IF(G22=0,"New",(H22-G22)/G22))</f>
        <v>-0.243714507292422</v>
      </c>
      <c r="K22" s="9" t="str">
        <f aca="false">IF(AND(OR(C22&lt;&gt;0,G22&lt;&gt;0),D22=0,H22=0),"DROP",IF(AND(OR(D22&lt;&gt;0,H22&lt;&gt;0),C22=0,G22=0),"NEW",""))</f>
        <v/>
      </c>
    </row>
    <row r="23" customFormat="false" ht="15" hidden="false" customHeight="false" outlineLevel="0" collapsed="false">
      <c r="A23" s="9" t="s">
        <v>35</v>
      </c>
      <c r="B23" s="9" t="str">
        <f aca="false">IFERROR(INDEX('Source'!$B:$B,MATCH($A23,'Source'!$A:$A,0)),"")</f>
        <v>מגן ברך רגיל</v>
      </c>
      <c r="C23" s="10" t="n">
        <f aca="false">SUMIF('Source'!$A:$A,$A23,'Source'!$C:$C)</f>
        <v>9480</v>
      </c>
      <c r="D23" s="10" t="n">
        <f aca="false">SUMIF('Source'!$A:$A,$A23,'Source'!$E:$E)</f>
        <v>8160</v>
      </c>
      <c r="E23" s="10" t="n">
        <f aca="false">D23-C23</f>
        <v>-1320</v>
      </c>
      <c r="F23" s="11" t="n">
        <f aca="false">IF(AND(C23=0,D23=0),0,IF(C23=0,"New",(D23-C23)/C23))</f>
        <v>-0.139240506329114</v>
      </c>
      <c r="G23" s="10" t="n">
        <f aca="false">SUMIF('Source'!$A:$A,$A23,'Source'!$D:$D)</f>
        <v>118622.4</v>
      </c>
      <c r="H23" s="10" t="n">
        <f aca="false">SUMIF('Source'!$A:$A,$A23,'Source'!$F:$F)</f>
        <v>97593.6</v>
      </c>
      <c r="I23" s="10" t="n">
        <f aca="false">H23-G23</f>
        <v>-21028.8</v>
      </c>
      <c r="J23" s="11" t="n">
        <f aca="false">IF(AND(G23=0,H23=0),0,IF(G23=0,"New",(H23-G23)/G23))</f>
        <v>-0.177275118358758</v>
      </c>
      <c r="K23" s="9" t="str">
        <f aca="false">IF(AND(OR(C23&lt;&gt;0,G23&lt;&gt;0),D23=0,H23=0),"DROP",IF(AND(OR(D23&lt;&gt;0,H23&lt;&gt;0),C23=0,G23=0),"NEW",""))</f>
        <v/>
      </c>
    </row>
    <row r="24" customFormat="false" ht="15" hidden="false" customHeight="false" outlineLevel="0" collapsed="false">
      <c r="A24" s="9" t="s">
        <v>36</v>
      </c>
      <c r="B24" s="9" t="str">
        <f aca="false">IFERROR(INDEX('Source'!$B:$B,MATCH($A24,'Source'!$A:$A,0)),"")</f>
        <v>חבק טניס</v>
      </c>
      <c r="C24" s="10" t="n">
        <f aca="false">SUMIF('Source'!$A:$A,$A24,'Source'!$C:$C)</f>
        <v>4080</v>
      </c>
      <c r="D24" s="10" t="n">
        <f aca="false">SUMIF('Source'!$A:$A,$A24,'Source'!$E:$E)</f>
        <v>3000</v>
      </c>
      <c r="E24" s="10" t="n">
        <f aca="false">D24-C24</f>
        <v>-1080</v>
      </c>
      <c r="F24" s="11" t="n">
        <f aca="false">IF(AND(C24=0,D24=0),0,IF(C24=0,"New",(D24-C24)/C24))</f>
        <v>-0.264705882352941</v>
      </c>
      <c r="G24" s="10" t="n">
        <f aca="false">SUMIF('Source'!$A:$A,$A24,'Source'!$D:$D)</f>
        <v>77112</v>
      </c>
      <c r="H24" s="10" t="n">
        <f aca="false">SUMIF('Source'!$A:$A,$A24,'Source'!$F:$F)</f>
        <v>56700</v>
      </c>
      <c r="I24" s="10" t="n">
        <f aca="false">H24-G24</f>
        <v>-20412</v>
      </c>
      <c r="J24" s="11" t="n">
        <f aca="false">IF(AND(G24=0,H24=0),0,IF(G24=0,"New",(H24-G24)/G24))</f>
        <v>-0.264705882352941</v>
      </c>
      <c r="K24" s="9" t="str">
        <f aca="false">IF(AND(OR(C24&lt;&gt;0,G24&lt;&gt;0),D24=0,H24=0),"DROP",IF(AND(OR(D24&lt;&gt;0,H24&lt;&gt;0),C24=0,G24=0),"NEW",""))</f>
        <v/>
      </c>
    </row>
    <row r="25" customFormat="false" ht="15" hidden="false" customHeight="false" outlineLevel="0" collapsed="false">
      <c r="A25" s="9" t="s">
        <v>37</v>
      </c>
      <c r="B25" s="9" t="str">
        <f aca="false">IFERROR(INDEX('Source'!$B:$B,MATCH($A25,'Source'!$A:$A,0)),"")</f>
        <v>חגורת בטן עממית</v>
      </c>
      <c r="C25" s="10" t="n">
        <f aca="false">SUMIF('Source'!$A:$A,$A25,'Source'!$C:$C)</f>
        <v>1400</v>
      </c>
      <c r="D25" s="10" t="n">
        <f aca="false">SUMIF('Source'!$A:$A,$A25,'Source'!$E:$E)</f>
        <v>1000</v>
      </c>
      <c r="E25" s="10" t="n">
        <f aca="false">D25-C25</f>
        <v>-400</v>
      </c>
      <c r="F25" s="11" t="n">
        <f aca="false">IF(AND(C25=0,D25=0),0,IF(C25=0,"New",(D25-C25)/C25))</f>
        <v>-0.285714285714286</v>
      </c>
      <c r="G25" s="10" t="n">
        <f aca="false">SUMIF('Source'!$A:$A,$A25,'Source'!$D:$D)</f>
        <v>62020</v>
      </c>
      <c r="H25" s="10" t="n">
        <f aca="false">SUMIF('Source'!$A:$A,$A25,'Source'!$F:$F)</f>
        <v>44300</v>
      </c>
      <c r="I25" s="10" t="n">
        <f aca="false">H25-G25</f>
        <v>-17720</v>
      </c>
      <c r="J25" s="11" t="n">
        <f aca="false">IF(AND(G25=0,H25=0),0,IF(G25=0,"New",(H25-G25)/G25))</f>
        <v>-0.285714285714286</v>
      </c>
      <c r="K25" s="9" t="str">
        <f aca="false">IF(AND(OR(C25&lt;&gt;0,G25&lt;&gt;0),D25=0,H25=0),"DROP",IF(AND(OR(D25&lt;&gt;0,H25&lt;&gt;0),C25=0,G25=0),"NEW",""))</f>
        <v/>
      </c>
    </row>
    <row r="26" customFormat="false" ht="15" hidden="false" customHeight="false" outlineLevel="0" collapsed="false">
      <c r="A26" s="9" t="s">
        <v>38</v>
      </c>
      <c r="B26" s="9" t="str">
        <f aca="false">IFERROR(INDEX('Source'!$B:$B,MATCH($A26,'Source'!$A:$A,0)),"")</f>
        <v>חגורת בטן עממית</v>
      </c>
      <c r="C26" s="10" t="n">
        <f aca="false">SUMIF('Source'!$A:$A,$A26,'Source'!$C:$C)</f>
        <v>1300</v>
      </c>
      <c r="D26" s="10" t="n">
        <f aca="false">SUMIF('Source'!$A:$A,$A26,'Source'!$E:$E)</f>
        <v>900</v>
      </c>
      <c r="E26" s="10" t="n">
        <f aca="false">D26-C26</f>
        <v>-400</v>
      </c>
      <c r="F26" s="11" t="n">
        <f aca="false">IF(AND(C26=0,D26=0),0,IF(C26=0,"New",(D26-C26)/C26))</f>
        <v>-0.307692307692308</v>
      </c>
      <c r="G26" s="10" t="n">
        <f aca="false">SUMIF('Source'!$A:$A,$A26,'Source'!$D:$D)</f>
        <v>57590</v>
      </c>
      <c r="H26" s="10" t="n">
        <f aca="false">SUMIF('Source'!$A:$A,$A26,'Source'!$F:$F)</f>
        <v>39870</v>
      </c>
      <c r="I26" s="10" t="n">
        <f aca="false">H26-G26</f>
        <v>-17720</v>
      </c>
      <c r="J26" s="11" t="n">
        <f aca="false">IF(AND(G26=0,H26=0),0,IF(G26=0,"New",(H26-G26)/G26))</f>
        <v>-0.307692307692308</v>
      </c>
      <c r="K26" s="9" t="str">
        <f aca="false">IF(AND(OR(C26&lt;&gt;0,G26&lt;&gt;0),D26=0,H26=0),"DROP",IF(AND(OR(D26&lt;&gt;0,H26&lt;&gt;0),C26=0,G26=0),"NEW",""))</f>
        <v/>
      </c>
    </row>
    <row r="27" customFormat="false" ht="15" hidden="false" customHeight="false" outlineLevel="0" collapsed="false">
      <c r="A27" s="9" t="s">
        <v>39</v>
      </c>
      <c r="B27" s="9" t="str">
        <f aca="false">IFERROR(INDEX('Source'!$B:$B,MATCH($A27,'Source'!$A:$A,0)),"")</f>
        <v>מגן קרסול פתוח</v>
      </c>
      <c r="C27" s="10" t="n">
        <f aca="false">SUMIF('Source'!$A:$A,$A27,'Source'!$C:$C)</f>
        <v>4920</v>
      </c>
      <c r="D27" s="10" t="n">
        <f aca="false">SUMIF('Source'!$A:$A,$A27,'Source'!$E:$E)</f>
        <v>3720</v>
      </c>
      <c r="E27" s="10" t="n">
        <f aca="false">D27-C27</f>
        <v>-1200</v>
      </c>
      <c r="F27" s="11" t="n">
        <f aca="false">IF(AND(C27=0,D27=0),0,IF(C27=0,"New",(D27-C27)/C27))</f>
        <v>-0.24390243902439</v>
      </c>
      <c r="G27" s="10" t="n">
        <f aca="false">SUMIF('Source'!$A:$A,$A27,'Source'!$D:$D)</f>
        <v>62484</v>
      </c>
      <c r="H27" s="10" t="n">
        <f aca="false">SUMIF('Source'!$A:$A,$A27,'Source'!$F:$F)</f>
        <v>47244</v>
      </c>
      <c r="I27" s="10" t="n">
        <f aca="false">H27-G27</f>
        <v>-15240</v>
      </c>
      <c r="J27" s="11" t="n">
        <f aca="false">IF(AND(G27=0,H27=0),0,IF(G27=0,"New",(H27-G27)/G27))</f>
        <v>-0.24390243902439</v>
      </c>
      <c r="K27" s="9" t="str">
        <f aca="false">IF(AND(OR(C27&lt;&gt;0,G27&lt;&gt;0),D27=0,H27=0),"DROP",IF(AND(OR(D27&lt;&gt;0,H27&lt;&gt;0),C27=0,G27=0),"NEW",""))</f>
        <v/>
      </c>
    </row>
    <row r="28" customFormat="false" ht="15" hidden="false" customHeight="false" outlineLevel="0" collapsed="false">
      <c r="A28" s="9" t="s">
        <v>40</v>
      </c>
      <c r="B28" s="9" t="str">
        <f aca="false">IFERROR(INDEX('Source'!$B:$B,MATCH($A28,'Source'!$A:$A,0)),"")</f>
        <v>חגורת בטן קלה</v>
      </c>
      <c r="C28" s="10" t="n">
        <f aca="false">SUMIF('Source'!$A:$A,$A28,'Source'!$C:$C)</f>
        <v>1700</v>
      </c>
      <c r="D28" s="10" t="n">
        <f aca="false">SUMIF('Source'!$A:$A,$A28,'Source'!$E:$E)</f>
        <v>1250</v>
      </c>
      <c r="E28" s="10" t="n">
        <f aca="false">D28-C28</f>
        <v>-450</v>
      </c>
      <c r="F28" s="11" t="n">
        <f aca="false">IF(AND(C28=0,D28=0),0,IF(C28=0,"New",(D28-C28)/C28))</f>
        <v>-0.264705882352941</v>
      </c>
      <c r="G28" s="10" t="n">
        <f aca="false">SUMIF('Source'!$A:$A,$A28,'Source'!$D:$D)</f>
        <v>53890</v>
      </c>
      <c r="H28" s="10" t="n">
        <f aca="false">SUMIF('Source'!$A:$A,$A28,'Source'!$F:$F)</f>
        <v>39625</v>
      </c>
      <c r="I28" s="10" t="n">
        <f aca="false">H28-G28</f>
        <v>-14265</v>
      </c>
      <c r="J28" s="11" t="n">
        <f aca="false">IF(AND(G28=0,H28=0),0,IF(G28=0,"New",(H28-G28)/G28))</f>
        <v>-0.264705882352941</v>
      </c>
      <c r="K28" s="9" t="str">
        <f aca="false">IF(AND(OR(C28&lt;&gt;0,G28&lt;&gt;0),D28=0,H28=0),"DROP",IF(AND(OR(D28&lt;&gt;0,H28&lt;&gt;0),C28=0,G28=0),"NEW",""))</f>
        <v/>
      </c>
    </row>
    <row r="29" customFormat="false" ht="15" hidden="false" customHeight="false" outlineLevel="0" collapsed="false">
      <c r="A29" s="9" t="s">
        <v>41</v>
      </c>
      <c r="B29" s="9" t="str">
        <f aca="false">IFERROR(INDEX('Source'!$B:$B,MATCH($A29,'Source'!$A:$A,0)),"")</f>
        <v>חגורת בטן עממית</v>
      </c>
      <c r="C29" s="10" t="n">
        <f aca="false">SUMIF('Source'!$A:$A,$A29,'Source'!$C:$C)</f>
        <v>950</v>
      </c>
      <c r="D29" s="10" t="n">
        <f aca="false">SUMIF('Source'!$A:$A,$A29,'Source'!$E:$E)</f>
        <v>650</v>
      </c>
      <c r="E29" s="10" t="n">
        <f aca="false">D29-C29</f>
        <v>-300</v>
      </c>
      <c r="F29" s="11" t="n">
        <f aca="false">IF(AND(C29=0,D29=0),0,IF(C29=0,"New",(D29-C29)/C29))</f>
        <v>-0.315789473684211</v>
      </c>
      <c r="G29" s="10" t="n">
        <f aca="false">SUMIF('Source'!$A:$A,$A29,'Source'!$D:$D)</f>
        <v>42085</v>
      </c>
      <c r="H29" s="10" t="n">
        <f aca="false">SUMIF('Source'!$A:$A,$A29,'Source'!$F:$F)</f>
        <v>28795</v>
      </c>
      <c r="I29" s="10" t="n">
        <f aca="false">H29-G29</f>
        <v>-13290</v>
      </c>
      <c r="J29" s="11" t="n">
        <f aca="false">IF(AND(G29=0,H29=0),0,IF(G29=0,"New",(H29-G29)/G29))</f>
        <v>-0.315789473684211</v>
      </c>
      <c r="K29" s="9" t="str">
        <f aca="false">IF(AND(OR(C29&lt;&gt;0,G29&lt;&gt;0),D29=0,H29=0),"DROP",IF(AND(OR(D29&lt;&gt;0,H29&lt;&gt;0),C29=0,G29=0),"NEW",""))</f>
        <v/>
      </c>
    </row>
    <row r="30" customFormat="false" ht="15" hidden="false" customHeight="false" outlineLevel="0" collapsed="false">
      <c r="A30" s="9" t="s">
        <v>42</v>
      </c>
      <c r="B30" s="9" t="str">
        <f aca="false">IFERROR(INDEX('Source'!$B:$B,MATCH($A30,'Source'!$A:$A,0)),"")</f>
        <v>צוארון עממי</v>
      </c>
      <c r="C30" s="10" t="n">
        <f aca="false">SUMIF('Source'!$A:$A,$A30,'Source'!$C:$C)</f>
        <v>1500</v>
      </c>
      <c r="D30" s="10" t="n">
        <f aca="false">SUMIF('Source'!$A:$A,$A30,'Source'!$E:$E)</f>
        <v>900</v>
      </c>
      <c r="E30" s="10" t="n">
        <f aca="false">D30-C30</f>
        <v>-600</v>
      </c>
      <c r="F30" s="11" t="n">
        <f aca="false">IF(AND(C30=0,D30=0),0,IF(C30=0,"New",(D30-C30)/C30))</f>
        <v>-0.4</v>
      </c>
      <c r="G30" s="10" t="n">
        <f aca="false">SUMIF('Source'!$A:$A,$A30,'Source'!$D:$D)</f>
        <v>32400</v>
      </c>
      <c r="H30" s="10" t="n">
        <f aca="false">SUMIF('Source'!$A:$A,$A30,'Source'!$F:$F)</f>
        <v>19440</v>
      </c>
      <c r="I30" s="10" t="n">
        <f aca="false">H30-G30</f>
        <v>-12960</v>
      </c>
      <c r="J30" s="11" t="n">
        <f aca="false">IF(AND(G30=0,H30=0),0,IF(G30=0,"New",(H30-G30)/G30))</f>
        <v>-0.4</v>
      </c>
      <c r="K30" s="9" t="str">
        <f aca="false">IF(AND(OR(C30&lt;&gt;0,G30&lt;&gt;0),D30=0,H30=0),"DROP",IF(AND(OR(D30&lt;&gt;0,H30&lt;&gt;0),C30=0,G30=0),"NEW",""))</f>
        <v/>
      </c>
    </row>
    <row r="31" customFormat="false" ht="15" hidden="false" customHeight="false" outlineLevel="0" collapsed="false">
      <c r="A31" s="9" t="s">
        <v>43</v>
      </c>
      <c r="B31" s="9" t="str">
        <f aca="false">IFERROR(INDEX('Source'!$B:$B,MATCH($A31,'Source'!$A:$A,0)),"")</f>
        <v>חבק יד</v>
      </c>
      <c r="C31" s="10" t="n">
        <f aca="false">SUMIF('Source'!$A:$A,$A31,'Source'!$C:$C)</f>
        <v>4920</v>
      </c>
      <c r="D31" s="10" t="n">
        <f aca="false">SUMIF('Source'!$A:$A,$A31,'Source'!$E:$E)</f>
        <v>4080</v>
      </c>
      <c r="E31" s="10" t="n">
        <f aca="false">D31-C31</f>
        <v>-840</v>
      </c>
      <c r="F31" s="11" t="n">
        <f aca="false">IF(AND(C31=0,D31=0),0,IF(C31=0,"New",(D31-C31)/C31))</f>
        <v>-0.170731707317073</v>
      </c>
      <c r="G31" s="10" t="n">
        <f aca="false">SUMIF('Source'!$A:$A,$A31,'Source'!$D:$D)</f>
        <v>66912</v>
      </c>
      <c r="H31" s="10" t="n">
        <f aca="false">SUMIF('Source'!$A:$A,$A31,'Source'!$F:$F)</f>
        <v>55488</v>
      </c>
      <c r="I31" s="10" t="n">
        <f aca="false">H31-G31</f>
        <v>-11424</v>
      </c>
      <c r="J31" s="11" t="n">
        <f aca="false">IF(AND(G31=0,H31=0),0,IF(G31=0,"New",(H31-G31)/G31))</f>
        <v>-0.170731707317073</v>
      </c>
      <c r="K31" s="9" t="str">
        <f aca="false">IF(AND(OR(C31&lt;&gt;0,G31&lt;&gt;0),D31=0,H31=0),"DROP",IF(AND(OR(D31&lt;&gt;0,H31&lt;&gt;0),C31=0,G31=0),"NEW",""))</f>
        <v/>
      </c>
    </row>
    <row r="32" customFormat="false" ht="15" hidden="false" customHeight="false" outlineLevel="0" collapsed="false">
      <c r="A32" s="9" t="s">
        <v>44</v>
      </c>
      <c r="B32" s="9" t="str">
        <f aca="false">IFERROR(INDEX('Source'!$B:$B,MATCH($A32,'Source'!$A:$A,0)),"")</f>
        <v>מתלה יד-כיס</v>
      </c>
      <c r="C32" s="10" t="n">
        <f aca="false">SUMIF('Source'!$A:$A,$A32,'Source'!$C:$C)</f>
        <v>1360</v>
      </c>
      <c r="D32" s="10" t="n">
        <f aca="false">SUMIF('Source'!$A:$A,$A32,'Source'!$E:$E)</f>
        <v>1040</v>
      </c>
      <c r="E32" s="10" t="n">
        <f aca="false">D32-C32</f>
        <v>-320</v>
      </c>
      <c r="F32" s="11" t="n">
        <f aca="false">IF(AND(C32=0,D32=0),0,IF(C32=0,"New",(D32-C32)/C32))</f>
        <v>-0.235294117647059</v>
      </c>
      <c r="G32" s="10" t="n">
        <f aca="false">SUMIF('Source'!$A:$A,$A32,'Source'!$D:$D)</f>
        <v>46240</v>
      </c>
      <c r="H32" s="10" t="n">
        <f aca="false">SUMIF('Source'!$A:$A,$A32,'Source'!$F:$F)</f>
        <v>35360</v>
      </c>
      <c r="I32" s="10" t="n">
        <f aca="false">H32-G32</f>
        <v>-10880</v>
      </c>
      <c r="J32" s="11" t="n">
        <f aca="false">IF(AND(G32=0,H32=0),0,IF(G32=0,"New",(H32-G32)/G32))</f>
        <v>-0.235294117647059</v>
      </c>
      <c r="K32" s="9" t="str">
        <f aca="false">IF(AND(OR(C32&lt;&gt;0,G32&lt;&gt;0),D32=0,H32=0),"DROP",IF(AND(OR(D32&lt;&gt;0,H32&lt;&gt;0),C32=0,G32=0),"NEW",""))</f>
        <v/>
      </c>
    </row>
    <row r="33" customFormat="false" ht="15" hidden="false" customHeight="false" outlineLevel="0" collapsed="false">
      <c r="A33" s="9" t="s">
        <v>45</v>
      </c>
      <c r="B33" s="9" t="str">
        <f aca="false">IFERROR(INDEX('Source'!$B:$B,MATCH($A33,'Source'!$A:$A,0)),"")</f>
        <v>חגורת בטן עממית</v>
      </c>
      <c r="C33" s="10" t="n">
        <f aca="false">SUMIF('Source'!$A:$A,$A33,'Source'!$C:$C)</f>
        <v>945</v>
      </c>
      <c r="D33" s="10" t="n">
        <f aca="false">SUMIF('Source'!$A:$A,$A33,'Source'!$E:$E)</f>
        <v>720</v>
      </c>
      <c r="E33" s="10" t="n">
        <f aca="false">D33-C33</f>
        <v>-225</v>
      </c>
      <c r="F33" s="11" t="n">
        <f aca="false">IF(AND(C33=0,D33=0),0,IF(C33=0,"New",(D33-C33)/C33))</f>
        <v>-0.238095238095238</v>
      </c>
      <c r="G33" s="10" t="n">
        <f aca="false">SUMIF('Source'!$A:$A,$A33,'Source'!$D:$D)</f>
        <v>41863.5</v>
      </c>
      <c r="H33" s="10" t="n">
        <f aca="false">SUMIF('Source'!$A:$A,$A33,'Source'!$F:$F)</f>
        <v>31896</v>
      </c>
      <c r="I33" s="10" t="n">
        <f aca="false">H33-G33</f>
        <v>-9967.5</v>
      </c>
      <c r="J33" s="11" t="n">
        <f aca="false">IF(AND(G33=0,H33=0),0,IF(G33=0,"New",(H33-G33)/G33))</f>
        <v>-0.238095238095238</v>
      </c>
      <c r="K33" s="9" t="str">
        <f aca="false">IF(AND(OR(C33&lt;&gt;0,G33&lt;&gt;0),D33=0,H33=0),"DROP",IF(AND(OR(D33&lt;&gt;0,H33&lt;&gt;0),C33=0,G33=0),"NEW",""))</f>
        <v/>
      </c>
    </row>
    <row r="34" customFormat="false" ht="15" hidden="false" customHeight="false" outlineLevel="0" collapsed="false">
      <c r="A34" s="9" t="s">
        <v>46</v>
      </c>
      <c r="B34" s="9" t="str">
        <f aca="false">IFERROR(INDEX('Source'!$B:$B,MATCH($A34,'Source'!$A:$A,0)),"")</f>
        <v>מגן קרסול פתוח</v>
      </c>
      <c r="C34" s="10" t="n">
        <f aca="false">SUMIF('Source'!$A:$A,$A34,'Source'!$C:$C)</f>
        <v>5400</v>
      </c>
      <c r="D34" s="10" t="n">
        <f aca="false">SUMIF('Source'!$A:$A,$A34,'Source'!$E:$E)</f>
        <v>4680</v>
      </c>
      <c r="E34" s="10" t="n">
        <f aca="false">D34-C34</f>
        <v>-720</v>
      </c>
      <c r="F34" s="11" t="n">
        <f aca="false">IF(AND(C34=0,D34=0),0,IF(C34=0,"New",(D34-C34)/C34))</f>
        <v>-0.133333333333333</v>
      </c>
      <c r="G34" s="10" t="n">
        <f aca="false">SUMIF('Source'!$A:$A,$A34,'Source'!$D:$D)</f>
        <v>68580</v>
      </c>
      <c r="H34" s="10" t="n">
        <f aca="false">SUMIF('Source'!$A:$A,$A34,'Source'!$F:$F)</f>
        <v>59436</v>
      </c>
      <c r="I34" s="10" t="n">
        <f aca="false">H34-G34</f>
        <v>-9144</v>
      </c>
      <c r="J34" s="11" t="n">
        <f aca="false">IF(AND(G34=0,H34=0),0,IF(G34=0,"New",(H34-G34)/G34))</f>
        <v>-0.133333333333333</v>
      </c>
      <c r="K34" s="9" t="str">
        <f aca="false">IF(AND(OR(C34&lt;&gt;0,G34&lt;&gt;0),D34=0,H34=0),"DROP",IF(AND(OR(D34&lt;&gt;0,H34&lt;&gt;0),C34=0,G34=0),"NEW",""))</f>
        <v/>
      </c>
    </row>
    <row r="35" customFormat="false" ht="15" hidden="false" customHeight="false" outlineLevel="0" collapsed="false">
      <c r="A35" s="9" t="s">
        <v>47</v>
      </c>
      <c r="B35" s="9" t="str">
        <f aca="false">IFERROR(INDEX('Source'!$B:$B,MATCH($A35,'Source'!$A:$A,0)),"")</f>
        <v>מגן ברך רגיל</v>
      </c>
      <c r="C35" s="10" t="n">
        <f aca="false">SUMIF('Source'!$A:$A,$A35,'Source'!$C:$C)</f>
        <v>2040</v>
      </c>
      <c r="D35" s="10" t="n">
        <f aca="false">SUMIF('Source'!$A:$A,$A35,'Source'!$E:$E)</f>
        <v>1440</v>
      </c>
      <c r="E35" s="10" t="n">
        <f aca="false">D35-C35</f>
        <v>-600</v>
      </c>
      <c r="F35" s="11" t="n">
        <f aca="false">IF(AND(C35=0,D35=0),0,IF(C35=0,"New",(D35-C35)/C35))</f>
        <v>-0.294117647058824</v>
      </c>
      <c r="G35" s="10" t="n">
        <f aca="false">SUMIF('Source'!$A:$A,$A35,'Source'!$D:$D)</f>
        <v>26520</v>
      </c>
      <c r="H35" s="10" t="n">
        <f aca="false">SUMIF('Source'!$A:$A,$A35,'Source'!$F:$F)</f>
        <v>18720</v>
      </c>
      <c r="I35" s="10" t="n">
        <f aca="false">H35-G35</f>
        <v>-7800</v>
      </c>
      <c r="J35" s="11" t="n">
        <f aca="false">IF(AND(G35=0,H35=0),0,IF(G35=0,"New",(H35-G35)/G35))</f>
        <v>-0.294117647058824</v>
      </c>
      <c r="K35" s="9" t="str">
        <f aca="false">IF(AND(OR(C35&lt;&gt;0,G35&lt;&gt;0),D35=0,H35=0),"DROP",IF(AND(OR(D35&lt;&gt;0,H35&lt;&gt;0),C35=0,G35=0),"NEW",""))</f>
        <v/>
      </c>
    </row>
    <row r="36" customFormat="false" ht="15" hidden="false" customHeight="false" outlineLevel="0" collapsed="false">
      <c r="A36" s="9" t="s">
        <v>48</v>
      </c>
      <c r="B36" s="9" t="str">
        <f aca="false">IFERROR(INDEX('Source'!$B:$B,MATCH($A36,'Source'!$A:$A,0)),"")</f>
        <v>מגן קרסול פתוח</v>
      </c>
      <c r="C36" s="10" t="n">
        <f aca="false">SUMIF('Source'!$A:$A,$A36,'Source'!$C:$C)</f>
        <v>1920</v>
      </c>
      <c r="D36" s="10" t="n">
        <f aca="false">SUMIF('Source'!$A:$A,$A36,'Source'!$E:$E)</f>
        <v>1560</v>
      </c>
      <c r="E36" s="10" t="n">
        <f aca="false">D36-C36</f>
        <v>-360</v>
      </c>
      <c r="F36" s="11" t="n">
        <f aca="false">IF(AND(C36=0,D36=0),0,IF(C36=0,"New",(D36-C36)/C36))</f>
        <v>-0.1875</v>
      </c>
      <c r="G36" s="10" t="n">
        <f aca="false">SUMIF('Source'!$A:$A,$A36,'Source'!$D:$D)</f>
        <v>24384</v>
      </c>
      <c r="H36" s="10" t="n">
        <f aca="false">SUMIF('Source'!$A:$A,$A36,'Source'!$F:$F)</f>
        <v>19812</v>
      </c>
      <c r="I36" s="10" t="n">
        <f aca="false">H36-G36</f>
        <v>-4572</v>
      </c>
      <c r="J36" s="11" t="n">
        <f aca="false">IF(AND(G36=0,H36=0),0,IF(G36=0,"New",(H36-G36)/G36))</f>
        <v>-0.1875</v>
      </c>
      <c r="K36" s="9" t="str">
        <f aca="false">IF(AND(OR(C36&lt;&gt;0,G36&lt;&gt;0),D36=0,H36=0),"DROP",IF(AND(OR(D36&lt;&gt;0,H36&lt;&gt;0),C36=0,G36=0),"NEW",""))</f>
        <v/>
      </c>
    </row>
    <row r="37" customFormat="false" ht="15" hidden="false" customHeight="false" outlineLevel="0" collapsed="false">
      <c r="A37" s="9" t="s">
        <v>49</v>
      </c>
      <c r="B37" s="9" t="str">
        <f aca="false">IFERROR(INDEX('Source'!$B:$B,MATCH($A37,'Source'!$A:$A,0)),"")</f>
        <v>ICE &amp; GO</v>
      </c>
      <c r="C37" s="10" t="n">
        <f aca="false">SUMIF('Source'!$A:$A,$A37,'Source'!$C:$C)</f>
        <v>1680</v>
      </c>
      <c r="D37" s="10" t="n">
        <f aca="false">SUMIF('Source'!$A:$A,$A37,'Source'!$E:$E)</f>
        <v>1440</v>
      </c>
      <c r="E37" s="10" t="n">
        <f aca="false">D37-C37</f>
        <v>-240</v>
      </c>
      <c r="F37" s="11" t="n">
        <f aca="false">IF(AND(C37=0,D37=0),0,IF(C37=0,"New",(D37-C37)/C37))</f>
        <v>-0.142857142857143</v>
      </c>
      <c r="G37" s="10" t="n">
        <f aca="false">SUMIF('Source'!$A:$A,$A37,'Source'!$D:$D)</f>
        <v>28560</v>
      </c>
      <c r="H37" s="10" t="n">
        <f aca="false">SUMIF('Source'!$A:$A,$A37,'Source'!$F:$F)</f>
        <v>24480</v>
      </c>
      <c r="I37" s="10" t="n">
        <f aca="false">H37-G37</f>
        <v>-4080</v>
      </c>
      <c r="J37" s="11" t="n">
        <f aca="false">IF(AND(G37=0,H37=0),0,IF(G37=0,"New",(H37-G37)/G37))</f>
        <v>-0.142857142857143</v>
      </c>
      <c r="K37" s="9" t="str">
        <f aca="false">IF(AND(OR(C37&lt;&gt;0,G37&lt;&gt;0),D37=0,H37=0),"DROP",IF(AND(OR(D37&lt;&gt;0,H37&lt;&gt;0),C37=0,G37=0),"NEW",""))</f>
        <v/>
      </c>
    </row>
    <row r="38" customFormat="false" ht="15" hidden="false" customHeight="false" outlineLevel="0" collapsed="false">
      <c r="A38" s="9" t="s">
        <v>50</v>
      </c>
      <c r="B38" s="9" t="str">
        <f aca="false">IFERROR(INDEX('Source'!$B:$B,MATCH($A38,'Source'!$A:$A,0)),"")</f>
        <v>מתלה יד-כיס</v>
      </c>
      <c r="C38" s="10" t="n">
        <f aca="false">SUMIF('Source'!$A:$A,$A38,'Source'!$C:$C)</f>
        <v>800</v>
      </c>
      <c r="D38" s="10" t="n">
        <f aca="false">SUMIF('Source'!$A:$A,$A38,'Source'!$E:$E)</f>
        <v>720</v>
      </c>
      <c r="E38" s="10" t="n">
        <f aca="false">D38-C38</f>
        <v>-80</v>
      </c>
      <c r="F38" s="11" t="n">
        <f aca="false">IF(AND(C38=0,D38=0),0,IF(C38=0,"New",(D38-C38)/C38))</f>
        <v>-0.1</v>
      </c>
      <c r="G38" s="10" t="n">
        <f aca="false">SUMIF('Source'!$A:$A,$A38,'Source'!$D:$D)</f>
        <v>27200</v>
      </c>
      <c r="H38" s="10" t="n">
        <f aca="false">SUMIF('Source'!$A:$A,$A38,'Source'!$F:$F)</f>
        <v>24480</v>
      </c>
      <c r="I38" s="10" t="n">
        <f aca="false">H38-G38</f>
        <v>-2720</v>
      </c>
      <c r="J38" s="11" t="n">
        <f aca="false">IF(AND(G38=0,H38=0),0,IF(G38=0,"New",(H38-G38)/G38))</f>
        <v>-0.1</v>
      </c>
      <c r="K38" s="9" t="str">
        <f aca="false">IF(AND(OR(C38&lt;&gt;0,G38&lt;&gt;0),D38=0,H38=0),"DROP",IF(AND(OR(D38&lt;&gt;0,H38&lt;&gt;0),C38=0,G38=0),"NEW",""))</f>
        <v/>
      </c>
    </row>
    <row r="39" customFormat="false" ht="15" hidden="false" customHeight="false" outlineLevel="0" collapsed="false">
      <c r="A39" s="9" t="s">
        <v>51</v>
      </c>
      <c r="B39" s="9" t="str">
        <f aca="false">IFERROR(INDEX('Source'!$B:$B,MATCH($A39,'Source'!$A:$A,0)),"")</f>
        <v>צוארון עממי</v>
      </c>
      <c r="C39" s="10" t="n">
        <f aca="false">SUMIF('Source'!$A:$A,$A39,'Source'!$C:$C)</f>
        <v>720</v>
      </c>
      <c r="D39" s="10" t="n">
        <f aca="false">SUMIF('Source'!$A:$A,$A39,'Source'!$E:$E)</f>
        <v>660</v>
      </c>
      <c r="E39" s="10" t="n">
        <f aca="false">D39-C39</f>
        <v>-60</v>
      </c>
      <c r="F39" s="11" t="n">
        <f aca="false">IF(AND(C39=0,D39=0),0,IF(C39=0,"New",(D39-C39)/C39))</f>
        <v>-0.0833333333333333</v>
      </c>
      <c r="G39" s="10" t="n">
        <f aca="false">SUMIF('Source'!$A:$A,$A39,'Source'!$D:$D)</f>
        <v>15552</v>
      </c>
      <c r="H39" s="10" t="n">
        <f aca="false">SUMIF('Source'!$A:$A,$A39,'Source'!$F:$F)</f>
        <v>14256</v>
      </c>
      <c r="I39" s="10" t="n">
        <f aca="false">H39-G39</f>
        <v>-1296</v>
      </c>
      <c r="J39" s="11" t="n">
        <f aca="false">IF(AND(G39=0,H39=0),0,IF(G39=0,"New",(H39-G39)/G39))</f>
        <v>-0.0833333333333333</v>
      </c>
      <c r="K39" s="9" t="str">
        <f aca="false">IF(AND(OR(C39&lt;&gt;0,G39&lt;&gt;0),D39=0,H39=0),"DROP",IF(AND(OR(D39&lt;&gt;0,H39&lt;&gt;0),C39=0,G39=0),"NEW",""))</f>
        <v/>
      </c>
    </row>
    <row r="40" customFormat="false" ht="15" hidden="false" customHeight="false" outlineLevel="0" collapsed="false">
      <c r="A40" s="9" t="s">
        <v>52</v>
      </c>
      <c r="B40" s="9" t="str">
        <f aca="false">IFERROR(INDEX('Source'!$B:$B,MATCH($A40,'Source'!$A:$A,0)),"")</f>
        <v>99 General</v>
      </c>
      <c r="C40" s="10" t="n">
        <f aca="false">SUMIF('Source'!$A:$A,$A40,'Source'!$C:$C)</f>
        <v>0</v>
      </c>
      <c r="D40" s="10" t="n">
        <f aca="false">SUMIF('Source'!$A:$A,$A40,'Source'!$E:$E)</f>
        <v>-2</v>
      </c>
      <c r="E40" s="10" t="n">
        <f aca="false">D40-C40</f>
        <v>-2</v>
      </c>
      <c r="F40" s="11" t="str">
        <f aca="false">IF(AND(C40=0,D40=0),0,IF(C40=0,"New",(D40-C40)/C40))</f>
        <v>New</v>
      </c>
      <c r="G40" s="10" t="n">
        <f aca="false">SUMIF('Source'!$A:$A,$A40,'Source'!$D:$D)</f>
        <v>0</v>
      </c>
      <c r="H40" s="10" t="n">
        <f aca="false">SUMIF('Source'!$A:$A,$A40,'Source'!$F:$F)</f>
        <v>-1176</v>
      </c>
      <c r="I40" s="10" t="n">
        <f aca="false">H40-G40</f>
        <v>-1176</v>
      </c>
      <c r="J40" s="11" t="str">
        <f aca="false">IF(AND(G40=0,H40=0),0,IF(G40=0,"New",(H40-G40)/G40))</f>
        <v>New</v>
      </c>
      <c r="K40" s="9" t="str">
        <f aca="false">IF(AND(OR(C40&lt;&gt;0,G40&lt;&gt;0),D40=0,H40=0),"DROP",IF(AND(OR(D40&lt;&gt;0,H40&lt;&gt;0),C40=0,G40=0),"NEW",""))</f>
        <v>NEW</v>
      </c>
    </row>
    <row r="41" customFormat="false" ht="15" hidden="false" customHeight="false" outlineLevel="0" collapsed="false">
      <c r="A41" s="9" t="s">
        <v>53</v>
      </c>
      <c r="B41" s="9" t="str">
        <f aca="false">IFERROR(INDEX('Source'!$B:$B,MATCH($A41,'Source'!$A:$A,0)),"")</f>
        <v>סד יד</v>
      </c>
      <c r="C41" s="10" t="n">
        <f aca="false">SUMIF('Source'!$A:$A,$A41,'Source'!$C:$C)</f>
        <v>-1</v>
      </c>
      <c r="D41" s="10" t="n">
        <f aca="false">SUMIF('Source'!$A:$A,$A41,'Source'!$E:$E)</f>
        <v>0</v>
      </c>
      <c r="E41" s="10" t="n">
        <f aca="false">D41-C41</f>
        <v>1</v>
      </c>
      <c r="F41" s="11" t="n">
        <f aca="false">IF(AND(C41=0,D41=0),0,IF(C41=0,"New",(D41-C41)/C41))</f>
        <v>-1</v>
      </c>
      <c r="G41" s="10" t="n">
        <f aca="false">SUMIF('Source'!$A:$A,$A41,'Source'!$D:$D)</f>
        <v>-62.43</v>
      </c>
      <c r="H41" s="10" t="n">
        <f aca="false">SUMIF('Source'!$A:$A,$A41,'Source'!$F:$F)</f>
        <v>0</v>
      </c>
      <c r="I41" s="10" t="n">
        <f aca="false">H41-G41</f>
        <v>62.43</v>
      </c>
      <c r="J41" s="11" t="n">
        <f aca="false">IF(AND(G41=0,H41=0),0,IF(G41=0,"New",(H41-G41)/G41))</f>
        <v>-1</v>
      </c>
      <c r="K41" s="9" t="str">
        <f aca="false">IF(AND(OR(C41&lt;&gt;0,G41&lt;&gt;0),D41=0,H41=0),"DROP",IF(AND(OR(D41&lt;&gt;0,H41&lt;&gt;0),C41=0,G41=0),"NEW",""))</f>
        <v>DROP</v>
      </c>
    </row>
    <row r="43" customFormat="false" ht="15" hidden="false" customHeight="false" outlineLevel="0" collapsed="false">
      <c r="A43" s="12"/>
      <c r="B43" s="13" t="s">
        <v>54</v>
      </c>
      <c r="C43" s="14" t="n">
        <f aca="false">SUM(C9:C41)</f>
        <v>152395</v>
      </c>
      <c r="D43" s="14" t="n">
        <f aca="false">SUM(D9:D41)</f>
        <v>110137</v>
      </c>
      <c r="E43" s="14" t="n">
        <f aca="false">SUM(E9:E41)</f>
        <v>-42258</v>
      </c>
      <c r="F43" s="15" t="n">
        <f aca="false">IF(C43=0,"N/A",E43/C43)</f>
        <v>-0.277292562091932</v>
      </c>
      <c r="G43" s="14" t="n">
        <f aca="false">SUM(G9:G41)</f>
        <v>3809616.42</v>
      </c>
      <c r="H43" s="14" t="n">
        <f aca="false">SUM(H9:H41)</f>
        <v>2569653.05</v>
      </c>
      <c r="I43" s="14" t="n">
        <f aca="false">SUM(I9:I41)</f>
        <v>-1239963.37</v>
      </c>
      <c r="J43" s="15" t="n">
        <f aca="false">IF(G43=0,"N/A",I43/G43)</f>
        <v>-0.325482472064734</v>
      </c>
      <c r="K43" s="12"/>
    </row>
  </sheetData>
  <mergeCells count="2">
    <mergeCell ref="A3:K3"/>
    <mergeCell ref="A4:K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6" min="3" style="0" width="16"/>
  </cols>
  <sheetData>
    <row r="1" customFormat="false" ht="14.15" hidden="false" customHeight="false" outlineLevel="0" collapsed="false">
      <c r="A1" s="16" t="s">
        <v>55</v>
      </c>
      <c r="B1" s="16"/>
      <c r="C1" s="16"/>
      <c r="D1" s="16"/>
      <c r="E1" s="16"/>
      <c r="F1" s="16"/>
    </row>
    <row r="2" customFormat="false" ht="15" hidden="false" customHeight="false" outlineLevel="0" collapsed="false">
      <c r="A2" s="17" t="s">
        <v>56</v>
      </c>
      <c r="B2" s="17" t="s">
        <v>57</v>
      </c>
      <c r="C2" s="17" t="s">
        <v>12</v>
      </c>
      <c r="D2" s="17" t="s">
        <v>58</v>
      </c>
      <c r="E2" s="17" t="s">
        <v>13</v>
      </c>
      <c r="F2" s="17" t="s">
        <v>59</v>
      </c>
    </row>
    <row r="3" customFormat="false" ht="15" hidden="false" customHeight="false" outlineLevel="0" collapsed="false">
      <c r="A3" s="9" t="s">
        <v>22</v>
      </c>
      <c r="B3" s="9" t="s">
        <v>60</v>
      </c>
      <c r="C3" s="9" t="n">
        <v>3300</v>
      </c>
      <c r="D3" s="9" t="n">
        <v>179553</v>
      </c>
      <c r="E3" s="9" t="n">
        <v>5000</v>
      </c>
      <c r="F3" s="9" t="n">
        <v>272050</v>
      </c>
    </row>
    <row r="4" customFormat="false" ht="15" hidden="false" customHeight="false" outlineLevel="0" collapsed="false">
      <c r="A4" s="9" t="s">
        <v>22</v>
      </c>
      <c r="B4" s="9" t="s">
        <v>60</v>
      </c>
      <c r="C4" s="9" t="n">
        <v>4150</v>
      </c>
      <c r="D4" s="9" t="n">
        <v>242775</v>
      </c>
      <c r="E4" s="9" t="n">
        <v>0</v>
      </c>
      <c r="F4" s="9" t="n">
        <v>0</v>
      </c>
    </row>
    <row r="5" customFormat="false" ht="15" hidden="false" customHeight="false" outlineLevel="0" collapsed="false">
      <c r="A5" s="9" t="s">
        <v>25</v>
      </c>
      <c r="B5" s="9" t="s">
        <v>60</v>
      </c>
      <c r="C5" s="9" t="n">
        <v>1750</v>
      </c>
      <c r="D5" s="9" t="n">
        <v>95217.5</v>
      </c>
      <c r="E5" s="9" t="n">
        <v>2200</v>
      </c>
      <c r="F5" s="9" t="n">
        <v>119702</v>
      </c>
    </row>
    <row r="6" customFormat="false" ht="15" hidden="false" customHeight="false" outlineLevel="0" collapsed="false">
      <c r="A6" s="9" t="s">
        <v>25</v>
      </c>
      <c r="B6" s="9" t="s">
        <v>60</v>
      </c>
      <c r="C6" s="9" t="n">
        <v>2050</v>
      </c>
      <c r="D6" s="9" t="n">
        <v>119925</v>
      </c>
      <c r="E6" s="9" t="n">
        <v>0</v>
      </c>
      <c r="F6" s="9" t="n">
        <v>0</v>
      </c>
    </row>
    <row r="7" customFormat="false" ht="15" hidden="false" customHeight="false" outlineLevel="0" collapsed="false">
      <c r="A7" s="9" t="s">
        <v>23</v>
      </c>
      <c r="B7" s="9" t="s">
        <v>60</v>
      </c>
      <c r="C7" s="9" t="n">
        <v>2500</v>
      </c>
      <c r="D7" s="9" t="n">
        <v>136025</v>
      </c>
      <c r="E7" s="9" t="n">
        <v>3700</v>
      </c>
      <c r="F7" s="9" t="n">
        <v>201317</v>
      </c>
    </row>
    <row r="8" customFormat="false" ht="15" hidden="false" customHeight="false" outlineLevel="0" collapsed="false">
      <c r="A8" s="9" t="s">
        <v>23</v>
      </c>
      <c r="B8" s="9" t="s">
        <v>60</v>
      </c>
      <c r="C8" s="9" t="n">
        <v>3350</v>
      </c>
      <c r="D8" s="9" t="n">
        <v>195975</v>
      </c>
      <c r="E8" s="9" t="n">
        <v>0</v>
      </c>
      <c r="F8" s="9" t="n">
        <v>0</v>
      </c>
    </row>
    <row r="9" customFormat="false" ht="15" hidden="false" customHeight="false" outlineLevel="0" collapsed="false">
      <c r="A9" s="9" t="s">
        <v>26</v>
      </c>
      <c r="B9" s="9" t="s">
        <v>60</v>
      </c>
      <c r="C9" s="9" t="n">
        <v>855</v>
      </c>
      <c r="D9" s="9" t="n">
        <v>46520.55</v>
      </c>
      <c r="E9" s="9" t="n">
        <v>1305</v>
      </c>
      <c r="F9" s="9" t="n">
        <v>71005.05</v>
      </c>
    </row>
    <row r="10" customFormat="false" ht="15" hidden="false" customHeight="false" outlineLevel="0" collapsed="false">
      <c r="A10" s="9" t="s">
        <v>26</v>
      </c>
      <c r="B10" s="9" t="s">
        <v>60</v>
      </c>
      <c r="C10" s="9" t="n">
        <v>1710</v>
      </c>
      <c r="D10" s="9" t="n">
        <v>100035</v>
      </c>
      <c r="E10" s="9" t="n">
        <v>0</v>
      </c>
      <c r="F10" s="9" t="n">
        <v>0</v>
      </c>
    </row>
    <row r="11" customFormat="false" ht="15" hidden="false" customHeight="false" outlineLevel="0" collapsed="false">
      <c r="A11" s="9" t="s">
        <v>37</v>
      </c>
      <c r="B11" s="9" t="s">
        <v>61</v>
      </c>
      <c r="C11" s="9" t="n">
        <v>1400</v>
      </c>
      <c r="D11" s="9" t="n">
        <v>62020</v>
      </c>
      <c r="E11" s="9" t="n">
        <v>1000</v>
      </c>
      <c r="F11" s="9" t="n">
        <v>44300</v>
      </c>
    </row>
    <row r="12" customFormat="false" ht="15" hidden="false" customHeight="false" outlineLevel="0" collapsed="false">
      <c r="A12" s="9" t="s">
        <v>41</v>
      </c>
      <c r="B12" s="9" t="s">
        <v>61</v>
      </c>
      <c r="C12" s="9" t="n">
        <v>950</v>
      </c>
      <c r="D12" s="9" t="n">
        <v>42085</v>
      </c>
      <c r="E12" s="9" t="n">
        <v>650</v>
      </c>
      <c r="F12" s="9" t="n">
        <v>28795</v>
      </c>
    </row>
    <row r="13" customFormat="false" ht="15" hidden="false" customHeight="false" outlineLevel="0" collapsed="false">
      <c r="A13" s="9" t="s">
        <v>38</v>
      </c>
      <c r="B13" s="9" t="s">
        <v>61</v>
      </c>
      <c r="C13" s="9" t="n">
        <v>1300</v>
      </c>
      <c r="D13" s="9" t="n">
        <v>57590</v>
      </c>
      <c r="E13" s="9" t="n">
        <v>900</v>
      </c>
      <c r="F13" s="9" t="n">
        <v>39870</v>
      </c>
    </row>
    <row r="14" customFormat="false" ht="15" hidden="false" customHeight="false" outlineLevel="0" collapsed="false">
      <c r="A14" s="9" t="s">
        <v>45</v>
      </c>
      <c r="B14" s="9" t="s">
        <v>61</v>
      </c>
      <c r="C14" s="9" t="n">
        <v>945</v>
      </c>
      <c r="D14" s="9" t="n">
        <v>41863.5</v>
      </c>
      <c r="E14" s="9" t="n">
        <v>720</v>
      </c>
      <c r="F14" s="9" t="n">
        <v>31896</v>
      </c>
    </row>
    <row r="15" customFormat="false" ht="15" hidden="false" customHeight="false" outlineLevel="0" collapsed="false">
      <c r="A15" s="9" t="s">
        <v>30</v>
      </c>
      <c r="B15" s="9" t="s">
        <v>62</v>
      </c>
      <c r="C15" s="9" t="n">
        <v>7320</v>
      </c>
      <c r="D15" s="9" t="n">
        <v>92964</v>
      </c>
      <c r="E15" s="9" t="n">
        <v>4200</v>
      </c>
      <c r="F15" s="9" t="n">
        <v>53340</v>
      </c>
    </row>
    <row r="16" customFormat="false" ht="15" hidden="false" customHeight="false" outlineLevel="0" collapsed="false">
      <c r="A16" s="9" t="s">
        <v>39</v>
      </c>
      <c r="B16" s="9" t="s">
        <v>62</v>
      </c>
      <c r="C16" s="9" t="n">
        <v>4920</v>
      </c>
      <c r="D16" s="9" t="n">
        <v>62484</v>
      </c>
      <c r="E16" s="9" t="n">
        <v>3720</v>
      </c>
      <c r="F16" s="9" t="n">
        <v>47244</v>
      </c>
    </row>
    <row r="17" customFormat="false" ht="15" hidden="false" customHeight="false" outlineLevel="0" collapsed="false">
      <c r="A17" s="9" t="s">
        <v>48</v>
      </c>
      <c r="B17" s="9" t="s">
        <v>62</v>
      </c>
      <c r="C17" s="9" t="n">
        <v>1920</v>
      </c>
      <c r="D17" s="9" t="n">
        <v>24384</v>
      </c>
      <c r="E17" s="9" t="n">
        <v>1560</v>
      </c>
      <c r="F17" s="9" t="n">
        <v>19812</v>
      </c>
    </row>
    <row r="18" customFormat="false" ht="15" hidden="false" customHeight="false" outlineLevel="0" collapsed="false">
      <c r="A18" s="9" t="s">
        <v>46</v>
      </c>
      <c r="B18" s="9" t="s">
        <v>62</v>
      </c>
      <c r="C18" s="9" t="n">
        <v>5400</v>
      </c>
      <c r="D18" s="9" t="n">
        <v>68580</v>
      </c>
      <c r="E18" s="9" t="n">
        <v>4680</v>
      </c>
      <c r="F18" s="9" t="n">
        <v>59436</v>
      </c>
    </row>
    <row r="19" customFormat="false" ht="15" hidden="false" customHeight="false" outlineLevel="0" collapsed="false">
      <c r="A19" s="9" t="s">
        <v>35</v>
      </c>
      <c r="B19" s="9" t="s">
        <v>63</v>
      </c>
      <c r="C19" s="9" t="n">
        <v>4440</v>
      </c>
      <c r="D19" s="9" t="n">
        <v>53102.4</v>
      </c>
      <c r="E19" s="9" t="n">
        <v>8160</v>
      </c>
      <c r="F19" s="9" t="n">
        <v>97593.6</v>
      </c>
    </row>
    <row r="20" customFormat="false" ht="15" hidden="false" customHeight="false" outlineLevel="0" collapsed="false">
      <c r="A20" s="9" t="s">
        <v>35</v>
      </c>
      <c r="B20" s="9" t="s">
        <v>63</v>
      </c>
      <c r="C20" s="9" t="n">
        <v>5040</v>
      </c>
      <c r="D20" s="9" t="n">
        <v>65520</v>
      </c>
      <c r="E20" s="9" t="n">
        <v>0</v>
      </c>
      <c r="F20" s="9" t="n">
        <v>0</v>
      </c>
    </row>
    <row r="21" customFormat="false" ht="15" hidden="false" customHeight="false" outlineLevel="0" collapsed="false">
      <c r="A21" s="9" t="s">
        <v>33</v>
      </c>
      <c r="B21" s="9" t="s">
        <v>63</v>
      </c>
      <c r="C21" s="9" t="n">
        <v>6720</v>
      </c>
      <c r="D21" s="9" t="n">
        <v>87360</v>
      </c>
      <c r="E21" s="9" t="n">
        <v>4560</v>
      </c>
      <c r="F21" s="9" t="n">
        <v>59280</v>
      </c>
    </row>
    <row r="22" customFormat="false" ht="15" hidden="false" customHeight="false" outlineLevel="0" collapsed="false">
      <c r="A22" s="9" t="s">
        <v>47</v>
      </c>
      <c r="B22" s="9" t="s">
        <v>63</v>
      </c>
      <c r="C22" s="9" t="n">
        <v>2040</v>
      </c>
      <c r="D22" s="9" t="n">
        <v>26520</v>
      </c>
      <c r="E22" s="9" t="n">
        <v>1440</v>
      </c>
      <c r="F22" s="9" t="n">
        <v>18720</v>
      </c>
    </row>
    <row r="23" customFormat="false" ht="15" hidden="false" customHeight="false" outlineLevel="0" collapsed="false">
      <c r="A23" s="9" t="s">
        <v>29</v>
      </c>
      <c r="B23" s="9" t="s">
        <v>63</v>
      </c>
      <c r="C23" s="9" t="n">
        <v>5400</v>
      </c>
      <c r="D23" s="9" t="n">
        <v>70200</v>
      </c>
      <c r="E23" s="9" t="n">
        <v>0</v>
      </c>
      <c r="F23" s="9" t="n">
        <v>0</v>
      </c>
    </row>
    <row r="24" customFormat="false" ht="15" hidden="false" customHeight="false" outlineLevel="0" collapsed="false">
      <c r="A24" s="9" t="s">
        <v>29</v>
      </c>
      <c r="B24" s="9" t="s">
        <v>63</v>
      </c>
      <c r="C24" s="9" t="n">
        <v>4560</v>
      </c>
      <c r="D24" s="9" t="n">
        <v>54537.6</v>
      </c>
      <c r="E24" s="9" t="n">
        <v>6840</v>
      </c>
      <c r="F24" s="9" t="n">
        <v>81806.4</v>
      </c>
    </row>
    <row r="25" customFormat="false" ht="15" hidden="false" customHeight="false" outlineLevel="0" collapsed="false">
      <c r="A25" s="9" t="s">
        <v>42</v>
      </c>
      <c r="B25" s="9" t="s">
        <v>64</v>
      </c>
      <c r="C25" s="9" t="n">
        <v>1500</v>
      </c>
      <c r="D25" s="9" t="n">
        <v>32400</v>
      </c>
      <c r="E25" s="9" t="n">
        <v>900</v>
      </c>
      <c r="F25" s="9" t="n">
        <v>19440</v>
      </c>
    </row>
    <row r="26" customFormat="false" ht="15" hidden="false" customHeight="false" outlineLevel="0" collapsed="false">
      <c r="A26" s="9" t="s">
        <v>51</v>
      </c>
      <c r="B26" s="9" t="s">
        <v>64</v>
      </c>
      <c r="C26" s="9" t="n">
        <v>720</v>
      </c>
      <c r="D26" s="9" t="n">
        <v>15552</v>
      </c>
      <c r="E26" s="9" t="n">
        <v>660</v>
      </c>
      <c r="F26" s="9" t="n">
        <v>14256</v>
      </c>
    </row>
    <row r="27" customFormat="false" ht="15" hidden="false" customHeight="false" outlineLevel="0" collapsed="false">
      <c r="A27" s="9" t="s">
        <v>49</v>
      </c>
      <c r="B27" s="9" t="s">
        <v>65</v>
      </c>
      <c r="C27" s="9" t="n">
        <v>1680</v>
      </c>
      <c r="D27" s="9" t="n">
        <v>28560</v>
      </c>
      <c r="E27" s="9" t="n">
        <v>1440</v>
      </c>
      <c r="F27" s="9" t="n">
        <v>24480</v>
      </c>
    </row>
    <row r="28" customFormat="false" ht="15" hidden="false" customHeight="false" outlineLevel="0" collapsed="false">
      <c r="A28" s="9" t="s">
        <v>44</v>
      </c>
      <c r="B28" s="9" t="s">
        <v>66</v>
      </c>
      <c r="C28" s="9" t="n">
        <v>1360</v>
      </c>
      <c r="D28" s="9" t="n">
        <v>46240</v>
      </c>
      <c r="E28" s="9" t="n">
        <v>1040</v>
      </c>
      <c r="F28" s="9" t="n">
        <v>35360</v>
      </c>
    </row>
    <row r="29" customFormat="false" ht="15" hidden="false" customHeight="false" outlineLevel="0" collapsed="false">
      <c r="A29" s="9" t="s">
        <v>50</v>
      </c>
      <c r="B29" s="9" t="s">
        <v>66</v>
      </c>
      <c r="C29" s="9" t="n">
        <v>800</v>
      </c>
      <c r="D29" s="9" t="n">
        <v>27200</v>
      </c>
      <c r="E29" s="9" t="n">
        <v>720</v>
      </c>
      <c r="F29" s="9" t="n">
        <v>24480</v>
      </c>
    </row>
    <row r="30" customFormat="false" ht="15" hidden="false" customHeight="false" outlineLevel="0" collapsed="false">
      <c r="A30" s="9" t="s">
        <v>52</v>
      </c>
      <c r="B30" s="9" t="s">
        <v>52</v>
      </c>
      <c r="C30" s="9" t="n">
        <v>0</v>
      </c>
      <c r="D30" s="9" t="n">
        <v>0</v>
      </c>
      <c r="E30" s="9" t="n">
        <v>-1</v>
      </c>
      <c r="F30" s="9" t="n">
        <v>-801.6</v>
      </c>
    </row>
    <row r="31" customFormat="false" ht="15" hidden="false" customHeight="false" outlineLevel="0" collapsed="false">
      <c r="A31" s="9" t="s">
        <v>52</v>
      </c>
      <c r="B31" s="9" t="s">
        <v>52</v>
      </c>
      <c r="C31" s="9" t="n">
        <v>0</v>
      </c>
      <c r="D31" s="9" t="n">
        <v>0</v>
      </c>
      <c r="E31" s="9" t="n">
        <v>-1</v>
      </c>
      <c r="F31" s="9" t="n">
        <v>-374.4</v>
      </c>
    </row>
    <row r="32" customFormat="false" ht="15" hidden="false" customHeight="false" outlineLevel="0" collapsed="false">
      <c r="A32" s="9" t="s">
        <v>40</v>
      </c>
      <c r="B32" s="9" t="s">
        <v>67</v>
      </c>
      <c r="C32" s="9" t="n">
        <v>1700</v>
      </c>
      <c r="D32" s="9" t="n">
        <v>53890</v>
      </c>
      <c r="E32" s="9" t="n">
        <v>1250</v>
      </c>
      <c r="F32" s="9" t="n">
        <v>39625</v>
      </c>
    </row>
    <row r="33" customFormat="false" ht="15" hidden="false" customHeight="false" outlineLevel="0" collapsed="false">
      <c r="A33" s="9" t="s">
        <v>43</v>
      </c>
      <c r="B33" s="9" t="s">
        <v>68</v>
      </c>
      <c r="C33" s="9" t="n">
        <v>4920</v>
      </c>
      <c r="D33" s="9" t="n">
        <v>66912</v>
      </c>
      <c r="E33" s="9" t="n">
        <v>4080</v>
      </c>
      <c r="F33" s="9" t="n">
        <v>55488</v>
      </c>
    </row>
    <row r="34" customFormat="false" ht="15" hidden="false" customHeight="false" outlineLevel="0" collapsed="false">
      <c r="A34" s="9" t="s">
        <v>24</v>
      </c>
      <c r="B34" s="9" t="s">
        <v>68</v>
      </c>
      <c r="C34" s="9" t="n">
        <v>12840</v>
      </c>
      <c r="D34" s="9" t="n">
        <v>214428</v>
      </c>
      <c r="E34" s="9" t="n">
        <v>0</v>
      </c>
      <c r="F34" s="9" t="n">
        <v>0</v>
      </c>
    </row>
    <row r="35" customFormat="false" ht="15" hidden="false" customHeight="false" outlineLevel="0" collapsed="false">
      <c r="A35" s="9" t="s">
        <v>24</v>
      </c>
      <c r="B35" s="9" t="s">
        <v>68</v>
      </c>
      <c r="C35" s="9" t="n">
        <v>8640</v>
      </c>
      <c r="D35" s="9" t="n">
        <v>129859.2</v>
      </c>
      <c r="E35" s="9" t="n">
        <v>15110</v>
      </c>
      <c r="F35" s="9" t="n">
        <v>227103.3</v>
      </c>
    </row>
    <row r="36" customFormat="false" ht="15" hidden="false" customHeight="false" outlineLevel="0" collapsed="false">
      <c r="A36" s="9" t="s">
        <v>34</v>
      </c>
      <c r="B36" s="9" t="s">
        <v>69</v>
      </c>
      <c r="C36" s="9" t="n">
        <v>2560</v>
      </c>
      <c r="D36" s="9" t="n">
        <v>64000</v>
      </c>
      <c r="E36" s="9" t="n">
        <v>0</v>
      </c>
      <c r="F36" s="9" t="n">
        <v>0</v>
      </c>
    </row>
    <row r="37" customFormat="false" ht="15" hidden="false" customHeight="false" outlineLevel="0" collapsed="false">
      <c r="A37" s="9" t="s">
        <v>34</v>
      </c>
      <c r="B37" s="9" t="s">
        <v>69</v>
      </c>
      <c r="C37" s="9" t="n">
        <v>1597</v>
      </c>
      <c r="D37" s="9" t="n">
        <v>35932.5</v>
      </c>
      <c r="E37" s="9" t="n">
        <v>3359</v>
      </c>
      <c r="F37" s="9" t="n">
        <v>75577.5</v>
      </c>
    </row>
    <row r="38" customFormat="false" ht="15" hidden="false" customHeight="false" outlineLevel="0" collapsed="false">
      <c r="A38" s="9" t="s">
        <v>27</v>
      </c>
      <c r="B38" s="9" t="s">
        <v>69</v>
      </c>
      <c r="C38" s="9" t="n">
        <v>1920</v>
      </c>
      <c r="D38" s="9" t="n">
        <v>43200</v>
      </c>
      <c r="E38" s="9" t="n">
        <v>3920</v>
      </c>
      <c r="F38" s="9" t="n">
        <v>88200</v>
      </c>
    </row>
    <row r="39" customFormat="false" ht="15" hidden="false" customHeight="false" outlineLevel="0" collapsed="false">
      <c r="A39" s="9" t="s">
        <v>27</v>
      </c>
      <c r="B39" s="9" t="s">
        <v>69</v>
      </c>
      <c r="C39" s="9" t="n">
        <v>3680</v>
      </c>
      <c r="D39" s="9" t="n">
        <v>92000</v>
      </c>
      <c r="E39" s="9" t="n">
        <v>0</v>
      </c>
      <c r="F39" s="9" t="n">
        <v>0</v>
      </c>
    </row>
    <row r="40" customFormat="false" ht="15" hidden="false" customHeight="false" outlineLevel="0" collapsed="false">
      <c r="A40" s="9" t="s">
        <v>53</v>
      </c>
      <c r="B40" s="9" t="s">
        <v>69</v>
      </c>
      <c r="C40" s="9" t="n">
        <v>-1</v>
      </c>
      <c r="D40" s="9" t="n">
        <v>-62.43</v>
      </c>
      <c r="E40" s="9" t="n">
        <v>0</v>
      </c>
      <c r="F40" s="9" t="n">
        <v>0</v>
      </c>
    </row>
    <row r="41" customFormat="false" ht="15" hidden="false" customHeight="false" outlineLevel="0" collapsed="false">
      <c r="A41" s="9" t="s">
        <v>32</v>
      </c>
      <c r="B41" s="9" t="s">
        <v>69</v>
      </c>
      <c r="C41" s="9" t="n">
        <v>3840</v>
      </c>
      <c r="D41" s="9" t="n">
        <v>76800</v>
      </c>
      <c r="E41" s="9" t="n">
        <v>0</v>
      </c>
      <c r="F41" s="9" t="n">
        <v>0</v>
      </c>
    </row>
    <row r="42" customFormat="false" ht="15" hidden="false" customHeight="false" outlineLevel="0" collapsed="false">
      <c r="A42" s="9" t="s">
        <v>32</v>
      </c>
      <c r="B42" s="9" t="s">
        <v>69</v>
      </c>
      <c r="C42" s="9" t="n">
        <v>2400</v>
      </c>
      <c r="D42" s="9" t="n">
        <v>42720</v>
      </c>
      <c r="E42" s="9" t="n">
        <v>4956</v>
      </c>
      <c r="F42" s="9" t="n">
        <v>88216.8</v>
      </c>
    </row>
    <row r="43" customFormat="false" ht="15" hidden="false" customHeight="false" outlineLevel="0" collapsed="false">
      <c r="A43" s="9" t="s">
        <v>31</v>
      </c>
      <c r="B43" s="9" t="s">
        <v>70</v>
      </c>
      <c r="C43" s="9" t="n">
        <v>3840</v>
      </c>
      <c r="D43" s="9" t="n">
        <v>75648</v>
      </c>
      <c r="E43" s="9" t="n">
        <v>0</v>
      </c>
      <c r="F43" s="9" t="n">
        <v>0</v>
      </c>
    </row>
    <row r="44" customFormat="false" ht="15" hidden="false" customHeight="false" outlineLevel="0" collapsed="false">
      <c r="A44" s="9" t="s">
        <v>31</v>
      </c>
      <c r="B44" s="9" t="s">
        <v>70</v>
      </c>
      <c r="C44" s="9" t="n">
        <v>3960</v>
      </c>
      <c r="D44" s="9" t="n">
        <v>69418.8</v>
      </c>
      <c r="E44" s="9" t="n">
        <v>6120</v>
      </c>
      <c r="F44" s="9" t="n">
        <v>107283.6</v>
      </c>
    </row>
    <row r="45" customFormat="false" ht="15" hidden="false" customHeight="false" outlineLevel="0" collapsed="false">
      <c r="A45" s="9" t="s">
        <v>21</v>
      </c>
      <c r="B45" s="9" t="s">
        <v>71</v>
      </c>
      <c r="C45" s="9" t="n">
        <v>5739</v>
      </c>
      <c r="D45" s="9" t="n">
        <v>237594.6</v>
      </c>
      <c r="E45" s="9" t="n">
        <v>9589</v>
      </c>
      <c r="F45" s="9" t="n">
        <v>396984.6</v>
      </c>
    </row>
    <row r="46" customFormat="false" ht="15" hidden="false" customHeight="false" outlineLevel="0" collapsed="false">
      <c r="A46" s="9" t="s">
        <v>21</v>
      </c>
      <c r="B46" s="9" t="s">
        <v>71</v>
      </c>
      <c r="C46" s="9" t="n">
        <v>7560</v>
      </c>
      <c r="D46" s="9" t="n">
        <v>340200</v>
      </c>
      <c r="E46" s="9" t="n">
        <v>0</v>
      </c>
      <c r="F46" s="9" t="n">
        <v>0</v>
      </c>
    </row>
    <row r="47" customFormat="false" ht="15" hidden="false" customHeight="false" outlineLevel="0" collapsed="false">
      <c r="A47" s="9" t="s">
        <v>36</v>
      </c>
      <c r="B47" s="9" t="s">
        <v>72</v>
      </c>
      <c r="C47" s="9" t="n">
        <v>4080</v>
      </c>
      <c r="D47" s="9" t="n">
        <v>77112</v>
      </c>
      <c r="E47" s="9" t="n">
        <v>3000</v>
      </c>
      <c r="F47" s="9" t="n">
        <v>56700</v>
      </c>
    </row>
    <row r="48" customFormat="false" ht="15" hidden="false" customHeight="false" outlineLevel="0" collapsed="false">
      <c r="A48" s="9" t="s">
        <v>28</v>
      </c>
      <c r="B48" s="9" t="s">
        <v>73</v>
      </c>
      <c r="C48" s="9" t="n">
        <v>2160</v>
      </c>
      <c r="D48" s="9" t="n">
        <v>45943.2</v>
      </c>
      <c r="E48" s="9" t="n">
        <v>3360</v>
      </c>
      <c r="F48" s="9" t="n">
        <v>71467.2</v>
      </c>
    </row>
    <row r="49" customFormat="false" ht="15" hidden="false" customHeight="false" outlineLevel="0" collapsed="false">
      <c r="A49" s="9" t="s">
        <v>28</v>
      </c>
      <c r="B49" s="9" t="s">
        <v>73</v>
      </c>
      <c r="C49" s="9" t="n">
        <v>2880</v>
      </c>
      <c r="D49" s="9" t="n">
        <v>68832</v>
      </c>
      <c r="E49" s="9" t="n">
        <v>0</v>
      </c>
      <c r="F49" s="9" t="n">
        <v>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2026-09-19T19:33:20Z</dcterms:created>
  <dc:creator>openpyxl</dc:creator>
  <dc:description/>
  <dc:language>en-US</dc:language>
  <cp:lastModifiedBy/>
  <dcterms:modified xsi:type="dcterms:W3CDTF">2026-09-19T19:33:20Z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