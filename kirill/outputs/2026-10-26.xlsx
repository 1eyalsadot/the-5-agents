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FreeSans"/>
            <family val="2"/>
          </rPr>
          <t xml:space="preserve">שורה חדשה שנוספה </t>
        </r>
        <r>
          <rPr>
            <sz val="10"/>
            <rFont val="Arial"/>
            <family val="2"/>
          </rPr>
          <t xml:space="preserve">26/10/2026 - "אילת זיכויי BE" </t>
        </r>
        <r>
          <rPr>
            <sz val="10"/>
            <rFont val="FreeSans"/>
            <family val="2"/>
          </rPr>
          <t xml:space="preserve">הופיעה לראשונה בדוח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הגולמי (ערך -</t>
        </r>
        <r>
          <rPr>
            <sz val="10"/>
            <rFont val="Arial"/>
            <family val="2"/>
          </rPr>
          <t xml:space="preserve">63.4). מופתה ל-C=7 (BE) </t>
        </r>
        <r>
          <rPr>
            <sz val="10"/>
            <rFont val="FreeSans"/>
            <family val="2"/>
          </rPr>
          <t xml:space="preserve">על בסיס השם, באנלוגיה למיפוי "זיכויים </t>
        </r>
        <r>
          <rPr>
            <sz val="10"/>
            <rFont val="Arial"/>
            <family val="2"/>
          </rPr>
          <t xml:space="preserve">BE"/"</t>
        </r>
        <r>
          <rPr>
            <sz val="10"/>
            <rFont val="FreeSans"/>
            <family val="2"/>
          </rPr>
          <t xml:space="preserve">אילת </t>
        </r>
        <r>
          <rPr>
            <sz val="10"/>
            <rFont val="Arial"/>
            <family val="2"/>
          </rPr>
          <t xml:space="preserve">BE" </t>
        </r>
        <r>
          <rPr>
            <sz val="10"/>
            <rFont val="FreeSans"/>
            <family val="2"/>
          </rPr>
          <t xml:space="preserve">הקיים - בלי אישור מפורש חדש מהמשתמש לשורה הזו עצמה. יש לאשר מול ראובן/המשתמש. אם יתברר שהמיפוי שגוי - יש לעדכן את </t>
        </r>
        <r>
          <rPr>
            <sz val="10"/>
            <rFont val="Arial"/>
            <family val="2"/>
          </rPr>
          <t xml:space="preserve">C16 </t>
        </r>
        <r>
          <rPr>
            <sz val="10"/>
            <rFont val="FreeSans"/>
            <family val="2"/>
          </rPr>
          <t xml:space="preserve">ולהרחיב שוב את טווחי </t>
        </r>
        <r>
          <rPr>
            <sz val="10"/>
            <rFont val="Arial"/>
            <family val="2"/>
          </rPr>
          <t xml:space="preserve">SUMIF </t>
        </r>
        <r>
          <rPr>
            <sz val="10"/>
            <rFont val="FreeSans"/>
            <family val="2"/>
          </rPr>
          <t xml:space="preserve">הרלוונטיים בגיליון סהכ בהתאם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<sst xmlns="http://schemas.openxmlformats.org/spreadsheetml/2006/main" count="138" uniqueCount="103">
  <si>
    <t xml:space="preserve">דוח מכירות אוקטובר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</si>
  <si>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</si>
  <si>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</si>
  <si>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</si>
  <si>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</si>
  <si>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</si>
  <si>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</si>
  <si>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</si>
  <si>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</si>
  <si>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</si>
  <si>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</si>
  <si>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</si>
  <si>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</si>
  <si>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</si>
  <si>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</si>
  <si>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</si>
  <si>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</si>
  <si>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</si>
  <si>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</si>
  <si>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</si>
  <si>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</si>
  <si>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</si>
  <si>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</si>
  <si>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</si>
  <si>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</si>
  <si>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</si>
  <si>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</si>
  <si>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</si>
  <si>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</si>
  <si>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</si>
  <si>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</si>
  <si>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</si>
  <si>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</si>
  <si>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</si>
  <si>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</si>
  <si>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</si>
  <si>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</si>
  <si>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</si>
  <si>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</si>
  <si>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</si>
  <si>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</si>
  <si>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</si>
  <si>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</si>
  <si>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</si>
  <si>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</si>
  <si>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</si>
  <si>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</si>
  <si>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</si>
  <si>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</si>
  <si>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</si>
  <si>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</si>
  <si>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</si>
  <si>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</si>
  <si>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</si>
  <si>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</si>
  <si>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</si>
  <si>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</si>
  <si>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</si>
  <si>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</si>
  <si>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</si>
  <si>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אילת זיכויי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</si>
  <si>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</si>
  <si>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</si>
  <si>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</si>
  <si>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</si>
  <si>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</si>
  <si>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</si>
  <si>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</si>
  <si>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</si>
  <si>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</si>
  <si>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</si>
  <si>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</si>
  <si>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</si>
  <si>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</si>
  <si>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</si>
  <si>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</si>
  <si>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</si>
  <si>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</si>
  <si>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</si>
  <si>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</si>
  <si>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</si>
  <si>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</si>
  <si>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</si>
  <si>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</si>
  <si>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</si>
  <si>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</si>
  <si>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</si>
  <si>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</si>
  <si>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</si>
  <si>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</si>
  <si>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</si>
  <si>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 (uploaded as b5a79993-PPlay1.xls), "PPlay1 of uriel (Reporter)", נוצר 26/10/2026 09:08:03, תקופה 2026/Oct (ממשיך MTD אוקטובר 2026, אין מעבר חודש - B1 נשאר "אוקטובר 2026"). קובץ הגיע כ-MHTML ("Excel Web Page", MIME multipart) ולא כ-XLSX/ZIP רגיל - פוענח לפי שיטת email.message_from_binary_file + BeautifulSoup (part[2] עם Content-Location שמסתיים ב-sheet001.htm, windows-1255), כמתועד ב-kirill.md. נשלפו 13 שורות קטגוריה שיש להן נתונים עד כה החודש: 0בתי מרקחת, 0מפיצי משנה, 0פארמים, אילת BE, אילת זיכויי BE, גוד פארם, גוד פארם מרכז, הפרכל הפרפארם, זיכויים BE, סופרפארם, שופרסל BE, 0צרכנים פרטיים, 0קופות חולים. מול 25/10: אותן 12 קטגוריות ותיקות + קטגוריה חדשה אחת - "אילת זיכויי BE" (-63.4 ש"ח), שלא הופיעה בשום דוח קודם. כל הערכים הוותיקים עלו או נשארו ללא שינוי (הצטברות MTD): 0בתי מרקחת 111,660.8-&gt;114,384.5, 0פארמים 499,268.8-&gt;499,631.5, שופרסל BE 54,211.9-&gt;54,638.0, 0קופות חולים 48,769.4-&gt;50,084.4; אילת BE, גוד פארם, גוד פארם מרכז, הפרכל הפרפארם, זיכויים BE, 0מפיצי משנה, סופרפארם ו-0צרכנים פרטיים נשארו ללא שינוי (אין תנועה נוספת). קטגוריה אחת נותרה ללא נתונים עדיין החודש (0שונות) - תקין, לא נתון חסר. שורת "Customers" (664,843.9) היא שורת-אב/סכום-ביניים של שדה הפיבוט ואינה שווה לסכום 13 שורות הקטגוריה (1,164,475.4) - הוחרגה מהייבוא כמקובל לשורות-אב (התנהגות זהה ומתועדת גם בדוחות קודמים, אין כאן חריגה חדשה). &gt;&gt;&gt; הנחת עבודה שטרם אושרה במפורש ע"י המשתמש לגבי "אילת זיכויי BE": מופתה לגיליון Pplay1 שורה 15 עם C=7 (BE), באותו אופן שבו "זיכויים BE"/"אילת BE"/"שופרסל BE"/"הפרכל הפרפארם" כבר ממופים ל-BE - בהתבסס על השם (זיכוי ברשת BE בסניף אילת) ולא על אישור מפורש חדש כמו שהתקבל בעבר ל"זיכויים BE". יש לאשר/לתקן את המיפוי הזה מול המשתמש; עד אז זהו Best-guess מתועד, לא כלל קבוע. מכר נטו = עמודה B × 0.91 (מקדם קבוע, מאושר ב-kirill.md).</t>
  </si>
  <si>
    <t xml:space="preserve">2026/Oct (סכום גולמי, MTD)</t>
  </si>
  <si>
    <t xml:space="preserve">הערה</t>
  </si>
  <si>
    <t xml:space="preserve">Customer</t>
  </si>
  <si>
    <t xml:space="preserve">Sales</t>
  </si>
  <si>
    <t xml:space="preserve">Source: CustomSalesbyCustomerSummary94.xlsx (uploaded as 909fdd23-CustomSalesbyCustomerSummary94.xlsx), Meditex Group IL, Custom Sales by Customer Summary, 01 October 2026 - 31 October 2026 (MTD, אוקטובר), נמסר 26/10/2026 עבור דוח 26/10/2026. קובץ xlsx תקני (2007+) - נטען ישירות ע"י openpyxl ללא צורך בתיקון קידוד. הדוח הגולמי היה דוח פירוט (שורות חשבוניות/זיכויים מתחת לכל קטגוריה, עם סכום הקטגוריה כבר מופיע על שורת הכותרת של הקטגוריה עצמה בעמודה D) - נשלפו רק שורות קטגוריה (לא שורות פירוט/לקוחות-בת). מול 25/10: אותן 14 שורות קטגוריה, אין קטגוריה חדשה. חלק מהקטגוריות עלו, חלק נשארו ללא שינוי (הצטברות MTD): 102 - Orthopedic institutes 64,124.54-&gt;65,908.90, 101 - Factory customers 13,599.20-&gt;14,865.03, 107 - Pharmacies 15,029.13-&gt;16,615.03, 114 - IL online 269,004.12-&gt;284,695.65, 115-SuperPharm Online 2,729.10-&gt;3,062.66; 111 - Superpharm Life, 103 - Physiotherapy institutes, 109 - Private Shops, 106 - Hospitals, 112 - Kupat Holim Clalit, 202 - Super-Pharm POLAND, 205 - Health Care Prod. Gmbh GERMANY, 209 - Ortoprofil Prod ROMANIA, 216 - Max Konnaris CYPRUS נשארו ללא שינוי (אין תנועה נוספת). סה"כ שורת "Total" בדוח הגולמי המלא: ₪859,560.71 - תואם בדיוק לסכום 14 שורות הקטגוריה שנשלפו (אומת ידנית: 65,908.90+79,677.00+1,864.98+2,342.42+14,865.03+16,615.03+5,323.62+185,750.50+284,695.65+3,062.66+30,489.94+23,809.14+131,295.80+13,860.04 = 859,560.71).</t>
  </si>
  <si>
    <t xml:space="preserve">Source: צילום מסך/נתונים שסופקו על ידי המשתמש (ראובן), לוח בקרה Sellerboard/Amazon Seller "Month to date, 1-26 October 2026", נמסר 26/10/2026 עבור דוח 26/10/2026, מאומת בטקסט (לא תמלול תמונה). נתונים נוספים שסופקו במקור (לא בשימוש בנוסחה): Sales -0.8% מול תקופה קודמת, Orders/Units 1,991/2,047, Refunds 162, Est. payout $18,044.41, Gross profit $6,519.96, Net profit $6,519.96 -33.0%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</si>
  <si>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</si>
  <si>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</si>
  <si>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cost)×3.</t>
  </si>
  <si>
    <t xml:space="preserve">Refund cost</t>
  </si>
  <si>
    <t xml:space="preserve">מכפיל ×3 לפי הנחיית המשתמש (לא מתועד במקור התמונה).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</si>
</sst>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46321</v>
      </c>
      <c r="C2" s="6" t="n">
        <v>10.2026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SUMIF(Pplay1!$F$3:$F$16,A3,Pplay1!$H$3:$H$16)+SUMIF(ריכוז!$B$3:$B$30,A3,ריכוז!$C$3:$C$30)</f>
        <v>79677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SUMIF(Pplay1!$F$3:$F$16,A4,Pplay1!$H$3:$H$16)+SUMIF(ריכוז!$B$3:$B$30,A4,ריכוז!$C$3:$C$30)</f>
        <v>398278.153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SUMIF(Pplay1!$F$3:$F$16,A5,Pplay1!$H$3:$H$16)+SUMIF(ריכוז!$B$3:$B$30,A5,ריכוז!$C$3:$C$30)</f>
        <v>56027.699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SUMIF(Pplay1!$F$3:$F$16,A6,Pplay1!$H$3:$H$16)+SUMIF(ריכוז!$B$3:$B$30,A6,ריכוז!$C$3:$C$30)</f>
        <v>121740.323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SUMIF(Pplay1!$F$3:$F$16,A7,Pplay1!$H$3:$H$16)+SUMIF(ריכוז!$B$3:$B$30,A7,ריכוז!$C$3:$C$30)</f>
        <v>185750.5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SUMIF(Pplay1!$F$3:$F$16,A8,Pplay1!$H$3:$H$16)+SUMIF(ריכוז!$B$3:$B$30,A8,ריכוז!$C$3:$C$30)</f>
        <v>45576.804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SUMIF(Pplay1!$F$3:$F$16,A9,Pplay1!$H$3:$H$16)+SUMIF(ריכוז!$B$3:$B$30,A9,ריכוז!$C$3:$C$30)</f>
        <v>65908.9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SUMIF(Pplay1!$F$3:$F$16,A10,Pplay1!$H$3:$H$16)+SUMIF(ריכוז!$B$3:$B$30,A10,ריכוז!$C$3:$C$30)</f>
        <v>14865.03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SUMIF(Pplay1!$F$3:$F$16,A11,Pplay1!$H$3:$H$16)+SUMIF(ריכוז!$B$3:$B$30,A11,ריכוז!$C$3:$C$30)</f>
        <v>2342.42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SUMIF(Pplay1!$F$3:$F$16,A12,Pplay1!$H$3:$H$16)+SUMIF(ריכוז!$B$3:$B$30,A12,ריכוז!$C$3:$C$30)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SUMIF(Pplay1!$F$3:$F$16,A13,Pplay1!$H$3:$H$16)+SUMIF(ריכוז!$B$3:$B$30,A13,ריכוז!$C$3:$C$30)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SUMIF(Pplay1!$F$3:$F$16,A14,Pplay1!$H$3:$H$16)+SUMIF(ריכוז!$B$3:$B$30,A14,ריכוז!$C$3:$C$30)</f>
        <v>5323.62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SUMIF(Pplay1!$F$3:$F$16,A15,Pplay1!$H$3:$H$16)+SUMIF(ריכוז!$B$3:$B$30,A15,ריכוז!$C$3:$C$30)</f>
        <v>1864.98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977355.429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SUMIF(Pplay1!$F$3:$F$16,A17,Pplay1!$H$3:$H$16)+SUMIF(ריכוז!$B$3:$B$30,A17,ריכוז!$C$3:$C$30)</f>
        <v>284695.65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SUMIF(Pplay1!$F$3:$F$16,A18,Pplay1!$H$3:$H$16)+SUMIF(ריכוז!$B$3:$B$30,A18,ריכוז!$C$3:$C$30)</f>
        <v>3062.66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1265113.739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168578.58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SUMIF(Pplay1!$F$3:$F$16,A21,Pplay1!$H$3:$H$16)+SUMIF(ריכוז!$B$3:$B$30,A21,ריכוז!$C$3:$C$30)</f>
        <v>131295.8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SUMIF(Pplay1!$F$3:$F$16,A22,Pplay1!$H$3:$H$16)+SUMIF(ריכוז!$B$3:$B$30,A22,ריכוז!$C$3:$C$30)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SUMIF(Pplay1!$F$3:$F$16,A23,Pplay1!$H$3:$H$16)+SUMIF(ריכוז!$B$3:$B$30,A23,ריכוז!$C$3:$C$30)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SUMIF(Pplay1!$F$3:$F$16,A24,Pplay1!$H$3:$H$16)+SUMIF(ריכוז!$B$3:$B$30,A24,ריכוז!$C$3:$C$30)</f>
        <v>13860.04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SUMIF(Pplay1!$F$3:$F$16,A25,Pplay1!$H$3:$H$16)+SUMIF(ריכוז!$B$3:$B$30,A25,ריכוז!$C$3:$C$30)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SUMIF(Pplay1!$F$3:$F$16,A26,Pplay1!$H$3:$H$16)+SUMIF(ריכוז!$B$3:$B$30,A26,ריכוז!$C$3:$C$30)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SUMIF(Pplay1!$F$3:$F$16,A27,Pplay1!$H$3:$H$16)+SUMIF(ריכוז!$B$3:$B$30,A27,ריכוז!$C$3:$C$30)</f>
        <v>23809.14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SUMIF(Pplay1!$F$3:$F$16,A28,Pplay1!$H$3:$H$16)+SUMIF(ריכוז!$B$3:$B$30,A28,ריכוז!$C$3:$C$30)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SUMIF(Pplay1!$F$3:$F$16,A29,Pplay1!$H$3:$H$16)+SUMIF(ריכוז!$B$3:$B$30,A29,ריכוז!$C$3:$C$30)</f>
        <v>30489.94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SUMIF(Pplay1!$F$3:$F$16,A30,Pplay1!$H$3:$H$16)+SUMIF(ריכוז!$B$3:$B$30,A30,ריכוז!$C$3:$C$30)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SUMIF(Pplay1!$F$3:$F$16,A31,Pplay1!$H$3:$H$16)+SUMIF(ריכוז!$B$3:$B$30,A31,ריכוז!$C$3:$C$30)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SUMIF(Pplay1!$F$3:$F$16,A32,Pplay1!$H$3:$H$16)+SUMIF(ריכוז!$B$3:$B$30,A32,ריכוז!$C$3:$C$30)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SUMIF(Pplay1!$F$3:$F$16,A33,Pplay1!$H$3:$H$16)+SUMIF(ריכוז!$B$3:$B$30,A33,ריכוז!$C$3:$C$30)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SUMIF(Pplay1!$F$3:$F$16,A34,Pplay1!$H$3:$H$16)+SUMIF(ריכוז!$B$3:$B$30,A34,ריכוז!$C$3:$C$30)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SUMIF(Pplay1!$F$3:$F$16,A35,Pplay1!$H$3:$H$16)+SUMIF(ריכוז!$B$3:$B$30,A35,ריכוז!$C$3:$C$30)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SUMIF(Pplay1!$F$3:$F$16,A36,Pplay1!$H$3:$H$16)+SUMIF(ריכוז!$B$3:$B$30,A36,ריכוז!$C$3:$C$30)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SUMIF(Pplay1!$F$3:$F$16,A37,Pplay1!$H$3:$H$16)+SUMIF(ריכוז!$B$3:$B$30,A37,ריכוז!$C$3:$C$30)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SUMIF(Pplay1!$F$3:$F$16,A38,Pplay1!$H$3:$H$16)+SUMIF(ריכוז!$B$3:$B$30,A38,ריכוז!$C$3:$C$30)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SUMIF(Pplay1!$F$3:$F$16,A39,Pplay1!$H$3:$H$16)+SUMIF(ריכוז!$B$3:$B$30,A39,ריכוז!$C$3:$C$30)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368033.5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1633147.239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114384.5</v>
      </c>
      <c r="H3" s="27" t="n">
        <f aca="false">IF(G3="","",G3*0.91)</f>
        <v>104089.895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533.7</v>
      </c>
      <c r="H4" s="27" t="n">
        <f aca="false">IF(G4="","",G4*0.91)</f>
        <v>485.667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499631.5</v>
      </c>
      <c r="H5" s="27" t="n">
        <f aca="false">IF(G5="","",G5*0.91)</f>
        <v>454664.665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7361.8</v>
      </c>
      <c r="H6" s="27" t="n">
        <f aca="false">IF(G6="","",G6*0.91)</f>
        <v>6699.238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679.1</v>
      </c>
      <c r="H7" s="27" t="n">
        <f aca="false">IF(G7="","",G7*0.91)</f>
        <v>617.981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-284.7</v>
      </c>
      <c r="H8" s="27" t="n">
        <f aca="false">IF(G8="","",G8*0.91)</f>
        <v>-259.077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902</v>
      </c>
      <c r="H9" s="27" t="n">
        <f aca="false">IF(G9="","",G9*0.91)</f>
        <v>820.82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437668.3</v>
      </c>
      <c r="H10" s="27" t="n">
        <f aca="false">IF(G10="","",G10*0.91)</f>
        <v>398278.153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54638</v>
      </c>
      <c r="H11" s="27" t="n">
        <f aca="false">IF(G11="","",G11*0.91)</f>
        <v>49720.58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n">
        <f aca="false">IFERROR(INDEX(PPLAY1_מקור!$B:$B,MATCH(A12,PPLAY1_מקור!$A:$A,0)),"")</f>
        <v>209.7</v>
      </c>
      <c r="H12" s="27" t="n">
        <f aca="false">IF(G12="","",G12*0.91)</f>
        <v>190.827</v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50084.4</v>
      </c>
      <c r="H13" s="27" t="n">
        <f aca="false">IF(G13="","",G13*0.91)</f>
        <v>45576.804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-1269.5</v>
      </c>
      <c r="H15" s="27" t="n">
        <f aca="false">IF(G15="","",G15*0.91)</f>
        <v>-1155.245</v>
      </c>
    </row>
    <row r="16" customFormat="false" ht="14.25" hidden="false" customHeight="false" outlineLevel="0" collapsed="false">
      <c r="A16" s="25" t="s">
        <v>60</v>
      </c>
      <c r="B16" s="23"/>
      <c r="C16" s="23" t="n">
        <v>7</v>
      </c>
      <c r="D16" s="23"/>
      <c r="E16" s="23"/>
      <c r="F16" s="26" t="n">
        <f aca="false">IF(B16&lt;&gt;"",B16,IF(C16&lt;&gt;"",C16,IF(D16&lt;&gt;"",D16,IF(E16&lt;&gt;"",E16,""))))</f>
        <v>7</v>
      </c>
      <c r="G16" s="27" t="n">
        <f aca="false">IFERROR(INDEX(PPLAY1_מקור!$B:$B,MATCH(A16,PPLAY1_מקור!$A:$A,0)),"")</f>
        <v>-63.4</v>
      </c>
      <c r="H16" s="27" t="n">
        <f aca="false">IF(G16="","",G16*0.91)</f>
        <v>-57.694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61</v>
      </c>
      <c r="C1" s="24" t="s">
        <v>62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63</v>
      </c>
      <c r="B3" s="1" t="n">
        <v>6</v>
      </c>
      <c r="C3" s="27" t="n">
        <f aca="false">IFERROR(INDEX(NetSuite_מקור!$D:$D,MATCH(A3,NetSuite_מקור!$A:$A,0)),"")</f>
        <v>65908.9</v>
      </c>
    </row>
    <row r="4" customFormat="false" ht="14.25" hidden="false" customHeight="true" outlineLevel="0" collapsed="false">
      <c r="A4" s="28" t="s">
        <v>64</v>
      </c>
      <c r="B4" s="1" t="n">
        <v>5</v>
      </c>
      <c r="C4" s="27" t="n">
        <f aca="false">IFERROR(INDEX(NetSuite_מקור!$D:$D,MATCH(A4,NetSuite_מקור!$A:$A,0)),"")</f>
        <v>79677</v>
      </c>
    </row>
    <row r="5" customFormat="false" ht="14.25" hidden="false" customHeight="true" outlineLevel="0" collapsed="false">
      <c r="A5" s="28" t="s">
        <v>65</v>
      </c>
      <c r="B5" s="1" t="n">
        <v>9</v>
      </c>
      <c r="C5" s="27" t="n">
        <f aca="false">IFERROR(INDEX(NetSuite_מקור!$D:$D,MATCH(A5,NetSuite_מקור!$A:$A,0)),"")</f>
        <v>1864.98</v>
      </c>
    </row>
    <row r="6" customFormat="false" ht="14.25" hidden="false" customHeight="true" outlineLevel="0" collapsed="false">
      <c r="A6" s="28" t="s">
        <v>66</v>
      </c>
      <c r="B6" s="1" t="n">
        <v>11</v>
      </c>
      <c r="C6" s="27" t="n">
        <f aca="false">IFERROR(INDEX(NetSuite_מקור!$D:$D,MATCH(A6,NetSuite_מקור!$A:$A,0)),"")</f>
        <v>2342.42</v>
      </c>
    </row>
    <row r="7" customFormat="false" ht="14.25" hidden="false" customHeight="true" outlineLevel="0" collapsed="false">
      <c r="A7" s="28" t="s">
        <v>67</v>
      </c>
      <c r="B7" s="1" t="n">
        <v>10</v>
      </c>
      <c r="C7" s="27" t="n">
        <f aca="false">IFERROR(INDEX(NetSuite_מקור!$D:$D,MATCH(A7,NetSuite_מקור!$A:$A,0)),"")</f>
        <v>14865.03</v>
      </c>
    </row>
    <row r="8" customFormat="false" ht="14.25" hidden="false" customHeight="true" outlineLevel="0" collapsed="false">
      <c r="A8" s="28" t="s">
        <v>68</v>
      </c>
      <c r="B8" s="1" t="n">
        <v>4</v>
      </c>
      <c r="C8" s="27" t="n">
        <f aca="false">IFERROR(INDEX(NetSuite_מקור!$D:$D,MATCH(A8,NetSuite_מקור!$A:$A,0)),"")</f>
        <v>16615.03</v>
      </c>
    </row>
    <row r="9" customFormat="false" ht="14.25" hidden="false" customHeight="true" outlineLevel="0" collapsed="false">
      <c r="A9" s="28" t="s">
        <v>69</v>
      </c>
      <c r="B9" s="1" t="n">
        <v>13</v>
      </c>
      <c r="C9" s="27" t="n">
        <f aca="false">IFERROR(INDEX(NetSuite_מקור!$D:$D,MATCH(A9,NetSuite_מקור!$A:$A,0)),"")</f>
        <v>5323.62</v>
      </c>
    </row>
    <row r="10" customFormat="false" ht="14.25" hidden="false" customHeight="true" outlineLevel="0" collapsed="false">
      <c r="A10" s="28" t="s">
        <v>70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71</v>
      </c>
      <c r="B11" s="1" t="n">
        <v>3</v>
      </c>
      <c r="C11" s="27" t="n">
        <f aca="false">IFERROR(INDEX(NetSuite_מקור!$D:$D,MATCH(A11,NetSuite_מקור!$A:$A,0)),"")</f>
        <v>185750.5</v>
      </c>
    </row>
    <row r="12" customFormat="false" ht="14.25" hidden="false" customHeight="true" outlineLevel="0" collapsed="false">
      <c r="A12" s="28" t="s">
        <v>72</v>
      </c>
      <c r="B12" s="1" t="n">
        <v>2</v>
      </c>
      <c r="C12" s="27" t="n">
        <f aca="false">IFERROR(INDEX(NetSuite_מקור!$D:$D,MATCH(A12,NetSuite_מקור!$A:$A,0)),"")</f>
        <v>284695.65</v>
      </c>
    </row>
    <row r="13" customFormat="false" ht="14.25" hidden="false" customHeight="true" outlineLevel="0" collapsed="false">
      <c r="A13" s="28" t="s">
        <v>73</v>
      </c>
      <c r="B13" s="1" t="n">
        <v>12</v>
      </c>
      <c r="C13" s="27" t="n">
        <f aca="false">IFERROR(INDEX(NetSuite_מקור!$D:$D,MATCH(A13,NetSuite_מקור!$A:$A,0)),"")</f>
        <v>3062.66</v>
      </c>
    </row>
    <row r="14" customFormat="false" ht="14.25" hidden="false" customHeight="true" outlineLevel="0" collapsed="false">
      <c r="A14" s="28" t="s">
        <v>74</v>
      </c>
      <c r="B14" s="1" t="n">
        <v>23</v>
      </c>
      <c r="C14" s="27" t="n">
        <f aca="false">IFERROR(INDEX(NetSuite_מקור!$D:$D,MATCH(A14,NetSuite_מקור!$A:$A,0)),"")</f>
        <v>13860.04</v>
      </c>
    </row>
    <row r="15" customFormat="false" ht="14.25" hidden="false" customHeight="true" outlineLevel="0" collapsed="false">
      <c r="A15" s="28" t="s">
        <v>75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76</v>
      </c>
      <c r="B16" s="1" t="n">
        <v>28</v>
      </c>
      <c r="C16" s="27" t="n">
        <f aca="false">IFERROR(INDEX(NetSuite_מקור!$D:$D,MATCH(A16,NetSuite_מקור!$A:$A,0)),"")</f>
        <v>30489.94</v>
      </c>
    </row>
    <row r="17" customFormat="false" ht="14.25" hidden="false" customHeight="true" outlineLevel="0" collapsed="false">
      <c r="A17" s="28" t="s">
        <v>77</v>
      </c>
      <c r="B17" s="1" t="n">
        <v>20</v>
      </c>
      <c r="C17" s="29" t="n">
        <f aca="false">IFERROR(INDEX(NetSuite_מקור!$D:$D,MATCH(A17,NetSuite_מקור!$A:$A,0)),"")</f>
        <v>131295.8</v>
      </c>
    </row>
    <row r="18" customFormat="false" ht="14.25" hidden="false" customHeight="true" outlineLevel="0" collapsed="false">
      <c r="A18" s="28" t="s">
        <v>78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79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80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81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82</v>
      </c>
      <c r="B22" s="1" t="n">
        <v>26</v>
      </c>
      <c r="C22" s="29" t="n">
        <f aca="false">IFERROR(INDEX(NetSuite_מקור!$D:$D,MATCH(A22,NetSuite_מקור!$A:$A,0)),"")</f>
        <v>23809.14</v>
      </c>
    </row>
    <row r="23" customFormat="false" ht="14.25" hidden="false" customHeight="true" outlineLevel="0" collapsed="false">
      <c r="A23" s="28" t="s">
        <v>83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84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85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86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87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88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89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90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91</v>
      </c>
      <c r="B1" s="24" t="s">
        <v>92</v>
      </c>
      <c r="C1" s="24" t="s">
        <v>47</v>
      </c>
      <c r="D1" s="24" t="s">
        <v>93</v>
      </c>
    </row>
    <row r="2" customFormat="false" ht="14.25" hidden="false" customHeight="true" outlineLevel="0" collapsed="false">
      <c r="A2" s="26" t="s">
        <v>94</v>
      </c>
      <c r="B2" s="27"/>
      <c r="C2" s="27"/>
      <c r="D2" s="30" t="s">
        <v>95</v>
      </c>
    </row>
    <row r="3" customFormat="false" ht="14.25" hidden="false" customHeight="true" outlineLevel="0" collapsed="false">
      <c r="A3" s="26" t="s">
        <v>48</v>
      </c>
      <c r="B3" s="27" t="n">
        <v>114384.5</v>
      </c>
      <c r="C3" s="27" t="n">
        <f aca="false">B3*0.91</f>
        <v>104089.895</v>
      </c>
      <c r="D3" s="30"/>
    </row>
    <row r="4" customFormat="false" ht="14.25" hidden="false" customHeight="true" outlineLevel="0" collapsed="false">
      <c r="A4" s="26" t="s">
        <v>49</v>
      </c>
      <c r="B4" s="27" t="n">
        <v>533.7</v>
      </c>
      <c r="C4" s="27" t="n">
        <f aca="false">B4*0.91</f>
        <v>485.667</v>
      </c>
      <c r="D4" s="30"/>
    </row>
    <row r="5" customFormat="false" ht="14.25" hidden="false" customHeight="true" outlineLevel="0" collapsed="false">
      <c r="A5" s="26" t="s">
        <v>50</v>
      </c>
      <c r="B5" s="27" t="n">
        <v>499631.5</v>
      </c>
      <c r="C5" s="27" t="n">
        <f aca="false">B5*0.91</f>
        <v>454664.665</v>
      </c>
      <c r="D5" s="30"/>
    </row>
    <row r="6" customFormat="false" ht="14.25" hidden="false" customHeight="true" outlineLevel="0" collapsed="false">
      <c r="A6" s="26" t="s">
        <v>51</v>
      </c>
      <c r="B6" s="27" t="n">
        <v>7361.8</v>
      </c>
      <c r="C6" s="27" t="n">
        <f aca="false">B6*0.91</f>
        <v>6699.238</v>
      </c>
      <c r="D6" s="30"/>
    </row>
    <row r="7" customFormat="false" ht="14.25" hidden="false" customHeight="true" outlineLevel="0" collapsed="false">
      <c r="A7" s="26" t="s">
        <v>52</v>
      </c>
      <c r="B7" s="27" t="n">
        <v>679.1</v>
      </c>
      <c r="C7" s="27" t="n">
        <f aca="false">B7*0.91</f>
        <v>617.981</v>
      </c>
      <c r="D7" s="30"/>
    </row>
    <row r="8" customFormat="false" ht="14.25" hidden="false" customHeight="true" outlineLevel="0" collapsed="false">
      <c r="A8" s="26" t="s">
        <v>53</v>
      </c>
      <c r="B8" s="27" t="n">
        <v>-284.7</v>
      </c>
      <c r="C8" s="27" t="n">
        <f aca="false">B8*0.91</f>
        <v>-259.077</v>
      </c>
      <c r="D8" s="30"/>
    </row>
    <row r="9" customFormat="false" ht="14.25" hidden="false" customHeight="true" outlineLevel="0" collapsed="false">
      <c r="A9" s="26" t="s">
        <v>54</v>
      </c>
      <c r="B9" s="27" t="n">
        <v>902</v>
      </c>
      <c r="C9" s="27" t="n">
        <f aca="false">B9*0.91</f>
        <v>820.82</v>
      </c>
      <c r="D9" s="30"/>
    </row>
    <row r="10" customFormat="false" ht="14.25" hidden="false" customHeight="true" outlineLevel="0" collapsed="false">
      <c r="A10" s="26" t="s">
        <v>59</v>
      </c>
      <c r="B10" s="27" t="n">
        <v>-1269.5</v>
      </c>
      <c r="C10" s="27" t="n">
        <f aca="false">B10*0.91</f>
        <v>-1155.245</v>
      </c>
      <c r="D10" s="30"/>
    </row>
    <row r="11" customFormat="false" ht="14.25" hidden="false" customHeight="true" outlineLevel="0" collapsed="false">
      <c r="A11" s="26" t="s">
        <v>3</v>
      </c>
      <c r="B11" s="27" t="n">
        <v>437668.3</v>
      </c>
      <c r="C11" s="27" t="n">
        <f aca="false">B11*0.91</f>
        <v>398278.153</v>
      </c>
      <c r="D11" s="30"/>
    </row>
    <row r="12" customFormat="false" ht="14.25" hidden="false" customHeight="true" outlineLevel="0" collapsed="false">
      <c r="A12" s="26" t="s">
        <v>55</v>
      </c>
      <c r="B12" s="27" t="n">
        <v>54638</v>
      </c>
      <c r="C12" s="27" t="n">
        <f aca="false">B12*0.91</f>
        <v>49720.58</v>
      </c>
      <c r="D12" s="30"/>
    </row>
    <row r="13" customFormat="false" ht="14.25" hidden="false" customHeight="true" outlineLevel="0" collapsed="false">
      <c r="A13" s="26" t="s">
        <v>56</v>
      </c>
      <c r="B13" s="27" t="n">
        <v>209.7</v>
      </c>
      <c r="C13" s="27" t="n">
        <f aca="false">B13*0.91</f>
        <v>190.827</v>
      </c>
      <c r="D13" s="30"/>
    </row>
    <row r="14" customFormat="false" ht="14.25" hidden="false" customHeight="true" outlineLevel="0" collapsed="false">
      <c r="A14" s="26" t="s">
        <v>57</v>
      </c>
      <c r="B14" s="27" t="n">
        <v>50084.4</v>
      </c>
      <c r="C14" s="27" t="n">
        <f aca="false">B14*0.91</f>
        <v>45576.804</v>
      </c>
      <c r="D14" s="30"/>
    </row>
    <row r="15" customFormat="false" ht="14.25" hidden="false" customHeight="false" outlineLevel="0" collapsed="false">
      <c r="A15" s="26" t="s">
        <v>60</v>
      </c>
      <c r="B15" s="27" t="n">
        <v>-63.4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63</v>
      </c>
      <c r="D3" s="29" t="n">
        <v>65908.9</v>
      </c>
    </row>
    <row r="4" customFormat="false" ht="15" hidden="false" customHeight="true" outlineLevel="0" collapsed="false">
      <c r="A4" s="26" t="s">
        <v>64</v>
      </c>
      <c r="D4" s="29" t="n">
        <v>79677</v>
      </c>
    </row>
    <row r="5" customFormat="false" ht="15" hidden="false" customHeight="true" outlineLevel="0" collapsed="false">
      <c r="A5" s="26" t="s">
        <v>65</v>
      </c>
      <c r="D5" s="29" t="n">
        <v>1864.98</v>
      </c>
    </row>
    <row r="6" customFormat="false" ht="15" hidden="false" customHeight="true" outlineLevel="0" collapsed="false">
      <c r="A6" s="26" t="s">
        <v>66</v>
      </c>
      <c r="D6" s="29" t="n">
        <v>2342.42</v>
      </c>
    </row>
    <row r="7" customFormat="false" ht="15" hidden="false" customHeight="true" outlineLevel="0" collapsed="false">
      <c r="A7" s="26" t="s">
        <v>67</v>
      </c>
      <c r="D7" s="29" t="n">
        <v>14865.03</v>
      </c>
    </row>
    <row r="8" customFormat="false" ht="15" hidden="false" customHeight="true" outlineLevel="0" collapsed="false">
      <c r="A8" s="26" t="s">
        <v>68</v>
      </c>
      <c r="D8" s="29" t="n">
        <v>16615.03</v>
      </c>
    </row>
    <row r="9" customFormat="false" ht="15" hidden="false" customHeight="true" outlineLevel="0" collapsed="false">
      <c r="A9" s="26" t="s">
        <v>69</v>
      </c>
      <c r="D9" s="29" t="n">
        <v>5323.62</v>
      </c>
    </row>
    <row r="10" customFormat="false" ht="14.25" hidden="false" customHeight="true" outlineLevel="0" collapsed="false">
      <c r="A10" s="26" t="s">
        <v>71</v>
      </c>
      <c r="D10" s="29" t="n">
        <v>185750.5</v>
      </c>
    </row>
    <row r="11" customFormat="false" ht="14.25" hidden="false" customHeight="true" outlineLevel="0" collapsed="false">
      <c r="A11" s="26" t="s">
        <v>72</v>
      </c>
      <c r="D11" s="29" t="n">
        <v>284695.65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3062.66</v>
      </c>
      <c r="E12" s="32"/>
    </row>
    <row r="13" customFormat="false" ht="14.25" hidden="false" customHeight="true" outlineLevel="0" collapsed="false">
      <c r="A13" s="33" t="s">
        <v>76</v>
      </c>
      <c r="B13" s="31"/>
      <c r="C13" s="31"/>
      <c r="D13" s="34" t="n">
        <v>30489.94</v>
      </c>
      <c r="E13" s="32"/>
    </row>
    <row r="14" customFormat="false" ht="14.25" hidden="false" customHeight="true" outlineLevel="0" collapsed="false">
      <c r="A14" s="26" t="s">
        <v>82</v>
      </c>
      <c r="D14" s="27" t="n">
        <v>23809.14</v>
      </c>
    </row>
    <row r="15" customFormat="false" ht="14.25" hidden="false" customHeight="true" outlineLevel="0" collapsed="false">
      <c r="A15" s="26" t="s">
        <v>77</v>
      </c>
      <c r="D15" s="27" t="n">
        <v>131295.8</v>
      </c>
    </row>
    <row r="16" customFormat="false" ht="14.25" hidden="false" customHeight="true" outlineLevel="0" collapsed="false">
      <c r="A16" s="26" t="s">
        <v>74</v>
      </c>
      <c r="D16" s="27" t="n">
        <v>13860.04</v>
      </c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97</v>
      </c>
    </row>
    <row r="2" customFormat="false" ht="15" hidden="false" customHeight="true" outlineLevel="0" collapsed="false">
      <c r="A2" s="24" t="s">
        <v>98</v>
      </c>
      <c r="B2" s="24" t="s">
        <v>99</v>
      </c>
      <c r="C2" s="24" t="s">
        <v>93</v>
      </c>
    </row>
    <row r="3" customFormat="false" ht="15" hidden="false" customHeight="true" outlineLevel="0" collapsed="false">
      <c r="A3" s="26" t="s">
        <v>95</v>
      </c>
      <c r="B3" s="27" t="n">
        <v>60852.75</v>
      </c>
      <c r="C3" s="30" t="s">
        <v>100</v>
      </c>
    </row>
    <row r="4" customFormat="false" ht="15" hidden="false" customHeight="true" outlineLevel="0" collapsed="false">
      <c r="A4" s="26" t="s">
        <v>101</v>
      </c>
      <c r="B4" s="27" t="n">
        <v>-4659.89</v>
      </c>
      <c r="C4" s="3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2026-10-26T07:13:59Z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